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smit240\OneDrive - FEMA\Desktop\Working\03. Data and Mapping\"/>
    </mc:Choice>
  </mc:AlternateContent>
  <xr:revisionPtr revIDLastSave="0" documentId="13_ncr:1_{A6889A0E-DD39-44D5-8BC5-FB148488228F}" xr6:coauthVersionLast="47" xr6:coauthVersionMax="47" xr10:uidLastSave="{00000000-0000-0000-0000-000000000000}"/>
  <bookViews>
    <workbookView xWindow="-120" yWindow="-120" windowWidth="29040" windowHeight="15720" xr2:uid="{F671E745-5C1E-4E4B-AA17-F427DDC94022}"/>
  </bookViews>
  <sheets>
    <sheet name="Start Here" sheetId="2" r:id="rId1"/>
    <sheet name="Data" sheetId="1" r:id="rId2"/>
    <sheet name="TEMPLATE" sheetId="18" state="hidden" r:id="rId3"/>
  </sheets>
  <definedNames>
    <definedName name="_xleta.MA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" i="1"/>
  <c r="L3" i="18"/>
  <c r="L2" i="1"/>
  <c r="L2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I36" i="18"/>
  <c r="H36" i="18"/>
  <c r="G36" i="18"/>
  <c r="E36" i="18"/>
  <c r="I35" i="18"/>
  <c r="H35" i="18"/>
  <c r="G35" i="18"/>
  <c r="E35" i="18"/>
  <c r="I34" i="18"/>
  <c r="H34" i="18"/>
  <c r="G34" i="18"/>
  <c r="E34" i="18"/>
  <c r="I33" i="18"/>
  <c r="H33" i="18"/>
  <c r="G33" i="18"/>
  <c r="E33" i="18"/>
  <c r="I32" i="18"/>
  <c r="H32" i="18"/>
  <c r="G32" i="18"/>
  <c r="E32" i="18"/>
  <c r="I31" i="18"/>
  <c r="H31" i="18"/>
  <c r="G31" i="18"/>
  <c r="E31" i="18"/>
  <c r="I30" i="18"/>
  <c r="H30" i="18"/>
  <c r="G30" i="18"/>
  <c r="E30" i="18"/>
  <c r="I29" i="18"/>
  <c r="H29" i="18"/>
  <c r="G29" i="18"/>
  <c r="F29" i="18"/>
  <c r="E29" i="18"/>
  <c r="I28" i="18"/>
  <c r="H28" i="18"/>
  <c r="G28" i="18"/>
  <c r="F28" i="18"/>
  <c r="E28" i="18"/>
  <c r="I27" i="18"/>
  <c r="H27" i="18"/>
  <c r="G27" i="18"/>
  <c r="F27" i="18"/>
  <c r="E27" i="18"/>
  <c r="I26" i="18"/>
  <c r="H26" i="18"/>
  <c r="G26" i="18"/>
  <c r="F26" i="18"/>
  <c r="E26" i="18"/>
  <c r="I25" i="18"/>
  <c r="H25" i="18"/>
  <c r="G25" i="18"/>
  <c r="F25" i="18"/>
  <c r="E25" i="18"/>
  <c r="I24" i="18"/>
  <c r="H24" i="18"/>
  <c r="G24" i="18"/>
  <c r="F24" i="18"/>
  <c r="E24" i="18"/>
  <c r="I23" i="18"/>
  <c r="H23" i="18"/>
  <c r="G23" i="18"/>
  <c r="F23" i="18"/>
  <c r="E23" i="18"/>
  <c r="I22" i="18"/>
  <c r="H22" i="18"/>
  <c r="G22" i="18"/>
  <c r="F22" i="18"/>
  <c r="E22" i="18"/>
  <c r="I21" i="18"/>
  <c r="H21" i="18"/>
  <c r="G21" i="18"/>
  <c r="F21" i="18"/>
  <c r="E21" i="18"/>
  <c r="I20" i="18"/>
  <c r="H20" i="18"/>
  <c r="G20" i="18"/>
  <c r="F20" i="18"/>
  <c r="E20" i="18"/>
  <c r="I19" i="18"/>
  <c r="H19" i="18"/>
  <c r="G19" i="18"/>
  <c r="F19" i="18"/>
  <c r="E19" i="18"/>
  <c r="I18" i="18"/>
  <c r="H18" i="18"/>
  <c r="G18" i="18"/>
  <c r="F18" i="18"/>
  <c r="E18" i="18"/>
  <c r="I17" i="18"/>
  <c r="H17" i="18"/>
  <c r="G17" i="18"/>
  <c r="F17" i="18"/>
  <c r="E17" i="18"/>
  <c r="I16" i="18"/>
  <c r="H16" i="18"/>
  <c r="G16" i="18"/>
  <c r="F16" i="18"/>
  <c r="E16" i="18"/>
  <c r="I15" i="18"/>
  <c r="H15" i="18"/>
  <c r="G15" i="18"/>
  <c r="F15" i="18"/>
  <c r="E15" i="18"/>
  <c r="I14" i="18"/>
  <c r="H14" i="18"/>
  <c r="G14" i="18"/>
  <c r="F14" i="18"/>
  <c r="E14" i="18"/>
  <c r="I13" i="18"/>
  <c r="H13" i="18"/>
  <c r="G13" i="18"/>
  <c r="F13" i="18"/>
  <c r="E13" i="18"/>
  <c r="I12" i="18"/>
  <c r="H12" i="18"/>
  <c r="G12" i="18"/>
  <c r="F12" i="18"/>
  <c r="E12" i="18"/>
  <c r="I11" i="18"/>
  <c r="H11" i="18"/>
  <c r="G11" i="18"/>
  <c r="F11" i="18"/>
  <c r="E11" i="18"/>
  <c r="I10" i="18"/>
  <c r="H10" i="18"/>
  <c r="G10" i="18"/>
  <c r="F10" i="18"/>
  <c r="E10" i="18"/>
  <c r="I9" i="18"/>
  <c r="H9" i="18"/>
  <c r="G9" i="18"/>
  <c r="F9" i="18"/>
  <c r="E9" i="18"/>
  <c r="I8" i="18"/>
  <c r="H8" i="18"/>
  <c r="G8" i="18"/>
  <c r="F8" i="18"/>
  <c r="E8" i="18"/>
  <c r="I7" i="18"/>
  <c r="H7" i="18"/>
  <c r="G7" i="18"/>
  <c r="F7" i="18"/>
  <c r="E7" i="18"/>
  <c r="I6" i="18"/>
  <c r="H6" i="18"/>
  <c r="G6" i="18"/>
  <c r="F6" i="18"/>
  <c r="E6" i="18"/>
  <c r="I5" i="18"/>
  <c r="H5" i="18"/>
  <c r="G5" i="18"/>
  <c r="F5" i="18"/>
  <c r="E5" i="18"/>
  <c r="I4" i="18"/>
  <c r="H4" i="18"/>
  <c r="G4" i="18"/>
  <c r="F4" i="18"/>
  <c r="E4" i="18"/>
  <c r="I3" i="18"/>
  <c r="H3" i="18"/>
  <c r="G3" i="18"/>
  <c r="F3" i="18"/>
  <c r="E3" i="18"/>
  <c r="I2" i="18"/>
  <c r="H2" i="18"/>
  <c r="G2" i="18"/>
  <c r="F2" i="18"/>
  <c r="E2" i="18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A19" i="2"/>
  <c r="A20" i="2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11" i="1"/>
  <c r="F12" i="1"/>
  <c r="E2" i="1"/>
  <c r="F4" i="1"/>
  <c r="I2" i="1"/>
  <c r="I3" i="1"/>
  <c r="I4" i="1"/>
  <c r="I5" i="1"/>
  <c r="I6" i="1"/>
  <c r="I7" i="1"/>
  <c r="I8" i="1"/>
  <c r="I9" i="1"/>
  <c r="I10" i="1"/>
  <c r="H2" i="1"/>
  <c r="H3" i="1"/>
  <c r="H4" i="1"/>
  <c r="H5" i="1"/>
  <c r="H6" i="1"/>
  <c r="H7" i="1"/>
  <c r="H8" i="1"/>
  <c r="H9" i="1"/>
  <c r="H10" i="1"/>
  <c r="F2" i="1"/>
  <c r="F3" i="1"/>
  <c r="F5" i="1"/>
  <c r="F6" i="1"/>
  <c r="F7" i="1"/>
  <c r="F8" i="1"/>
  <c r="F9" i="1"/>
  <c r="F10" i="1"/>
  <c r="E3" i="1"/>
  <c r="E4" i="1"/>
  <c r="E5" i="1"/>
  <c r="E6" i="1"/>
  <c r="E7" i="1"/>
  <c r="E8" i="1"/>
  <c r="E9" i="1"/>
  <c r="E10" i="1"/>
  <c r="G30" i="1"/>
  <c r="G31" i="1"/>
  <c r="G32" i="1"/>
  <c r="G33" i="1"/>
  <c r="G34" i="1"/>
  <c r="G35" i="1"/>
  <c r="G36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E30" i="1"/>
  <c r="E31" i="1"/>
  <c r="E32" i="1"/>
  <c r="E33" i="1"/>
  <c r="E34" i="1"/>
  <c r="E35" i="1"/>
  <c r="E36" i="1"/>
</calcChain>
</file>

<file path=xl/sharedStrings.xml><?xml version="1.0" encoding="utf-8"?>
<sst xmlns="http://schemas.openxmlformats.org/spreadsheetml/2006/main" count="102" uniqueCount="69">
  <si>
    <t>Name</t>
  </si>
  <si>
    <t>Latitude</t>
  </si>
  <si>
    <t>Longitude</t>
  </si>
  <si>
    <t>Google Maps</t>
  </si>
  <si>
    <t>Download Firmette</t>
  </si>
  <si>
    <t>Anderson Road Site 01 Start</t>
  </si>
  <si>
    <t>Anderson Road Site 01 End</t>
  </si>
  <si>
    <t>Arnold Road Site 02 Start</t>
  </si>
  <si>
    <t>Arnold Road Site 02 End</t>
  </si>
  <si>
    <t>Backside Beaverdam Road Site 03 Start</t>
  </si>
  <si>
    <t>Backside Beaverdam Road Site 03 End</t>
  </si>
  <si>
    <t>Baker Hollow Road Site 04 Start</t>
  </si>
  <si>
    <t>Baker Hollow Road Site 04 End</t>
  </si>
  <si>
    <t>Barren Fork Bridge Road Site 05 Start</t>
  </si>
  <si>
    <t>Flood Map Search</t>
  </si>
  <si>
    <t>Bing Maps</t>
  </si>
  <si>
    <t>Firmette Status</t>
  </si>
  <si>
    <t>GPS Coordinates Tool</t>
  </si>
  <si>
    <t>Purpose</t>
  </si>
  <si>
    <t>Quick Start</t>
  </si>
  <si>
    <t>Version</t>
  </si>
  <si>
    <t>FEMA Map Viewer</t>
  </si>
  <si>
    <t>FEMA Public Assistance Mapping Workflow</t>
  </si>
  <si>
    <t>1) Enter Name, Latitude, Longitude, and optional Description on the Data sheet.</t>
  </si>
  <si>
    <t>2) Use map links to verify location quality before submitting.</t>
  </si>
  <si>
    <t>4) Use Open in Google Earth Pro to export KML.</t>
  </si>
  <si>
    <t>Data Rules</t>
  </si>
  <si>
    <t>Latitude: -90 to 90</t>
  </si>
  <si>
    <t>Longitude: -180 to 180</t>
  </si>
  <si>
    <t>Use decimal degrees (example: 35.677710, -87.552090).</t>
  </si>
  <si>
    <t>Output columns: K=Functional Classification(s), L=Urban/Rural(s), M=Road Name(s), N=TDOT Status.</t>
  </si>
  <si>
    <t>Match logic: exact point intersection first; if none, fallback query within 150 feet.</t>
  </si>
  <si>
    <t>Multiple matches: up to 5 segments, concatenated with " | " in aligned order across K/L/M.</t>
  </si>
  <si>
    <t>Highlighting: cells K:M turn red if any matched class is not Rural Local, Urban Local, or Rural Minor Collector.</t>
  </si>
  <si>
    <t>Functional Classification</t>
  </si>
  <si>
    <t>Urban/Rural</t>
  </si>
  <si>
    <t>Road Name</t>
  </si>
  <si>
    <t>TDOT Status</t>
  </si>
  <si>
    <t>TDOT Status2</t>
  </si>
  <si>
    <t>View in TDOT Dashboard</t>
  </si>
  <si>
    <t>Actions</t>
  </si>
  <si>
    <t>TDOT Functional Classification Lookup</t>
  </si>
  <si>
    <t>All Tennessee DOT information captured from TDOT's published Road Segment Layer:</t>
  </si>
  <si>
    <t>Track verify map locations, export KML, batch download FIRMettes, and check federal-aid road status in Tennessee</t>
  </si>
  <si>
    <t>Description</t>
  </si>
  <si>
    <t>3) Use Download All Firmettes for batch PDF generation</t>
  </si>
  <si>
    <t xml:space="preserve">    -  This might take a minute, but the Status fields will update once complete.</t>
  </si>
  <si>
    <t>5) Check for federal-aid road status</t>
  </si>
  <si>
    <t>Rural Local | Rural Local</t>
  </si>
  <si>
    <t>Rural | Rural</t>
  </si>
  <si>
    <t>LICK CREEK RD. | ANDERSON RD.</t>
  </si>
  <si>
    <t>Matched (Nearest&lt;=150ft, n=2)</t>
  </si>
  <si>
    <t>Rural Local</t>
  </si>
  <si>
    <t>Rural</t>
  </si>
  <si>
    <t>ANDERSON RD.</t>
  </si>
  <si>
    <t>Matched (Nearest&lt;=150ft, n=1)</t>
  </si>
  <si>
    <t>Rural Local | Rural Local | Rural Minor Arterial</t>
  </si>
  <si>
    <t>Rural | Rural | Rural</t>
  </si>
  <si>
    <t>ARNOLD RD. | WADES BRANCH RD. | SR-100</t>
  </si>
  <si>
    <t>Matched (Nearest&lt;=150ft, n=3)</t>
  </si>
  <si>
    <t>ARNOLD RD. | RICHARD DORNING RD.</t>
  </si>
  <si>
    <t>BACKSIDE BEAVERDAM RD.</t>
  </si>
  <si>
    <t>Rural Local | Rural Minor Collector</t>
  </si>
  <si>
    <t>BACKSIDE BEAVERDAM RD. | SULPHUR CREEK RD.</t>
  </si>
  <si>
    <t>Rural Local | Rural Local | Rural Minor Collector</t>
  </si>
  <si>
    <t>BAKER HOLLOW RD. | BAKER HOLLOW RD. | PINEWOOD RD.</t>
  </si>
  <si>
    <t>BAKER HOLLOW RD.</t>
  </si>
  <si>
    <t>BARREN FORK BRIDGE RD.</t>
  </si>
  <si>
    <t>This is a beta version.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</si>
</sst>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rgb="FF1B1B1B"/>
      <name val="Segoe UI"/>
      <family val="2"/>
    </font>
    <font>
      <sz val="10"/>
      <color rgb="FF1B1B1B"/>
      <name val="Segoe UI"/>
      <family val="2"/>
    </font>
    <font>
      <u/>
      <sz val="10"/>
      <color rgb="FF1B1B1B"/>
      <name val="Segoe UI"/>
      <family val="2"/>
    </font>
    <font>
      <sz val="10"/>
      <color rgb="FFFFFFFF"/>
      <name val="Segoe UI"/>
      <family val="2"/>
    </font>
    <font>
      <sz val="10"/>
      <color rgb="FFFFFFFF"/>
      <name val="Segoe UI Semibold"/>
      <family val="2"/>
    </font>
    <font>
      <sz val="22"/>
      <color rgb="FFFFFFFF"/>
      <name val="Segoe UI Semibold"/>
      <family val="2"/>
    </font>
    <font>
      <sz val="12"/>
      <color rgb="FFFFFFFF"/>
      <name val="Segoe UI"/>
      <family val="2"/>
    </font>
    <font>
      <sz val="10.5"/>
      <color rgb="FF1B1B1B"/>
      <name val="Segoe UI"/>
      <family val="2"/>
    </font>
    <font>
      <sz val="10.5"/>
      <color rgb="FFFFFFFF"/>
      <name val="Segoe UI Semibold"/>
      <family val="2"/>
    </font>
    <font>
      <sz val="11"/>
      <color rgb="FF005EA2"/>
      <name val="Segoe UI"/>
      <family val="2"/>
    </font>
    <font>
      <b/>
      <sz val="10"/>
      <color rgb="FFFFFFFF"/>
      <name val="Segoe UI Semibold"/>
      <family val="2"/>
    </font>
    <font>
      <u/>
      <sz val="10"/>
      <color rgb="FF0070C0"/>
      <name val="Segoe UI"/>
      <family val="2"/>
    </font>
    <font>
      <sz val="11"/>
      <color rgb="FF005EA2"/>
      <name val="Aptos Narrow"/>
      <family val="2"/>
      <scheme val="minor"/>
    </font>
    <font>
      <u/>
      <sz val="10"/>
      <name val="Segoe UI"/>
      <family val="2"/>
    </font>
    <font>
      <sz val="10"/>
      <name val="Segoe UI"/>
      <family val="2"/>
    </font>
    <font>
      <b/>
      <sz val="11"/>
      <color rgb="FF003057"/>
      <name val="Segoe UI Semibold"/>
      <family val="2"/>
    </font>
  </fonts>
  <fills count="8">
    <fill>
      <patternFill patternType="none"/>
    </fill>
    <fill>
      <patternFill patternType="gray125"/>
    </fill>
    <fill>
      <patternFill patternType="solid">
        <fgColor rgb="FFF4F7FA"/>
        <bgColor indexed="64"/>
      </patternFill>
    </fill>
    <fill>
      <patternFill patternType="solid">
        <fgColor rgb="FF003057"/>
        <bgColor indexed="64"/>
      </patternFill>
    </fill>
    <fill>
      <patternFill patternType="solid">
        <fgColor rgb="FF005EA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ACBCCC"/>
      </left>
      <right style="thin">
        <color rgb="FFACBCCC"/>
      </right>
      <top style="thin">
        <color rgb="FFACBCCC"/>
      </top>
      <bottom style="thin">
        <color rgb="FFACBCCC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2" fillId="2" borderId="0" xfId="0" applyFont="1" applyFill="1" applyAlignment="1">
      <alignment vertical="top"/>
    </xf>
    <xf numFmtId="0" fontId="3" fillId="2" borderId="0" xfId="0" applyFont="1" applyFill="1"/>
    <xf numFmtId="0" fontId="3" fillId="2" borderId="0" xfId="0" applyFont="1" applyFill="1" applyAlignment="1">
      <alignment vertical="top"/>
    </xf>
    <xf numFmtId="0" fontId="5" fillId="3" borderId="0" xfId="0" applyFont="1" applyFill="1"/>
    <xf numFmtId="0" fontId="7" fillId="3" borderId="0" xfId="0" applyFont="1" applyFill="1" applyAlignment="1">
      <alignment vertical="top"/>
    </xf>
    <xf numFmtId="0" fontId="8" fillId="3" borderId="0" xfId="0" applyFont="1" applyFill="1" applyAlignment="1">
      <alignment vertical="top"/>
    </xf>
    <xf numFmtId="0" fontId="9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/>
    </xf>
    <xf numFmtId="0" fontId="10" fillId="3" borderId="1" xfId="0" applyFont="1" applyFill="1" applyBorder="1" applyAlignment="1">
      <alignment horizontal="center" vertical="center"/>
    </xf>
    <xf numFmtId="0" fontId="4" fillId="5" borderId="0" xfId="1" applyFont="1" applyFill="1"/>
    <xf numFmtId="0" fontId="3" fillId="5" borderId="0" xfId="0" applyFont="1" applyFill="1"/>
    <xf numFmtId="164" fontId="3" fillId="5" borderId="0" xfId="0" applyNumberFormat="1" applyFont="1" applyFill="1"/>
    <xf numFmtId="0" fontId="3" fillId="5" borderId="0" xfId="0" applyFont="1" applyFill="1" applyAlignment="1">
      <alignment wrapText="1"/>
    </xf>
    <xf numFmtId="0" fontId="3" fillId="0" borderId="0" xfId="1" applyFont="1" applyFill="1"/>
    <xf numFmtId="0" fontId="4" fillId="0" borderId="0" xfId="1" applyFont="1" applyFill="1"/>
    <xf numFmtId="0" fontId="13" fillId="0" borderId="0" xfId="1" applyFont="1" applyFill="1"/>
    <xf numFmtId="0" fontId="6" fillId="4" borderId="2" xfId="0" applyFont="1" applyFill="1" applyBorder="1" applyAlignment="1">
      <alignment vertical="top"/>
    </xf>
    <xf numFmtId="0" fontId="3" fillId="2" borderId="2" xfId="0" applyFont="1" applyFill="1" applyBorder="1" applyAlignment="1">
      <alignment vertical="top" wrapText="1"/>
    </xf>
    <xf numFmtId="0" fontId="14" fillId="0" borderId="0" xfId="1" applyFont="1" applyAlignment="1"/>
    <xf numFmtId="0" fontId="14" fillId="2" borderId="2" xfId="1" applyFont="1" applyFill="1" applyBorder="1" applyAlignment="1"/>
    <xf numFmtId="0" fontId="13" fillId="0" borderId="0" xfId="1" applyFont="1" applyFill="1" applyAlignment="1">
      <alignment horizontal="center" vertical="center"/>
    </xf>
    <xf numFmtId="0" fontId="4" fillId="0" borderId="0" xfId="1" applyFont="1" applyFill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3" fillId="0" borderId="0" xfId="1" applyFont="1" applyFill="1" applyAlignment="1">
      <alignment horizontal="center"/>
    </xf>
    <xf numFmtId="0" fontId="4" fillId="0" borderId="0" xfId="1" applyFont="1" applyFill="1" applyAlignment="1">
      <alignment horizontal="center"/>
    </xf>
    <xf numFmtId="0" fontId="4" fillId="5" borderId="0" xfId="1" applyFont="1" applyFill="1" applyAlignment="1">
      <alignment horizontal="center"/>
    </xf>
    <xf numFmtId="0" fontId="3" fillId="5" borderId="0" xfId="0" applyFont="1" applyFill="1" applyAlignment="1">
      <alignment horizontal="center"/>
    </xf>
    <xf numFmtId="164" fontId="3" fillId="0" borderId="0" xfId="0" applyNumberFormat="1" applyFont="1"/>
    <xf numFmtId="0" fontId="3" fillId="0" borderId="0" xfId="0" applyFont="1" applyAlignment="1">
      <alignment wrapText="1"/>
    </xf>
    <xf numFmtId="0" fontId="10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 wrapText="1"/>
    </xf>
    <xf numFmtId="0" fontId="15" fillId="0" borderId="0" xfId="1" applyFont="1" applyFill="1"/>
    <xf numFmtId="0" fontId="16" fillId="0" borderId="0" xfId="1" applyFont="1" applyFill="1"/>
    <xf numFmtId="0" fontId="17" fillId="2" borderId="0" xfId="0" applyFont="1" applyFill="1"/>
    <xf numFmtId="22" fontId="3" fillId="2" borderId="2" xfId="0" applyNumberFormat="1" applyFont="1" applyFill="1" applyBorder="1" applyAlignment="1">
      <alignment horizontal="left"/>
    </xf>
    <xf numFmtId="0" fontId="15" fillId="7" borderId="0" xfId="1" applyFont="1" applyFill="1"/>
    <xf numFmtId="0" fontId="16" fillId="7" borderId="0" xfId="1" applyFont="1" applyFill="1"/>
    <xf numFmtId="0" fontId="3" fillId="0" borderId="0" xfId="0" applyFont="1" applyFill="1"/>
    <xf numFmtId="164" fontId="3" fillId="0" borderId="0" xfId="0" applyNumberFormat="1" applyFont="1" applyFill="1"/>
  </cellXfs>
  <cellStyles count="2">
    <cellStyle name="Hyperlink" xfId="1" builtinId="8" customBuiltin="1"/>
    <cellStyle name="Normal" xfId="0" builtinId="0"/>
  </cellStyles>
  <dxfs count="40">
    <dxf>
      <font>
        <b val="0"/>
        <i val="0"/>
        <strike val="0"/>
        <outline val="0"/>
        <shadow val="0"/>
        <vertAlign val="baseline"/>
        <sz val="10"/>
        <color auto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sz val="10"/>
        <color auto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sz val="10"/>
        <color auto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sz val="10"/>
        <color auto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rgb="FF1B1B1B"/>
        <name val="Segoe U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u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numFmt numFmtId="164" formatCode="0.000000"/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numFmt numFmtId="164" formatCode="0.000000"/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color rgb="FFFFFFFF"/>
        <name val="Segoe UI Semibold"/>
        <family val="2"/>
        <scheme val="none"/>
      </font>
      <fill>
        <patternFill>
          <fgColor indexed="64"/>
          <bgColor rgb="FF003057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auto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sz val="10"/>
        <color auto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sz val="10"/>
        <color auto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sz val="10"/>
        <color auto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rgb="FF1B1B1B"/>
        <name val="Segoe U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u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numFmt numFmtId="164" formatCode="0.000000"/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numFmt numFmtId="164" formatCode="0.000000"/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vertAlign val="baseline"/>
        <sz val="10"/>
        <color rgb="FF1B1B1B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color rgb="FFFFFFFF"/>
        <name val="Segoe UI Semibold"/>
        <family val="2"/>
        <scheme val="none"/>
      </font>
      <fill>
        <patternFill>
          <fgColor indexed="64"/>
          <bgColor rgb="FF003057"/>
        </patternFill>
      </fill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392112</xdr:colOff>
      <xdr:row>3</xdr:row>
      <xdr:rowOff>11113</xdr:rowOff>
    </xdr:from>
    <xdr:to>
      <xdr:col>4</xdr:col>
      <xdr:colOff>49212</xdr:colOff>
      <xdr:row>4</xdr:row>
      <xdr:rowOff>165100</xdr:rowOff>
    </xdr:to>
    <xdr:sp macro="[0]!CreateCleanDataSheet" textlink="">
      <xdr:nvSpPr>
        <xdr:cNvPr id="2" name="ActionCreateCleanDataSheet">
          <a:extLst>
            <a:ext uri="{FF2B5EF4-FFF2-40B4-BE49-F238E27FC236}">
              <a16:creationId xmlns:a16="http://schemas.microsoft.com/office/drawing/2014/main" id="{B6302734-EF3E-9C87-7902-88E437232E03}"/>
            </a:ext>
          </a:extLst>
        </xdr:cNvPr>
        <xdr:cNvSpPr/>
      </xdr:nvSpPr>
      <xdr:spPr>
        <a:xfrm>
          <a:off x="7491412" y="1001713"/>
          <a:ext cx="3238500" cy="433387"/>
        </a:xfrm>
        <a:prstGeom prst="rect">
          <a:avLst/>
        </a:prstGeom>
        <a:solidFill>
          <a:srgbClr val="003057"/>
        </a:solidFill>
        <a:ln w="22225">
          <a:solidFill>
            <a:srgbClr val="005EA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rgbClr val="FFFFFF"/>
              </a:solidFill>
              <a:latin typeface="Segoe UI Semibold" panose="020B0702040204020203" pitchFamily="34" charset="0"/>
            </a:rPr>
            <a:t>Create Clean Data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0</xdr:row>
          <xdr:rowOff>104775</xdr:rowOff>
        </xdr:from>
        <xdr:to>
          <xdr:col>18</xdr:col>
          <xdr:colOff>266700</xdr:colOff>
          <xdr:row>1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9050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FFFF"/>
                  </a:solidFill>
                  <a:latin typeface="Segoe UI Semibold"/>
                  <a:cs typeface="Segoe UI Semibold"/>
                </a:rPr>
                <a:t>Open in Google Earth Pro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</xdr:row>
          <xdr:rowOff>352425</xdr:rowOff>
        </xdr:from>
        <xdr:to>
          <xdr:col>18</xdr:col>
          <xdr:colOff>266700</xdr:colOff>
          <xdr:row>2</xdr:row>
          <xdr:rowOff>238125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9050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FFFF"/>
                  </a:solidFill>
                  <a:latin typeface="Segoe UI Semibold"/>
                  <a:cs typeface="Segoe UI Semibold"/>
                </a:rPr>
                <a:t>Download All Firmettes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370600</xdr:colOff>
      <xdr:row>4</xdr:row>
      <xdr:rowOff>48172</xdr:rowOff>
    </xdr:from>
    <xdr:to>
      <xdr:col>10</xdr:col>
      <xdr:colOff>2872828</xdr:colOff>
      <xdr:row>6</xdr:row>
      <xdr:rowOff>70958</xdr:rowOff>
    </xdr:to>
    <xdr:sp macro="[0]!ExportPointsToKML" textlink="">
      <xdr:nvSpPr>
        <xdr:cNvPr id="2" name="ActionExportKML">
          <a:extLst>
            <a:ext uri="{FF2B5EF4-FFF2-40B4-BE49-F238E27FC236}">
              <a16:creationId xmlns:a16="http://schemas.microsoft.com/office/drawing/2014/main" id="{08619895-1790-1E84-28D0-29E9B201D142}"/>
            </a:ext>
          </a:extLst>
        </xdr:cNvPr>
        <xdr:cNvSpPr/>
      </xdr:nvSpPr>
      <xdr:spPr>
        <a:xfrm>
          <a:off x="15120117" y="945931"/>
          <a:ext cx="2502228" cy="416924"/>
        </a:xfrm>
        <a:prstGeom prst="roundRect">
          <a:avLst/>
        </a:prstGeom>
        <a:solidFill>
          <a:srgbClr val="005EA2"/>
        </a:solidFill>
        <a:ln w="22225">
          <a:solidFill>
            <a:srgbClr val="003057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Segoe UI Semibold" panose="020B0702040204020203" pitchFamily="34" charset="0"/>
            </a:rPr>
            <a:t>Export KML (Google Earth Pro)</a:t>
          </a:r>
        </a:p>
      </xdr:txBody>
    </xdr:sp>
    <xdr:clientData/>
  </xdr:twoCellAnchor>
  <xdr:twoCellAnchor>
    <xdr:from>
      <xdr:col>10</xdr:col>
      <xdr:colOff>372625</xdr:colOff>
      <xdr:row>1</xdr:row>
      <xdr:rowOff>144916</xdr:rowOff>
    </xdr:from>
    <xdr:to>
      <xdr:col>10</xdr:col>
      <xdr:colOff>2851767</xdr:colOff>
      <xdr:row>3</xdr:row>
      <xdr:rowOff>136548</xdr:rowOff>
    </xdr:to>
    <xdr:sp macro="[0]!DownloadFirmettes" textlink="">
      <xdr:nvSpPr>
        <xdr:cNvPr id="3" name="ActionDownloadFirmettes">
          <a:extLst>
            <a:ext uri="{FF2B5EF4-FFF2-40B4-BE49-F238E27FC236}">
              <a16:creationId xmlns:a16="http://schemas.microsoft.com/office/drawing/2014/main" id="{D9DC50A0-B479-7053-EF7A-B0E87F7042A1}"/>
            </a:ext>
          </a:extLst>
        </xdr:cNvPr>
        <xdr:cNvSpPr/>
      </xdr:nvSpPr>
      <xdr:spPr>
        <a:xfrm>
          <a:off x="15122142" y="451468"/>
          <a:ext cx="2479142" cy="385770"/>
        </a:xfrm>
        <a:prstGeom prst="roundRect">
          <a:avLst/>
        </a:prstGeom>
        <a:solidFill>
          <a:srgbClr val="003057"/>
        </a:solidFill>
        <a:ln w="22225">
          <a:solidFill>
            <a:srgbClr val="005EA2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Segoe UI Semibold" panose="020B0702040204020203" pitchFamily="34" charset="0"/>
            </a:rPr>
            <a:t>Download All FIRMettes</a:t>
          </a:r>
        </a:p>
      </xdr:txBody>
    </xdr:sp>
    <xdr:clientData/>
  </xdr:twoCellAnchor>
  <xdr:twoCellAnchor>
    <xdr:from>
      <xdr:col>10</xdr:col>
      <xdr:colOff>369845</xdr:colOff>
      <xdr:row>6</xdr:row>
      <xdr:rowOff>189124</xdr:rowOff>
    </xdr:from>
    <xdr:to>
      <xdr:col>10</xdr:col>
      <xdr:colOff>2859691</xdr:colOff>
      <xdr:row>9</xdr:row>
      <xdr:rowOff>43793</xdr:rowOff>
    </xdr:to>
    <xdr:sp macro="[0]!LookupFunctionalClassificationTDOT" textlink="">
      <xdr:nvSpPr>
        <xdr:cNvPr id="5" name="ActionDownloadFirmettes">
          <a:extLst>
            <a:ext uri="{FF2B5EF4-FFF2-40B4-BE49-F238E27FC236}">
              <a16:creationId xmlns:a16="http://schemas.microsoft.com/office/drawing/2014/main" id="{AEC4AC36-116F-4B68-A9BA-F2B1E805DA78}"/>
            </a:ext>
          </a:extLst>
        </xdr:cNvPr>
        <xdr:cNvSpPr/>
      </xdr:nvSpPr>
      <xdr:spPr>
        <a:xfrm>
          <a:off x="15119362" y="1481021"/>
          <a:ext cx="2489846" cy="445875"/>
        </a:xfrm>
        <a:prstGeom prst="roundRect">
          <a:avLst/>
        </a:prstGeom>
        <a:solidFill>
          <a:schemeClr val="accent1"/>
        </a:solidFill>
        <a:ln w="22225">
          <a:solidFill>
            <a:srgbClr val="005EA2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Segoe UI Semibold" panose="020B0702040204020203" pitchFamily="34" charset="0"/>
            </a:rPr>
            <a:t>Check TDOT</a:t>
          </a:r>
          <a:r>
            <a:rPr lang="en-US" sz="1000" baseline="0">
              <a:solidFill>
                <a:srgbClr val="FFFFFF"/>
              </a:solidFill>
              <a:latin typeface="Segoe UI Semibold" panose="020B0702040204020203" pitchFamily="34" charset="0"/>
            </a:rPr>
            <a:t> Federal-aid Status</a:t>
          </a:r>
          <a:endParaRPr lang="en-US" sz="1000">
            <a:solidFill>
              <a:srgbClr val="FFFFFF"/>
            </a:solidFill>
            <a:latin typeface="Segoe UI Semibold" panose="020B07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0</xdr:row>
          <xdr:rowOff>104775</xdr:rowOff>
        </xdr:from>
        <xdr:to>
          <xdr:col>18</xdr:col>
          <xdr:colOff>266700</xdr:colOff>
          <xdr:row>1</xdr:row>
          <xdr:rowOff>228600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9050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FFFF"/>
                  </a:solidFill>
                  <a:latin typeface="Segoe UI Semibold"/>
                  <a:cs typeface="Segoe UI Semibold"/>
                </a:rPr>
                <a:t>Open in Google Earth Pro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</xdr:row>
          <xdr:rowOff>352425</xdr:rowOff>
        </xdr:from>
        <xdr:to>
          <xdr:col>18</xdr:col>
          <xdr:colOff>266700</xdr:colOff>
          <xdr:row>2</xdr:row>
          <xdr:rowOff>238125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3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9050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FFFF"/>
                  </a:solidFill>
                  <a:latin typeface="Segoe UI Semibold"/>
                  <a:cs typeface="Segoe UI Semibold"/>
                </a:rPr>
                <a:t>Download All Firmettes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370600</xdr:colOff>
      <xdr:row>4</xdr:row>
      <xdr:rowOff>48172</xdr:rowOff>
    </xdr:from>
    <xdr:to>
      <xdr:col>10</xdr:col>
      <xdr:colOff>2872828</xdr:colOff>
      <xdr:row>6</xdr:row>
      <xdr:rowOff>70958</xdr:rowOff>
    </xdr:to>
    <xdr:sp macro="[0]!ExportPointsToKML" textlink="">
      <xdr:nvSpPr>
        <xdr:cNvPr id="2" name="ActionExportKML">
          <a:extLst>
            <a:ext uri="{FF2B5EF4-FFF2-40B4-BE49-F238E27FC236}">
              <a16:creationId xmlns:a16="http://schemas.microsoft.com/office/drawing/2014/main" id="{B3470CD3-B1DC-4EA1-9151-5D129592CBE0}"/>
            </a:ext>
          </a:extLst>
        </xdr:cNvPr>
        <xdr:cNvSpPr/>
      </xdr:nvSpPr>
      <xdr:spPr>
        <a:xfrm>
          <a:off x="16801225" y="946697"/>
          <a:ext cx="2497465" cy="411723"/>
        </a:xfrm>
        <a:prstGeom prst="roundRect">
          <a:avLst/>
        </a:prstGeom>
        <a:solidFill>
          <a:srgbClr val="005EA2"/>
        </a:solidFill>
        <a:ln w="22225">
          <a:solidFill>
            <a:srgbClr val="003057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Segoe UI Semibold" panose="020B0702040204020203" pitchFamily="34" charset="0"/>
            </a:rPr>
            <a:t>Export KML (Google Earth Pro)</a:t>
          </a:r>
        </a:p>
      </xdr:txBody>
    </xdr:sp>
    <xdr:clientData/>
  </xdr:twoCellAnchor>
  <xdr:twoCellAnchor>
    <xdr:from>
      <xdr:col>10</xdr:col>
      <xdr:colOff>372625</xdr:colOff>
      <xdr:row>1</xdr:row>
      <xdr:rowOff>144916</xdr:rowOff>
    </xdr:from>
    <xdr:to>
      <xdr:col>10</xdr:col>
      <xdr:colOff>2851767</xdr:colOff>
      <xdr:row>3</xdr:row>
      <xdr:rowOff>136548</xdr:rowOff>
    </xdr:to>
    <xdr:sp macro="[0]!DownloadFirmettes" textlink="">
      <xdr:nvSpPr>
        <xdr:cNvPr id="3" name="ActionDownloadFirmettes">
          <a:extLst>
            <a:ext uri="{FF2B5EF4-FFF2-40B4-BE49-F238E27FC236}">
              <a16:creationId xmlns:a16="http://schemas.microsoft.com/office/drawing/2014/main" id="{6FBD592A-1B25-47B4-A381-8E07205375FF}"/>
            </a:ext>
          </a:extLst>
        </xdr:cNvPr>
        <xdr:cNvSpPr/>
      </xdr:nvSpPr>
      <xdr:spPr>
        <a:xfrm>
          <a:off x="16803250" y="452891"/>
          <a:ext cx="2474379" cy="383744"/>
        </a:xfrm>
        <a:prstGeom prst="roundRect">
          <a:avLst/>
        </a:prstGeom>
        <a:solidFill>
          <a:srgbClr val="003057"/>
        </a:solidFill>
        <a:ln w="22225">
          <a:solidFill>
            <a:srgbClr val="005EA2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Segoe UI Semibold" panose="020B0702040204020203" pitchFamily="34" charset="0"/>
            </a:rPr>
            <a:t>Download All FIRMettes</a:t>
          </a:r>
        </a:p>
      </xdr:txBody>
    </xdr:sp>
    <xdr:clientData/>
  </xdr:twoCellAnchor>
  <xdr:twoCellAnchor>
    <xdr:from>
      <xdr:col>10</xdr:col>
      <xdr:colOff>369845</xdr:colOff>
      <xdr:row>6</xdr:row>
      <xdr:rowOff>189124</xdr:rowOff>
    </xdr:from>
    <xdr:to>
      <xdr:col>10</xdr:col>
      <xdr:colOff>2859691</xdr:colOff>
      <xdr:row>9</xdr:row>
      <xdr:rowOff>43793</xdr:rowOff>
    </xdr:to>
    <xdr:sp macro="[0]!LookupFunctionalClassificationTDOT" textlink="">
      <xdr:nvSpPr>
        <xdr:cNvPr id="4" name="ActionDownloadFirmettes">
          <a:extLst>
            <a:ext uri="{FF2B5EF4-FFF2-40B4-BE49-F238E27FC236}">
              <a16:creationId xmlns:a16="http://schemas.microsoft.com/office/drawing/2014/main" id="{EA2025A2-D8F6-4CCD-BBD1-F76407515B82}"/>
            </a:ext>
          </a:extLst>
        </xdr:cNvPr>
        <xdr:cNvSpPr/>
      </xdr:nvSpPr>
      <xdr:spPr>
        <a:xfrm>
          <a:off x="16800470" y="1478174"/>
          <a:ext cx="2486671" cy="446806"/>
        </a:xfrm>
        <a:prstGeom prst="roundRect">
          <a:avLst/>
        </a:prstGeom>
        <a:solidFill>
          <a:schemeClr val="accent1"/>
        </a:solidFill>
        <a:ln w="22225">
          <a:solidFill>
            <a:srgbClr val="005EA2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Segoe UI Semibold" panose="020B0702040204020203" pitchFamily="34" charset="0"/>
            </a:rPr>
            <a:t>Check TDOT</a:t>
          </a:r>
          <a:r>
            <a:rPr lang="en-US" sz="1000" baseline="0">
              <a:solidFill>
                <a:srgbClr val="FFFFFF"/>
              </a:solidFill>
              <a:latin typeface="Segoe UI Semibold" panose="020B0702040204020203" pitchFamily="34" charset="0"/>
            </a:rPr>
            <a:t> Federal-aid Status</a:t>
          </a:r>
          <a:endParaRPr lang="en-US" sz="1000">
            <a:solidFill>
              <a:srgbClr val="FFFFFF"/>
            </a:solidFill>
            <a:latin typeface="Segoe UI Semibold" panose="020B07020402040202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00F874-8F3D-4134-8700-DFDBE5197ED2}" name="tblSites" displayName="tblSites" ref="A1:Q29" totalsRowShown="0" headerRowDxfId="39" dataDxfId="37" headerRowBorderDxfId="38" dataCellStyle="Hyperlink">
  <autoFilter ref="A1:Q29" xr:uid="{B500F874-8F3D-4134-8700-DFDBE5197ED2}"/>
  <tableColumns count="17">
    <tableColumn id="1" xr3:uid="{D15E3040-030C-4EDB-8ED9-D4F4F3BEF0CB}" name="Name" dataDxfId="36"/>
    <tableColumn id="2" xr3:uid="{B212AFA3-E3ED-4B30-82D3-CE7442509EFA}" name="Latitude" dataDxfId="35"/>
    <tableColumn id="3" xr3:uid="{40838AFE-B399-4A27-9CD3-24F829374929}" name="Longitude" dataDxfId="34"/>
    <tableColumn id="4" xr3:uid="{1E620C7E-755E-4255-9565-EC1148C03421}" name="Description" dataDxfId="33"/>
    <tableColumn id="5" xr3:uid="{85FEDA82-6C9A-4045-80B3-70CEEB044130}" name="Google Maps" dataDxfId="32" dataCellStyle="Hyperlink">
      <calculatedColumnFormula>IF(ISBLANK(tblSites[[#This Row],[Latitude]]),"",HYPERLINK("https://www.google.com/maps?q=" &amp; tblSites[[#This Row],[Latitude]] &amp; "," &amp; tblSites[[#This Row],[Longitude]], "View on Google Maps"))</calculatedColumnFormula>
    </tableColumn>
    <tableColumn id="6" xr3:uid="{BE981816-2391-4B67-8736-BD05784AB371}" name="Bing Maps" dataDxfId="31" dataCellStyle="Hyperlink">
      <calculatedColumnFormula>IF(ISBLANK(tblSites[[#This Row],[Latitude]]),"",HYPERLINK("https://www.bing.com/maps?q=" &amp; tblSites[[#This Row],[Latitude]] &amp; "," &amp; tblSites[[#This Row],[Longitude]] &amp; "&amp;lvl=16", "View in Bing Maps"))</calculatedColumnFormula>
    </tableColumn>
    <tableColumn id="7" xr3:uid="{3F830793-1FA7-4B89-9C10-7D7E07763C75}" name="FEMA Map Viewer" dataDxfId="30" dataCellStyle="Hyperlink">
      <calculatedColumnFormula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calculatedColumnFormula>
    </tableColumn>
    <tableColumn id="8" xr3:uid="{3568E798-9D85-458F-B0AC-7F3E90E31074}" name="Flood Map Search" dataDxfId="29" dataCellStyle="Hyperlink">
      <calculatedColumnFormula>IF(ISBLANK(tblSites[[#This Row],[Latitude]]),"",HYPERLINK("https://msc.fema.gov/portal/search?AddressQuery=" &amp; tblSites[[#This Row],[Longitude]] &amp; "%2C%20" &amp; tblSites[[#This Row],[Latitude]], "Flood Map Search"))</calculatedColumnFormula>
    </tableColumn>
    <tableColumn id="9" xr3:uid="{724E2081-D2F5-4F04-92D5-62454B426FAE}" name="Download Firmette" dataDxfId="28" dataCellStyle="Hyperlink">
      <calculatedColumnFormula>IF(ISBLANK(tblSites[[#This Row],[Latitude]]),"",HYPERLINK("https://msc.fema.gov/portal/firmette?latitude=" &amp; tblSites[[#This Row],[Latitude]] &amp; "&amp;longitude=" &amp; tblSites[[#This Row],[Longitude]], "Download Firmette"))</calculatedColumnFormula>
    </tableColumn>
    <tableColumn id="10" xr3:uid="{3CDF007F-5019-49FE-AD81-B0EEBFBAF593}" name="Firmette Status" dataDxfId="27" dataCellStyle="Hyperlink"/>
    <tableColumn id="16" xr3:uid="{81C5D45D-7E3A-49E2-9CF6-9E9F717EBC8C}" name="Actions" dataDxfId="26" dataCellStyle="Hyperlink"/>
    <tableColumn id="18" xr3:uid="{8F22FFDE-5A4D-49EE-992F-5A3F74113E9E}" name="View in TDOT Dashboard" dataDxfId="25" dataCellStyle="Hyperlink">
      <calculatedColumnFormula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calculatedColumnFormula>
    </tableColumn>
    <tableColumn id="15" xr3:uid="{1C14E2A9-192C-4E61-8377-64287B8A9428}" name="Functional Classification" dataDxfId="24" dataCellStyle="Hyperlink"/>
    <tableColumn id="11" xr3:uid="{435E496D-E799-4858-9241-B96D9AFCF449}" name="Urban/Rural" dataDxfId="23" dataCellStyle="Hyperlink"/>
    <tableColumn id="12" xr3:uid="{AAA8C061-8639-4C1C-B7CE-DE8C2558A8B6}" name="Road Name" dataDxfId="22" dataCellStyle="Hyperlink"/>
    <tableColumn id="13" xr3:uid="{2A76A5C4-8BD9-437E-AC3C-8CEF0C34C70D}" name="TDOT Status" dataDxfId="21" dataCellStyle="Hyperlink"/>
    <tableColumn id="14" xr3:uid="{B420B4C5-EB15-4B5F-84D9-A7330E5EE735}" name="TDOT Status2" dataDxfId="20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4CBEB9-1CE6-41CB-9AC7-E074F160AAA9}" name="tblSites3435463" displayName="tblSites3435463" ref="A1:Q29" totalsRowShown="0" headerRowDxfId="19" dataDxfId="17" headerRowBorderDxfId="18" dataCellStyle="Hyperlink">
  <autoFilter ref="A1:Q29" xr:uid="{B500F874-8F3D-4134-8700-DFDBE5197ED2}"/>
  <tableColumns count="17">
    <tableColumn id="1" xr3:uid="{2FFBF2DE-9F61-451E-8496-0B488DF57490}" name="Name" dataDxfId="16"/>
    <tableColumn id="2" xr3:uid="{AA3F4022-876A-4E96-B094-9C0C44915806}" name="Latitude" dataDxfId="15"/>
    <tableColumn id="3" xr3:uid="{E9DE7430-2C38-46AF-A874-C1C6A2B1A5D4}" name="Longitude" dataDxfId="14"/>
    <tableColumn id="4" xr3:uid="{194FF122-C6AE-4DEA-B9CC-575C841CE44E}" name="Description" dataDxfId="13"/>
    <tableColumn id="5" xr3:uid="{116583A5-5E53-4D50-A875-9F46C3F02F26}" name="Google Maps" dataDxfId="12" dataCellStyle="Hyperlink">
      <calculatedColumnFormula>IF(ISBLANK(tblSites3435463[[#This Row],[Latitude]]),"",HYPERLINK("https://www.google.com/maps?q=" &amp; tblSites3435463[[#This Row],[Latitude]] &amp; "," &amp; tblSites3435463[[#This Row],[Longitude]], "View on Google Maps"))</calculatedColumnFormula>
    </tableColumn>
    <tableColumn id="6" xr3:uid="{D0FD919F-DEC3-4839-94C6-0BE52229FBD2}" name="Bing Maps" dataDxfId="11" dataCellStyle="Hyperlink">
      <calculatedColumnFormula>IF(ISBLANK(tblSites3435463[[#This Row],[Latitude]]),"",HYPERLINK("https://www.bing.com/maps?q=" &amp; tblSites3435463[[#This Row],[Latitude]] &amp; "," &amp; tblSites3435463[[#This Row],[Longitude]] &amp; "&amp;lvl=16", "View in Bing Maps"))</calculatedColumnFormula>
    </tableColumn>
    <tableColumn id="7" xr3:uid="{3601E1F7-11BA-43DB-9AE5-5E8E5955FC9D}" name="FEMA Map Viewer" dataDxfId="10" dataCellStyle="Hyperlink">
      <calculatedColumnFormula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calculatedColumnFormula>
    </tableColumn>
    <tableColumn id="8" xr3:uid="{8919C4D4-F599-4A00-A559-23011379CCB7}" name="Flood Map Search" dataDxfId="9" dataCellStyle="Hyperlink">
      <calculatedColumnFormula>IF(ISBLANK(tblSites3435463[[#This Row],[Latitude]]),"",HYPERLINK("https://msc.fema.gov/portal/search?AddressQuery=" &amp; tblSites3435463[[#This Row],[Longitude]] &amp; "%2C%20" &amp; tblSites3435463[[#This Row],[Latitude]], "Flood Map Search"))</calculatedColumnFormula>
    </tableColumn>
    <tableColumn id="9" xr3:uid="{19925DC0-4517-4A14-84EC-81CF6F3D8989}" name="Download Firmette" dataDxfId="8" dataCellStyle="Hyperlink">
      <calculatedColumnFormula>IF(ISBLANK(tblSites3435463[[#This Row],[Latitude]]),"",HYPERLINK("https://msc.fema.gov/portal/firmette?latitude=" &amp; tblSites3435463[[#This Row],[Latitude]] &amp; "&amp;longitude=" &amp; tblSites3435463[[#This Row],[Longitude]], "Download Firmette"))</calculatedColumnFormula>
    </tableColumn>
    <tableColumn id="10" xr3:uid="{5374077C-9F52-4383-8A03-57666DE1B4F9}" name="Firmette Status" dataDxfId="7" dataCellStyle="Hyperlink"/>
    <tableColumn id="16" xr3:uid="{B569893B-C6A1-494E-85F7-401BB080C8A8}" name="Actions" dataDxfId="6" dataCellStyle="Hyperlink"/>
    <tableColumn id="18" xr3:uid="{68334DB8-421E-4130-BBEE-70BD5C20D79A}" name="View in TDOT Dashboard" dataDxfId="5" dataCellStyle="Hyperlink">
      <calculatedColumnFormula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calculatedColumnFormula>
    </tableColumn>
    <tableColumn id="15" xr3:uid="{E3086062-35AA-45DF-9756-7D65BEDCDDF6}" name="Functional Classification" dataDxfId="4" dataCellStyle="Hyperlink"/>
    <tableColumn id="11" xr3:uid="{D7109DF5-C58C-4C2F-81C8-72CE10866E56}" name="Urban/Rural" dataDxfId="3" dataCellStyle="Hyperlink"/>
    <tableColumn id="12" xr3:uid="{FFFB4466-D5FF-4E7E-90E3-619E9BAE474A}" name="Road Name" dataDxfId="2" dataCellStyle="Hyperlink"/>
    <tableColumn id="13" xr3:uid="{0D35013E-D66A-4505-BEFA-A6BDC341411B}" name="TDOT Status" dataDxfId="1" dataCellStyle="Hyperlink"/>
    <tableColumn id="14" xr3:uid="{0BE47272-A4AB-4B7E-BB95-478CBB9B25AA}" name="TDOT Status2" dataDxfId="0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BB165-3279-4B72-8628-6712024084B0}">
  <sheetPr codeName="Sheet2">
    <tabColor rgb="FF003057"/>
  </sheetPr>
  <dimension ref="A1:I69"/>
  <sheetViews>
    <sheetView tabSelected="1" workbookViewId="0">
      <selection activeCell="C17" sqref="C17"/>
    </sheetView>
  </sheetViews>
  <sheetFormatPr defaultColWidth="9.140625" defaultRowHeight="14.25" x14ac:dyDescent="0.25"/>
  <cols>
    <col min="1" max="1" width="99.28515625" style="1" customWidth="1"/>
    <col min="2" max="9" width="16.7109375" style="1" customWidth="1"/>
    <col min="10" max="16384" width="9.140625" style="1"/>
  </cols>
  <sheetData>
    <row r="1" spans="1:9" ht="27.95" customHeight="1" x14ac:dyDescent="0.25">
      <c r="A1" s="6" t="s">
        <v>17</v>
      </c>
      <c r="B1" s="5"/>
      <c r="C1" s="5"/>
      <c r="D1" s="5"/>
      <c r="E1" s="5"/>
      <c r="F1" s="5"/>
      <c r="G1" s="5"/>
      <c r="H1" s="5"/>
      <c r="I1" s="5"/>
    </row>
    <row r="2" spans="1:9" ht="27.95" customHeight="1" x14ac:dyDescent="0.25">
      <c r="A2" s="7" t="s">
        <v>22</v>
      </c>
      <c r="B2" s="5"/>
      <c r="C2" s="5"/>
      <c r="D2" s="5"/>
      <c r="E2" s="5"/>
      <c r="F2" s="5"/>
      <c r="G2" s="5"/>
      <c r="H2" s="5"/>
      <c r="I2" s="5"/>
    </row>
    <row r="3" spans="1:9" ht="21.95" customHeight="1" x14ac:dyDescent="0.25">
      <c r="A3" s="2"/>
      <c r="B3" s="3"/>
      <c r="C3" s="3"/>
      <c r="D3" s="3"/>
      <c r="E3" s="3"/>
      <c r="F3" s="3"/>
      <c r="G3" s="3"/>
      <c r="H3" s="3"/>
      <c r="I3" s="3"/>
    </row>
    <row r="4" spans="1:9" ht="21.95" customHeight="1" x14ac:dyDescent="0.25">
      <c r="A4" s="18" t="s">
        <v>18</v>
      </c>
      <c r="B4" s="3"/>
      <c r="C4" s="3"/>
      <c r="D4" s="3"/>
      <c r="E4" s="3"/>
      <c r="F4" s="3"/>
      <c r="G4" s="3"/>
      <c r="H4" s="3"/>
      <c r="I4" s="3"/>
    </row>
    <row r="5" spans="1:9" ht="42" customHeight="1" x14ac:dyDescent="0.25">
      <c r="A5" s="19" t="s">
        <v>43</v>
      </c>
      <c r="B5" s="3"/>
      <c r="C5" s="3"/>
      <c r="D5" s="3"/>
      <c r="E5" s="3"/>
      <c r="F5" s="3"/>
      <c r="G5" s="3"/>
      <c r="H5" s="3"/>
      <c r="I5" s="3"/>
    </row>
    <row r="6" spans="1:9" ht="21.95" customHeight="1" x14ac:dyDescent="0.25">
      <c r="A6" s="18" t="s">
        <v>19</v>
      </c>
      <c r="B6" s="3"/>
      <c r="C6" s="3"/>
      <c r="D6" s="3"/>
      <c r="E6" s="3"/>
      <c r="F6" s="3"/>
      <c r="G6" s="3"/>
      <c r="H6" s="3"/>
      <c r="I6" s="3"/>
    </row>
    <row r="7" spans="1:9" ht="15.75" x14ac:dyDescent="0.25">
      <c r="A7" s="8" t="s">
        <v>23</v>
      </c>
      <c r="B7" s="3"/>
      <c r="C7" s="3"/>
      <c r="D7" s="3"/>
      <c r="E7" s="3"/>
      <c r="F7" s="3"/>
      <c r="G7" s="3"/>
      <c r="H7" s="3"/>
      <c r="I7" s="3"/>
    </row>
    <row r="8" spans="1:9" ht="15.75" x14ac:dyDescent="0.25">
      <c r="A8" s="8" t="s">
        <v>24</v>
      </c>
      <c r="B8" s="3"/>
      <c r="C8" s="3"/>
      <c r="D8" s="3"/>
      <c r="E8" s="3"/>
      <c r="F8" s="3"/>
      <c r="G8" s="3"/>
      <c r="H8" s="3"/>
      <c r="I8" s="3"/>
    </row>
    <row r="9" spans="1:9" ht="15.75" x14ac:dyDescent="0.25">
      <c r="A9" s="8" t="s">
        <v>45</v>
      </c>
      <c r="B9" s="3"/>
      <c r="C9" s="3"/>
      <c r="D9" s="3"/>
      <c r="E9" s="3"/>
      <c r="F9" s="3"/>
      <c r="G9" s="3"/>
      <c r="H9" s="3"/>
      <c r="I9" s="3"/>
    </row>
    <row r="10" spans="1:9" ht="15.75" x14ac:dyDescent="0.25">
      <c r="A10" s="8" t="s">
        <v>46</v>
      </c>
      <c r="B10" s="3"/>
      <c r="C10" s="3"/>
      <c r="D10" s="3"/>
      <c r="E10" s="3"/>
      <c r="F10" s="3"/>
      <c r="G10" s="3"/>
      <c r="H10" s="3"/>
      <c r="I10" s="3"/>
    </row>
    <row r="11" spans="1:9" ht="15.75" x14ac:dyDescent="0.25">
      <c r="A11" s="8" t="s">
        <v>25</v>
      </c>
      <c r="B11" s="3"/>
      <c r="C11" s="3"/>
      <c r="D11" s="3"/>
      <c r="E11" s="3"/>
      <c r="F11" s="3"/>
      <c r="G11" s="3"/>
      <c r="H11" s="3"/>
      <c r="I11" s="3"/>
    </row>
    <row r="12" spans="1:9" ht="15.75" x14ac:dyDescent="0.25">
      <c r="A12" s="8" t="s">
        <v>47</v>
      </c>
      <c r="B12" s="3"/>
      <c r="C12" s="3"/>
      <c r="D12" s="3"/>
      <c r="E12" s="3"/>
      <c r="F12" s="3"/>
      <c r="G12" s="3"/>
      <c r="H12" s="3"/>
      <c r="I12" s="3"/>
    </row>
    <row r="13" spans="1:9" ht="21.95" customHeight="1" x14ac:dyDescent="0.25">
      <c r="A13" s="18" t="s">
        <v>41</v>
      </c>
      <c r="B13" s="3"/>
      <c r="C13" s="3"/>
      <c r="D13" s="3"/>
      <c r="E13" s="3"/>
      <c r="F13" s="3"/>
      <c r="G13" s="3"/>
      <c r="H13" s="3"/>
      <c r="I13" s="3"/>
    </row>
    <row r="14" spans="1:9" ht="21.95" customHeight="1" x14ac:dyDescent="0.25">
      <c r="A14" t="s">
        <v>30</v>
      </c>
      <c r="B14" s="3"/>
      <c r="C14" s="3"/>
      <c r="D14" s="3"/>
      <c r="E14" s="3"/>
      <c r="F14" s="3"/>
      <c r="G14" s="3"/>
      <c r="H14" s="3"/>
      <c r="I14" s="3"/>
    </row>
    <row r="15" spans="1:9" ht="21.95" customHeight="1" x14ac:dyDescent="0.25">
      <c r="A15" t="s">
        <v>31</v>
      </c>
      <c r="B15" s="3"/>
      <c r="C15" s="3"/>
      <c r="D15" s="3"/>
      <c r="E15" s="3"/>
      <c r="F15" s="3"/>
      <c r="G15" s="3"/>
      <c r="H15" s="3"/>
      <c r="I15" s="3"/>
    </row>
    <row r="16" spans="1:9" ht="21.95" customHeight="1" x14ac:dyDescent="0.25">
      <c r="A16" t="s">
        <v>32</v>
      </c>
      <c r="B16" s="3"/>
      <c r="C16" s="3"/>
      <c r="D16" s="3"/>
      <c r="E16" s="3"/>
      <c r="F16" s="3"/>
      <c r="G16" s="3"/>
      <c r="H16" s="3"/>
      <c r="I16" s="3"/>
    </row>
    <row r="17" spans="1:9" ht="21.95" customHeight="1" x14ac:dyDescent="0.25">
      <c r="A17" t="s">
        <v>33</v>
      </c>
      <c r="B17" s="3"/>
      <c r="C17" s="3"/>
      <c r="D17" s="3"/>
      <c r="E17" s="3"/>
      <c r="F17" s="3"/>
      <c r="G17" s="3"/>
      <c r="H17" s="3"/>
      <c r="I17" s="3"/>
    </row>
    <row r="18" spans="1:9" ht="21.95" customHeight="1" x14ac:dyDescent="0.25">
      <c r="A18" t="s">
        <v>42</v>
      </c>
      <c r="B18" s="3"/>
      <c r="C18" s="3"/>
      <c r="D18" s="3"/>
      <c r="E18" s="3"/>
      <c r="F18" s="3"/>
      <c r="G18" s="3"/>
      <c r="H18" s="3"/>
      <c r="I18" s="3"/>
    </row>
    <row r="19" spans="1:9" ht="21.95" customHeight="1" x14ac:dyDescent="0.25">
      <c r="A19" s="20" t="str">
        <f>HYPERLINK("https://services2.arcgis.com/nf3p7v7Zy4fTOh6M/arcgis/rest/services/Road_Segment/FeatureServer","https://services2.arcgis.com/nf3p7v7Zy4fTOh6M/arcgis/rest/services/Road_Segment/FeatureServer")</f>
        <v>https://services2.arcgis.com/nf3p7v7Zy4fTOh6M/arcgis/rest/services/Road_Segment/FeatureServer</v>
      </c>
      <c r="B19" s="3"/>
      <c r="C19" s="3"/>
      <c r="D19" s="3"/>
      <c r="E19" s="3"/>
      <c r="F19" s="3"/>
      <c r="G19" s="3"/>
      <c r="H19" s="3"/>
      <c r="I19" s="3"/>
    </row>
    <row r="20" spans="1:9" ht="21.95" customHeight="1" x14ac:dyDescent="0.25">
      <c r="A20" s="21" t="str">
        <f>HYPERLINK("https://www.arcgis.com/apps/dashboards/0901655139694144a16f7812a52b4f36", "https://www.arcgis.com/apps/dashboards/0901655139694144a16f7812a52b4f36")</f>
        <v>https://www.arcgis.com/apps/dashboards/0901655139694144a16f7812a52b4f36</v>
      </c>
      <c r="B20" s="3"/>
      <c r="C20" s="3"/>
      <c r="D20" s="3"/>
      <c r="E20" s="3"/>
      <c r="F20" s="3"/>
      <c r="G20" s="3"/>
      <c r="H20" s="3"/>
      <c r="I20" s="3"/>
    </row>
    <row r="21" spans="1:9" ht="21.95" customHeight="1" x14ac:dyDescent="0.25">
      <c r="A21" s="18" t="s">
        <v>26</v>
      </c>
      <c r="B21" s="3"/>
      <c r="C21" s="3"/>
      <c r="D21" s="3"/>
      <c r="E21" s="3"/>
      <c r="F21" s="3"/>
      <c r="G21" s="3"/>
      <c r="H21" s="3"/>
      <c r="I21" s="3"/>
    </row>
    <row r="22" spans="1:9" ht="21.95" customHeight="1" x14ac:dyDescent="0.25">
      <c r="A22" s="9" t="s">
        <v>27</v>
      </c>
      <c r="B22" s="3"/>
      <c r="C22" s="3"/>
      <c r="D22" s="3"/>
      <c r="E22" s="3"/>
      <c r="F22" s="3"/>
      <c r="G22" s="3"/>
      <c r="H22" s="3"/>
      <c r="I22" s="3"/>
    </row>
    <row r="23" spans="1:9" ht="21.95" customHeight="1" x14ac:dyDescent="0.25">
      <c r="A23" s="9" t="s">
        <v>28</v>
      </c>
      <c r="B23" s="3"/>
      <c r="C23" s="3"/>
      <c r="D23" s="3"/>
      <c r="E23" s="3"/>
      <c r="F23" s="3"/>
      <c r="G23" s="3"/>
      <c r="H23" s="3"/>
      <c r="I23" s="3"/>
    </row>
    <row r="24" spans="1:9" x14ac:dyDescent="0.25">
      <c r="A24" s="9" t="s">
        <v>29</v>
      </c>
      <c r="B24" s="3"/>
      <c r="C24" s="3"/>
      <c r="D24" s="3"/>
      <c r="E24" s="3"/>
      <c r="F24" s="3"/>
      <c r="G24" s="3"/>
      <c r="H24" s="3"/>
      <c r="I24" s="3"/>
    </row>
    <row r="25" spans="1:9" x14ac:dyDescent="0.25">
      <c r="A25" s="9"/>
      <c r="B25" s="3"/>
      <c r="C25" s="3"/>
      <c r="D25" s="3"/>
      <c r="E25" s="3"/>
      <c r="F25" s="3"/>
      <c r="G25" s="3"/>
      <c r="H25" s="3"/>
      <c r="I25" s="3"/>
    </row>
    <row r="26" spans="1:9" x14ac:dyDescent="0.25">
      <c r="A26" s="18" t="s">
        <v>20</v>
      </c>
      <c r="B26" s="3"/>
      <c r="C26" s="3"/>
      <c r="D26" s="3"/>
      <c r="E26" s="3"/>
      <c r="F26" s="3"/>
      <c r="G26" s="3"/>
      <c r="H26" s="3"/>
      <c r="I26" s="3"/>
    </row>
    <row r="27" spans="1:9" x14ac:dyDescent="0.25">
      <c r="A27" s="9" t="s">
        <v>68</v>
      </c>
      <c r="B27" s="3"/>
      <c r="C27" s="3"/>
      <c r="D27" s="3"/>
      <c r="E27" s="3"/>
      <c r="F27" s="3"/>
      <c r="G27" s="3"/>
      <c r="H27" s="3"/>
      <c r="I27" s="3"/>
    </row>
    <row r="28" spans="1:9" x14ac:dyDescent="0.25">
      <c r="A28" s="37">
        <v>46085.650694444441</v>
      </c>
      <c r="B28" s="3"/>
      <c r="C28" s="3"/>
      <c r="D28" s="3"/>
      <c r="E28" s="3"/>
      <c r="F28" s="3"/>
      <c r="G28" s="3"/>
      <c r="H28" s="3"/>
      <c r="I28" s="3"/>
    </row>
    <row r="29" spans="1:9" x14ac:dyDescent="0.25">
      <c r="A29" s="4"/>
      <c r="B29" s="3"/>
      <c r="C29" s="3"/>
      <c r="D29" s="3"/>
      <c r="E29" s="3"/>
      <c r="F29" s="3"/>
      <c r="G29" s="3"/>
      <c r="H29" s="3"/>
      <c r="I29" s="3"/>
    </row>
    <row r="30" spans="1:9" ht="16.5" x14ac:dyDescent="0.3">
      <c r="A30" s="36"/>
      <c r="B30" s="3"/>
      <c r="C30" s="3"/>
      <c r="D30" s="3"/>
      <c r="E30" s="3"/>
      <c r="F30" s="3"/>
      <c r="G30" s="3"/>
      <c r="H30" s="3"/>
      <c r="I30" s="3"/>
    </row>
    <row r="31" spans="1:9" x14ac:dyDescent="0.25">
      <c r="A31" s="3"/>
      <c r="B31" s="3"/>
      <c r="C31" s="3"/>
      <c r="D31" s="3"/>
      <c r="E31" s="3"/>
      <c r="F31" s="3"/>
      <c r="G31" s="3"/>
      <c r="H31" s="3"/>
      <c r="I31" s="3"/>
    </row>
    <row r="32" spans="1:9" x14ac:dyDescent="0.25">
      <c r="A32" s="3"/>
      <c r="B32" s="3"/>
      <c r="C32" s="3"/>
      <c r="D32" s="3"/>
      <c r="E32" s="3"/>
      <c r="F32" s="3"/>
      <c r="G32" s="3"/>
      <c r="H32" s="3"/>
      <c r="I32" s="3"/>
    </row>
    <row r="33" spans="1:9" x14ac:dyDescent="0.25">
      <c r="A33" s="3"/>
      <c r="B33" s="3"/>
      <c r="C33" s="3"/>
      <c r="D33" s="3"/>
      <c r="E33" s="3"/>
      <c r="F33" s="3"/>
      <c r="G33" s="3"/>
      <c r="H33" s="3"/>
      <c r="I33" s="3"/>
    </row>
    <row r="34" spans="1:9" x14ac:dyDescent="0.25">
      <c r="A34" s="3"/>
      <c r="B34" s="3"/>
      <c r="C34" s="3"/>
      <c r="D34" s="3"/>
      <c r="E34" s="3"/>
      <c r="F34" s="3"/>
      <c r="G34" s="3"/>
      <c r="H34" s="3"/>
      <c r="I34" s="3"/>
    </row>
    <row r="35" spans="1:9" x14ac:dyDescent="0.25">
      <c r="A35" s="3"/>
      <c r="B35" s="3"/>
      <c r="C35" s="3"/>
      <c r="D35" s="3"/>
      <c r="E35" s="3"/>
      <c r="F35" s="3"/>
      <c r="G35" s="3"/>
      <c r="H35" s="3"/>
      <c r="I35" s="3"/>
    </row>
    <row r="36" spans="1:9" x14ac:dyDescent="0.25">
      <c r="A36" s="3"/>
      <c r="B36" s="3"/>
      <c r="C36" s="3"/>
      <c r="D36" s="3"/>
      <c r="E36" s="3"/>
      <c r="F36" s="3"/>
      <c r="G36" s="3"/>
      <c r="H36" s="3"/>
      <c r="I36" s="3"/>
    </row>
    <row r="37" spans="1:9" x14ac:dyDescent="0.25">
      <c r="A37" s="3"/>
      <c r="B37" s="3"/>
      <c r="C37" s="3"/>
      <c r="D37" s="3"/>
      <c r="E37" s="3"/>
      <c r="F37" s="3"/>
      <c r="G37" s="3"/>
      <c r="H37" s="3"/>
      <c r="I37" s="3"/>
    </row>
    <row r="38" spans="1:9" x14ac:dyDescent="0.25">
      <c r="A38" s="3"/>
      <c r="B38" s="3"/>
      <c r="C38" s="3"/>
      <c r="D38" s="3"/>
      <c r="E38" s="3"/>
      <c r="F38" s="3"/>
      <c r="G38" s="3"/>
      <c r="H38" s="3"/>
      <c r="I38" s="3"/>
    </row>
    <row r="39" spans="1:9" x14ac:dyDescent="0.25">
      <c r="A39" s="3"/>
      <c r="B39" s="3"/>
      <c r="C39" s="3"/>
      <c r="D39" s="3"/>
      <c r="E39" s="3"/>
      <c r="F39" s="3"/>
      <c r="G39" s="3"/>
      <c r="H39" s="3"/>
      <c r="I39" s="3"/>
    </row>
    <row r="40" spans="1:9" x14ac:dyDescent="0.25">
      <c r="A40" s="3"/>
      <c r="B40" s="3"/>
      <c r="C40" s="3"/>
      <c r="D40" s="3"/>
      <c r="E40" s="3"/>
      <c r="F40" s="3"/>
      <c r="G40" s="3"/>
      <c r="H40" s="3"/>
      <c r="I40" s="3"/>
    </row>
    <row r="41" spans="1:9" x14ac:dyDescent="0.25">
      <c r="A41" s="3"/>
      <c r="B41" s="3"/>
      <c r="C41" s="3"/>
      <c r="D41" s="3"/>
      <c r="E41" s="3"/>
      <c r="F41" s="3"/>
      <c r="G41" s="3"/>
      <c r="H41" s="3"/>
      <c r="I41" s="3"/>
    </row>
    <row r="42" spans="1:9" x14ac:dyDescent="0.25">
      <c r="A42" s="3"/>
      <c r="B42" s="3"/>
      <c r="C42" s="3"/>
      <c r="D42" s="3"/>
      <c r="E42" s="3"/>
      <c r="F42" s="3"/>
      <c r="G42" s="3"/>
      <c r="H42" s="3"/>
      <c r="I42" s="3"/>
    </row>
    <row r="43" spans="1:9" x14ac:dyDescent="0.25">
      <c r="A43" s="3"/>
      <c r="B43" s="3"/>
      <c r="C43" s="3"/>
      <c r="D43" s="3"/>
      <c r="E43" s="3"/>
      <c r="F43" s="3"/>
      <c r="G43" s="3"/>
      <c r="H43" s="3"/>
      <c r="I43" s="3"/>
    </row>
    <row r="44" spans="1:9" x14ac:dyDescent="0.25">
      <c r="A44" s="3"/>
      <c r="B44" s="3"/>
      <c r="C44" s="3"/>
      <c r="D44" s="3"/>
      <c r="E44" s="3"/>
      <c r="F44" s="3"/>
      <c r="G44" s="3"/>
      <c r="H44" s="3"/>
      <c r="I44" s="3"/>
    </row>
    <row r="45" spans="1:9" x14ac:dyDescent="0.25">
      <c r="A45" s="3"/>
      <c r="B45" s="3"/>
      <c r="C45" s="3"/>
      <c r="D45" s="3"/>
      <c r="E45" s="3"/>
      <c r="F45" s="3"/>
      <c r="G45" s="3"/>
      <c r="H45" s="3"/>
      <c r="I45" s="3"/>
    </row>
    <row r="46" spans="1:9" x14ac:dyDescent="0.25">
      <c r="A46" s="3"/>
      <c r="B46" s="3"/>
      <c r="C46" s="3"/>
      <c r="D46" s="3"/>
      <c r="E46" s="3"/>
      <c r="F46" s="3"/>
      <c r="G46" s="3"/>
      <c r="H46" s="3"/>
      <c r="I46" s="3"/>
    </row>
    <row r="47" spans="1:9" x14ac:dyDescent="0.25">
      <c r="A47" s="3"/>
      <c r="B47" s="3"/>
      <c r="C47" s="3"/>
      <c r="D47" s="3"/>
      <c r="E47" s="3"/>
      <c r="F47" s="3"/>
      <c r="G47" s="3"/>
      <c r="H47" s="3"/>
      <c r="I47" s="3"/>
    </row>
    <row r="48" spans="1:9" x14ac:dyDescent="0.25">
      <c r="A48" s="3"/>
      <c r="B48" s="3"/>
      <c r="C48" s="3"/>
      <c r="D48" s="3"/>
      <c r="E48" s="3"/>
      <c r="F48" s="3"/>
      <c r="G48" s="3"/>
      <c r="H48" s="3"/>
      <c r="I48" s="3"/>
    </row>
    <row r="49" spans="1:9" x14ac:dyDescent="0.25">
      <c r="A49" s="3"/>
      <c r="B49" s="3"/>
      <c r="C49" s="3"/>
      <c r="D49" s="3"/>
      <c r="E49" s="3"/>
      <c r="F49" s="3"/>
      <c r="G49" s="3"/>
      <c r="H49" s="3"/>
      <c r="I49" s="3"/>
    </row>
    <row r="50" spans="1:9" x14ac:dyDescent="0.25">
      <c r="A50" s="3"/>
      <c r="B50" s="3"/>
      <c r="C50" s="3"/>
      <c r="D50" s="3"/>
      <c r="E50" s="3"/>
      <c r="F50" s="3"/>
      <c r="G50" s="3"/>
      <c r="H50" s="3"/>
      <c r="I50" s="3"/>
    </row>
    <row r="51" spans="1:9" x14ac:dyDescent="0.25">
      <c r="A51" s="3"/>
      <c r="B51" s="3"/>
      <c r="C51" s="3"/>
      <c r="D51" s="3"/>
      <c r="E51" s="3"/>
      <c r="F51" s="3"/>
      <c r="G51" s="3"/>
      <c r="H51" s="3"/>
      <c r="I51" s="3"/>
    </row>
    <row r="52" spans="1:9" x14ac:dyDescent="0.25">
      <c r="A52" s="3"/>
      <c r="B52" s="3"/>
      <c r="C52" s="3"/>
      <c r="D52" s="3"/>
      <c r="E52" s="3"/>
      <c r="F52" s="3"/>
      <c r="G52" s="3"/>
      <c r="H52" s="3"/>
      <c r="I52" s="3"/>
    </row>
    <row r="53" spans="1:9" x14ac:dyDescent="0.25">
      <c r="A53" s="3"/>
      <c r="B53" s="3"/>
      <c r="C53" s="3"/>
      <c r="D53" s="3"/>
      <c r="E53" s="3"/>
      <c r="F53" s="3"/>
      <c r="G53" s="3"/>
      <c r="H53" s="3"/>
      <c r="I53" s="3"/>
    </row>
    <row r="54" spans="1:9" x14ac:dyDescent="0.25">
      <c r="A54" s="3"/>
      <c r="B54" s="3"/>
      <c r="C54" s="3"/>
      <c r="D54" s="3"/>
      <c r="E54" s="3"/>
      <c r="F54" s="3"/>
      <c r="G54" s="3"/>
      <c r="H54" s="3"/>
      <c r="I54" s="3"/>
    </row>
    <row r="55" spans="1:9" x14ac:dyDescent="0.25">
      <c r="A55" s="3"/>
      <c r="B55" s="3"/>
      <c r="C55" s="3"/>
      <c r="D55" s="3"/>
      <c r="E55" s="3"/>
      <c r="F55" s="3"/>
      <c r="G55" s="3"/>
      <c r="H55" s="3"/>
      <c r="I55" s="3"/>
    </row>
    <row r="56" spans="1:9" x14ac:dyDescent="0.25">
      <c r="A56" s="3"/>
      <c r="B56" s="3"/>
      <c r="C56" s="3"/>
      <c r="D56" s="3"/>
      <c r="E56" s="3"/>
      <c r="F56" s="3"/>
      <c r="G56" s="3"/>
      <c r="H56" s="3"/>
      <c r="I56" s="3"/>
    </row>
    <row r="57" spans="1:9" x14ac:dyDescent="0.25">
      <c r="A57" s="3"/>
      <c r="B57" s="3"/>
      <c r="C57" s="3"/>
      <c r="D57" s="3"/>
      <c r="E57" s="3"/>
      <c r="F57" s="3"/>
      <c r="G57" s="3"/>
      <c r="H57" s="3"/>
      <c r="I57" s="3"/>
    </row>
    <row r="58" spans="1:9" x14ac:dyDescent="0.25">
      <c r="A58" s="3"/>
      <c r="B58" s="3"/>
      <c r="C58" s="3"/>
      <c r="D58" s="3"/>
      <c r="E58" s="3"/>
      <c r="F58" s="3"/>
      <c r="G58" s="3"/>
      <c r="H58" s="3"/>
      <c r="I58" s="3"/>
    </row>
    <row r="59" spans="1:9" x14ac:dyDescent="0.25">
      <c r="A59" s="3"/>
      <c r="B59" s="3"/>
      <c r="C59" s="3"/>
      <c r="D59" s="3"/>
      <c r="E59" s="3"/>
      <c r="F59" s="3"/>
      <c r="G59" s="3"/>
      <c r="H59" s="3"/>
      <c r="I59" s="3"/>
    </row>
    <row r="60" spans="1:9" x14ac:dyDescent="0.25">
      <c r="A60" s="3"/>
      <c r="B60" s="3"/>
      <c r="C60" s="3"/>
      <c r="D60" s="3"/>
      <c r="E60" s="3"/>
      <c r="F60" s="3"/>
      <c r="G60" s="3"/>
      <c r="H60" s="3"/>
      <c r="I60" s="3"/>
    </row>
    <row r="61" spans="1:9" x14ac:dyDescent="0.25">
      <c r="A61" s="3"/>
      <c r="B61" s="3"/>
      <c r="C61" s="3"/>
      <c r="D61" s="3"/>
      <c r="E61" s="3"/>
      <c r="F61" s="3"/>
      <c r="G61" s="3"/>
      <c r="H61" s="3"/>
      <c r="I61" s="3"/>
    </row>
    <row r="62" spans="1:9" x14ac:dyDescent="0.25">
      <c r="A62" s="3"/>
      <c r="B62" s="3"/>
      <c r="C62" s="3"/>
      <c r="D62" s="3"/>
      <c r="E62" s="3"/>
      <c r="F62" s="3"/>
      <c r="G62" s="3"/>
      <c r="H62" s="3"/>
      <c r="I62" s="3"/>
    </row>
    <row r="63" spans="1:9" x14ac:dyDescent="0.25">
      <c r="A63" s="3"/>
      <c r="B63" s="3"/>
      <c r="C63" s="3"/>
      <c r="D63" s="3"/>
      <c r="E63" s="3"/>
      <c r="F63" s="3"/>
      <c r="G63" s="3"/>
      <c r="H63" s="3"/>
      <c r="I63" s="3"/>
    </row>
    <row r="64" spans="1:9" x14ac:dyDescent="0.25">
      <c r="A64" s="3"/>
      <c r="B64" s="3"/>
      <c r="C64" s="3"/>
      <c r="D64" s="3"/>
      <c r="E64" s="3"/>
      <c r="F64" s="3"/>
      <c r="G64" s="3"/>
      <c r="H64" s="3"/>
      <c r="I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5F1EF-73C4-47F8-B26F-639A23BFF339}">
  <sheetPr codeName="Sheet1">
    <tabColor rgb="FF005EA2"/>
  </sheetPr>
  <dimension ref="A1:Q36"/>
  <sheetViews>
    <sheetView zoomScale="70" zoomScaleNormal="70" workbookViewId="0">
      <pane ySplit="1" topLeftCell="A2" activePane="bottomLeft" state="frozenSplit"/>
      <selection pane="bottomLeft" activeCell="G11" sqref="G11:G29"/>
    </sheetView>
  </sheetViews>
  <sheetFormatPr defaultColWidth="9.140625" defaultRowHeight="15" x14ac:dyDescent="0.25"/>
  <cols>
    <col min="1" max="1" width="34.7109375" style="12" customWidth="1"/>
    <col min="2" max="3" width="13.7109375" style="13" customWidth="1"/>
    <col min="4" max="4" width="19.5703125" style="14" customWidth="1"/>
    <col min="5" max="8" width="25.7109375" style="29" customWidth="1"/>
    <col min="9" max="9" width="20.140625" style="29" customWidth="1"/>
    <col min="10" max="10" width="21.7109375" style="12" customWidth="1"/>
    <col min="11" max="11" width="46.85546875" customWidth="1"/>
    <col min="12" max="12" width="34.85546875" style="12" customWidth="1"/>
    <col min="13" max="13" width="38.28515625" style="25" customWidth="1"/>
    <col min="14" max="14" width="19.42578125" bestFit="1" customWidth="1"/>
    <col min="15" max="15" width="42.28515625" style="12" customWidth="1"/>
    <col min="16" max="16" width="32.85546875" style="1" customWidth="1"/>
    <col min="17" max="17" width="47.28515625" style="1" customWidth="1"/>
    <col min="18" max="18" width="40.85546875" style="1" customWidth="1"/>
    <col min="19" max="19" width="71.28515625" style="1" customWidth="1"/>
    <col min="20" max="16384" width="9.140625" style="1"/>
  </cols>
  <sheetData>
    <row r="1" spans="1:17" ht="24" customHeight="1" x14ac:dyDescent="0.25">
      <c r="A1" s="32" t="s">
        <v>0</v>
      </c>
      <c r="B1" s="32" t="s">
        <v>1</v>
      </c>
      <c r="C1" s="32" t="s">
        <v>2</v>
      </c>
      <c r="D1" s="33" t="s">
        <v>44</v>
      </c>
      <c r="E1" s="10" t="s">
        <v>3</v>
      </c>
      <c r="F1" s="10" t="s">
        <v>15</v>
      </c>
      <c r="G1" s="10" t="s">
        <v>21</v>
      </c>
      <c r="H1" s="10" t="s">
        <v>14</v>
      </c>
      <c r="I1" s="10" t="s">
        <v>4</v>
      </c>
      <c r="J1" s="10" t="s">
        <v>16</v>
      </c>
      <c r="K1" s="10" t="s">
        <v>40</v>
      </c>
      <c r="L1" s="10" t="s">
        <v>39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</row>
    <row r="2" spans="1:17" ht="14.25" x14ac:dyDescent="0.25">
      <c r="A2" s="40" t="s">
        <v>5</v>
      </c>
      <c r="B2" s="41">
        <v>35.839570000000002</v>
      </c>
      <c r="C2" s="41">
        <v>-87.223179999999999</v>
      </c>
      <c r="D2" s="31"/>
      <c r="E2" s="26" t="str">
        <f>IF(ISBLANK(tblSites[[#This Row],[Latitude]]),"",HYPERLINK("https://www.google.com/maps?q=" &amp; tblSites[[#This Row],[Latitude]] &amp; "," &amp; tblSites[[#This Row],[Longitude]], "View on Google Maps"))</f>
        <v>View on Google Maps</v>
      </c>
      <c r="F2" s="26" t="str">
        <f>IF(ISBLANK(tblSites[[#This Row],[Latitude]]),"",HYPERLINK("https://www.bing.com/maps?q=" &amp; tblSites[[#This Row],[Latitude]] &amp; "," &amp; tblSites[[#This Row],[Longitude]] &amp; "&amp;lvl=16", "View in Bing Maps"))</f>
        <v>View in Bing Maps</v>
      </c>
      <c r="G2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>View in FEMA Map Viewer</v>
      </c>
      <c r="H2" s="26" t="str">
        <f>IF(ISBLANK(tblSites[[#This Row],[Latitude]]),"",HYPERLINK("https://msc.fema.gov/portal/search?AddressQuery=" &amp; tblSites[[#This Row],[Longitude]] &amp; "%2C%20" &amp; tblSites[[#This Row],[Latitude]], "Flood Map Search"))</f>
        <v>Flood Map Search</v>
      </c>
      <c r="I2" s="26" t="str">
        <f>IF(ISBLANK(tblSites[[#This Row],[Latitude]]),"",HYPERLINK("https://msc.fema.gov/portal/firmette?latitude=" &amp; tblSites[[#This Row],[Latitude]] &amp; "&amp;longitude=" &amp; tblSites[[#This Row],[Longitude]], "Download Firmette"))</f>
        <v>Download Firmette</v>
      </c>
      <c r="J2" s="16"/>
      <c r="K2" s="17"/>
      <c r="L2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>View TDOT</v>
      </c>
      <c r="M2" s="34" t="s">
        <v>48</v>
      </c>
      <c r="N2" s="35" t="s">
        <v>49</v>
      </c>
      <c r="O2" s="35" t="s">
        <v>50</v>
      </c>
      <c r="P2" s="35" t="s">
        <v>51</v>
      </c>
      <c r="Q2" s="35"/>
    </row>
    <row r="3" spans="1:17" ht="14.25" x14ac:dyDescent="0.25">
      <c r="A3" s="40" t="s">
        <v>6</v>
      </c>
      <c r="B3" s="41">
        <v>35.831850000000003</v>
      </c>
      <c r="C3" s="41">
        <v>-87.224869999999996</v>
      </c>
      <c r="D3" s="31"/>
      <c r="E3" s="26" t="str">
        <f>IF(ISBLANK(tblSites[[#This Row],[Latitude]]),"",HYPERLINK("https://www.google.com/maps?q=" &amp; tblSites[[#This Row],[Latitude]] &amp; "," &amp; tblSites[[#This Row],[Longitude]], "View on Google Maps"))</f>
        <v>View on Google Maps</v>
      </c>
      <c r="F3" s="26" t="str">
        <f>IF(ISBLANK(tblSites[[#This Row],[Latitude]]),"",HYPERLINK("https://www.bing.com/maps?q=" &amp; tblSites[[#This Row],[Latitude]] &amp; "," &amp; tblSites[[#This Row],[Longitude]] &amp; "&amp;lvl=16", "View in Bing Maps"))</f>
        <v>View in Bing Maps</v>
      </c>
      <c r="G3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>View in FEMA Map Viewer</v>
      </c>
      <c r="H3" s="26" t="str">
        <f>IF(ISBLANK(tblSites[[#This Row],[Latitude]]),"",HYPERLINK("https://msc.fema.gov/portal/search?AddressQuery=" &amp; tblSites[[#This Row],[Longitude]] &amp; "%2C%20" &amp; tblSites[[#This Row],[Latitude]], "Flood Map Search"))</f>
        <v>Flood Map Search</v>
      </c>
      <c r="I3" s="26" t="str">
        <f>IF(ISBLANK(tblSites[[#This Row],[Latitude]]),"",HYPERLINK("https://msc.fema.gov/portal/firmette?latitude=" &amp; tblSites[[#This Row],[Latitude]] &amp; "&amp;longitude=" &amp; tblSites[[#This Row],[Longitude]], "Download Firmette"))</f>
        <v>Download Firmette</v>
      </c>
      <c r="J3" s="16"/>
      <c r="K3" s="17"/>
      <c r="L3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>View TDOT</v>
      </c>
      <c r="M3" s="34" t="s">
        <v>52</v>
      </c>
      <c r="N3" s="35" t="s">
        <v>53</v>
      </c>
      <c r="O3" s="35" t="s">
        <v>54</v>
      </c>
      <c r="P3" s="35" t="s">
        <v>55</v>
      </c>
      <c r="Q3" s="35"/>
    </row>
    <row r="4" spans="1:17" ht="14.25" x14ac:dyDescent="0.25">
      <c r="A4" s="40" t="s">
        <v>7</v>
      </c>
      <c r="B4" s="41">
        <v>35.677709999999998</v>
      </c>
      <c r="C4" s="41">
        <v>-87.552090000000007</v>
      </c>
      <c r="D4" s="31"/>
      <c r="E4" s="26" t="str">
        <f>IF(ISBLANK(tblSites[[#This Row],[Latitude]]),"",HYPERLINK("https://www.google.com/maps?q=" &amp; tblSites[[#This Row],[Latitude]] &amp; "," &amp; tblSites[[#This Row],[Longitude]], "View on Google Maps"))</f>
        <v>View on Google Maps</v>
      </c>
      <c r="F4" s="26" t="str">
        <f>IF(ISBLANK(tblSites[[#This Row],[Latitude]]),"",HYPERLINK("https://www.bing.com/maps?q=" &amp; tblSites[[#This Row],[Latitude]] &amp; "," &amp; tblSites[[#This Row],[Longitude]] &amp; "&amp;lvl=16", "View in Bing Maps"))</f>
        <v>View in Bing Maps</v>
      </c>
      <c r="G4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>View in FEMA Map Viewer</v>
      </c>
      <c r="H4" s="26" t="str">
        <f>IF(ISBLANK(tblSites[[#This Row],[Latitude]]),"",HYPERLINK("https://msc.fema.gov/portal/search?AddressQuery=" &amp; tblSites[[#This Row],[Longitude]] &amp; "%2C%20" &amp; tblSites[[#This Row],[Latitude]], "Flood Map Search"))</f>
        <v>Flood Map Search</v>
      </c>
      <c r="I4" s="26" t="str">
        <f>IF(ISBLANK(tblSites[[#This Row],[Latitude]]),"",HYPERLINK("https://msc.fema.gov/portal/firmette?latitude=" &amp; tblSites[[#This Row],[Latitude]] &amp; "&amp;longitude=" &amp; tblSites[[#This Row],[Longitude]], "Download Firmette"))</f>
        <v>Download Firmette</v>
      </c>
      <c r="J4" s="16"/>
      <c r="K4" s="17"/>
      <c r="L4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>View TDOT</v>
      </c>
      <c r="M4" s="38" t="s">
        <v>56</v>
      </c>
      <c r="N4" s="39" t="s">
        <v>57</v>
      </c>
      <c r="O4" s="39" t="s">
        <v>58</v>
      </c>
      <c r="P4" s="35" t="s">
        <v>59</v>
      </c>
      <c r="Q4" s="35"/>
    </row>
    <row r="5" spans="1:17" ht="14.25" x14ac:dyDescent="0.25">
      <c r="A5" s="40" t="s">
        <v>8</v>
      </c>
      <c r="B5" s="41">
        <v>35.6402</v>
      </c>
      <c r="C5" s="41">
        <v>-87.558639999999997</v>
      </c>
      <c r="D5" s="31"/>
      <c r="E5" s="26" t="str">
        <f>IF(ISBLANK(tblSites[[#This Row],[Latitude]]),"",HYPERLINK("https://www.google.com/maps?q=" &amp; tblSites[[#This Row],[Latitude]] &amp; "," &amp; tblSites[[#This Row],[Longitude]], "View on Google Maps"))</f>
        <v>View on Google Maps</v>
      </c>
      <c r="F5" s="26" t="str">
        <f>IF(ISBLANK(tblSites[[#This Row],[Latitude]]),"",HYPERLINK("https://www.bing.com/maps?q=" &amp; tblSites[[#This Row],[Latitude]] &amp; "," &amp; tblSites[[#This Row],[Longitude]] &amp; "&amp;lvl=16", "View in Bing Maps"))</f>
        <v>View in Bing Maps</v>
      </c>
      <c r="G5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>View in FEMA Map Viewer</v>
      </c>
      <c r="H5" s="26" t="str">
        <f>IF(ISBLANK(tblSites[[#This Row],[Latitude]]),"",HYPERLINK("https://msc.fema.gov/portal/search?AddressQuery=" &amp; tblSites[[#This Row],[Longitude]] &amp; "%2C%20" &amp; tblSites[[#This Row],[Latitude]], "Flood Map Search"))</f>
        <v>Flood Map Search</v>
      </c>
      <c r="I5" s="26" t="str">
        <f>IF(ISBLANK(tblSites[[#This Row],[Latitude]]),"",HYPERLINK("https://msc.fema.gov/portal/firmette?latitude=" &amp; tblSites[[#This Row],[Latitude]] &amp; "&amp;longitude=" &amp; tblSites[[#This Row],[Longitude]], "Download Firmette"))</f>
        <v>Download Firmette</v>
      </c>
      <c r="J5" s="16"/>
      <c r="K5" s="17"/>
      <c r="L5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>View TDOT</v>
      </c>
      <c r="M5" s="34" t="s">
        <v>48</v>
      </c>
      <c r="N5" s="35" t="s">
        <v>49</v>
      </c>
      <c r="O5" s="35" t="s">
        <v>60</v>
      </c>
      <c r="P5" s="35" t="s">
        <v>51</v>
      </c>
      <c r="Q5" s="35"/>
    </row>
    <row r="6" spans="1:17" ht="14.25" x14ac:dyDescent="0.25">
      <c r="A6" s="40" t="s">
        <v>9</v>
      </c>
      <c r="B6" s="41">
        <v>35.766730000000003</v>
      </c>
      <c r="C6" s="41">
        <v>-87.578879999999998</v>
      </c>
      <c r="D6" s="31"/>
      <c r="E6" s="26" t="str">
        <f>IF(ISBLANK(tblSites[[#This Row],[Latitude]]),"",HYPERLINK("https://www.google.com/maps?q=" &amp; tblSites[[#This Row],[Latitude]] &amp; "," &amp; tblSites[[#This Row],[Longitude]], "View on Google Maps"))</f>
        <v>View on Google Maps</v>
      </c>
      <c r="F6" s="26" t="str">
        <f>IF(ISBLANK(tblSites[[#This Row],[Latitude]]),"",HYPERLINK("https://www.bing.com/maps?q=" &amp; tblSites[[#This Row],[Latitude]] &amp; "," &amp; tblSites[[#This Row],[Longitude]] &amp; "&amp;lvl=16", "View in Bing Maps"))</f>
        <v>View in Bing Maps</v>
      </c>
      <c r="G6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>View in FEMA Map Viewer</v>
      </c>
      <c r="H6" s="26" t="str">
        <f>IF(ISBLANK(tblSites[[#This Row],[Latitude]]),"",HYPERLINK("https://msc.fema.gov/portal/search?AddressQuery=" &amp; tblSites[[#This Row],[Longitude]] &amp; "%2C%20" &amp; tblSites[[#This Row],[Latitude]], "Flood Map Search"))</f>
        <v>Flood Map Search</v>
      </c>
      <c r="I6" s="26" t="str">
        <f>IF(ISBLANK(tblSites[[#This Row],[Latitude]]),"",HYPERLINK("https://msc.fema.gov/portal/firmette?latitude=" &amp; tblSites[[#This Row],[Latitude]] &amp; "&amp;longitude=" &amp; tblSites[[#This Row],[Longitude]], "Download Firmette"))</f>
        <v>Download Firmette</v>
      </c>
      <c r="J6" s="16"/>
      <c r="K6" s="17"/>
      <c r="L6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>View TDOT</v>
      </c>
      <c r="M6" s="34" t="s">
        <v>52</v>
      </c>
      <c r="N6" s="35" t="s">
        <v>53</v>
      </c>
      <c r="O6" s="35" t="s">
        <v>61</v>
      </c>
      <c r="P6" s="35" t="s">
        <v>55</v>
      </c>
      <c r="Q6" s="35"/>
    </row>
    <row r="7" spans="1:17" ht="14.25" x14ac:dyDescent="0.25">
      <c r="A7" s="40" t="s">
        <v>10</v>
      </c>
      <c r="B7" s="41">
        <v>35.770490000000002</v>
      </c>
      <c r="C7" s="41">
        <v>-87.614400000000003</v>
      </c>
      <c r="D7" s="31"/>
      <c r="E7" s="26" t="str">
        <f>IF(ISBLANK(tblSites[[#This Row],[Latitude]]),"",HYPERLINK("https://www.google.com/maps?q=" &amp; tblSites[[#This Row],[Latitude]] &amp; "," &amp; tblSites[[#This Row],[Longitude]], "View on Google Maps"))</f>
        <v>View on Google Maps</v>
      </c>
      <c r="F7" s="26" t="str">
        <f>IF(ISBLANK(tblSites[[#This Row],[Latitude]]),"",HYPERLINK("https://www.bing.com/maps?q=" &amp; tblSites[[#This Row],[Latitude]] &amp; "," &amp; tblSites[[#This Row],[Longitude]] &amp; "&amp;lvl=16", "View in Bing Maps"))</f>
        <v>View in Bing Maps</v>
      </c>
      <c r="G7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>View in FEMA Map Viewer</v>
      </c>
      <c r="H7" s="26" t="str">
        <f>IF(ISBLANK(tblSites[[#This Row],[Latitude]]),"",HYPERLINK("https://msc.fema.gov/portal/search?AddressQuery=" &amp; tblSites[[#This Row],[Longitude]] &amp; "%2C%20" &amp; tblSites[[#This Row],[Latitude]], "Flood Map Search"))</f>
        <v>Flood Map Search</v>
      </c>
      <c r="I7" s="26" t="str">
        <f>IF(ISBLANK(tblSites[[#This Row],[Latitude]]),"",HYPERLINK("https://msc.fema.gov/portal/firmette?latitude=" &amp; tblSites[[#This Row],[Latitude]] &amp; "&amp;longitude=" &amp; tblSites[[#This Row],[Longitude]], "Download Firmette"))</f>
        <v>Download Firmette</v>
      </c>
      <c r="J7" s="16"/>
      <c r="K7" s="17"/>
      <c r="L7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>View TDOT</v>
      </c>
      <c r="M7" s="34" t="s">
        <v>62</v>
      </c>
      <c r="N7" s="35" t="s">
        <v>49</v>
      </c>
      <c r="O7" s="35" t="s">
        <v>63</v>
      </c>
      <c r="P7" s="35" t="s">
        <v>51</v>
      </c>
      <c r="Q7" s="35"/>
    </row>
    <row r="8" spans="1:17" ht="14.25" x14ac:dyDescent="0.25">
      <c r="A8" s="40" t="s">
        <v>11</v>
      </c>
      <c r="B8" s="41">
        <v>35.914160000000003</v>
      </c>
      <c r="C8" s="41">
        <v>-87.418809999999993</v>
      </c>
      <c r="D8" s="31"/>
      <c r="E8" s="26" t="str">
        <f>IF(ISBLANK(tblSites[[#This Row],[Latitude]]),"",HYPERLINK("https://www.google.com/maps?q=" &amp; tblSites[[#This Row],[Latitude]] &amp; "," &amp; tblSites[[#This Row],[Longitude]], "View on Google Maps"))</f>
        <v>View on Google Maps</v>
      </c>
      <c r="F8" s="26" t="str">
        <f>IF(ISBLANK(tblSites[[#This Row],[Latitude]]),"",HYPERLINK("https://www.bing.com/maps?q=" &amp; tblSites[[#This Row],[Latitude]] &amp; "," &amp; tblSites[[#This Row],[Longitude]] &amp; "&amp;lvl=16", "View in Bing Maps"))</f>
        <v>View in Bing Maps</v>
      </c>
      <c r="G8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>View in FEMA Map Viewer</v>
      </c>
      <c r="H8" s="26" t="str">
        <f>IF(ISBLANK(tblSites[[#This Row],[Latitude]]),"",HYPERLINK("https://msc.fema.gov/portal/search?AddressQuery=" &amp; tblSites[[#This Row],[Longitude]] &amp; "%2C%20" &amp; tblSites[[#This Row],[Latitude]], "Flood Map Search"))</f>
        <v>Flood Map Search</v>
      </c>
      <c r="I8" s="26" t="str">
        <f>IF(ISBLANK(tblSites[[#This Row],[Latitude]]),"",HYPERLINK("https://msc.fema.gov/portal/firmette?latitude=" &amp; tblSites[[#This Row],[Latitude]] &amp; "&amp;longitude=" &amp; tblSites[[#This Row],[Longitude]], "Download Firmette"))</f>
        <v>Download Firmette</v>
      </c>
      <c r="J8" s="16"/>
      <c r="K8" s="17"/>
      <c r="L8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>View TDOT</v>
      </c>
      <c r="M8" s="34" t="s">
        <v>64</v>
      </c>
      <c r="N8" s="35" t="s">
        <v>57</v>
      </c>
      <c r="O8" s="35" t="s">
        <v>65</v>
      </c>
      <c r="P8" s="35" t="s">
        <v>59</v>
      </c>
      <c r="Q8" s="35"/>
    </row>
    <row r="9" spans="1:17" ht="14.25" x14ac:dyDescent="0.25">
      <c r="A9" s="40" t="s">
        <v>12</v>
      </c>
      <c r="B9" s="41">
        <v>35.90748</v>
      </c>
      <c r="C9" s="41">
        <v>-87.406440000000003</v>
      </c>
      <c r="D9" s="31"/>
      <c r="E9" s="26" t="str">
        <f>IF(ISBLANK(tblSites[[#This Row],[Latitude]]),"",HYPERLINK("https://www.google.com/maps?q=" &amp; tblSites[[#This Row],[Latitude]] &amp; "," &amp; tblSites[[#This Row],[Longitude]], "View on Google Maps"))</f>
        <v>View on Google Maps</v>
      </c>
      <c r="F9" s="26" t="str">
        <f>IF(ISBLANK(tblSites[[#This Row],[Latitude]]),"",HYPERLINK("https://www.bing.com/maps?q=" &amp; tblSites[[#This Row],[Latitude]] &amp; "," &amp; tblSites[[#This Row],[Longitude]] &amp; "&amp;lvl=16", "View in Bing Maps"))</f>
        <v>View in Bing Maps</v>
      </c>
      <c r="G9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>View in FEMA Map Viewer</v>
      </c>
      <c r="H9" s="26" t="str">
        <f>IF(ISBLANK(tblSites[[#This Row],[Latitude]]),"",HYPERLINK("https://msc.fema.gov/portal/search?AddressQuery=" &amp; tblSites[[#This Row],[Longitude]] &amp; "%2C%20" &amp; tblSites[[#This Row],[Latitude]], "Flood Map Search"))</f>
        <v>Flood Map Search</v>
      </c>
      <c r="I9" s="26" t="str">
        <f>IF(ISBLANK(tblSites[[#This Row],[Latitude]]),"",HYPERLINK("https://msc.fema.gov/portal/firmette?latitude=" &amp; tblSites[[#This Row],[Latitude]] &amp; "&amp;longitude=" &amp; tblSites[[#This Row],[Longitude]], "Download Firmette"))</f>
        <v>Download Firmette</v>
      </c>
      <c r="J9" s="16"/>
      <c r="K9" s="17"/>
      <c r="L9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>View TDOT</v>
      </c>
      <c r="M9" s="34" t="s">
        <v>52</v>
      </c>
      <c r="N9" s="35" t="s">
        <v>53</v>
      </c>
      <c r="O9" s="35" t="s">
        <v>66</v>
      </c>
      <c r="P9" s="35" t="s">
        <v>55</v>
      </c>
      <c r="Q9" s="35"/>
    </row>
    <row r="10" spans="1:17" ht="14.25" x14ac:dyDescent="0.25">
      <c r="A10" s="40" t="s">
        <v>13</v>
      </c>
      <c r="B10" s="41">
        <v>35.89687</v>
      </c>
      <c r="C10" s="41">
        <v>-87.257990000000007</v>
      </c>
      <c r="D10" s="31"/>
      <c r="E10" s="26" t="str">
        <f>IF(ISBLANK(tblSites[[#This Row],[Latitude]]),"",HYPERLINK("https://www.google.com/maps?q=" &amp; tblSites[[#This Row],[Latitude]] &amp; "," &amp; tblSites[[#This Row],[Longitude]], "View on Google Maps"))</f>
        <v>View on Google Maps</v>
      </c>
      <c r="F10" s="26" t="str">
        <f>IF(ISBLANK(tblSites[[#This Row],[Latitude]]),"",HYPERLINK("https://www.bing.com/maps?q=" &amp; tblSites[[#This Row],[Latitude]] &amp; "," &amp; tblSites[[#This Row],[Longitude]] &amp; "&amp;lvl=16", "View in Bing Maps"))</f>
        <v>View in Bing Maps</v>
      </c>
      <c r="G10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>View in FEMA Map Viewer</v>
      </c>
      <c r="H10" s="26" t="str">
        <f>IF(ISBLANK(tblSites[[#This Row],[Latitude]]),"",HYPERLINK("https://msc.fema.gov/portal/search?AddressQuery=" &amp; tblSites[[#This Row],[Longitude]] &amp; "%2C%20" &amp; tblSites[[#This Row],[Latitude]], "Flood Map Search"))</f>
        <v>Flood Map Search</v>
      </c>
      <c r="I10" s="26" t="str">
        <f>IF(ISBLANK(tblSites[[#This Row],[Latitude]]),"",HYPERLINK("https://msc.fema.gov/portal/firmette?latitude=" &amp; tblSites[[#This Row],[Latitude]] &amp; "&amp;longitude=" &amp; tblSites[[#This Row],[Longitude]], "Download Firmette"))</f>
        <v>Download Firmette</v>
      </c>
      <c r="J10" s="16"/>
      <c r="K10" s="17"/>
      <c r="L10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>View TDOT</v>
      </c>
      <c r="M10" s="34" t="s">
        <v>52</v>
      </c>
      <c r="N10" s="35" t="s">
        <v>53</v>
      </c>
      <c r="O10" s="35" t="s">
        <v>67</v>
      </c>
      <c r="P10" s="35" t="s">
        <v>55</v>
      </c>
      <c r="Q10" s="35"/>
    </row>
    <row r="11" spans="1:17" ht="14.25" x14ac:dyDescent="0.25">
      <c r="A11" s="1"/>
      <c r="B11" s="30"/>
      <c r="C11" s="30"/>
      <c r="D11" s="31"/>
      <c r="E11" s="26" t="str">
        <f>IF(ISBLANK(tblSites[[#This Row],[Latitude]]),"",HYPERLINK("https://www.google.com/maps?q=" &amp; tblSites[[#This Row],[Latitude]] &amp; "," &amp; tblSites[[#This Row],[Longitude]], "View on Google Maps"))</f>
        <v/>
      </c>
      <c r="F11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11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11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11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11" s="15"/>
      <c r="K11" s="16"/>
      <c r="L11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11" s="35"/>
      <c r="N11" s="35"/>
      <c r="O11" s="35"/>
      <c r="P11" s="35"/>
      <c r="Q11" s="35"/>
    </row>
    <row r="12" spans="1:17" ht="14.25" x14ac:dyDescent="0.25">
      <c r="A12" s="1"/>
      <c r="B12" s="30"/>
      <c r="C12" s="30"/>
      <c r="D12" s="31"/>
      <c r="E12" s="26" t="str">
        <f>IF(ISBLANK(tblSites[[#This Row],[Latitude]]),"",HYPERLINK("https://www.google.com/maps?q=" &amp; tblSites[[#This Row],[Latitude]] &amp; "," &amp; tblSites[[#This Row],[Longitude]], "View on Google Maps"))</f>
        <v/>
      </c>
      <c r="F12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12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12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12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12" s="15"/>
      <c r="K12" s="16"/>
      <c r="L12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12" s="35"/>
      <c r="N12" s="35"/>
      <c r="O12" s="35"/>
      <c r="P12" s="35"/>
      <c r="Q12" s="35"/>
    </row>
    <row r="13" spans="1:17" ht="14.25" x14ac:dyDescent="0.25">
      <c r="A13" s="1"/>
      <c r="B13" s="30"/>
      <c r="C13" s="30"/>
      <c r="D13" s="31"/>
      <c r="E13" s="26" t="str">
        <f>IF(ISBLANK(tblSites[[#This Row],[Latitude]]),"",HYPERLINK("https://www.google.com/maps?q=" &amp; tblSites[[#This Row],[Latitude]] &amp; "," &amp; tblSites[[#This Row],[Longitude]], "View on Google Maps"))</f>
        <v/>
      </c>
      <c r="F13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13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13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13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13" s="15"/>
      <c r="K13" s="16"/>
      <c r="L13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13" s="35"/>
      <c r="N13" s="35"/>
      <c r="O13" s="35"/>
      <c r="P13" s="35"/>
      <c r="Q13" s="35"/>
    </row>
    <row r="14" spans="1:17" ht="14.25" x14ac:dyDescent="0.25">
      <c r="A14" s="1"/>
      <c r="B14" s="30"/>
      <c r="C14" s="30"/>
      <c r="D14" s="31"/>
      <c r="E14" s="26" t="str">
        <f>IF(ISBLANK(tblSites[[#This Row],[Latitude]]),"",HYPERLINK("https://www.google.com/maps?q=" &amp; tblSites[[#This Row],[Latitude]] &amp; "," &amp; tblSites[[#This Row],[Longitude]], "View on Google Maps"))</f>
        <v/>
      </c>
      <c r="F14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14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14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14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14" s="15"/>
      <c r="K14" s="16"/>
      <c r="L14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14" s="35"/>
      <c r="N14" s="35"/>
      <c r="O14" s="35"/>
      <c r="P14" s="35"/>
      <c r="Q14" s="35"/>
    </row>
    <row r="15" spans="1:17" ht="14.25" x14ac:dyDescent="0.25">
      <c r="A15" s="1"/>
      <c r="B15" s="30"/>
      <c r="C15" s="30"/>
      <c r="D15" s="31"/>
      <c r="E15" s="26" t="str">
        <f>IF(ISBLANK(tblSites[[#This Row],[Latitude]]),"",HYPERLINK("https://www.google.com/maps?q=" &amp; tblSites[[#This Row],[Latitude]] &amp; "," &amp; tblSites[[#This Row],[Longitude]], "View on Google Maps"))</f>
        <v/>
      </c>
      <c r="F15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15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15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15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15" s="15"/>
      <c r="K15" s="16"/>
      <c r="L15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15" s="35"/>
      <c r="N15" s="35"/>
      <c r="O15" s="35"/>
      <c r="P15" s="35"/>
      <c r="Q15" s="35"/>
    </row>
    <row r="16" spans="1:17" ht="14.25" x14ac:dyDescent="0.25">
      <c r="A16" s="1"/>
      <c r="B16" s="30"/>
      <c r="C16" s="30"/>
      <c r="D16" s="31"/>
      <c r="E16" s="26" t="str">
        <f>IF(ISBLANK(tblSites[[#This Row],[Latitude]]),"",HYPERLINK("https://www.google.com/maps?q=" &amp; tblSites[[#This Row],[Latitude]] &amp; "," &amp; tblSites[[#This Row],[Longitude]], "View on Google Maps"))</f>
        <v/>
      </c>
      <c r="F16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16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16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16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16" s="15"/>
      <c r="K16" s="16"/>
      <c r="L16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16" s="35"/>
      <c r="N16" s="35"/>
      <c r="O16" s="35"/>
      <c r="P16" s="35"/>
      <c r="Q16" s="35"/>
    </row>
    <row r="17" spans="1:17" ht="14.25" x14ac:dyDescent="0.25">
      <c r="A17" s="1"/>
      <c r="B17" s="30"/>
      <c r="C17" s="30"/>
      <c r="D17" s="31"/>
      <c r="E17" s="26" t="str">
        <f>IF(ISBLANK(tblSites[[#This Row],[Latitude]]),"",HYPERLINK("https://www.google.com/maps?q=" &amp; tblSites[[#This Row],[Latitude]] &amp; "," &amp; tblSites[[#This Row],[Longitude]], "View on Google Maps"))</f>
        <v/>
      </c>
      <c r="F17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17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17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17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17" s="15"/>
      <c r="K17" s="16"/>
      <c r="L17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17" s="35"/>
      <c r="N17" s="35"/>
      <c r="O17" s="35"/>
      <c r="P17" s="35"/>
      <c r="Q17" s="35"/>
    </row>
    <row r="18" spans="1:17" ht="14.25" x14ac:dyDescent="0.25">
      <c r="A18" s="1"/>
      <c r="B18" s="30"/>
      <c r="C18" s="30"/>
      <c r="D18" s="31"/>
      <c r="E18" s="26" t="str">
        <f>IF(ISBLANK(tblSites[[#This Row],[Latitude]]),"",HYPERLINK("https://www.google.com/maps?q=" &amp; tblSites[[#This Row],[Latitude]] &amp; "," &amp; tblSites[[#This Row],[Longitude]], "View on Google Maps"))</f>
        <v/>
      </c>
      <c r="F18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18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18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18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18" s="15"/>
      <c r="K18" s="16"/>
      <c r="L18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18" s="35"/>
      <c r="N18" s="35"/>
      <c r="O18" s="35"/>
      <c r="P18" s="35"/>
      <c r="Q18" s="35"/>
    </row>
    <row r="19" spans="1:17" ht="14.25" x14ac:dyDescent="0.25">
      <c r="A19" s="1"/>
      <c r="B19" s="30"/>
      <c r="C19" s="30"/>
      <c r="D19" s="31"/>
      <c r="E19" s="26" t="str">
        <f>IF(ISBLANK(tblSites[[#This Row],[Latitude]]),"",HYPERLINK("https://www.google.com/maps?q=" &amp; tblSites[[#This Row],[Latitude]] &amp; "," &amp; tblSites[[#This Row],[Longitude]], "View on Google Maps"))</f>
        <v/>
      </c>
      <c r="F19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19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19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19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19" s="15"/>
      <c r="K19" s="16"/>
      <c r="L19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19" s="35"/>
      <c r="N19" s="35"/>
      <c r="O19" s="35"/>
      <c r="P19" s="35"/>
      <c r="Q19" s="35"/>
    </row>
    <row r="20" spans="1:17" ht="14.25" x14ac:dyDescent="0.25">
      <c r="A20" s="1"/>
      <c r="B20" s="30"/>
      <c r="C20" s="30"/>
      <c r="D20" s="31"/>
      <c r="E20" s="26" t="str">
        <f>IF(ISBLANK(tblSites[[#This Row],[Latitude]]),"",HYPERLINK("https://www.google.com/maps?q=" &amp; tblSites[[#This Row],[Latitude]] &amp; "," &amp; tblSites[[#This Row],[Longitude]], "View on Google Maps"))</f>
        <v/>
      </c>
      <c r="F20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20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20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20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20" s="15"/>
      <c r="K20" s="16"/>
      <c r="L20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20" s="35"/>
      <c r="N20" s="35"/>
      <c r="O20" s="35"/>
      <c r="P20" s="35"/>
      <c r="Q20" s="35"/>
    </row>
    <row r="21" spans="1:17" ht="14.25" x14ac:dyDescent="0.25">
      <c r="A21" s="1"/>
      <c r="B21" s="30"/>
      <c r="C21" s="30"/>
      <c r="D21" s="31"/>
      <c r="E21" s="26" t="str">
        <f>IF(ISBLANK(tblSites[[#This Row],[Latitude]]),"",HYPERLINK("https://www.google.com/maps?q=" &amp; tblSites[[#This Row],[Latitude]] &amp; "," &amp; tblSites[[#This Row],[Longitude]], "View on Google Maps"))</f>
        <v/>
      </c>
      <c r="F21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21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21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21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21" s="15"/>
      <c r="K21" s="16"/>
      <c r="L21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21" s="35"/>
      <c r="N21" s="35"/>
      <c r="O21" s="35"/>
      <c r="P21" s="35"/>
      <c r="Q21" s="35"/>
    </row>
    <row r="22" spans="1:17" ht="14.25" x14ac:dyDescent="0.25">
      <c r="A22" s="1"/>
      <c r="B22" s="30"/>
      <c r="C22" s="30"/>
      <c r="D22" s="31"/>
      <c r="E22" s="26" t="str">
        <f>IF(ISBLANK(tblSites[[#This Row],[Latitude]]),"",HYPERLINK("https://www.google.com/maps?q=" &amp; tblSites[[#This Row],[Latitude]] &amp; "," &amp; tblSites[[#This Row],[Longitude]], "View on Google Maps"))</f>
        <v/>
      </c>
      <c r="F22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22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22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22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22" s="15"/>
      <c r="K22" s="16"/>
      <c r="L22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22" s="35"/>
      <c r="N22" s="35"/>
      <c r="O22" s="35"/>
      <c r="P22" s="35"/>
      <c r="Q22" s="35"/>
    </row>
    <row r="23" spans="1:17" ht="14.25" x14ac:dyDescent="0.25">
      <c r="A23" s="1"/>
      <c r="B23" s="30"/>
      <c r="C23" s="30"/>
      <c r="D23" s="31"/>
      <c r="E23" s="26" t="str">
        <f>IF(ISBLANK(tblSites[[#This Row],[Latitude]]),"",HYPERLINK("https://www.google.com/maps?q=" &amp; tblSites[[#This Row],[Latitude]] &amp; "," &amp; tblSites[[#This Row],[Longitude]], "View on Google Maps"))</f>
        <v/>
      </c>
      <c r="F23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23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23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23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23" s="15"/>
      <c r="K23" s="16"/>
      <c r="L23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23" s="35"/>
      <c r="N23" s="35"/>
      <c r="O23" s="35"/>
      <c r="P23" s="35"/>
      <c r="Q23" s="35"/>
    </row>
    <row r="24" spans="1:17" ht="14.25" x14ac:dyDescent="0.25">
      <c r="A24" s="1"/>
      <c r="B24" s="30"/>
      <c r="C24" s="30"/>
      <c r="D24" s="31"/>
      <c r="E24" s="26" t="str">
        <f>IF(ISBLANK(tblSites[[#This Row],[Latitude]]),"",HYPERLINK("https://www.google.com/maps?q=" &amp; tblSites[[#This Row],[Latitude]] &amp; "," &amp; tblSites[[#This Row],[Longitude]], "View on Google Maps"))</f>
        <v/>
      </c>
      <c r="F24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24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24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24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24" s="15"/>
      <c r="K24" s="16"/>
      <c r="L24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24" s="35"/>
      <c r="N24" s="35"/>
      <c r="O24" s="35"/>
      <c r="P24" s="35"/>
      <c r="Q24" s="35"/>
    </row>
    <row r="25" spans="1:17" ht="14.25" x14ac:dyDescent="0.25">
      <c r="A25" s="1"/>
      <c r="B25" s="30"/>
      <c r="C25" s="30"/>
      <c r="D25" s="31"/>
      <c r="E25" s="26" t="str">
        <f>IF(ISBLANK(tblSites[[#This Row],[Latitude]]),"",HYPERLINK("https://www.google.com/maps?q=" &amp; tblSites[[#This Row],[Latitude]] &amp; "," &amp; tblSites[[#This Row],[Longitude]], "View on Google Maps"))</f>
        <v/>
      </c>
      <c r="F25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25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25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25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25" s="15"/>
      <c r="K25" s="16"/>
      <c r="L25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25" s="35"/>
      <c r="N25" s="35"/>
      <c r="O25" s="35"/>
      <c r="P25" s="35"/>
      <c r="Q25" s="35"/>
    </row>
    <row r="26" spans="1:17" ht="14.25" x14ac:dyDescent="0.25">
      <c r="A26" s="1"/>
      <c r="B26" s="30"/>
      <c r="C26" s="30"/>
      <c r="D26" s="31"/>
      <c r="E26" s="26" t="str">
        <f>IF(ISBLANK(tblSites[[#This Row],[Latitude]]),"",HYPERLINK("https://www.google.com/maps?q=" &amp; tblSites[[#This Row],[Latitude]] &amp; "," &amp; tblSites[[#This Row],[Longitude]], "View on Google Maps"))</f>
        <v/>
      </c>
      <c r="F26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26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26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26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26" s="15"/>
      <c r="K26" s="16"/>
      <c r="L26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26" s="35"/>
      <c r="N26" s="35"/>
      <c r="O26" s="35"/>
      <c r="P26" s="35"/>
      <c r="Q26" s="35"/>
    </row>
    <row r="27" spans="1:17" ht="14.25" x14ac:dyDescent="0.25">
      <c r="A27" s="1"/>
      <c r="B27" s="30"/>
      <c r="C27" s="30"/>
      <c r="D27" s="31"/>
      <c r="E27" s="26" t="str">
        <f>IF(ISBLANK(tblSites[[#This Row],[Latitude]]),"",HYPERLINK("https://www.google.com/maps?q=" &amp; tblSites[[#This Row],[Latitude]] &amp; "," &amp; tblSites[[#This Row],[Longitude]], "View on Google Maps"))</f>
        <v/>
      </c>
      <c r="F27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27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27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27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27" s="15"/>
      <c r="K27" s="16"/>
      <c r="L27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27" s="35"/>
      <c r="N27" s="35"/>
      <c r="O27" s="35"/>
      <c r="P27" s="35"/>
      <c r="Q27" s="35"/>
    </row>
    <row r="28" spans="1:17" ht="14.25" x14ac:dyDescent="0.25">
      <c r="A28" s="1"/>
      <c r="B28" s="30"/>
      <c r="C28" s="30"/>
      <c r="D28" s="31"/>
      <c r="E28" s="26" t="str">
        <f>IF(ISBLANK(tblSites[[#This Row],[Latitude]]),"",HYPERLINK("https://www.google.com/maps?q=" &amp; tblSites[[#This Row],[Latitude]] &amp; "," &amp; tblSites[[#This Row],[Longitude]], "View on Google Maps"))</f>
        <v/>
      </c>
      <c r="F28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28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28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28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28" s="15"/>
      <c r="K28" s="16"/>
      <c r="L28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28" s="35"/>
      <c r="N28" s="35"/>
      <c r="O28" s="35"/>
      <c r="P28" s="35"/>
      <c r="Q28" s="35"/>
    </row>
    <row r="29" spans="1:17" ht="14.25" x14ac:dyDescent="0.25">
      <c r="A29" s="1"/>
      <c r="B29" s="30"/>
      <c r="C29" s="30"/>
      <c r="D29" s="31"/>
      <c r="E29" s="26" t="str">
        <f>IF(ISBLANK(tblSites[[#This Row],[Latitude]]),"",HYPERLINK("https://www.google.com/maps?q=" &amp; tblSites[[#This Row],[Latitude]] &amp; "," &amp; tblSites[[#This Row],[Longitude]], "View on Google Maps"))</f>
        <v/>
      </c>
      <c r="F29" s="26" t="str">
        <f>IF(ISBLANK(tblSites[[#This Row],[Latitude]]),"",HYPERLINK("https://www.bing.com/maps?q=" &amp; tblSites[[#This Row],[Latitude]] &amp; "," &amp; tblSites[[#This Row],[Longitude]] &amp; "&amp;lvl=16", "View in Bing Maps"))</f>
        <v/>
      </c>
      <c r="G29" s="26" t="str">
        <f>IF(OR(ISBLANK(tblSites[[#This Row],[Latitude]]),ISBLANK(tblSites[[#This Row],[Longitude]])),"",HYPERLINK("https://fema.maps.arcgis.com/apps/mapviewer/index.html?find="&amp;SUBSTITUTE(tblSites[[#This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in FEMA Map Viewer"))</f>
        <v/>
      </c>
      <c r="H29" s="27" t="str">
        <f>IF(ISBLANK(tblSites[[#This Row],[Latitude]]),"",HYPERLINK("https://msc.fema.gov/portal/search?AddressQuery=" &amp; tblSites[[#This Row],[Longitude]] &amp; "%2C%20" &amp; tblSites[[#This Row],[Latitude]], "Flood Map Search"))</f>
        <v/>
      </c>
      <c r="I29" s="27" t="str">
        <f>IF(ISBLANK(tblSites[[#This Row],[Latitude]]),"",HYPERLINK("https://msc.fema.gov/portal/firmette?latitude=" &amp; tblSites[[#This Row],[Latitude]] &amp; "&amp;longitude=" &amp; tblSites[[#This Row],[Longitude]], "Download Firmette"))</f>
        <v/>
      </c>
      <c r="J29" s="15"/>
      <c r="K29" s="16"/>
      <c r="L29" s="22" t="str">
        <f>IF(OR(tblSites[[#This Row],[Latitude]]="",tblSites[[#This Row],[Longitude]]=""),"",HYPERLINK("https://www.arcgis.com/apps/mapviewer/index.html?webmap=530694235e074e73a4f78f1a1a244b65&amp;find="&amp;SUBSTITUTE(tblSites[[#This Row],[Longitude]],",",".")&amp;"%2C"&amp;SUBSTITUTE(tblSites[[#This Row],[Latitude]],",",".")&amp;"&amp;marker="&amp;SUBSTITUTE(tblSites[[#This Row],[Longitude]],",",".")&amp;","&amp;SUBSTITUTE(tblSites[[#This Row],[Latitude]],",",".")&amp;",4326&amp;level=16","View TDOT"))</f>
        <v/>
      </c>
      <c r="M29" s="35"/>
      <c r="N29" s="35"/>
      <c r="O29" s="35"/>
      <c r="P29" s="35"/>
      <c r="Q29" s="35"/>
    </row>
    <row r="30" spans="1:17" x14ac:dyDescent="0.25">
      <c r="E30" s="28" t="str">
        <f t="shared" ref="E30:E36" si="0">IF(ISBLANK(B30),"",HYPERLINK("https://www.google.com/maps?q=" &amp; B30 &amp; "," &amp; C30, "View on Google Maps"))</f>
        <v/>
      </c>
      <c r="F30" s="28"/>
      <c r="G30" s="28" t="str">
        <f t="shared" ref="G30:G36" si="1">IF(
    ISBLANK(B30),
    "",
    HYPERLINK(
        "https://fema.maps.arcgis.com/apps/mapviewer/index.html?center=" &amp; C30 &amp; "," &amp; B30 &amp; "&amp;level=16",
        "View in FEMA Map Viewer"
    )
)</f>
        <v/>
      </c>
      <c r="H30" s="28" t="str">
        <f t="shared" ref="H30:H36" si="2">IF(ISBLANK(B30),"",HYPERLINK("https://msc.fema.gov/portal/search?AddressQuery="&amp;C30&amp;"%2C%20"&amp;B30,"Flood Map Search"))</f>
        <v/>
      </c>
      <c r="I30" s="28" t="str">
        <f t="shared" ref="I30:I36" si="3">IF(ISBLANK(B30),"",HYPERLINK("https://msc.fema.gov/portal/firmette?latitude="&amp;B30&amp;"&amp;longitude="&amp;C30,"Download Firmette"))</f>
        <v/>
      </c>
      <c r="L30" s="11"/>
      <c r="M30" s="24"/>
    </row>
    <row r="31" spans="1:17" x14ac:dyDescent="0.25">
      <c r="E31" s="28" t="str">
        <f t="shared" si="0"/>
        <v/>
      </c>
      <c r="F31" s="28"/>
      <c r="G31" s="28" t="str">
        <f t="shared" si="1"/>
        <v/>
      </c>
      <c r="H31" s="28" t="str">
        <f t="shared" si="2"/>
        <v/>
      </c>
      <c r="I31" s="28" t="str">
        <f t="shared" si="3"/>
        <v/>
      </c>
      <c r="L31" s="11"/>
      <c r="M31" s="24"/>
    </row>
    <row r="32" spans="1:17" x14ac:dyDescent="0.25">
      <c r="E32" s="28" t="str">
        <f t="shared" si="0"/>
        <v/>
      </c>
      <c r="F32" s="28"/>
      <c r="G32" s="28" t="str">
        <f t="shared" si="1"/>
        <v/>
      </c>
      <c r="H32" s="28" t="str">
        <f t="shared" si="2"/>
        <v/>
      </c>
      <c r="I32" s="28" t="str">
        <f t="shared" si="3"/>
        <v/>
      </c>
      <c r="L32" s="11"/>
      <c r="M32" s="24"/>
    </row>
    <row r="33" spans="5:13" x14ac:dyDescent="0.25">
      <c r="E33" s="28" t="str">
        <f t="shared" si="0"/>
        <v/>
      </c>
      <c r="F33" s="28"/>
      <c r="G33" s="28" t="str">
        <f t="shared" si="1"/>
        <v/>
      </c>
      <c r="H33" s="28" t="str">
        <f t="shared" si="2"/>
        <v/>
      </c>
      <c r="I33" s="28" t="str">
        <f t="shared" si="3"/>
        <v/>
      </c>
      <c r="L33" s="11"/>
      <c r="M33" s="24"/>
    </row>
    <row r="34" spans="5:13" x14ac:dyDescent="0.25">
      <c r="E34" s="28" t="str">
        <f t="shared" si="0"/>
        <v/>
      </c>
      <c r="F34" s="28"/>
      <c r="G34" s="28" t="str">
        <f t="shared" si="1"/>
        <v/>
      </c>
      <c r="H34" s="28" t="str">
        <f t="shared" si="2"/>
        <v/>
      </c>
      <c r="I34" s="28" t="str">
        <f t="shared" si="3"/>
        <v/>
      </c>
      <c r="L34" s="11"/>
      <c r="M34" s="24"/>
    </row>
    <row r="35" spans="5:13" x14ac:dyDescent="0.25">
      <c r="E35" s="28" t="str">
        <f t="shared" si="0"/>
        <v/>
      </c>
      <c r="F35" s="28"/>
      <c r="G35" s="28" t="str">
        <f t="shared" si="1"/>
        <v/>
      </c>
      <c r="H35" s="28" t="str">
        <f t="shared" si="2"/>
        <v/>
      </c>
      <c r="I35" s="28" t="str">
        <f t="shared" si="3"/>
        <v/>
      </c>
      <c r="L35" s="11"/>
      <c r="M35" s="24"/>
    </row>
    <row r="36" spans="5:13" x14ac:dyDescent="0.25">
      <c r="E36" s="28" t="str">
        <f t="shared" si="0"/>
        <v/>
      </c>
      <c r="F36" s="28"/>
      <c r="G36" s="28" t="str">
        <f t="shared" si="1"/>
        <v/>
      </c>
      <c r="H36" s="28" t="str">
        <f t="shared" si="2"/>
        <v/>
      </c>
      <c r="I36" s="28" t="str">
        <f t="shared" si="3"/>
        <v/>
      </c>
      <c r="L36" s="11"/>
      <c r="M36" s="24"/>
    </row>
  </sheetData>
  <phoneticPr fontId="1" type="noConversion"/>
  <dataValidations count="2">
    <dataValidation type="decimal" allowBlank="1" showInputMessage="1" showErrorMessage="1" errorTitle="Invalid Latitude" error="Latitude must be between -90 and 90." promptTitle="Latitude" prompt="Enter a value between -90 and 90." sqref="B2:B1048576" xr:uid="{D11D6E42-6EAD-446A-9BB4-B17683606332}">
      <formula1>-90</formula1>
      <formula2>90</formula2>
    </dataValidation>
    <dataValidation type="decimal" allowBlank="1" showInputMessage="1" showErrorMessage="1" errorTitle="Invalid Longitude" error="Longitude must be between -180 and 180." promptTitle="Longitude" prompt="Enter a value between -180 and 180." sqref="C2:C1048576" xr:uid="{0450CE19-F5F8-4B94-BCA9-364AB2474195}">
      <formula1>-180</formula1>
      <formula2>180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PointsToKML_WithDialog">
                <anchor moveWithCells="1" sizeWithCells="1">
                  <from>
                    <xdr:col>13</xdr:col>
                    <xdr:colOff>581025</xdr:colOff>
                    <xdr:row>0</xdr:row>
                    <xdr:rowOff>104775</xdr:rowOff>
                  </from>
                  <to>
                    <xdr:col>18</xdr:col>
                    <xdr:colOff>266700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ownloadFirmettes">
                <anchor moveWithCells="1" sizeWithCells="1">
                  <from>
                    <xdr:col>13</xdr:col>
                    <xdr:colOff>581025</xdr:colOff>
                    <xdr:row>1</xdr:row>
                    <xdr:rowOff>352425</xdr:rowOff>
                  </from>
                  <to>
                    <xdr:col>18</xdr:col>
                    <xdr:colOff>266700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C9770-9D0A-41B2-8AF8-E951D0F33A4E}">
  <sheetPr codeName="Sheet11">
    <tabColor rgb="FF005EA2"/>
  </sheetPr>
  <dimension ref="A1:Q36"/>
  <sheetViews>
    <sheetView zoomScale="55" zoomScaleNormal="55" workbookViewId="0">
      <pane ySplit="1" topLeftCell="A2" activePane="bottomLeft" state="frozenSplit"/>
      <selection pane="bottomLeft" activeCell="I36" sqref="I36"/>
    </sheetView>
  </sheetViews>
  <sheetFormatPr defaultColWidth="9.140625" defaultRowHeight="15" x14ac:dyDescent="0.25"/>
  <cols>
    <col min="1" max="1" width="34.7109375" style="12" customWidth="1"/>
    <col min="2" max="3" width="13.7109375" style="13" customWidth="1"/>
    <col min="4" max="4" width="19.5703125" style="14" customWidth="1"/>
    <col min="5" max="8" width="25.7109375" style="29" customWidth="1"/>
    <col min="9" max="9" width="20.140625" style="29" customWidth="1"/>
    <col min="10" max="10" width="24.7109375" style="12" customWidth="1"/>
    <col min="11" max="11" width="46.85546875" customWidth="1"/>
    <col min="12" max="12" width="34.85546875" style="12" customWidth="1"/>
    <col min="13" max="13" width="30.28515625" style="25" bestFit="1" customWidth="1"/>
    <col min="14" max="14" width="19.42578125" bestFit="1" customWidth="1"/>
    <col min="15" max="15" width="42.28515625" style="12" customWidth="1"/>
    <col min="16" max="16" width="32.85546875" style="1" customWidth="1"/>
    <col min="17" max="17" width="47.28515625" style="1" customWidth="1"/>
    <col min="18" max="18" width="40.85546875" style="1" customWidth="1"/>
    <col min="19" max="19" width="71.28515625" style="1" customWidth="1"/>
    <col min="20" max="16384" width="9.140625" style="1"/>
  </cols>
  <sheetData>
    <row r="1" spans="1:17" ht="24" customHeight="1" x14ac:dyDescent="0.25">
      <c r="A1" s="32" t="s">
        <v>0</v>
      </c>
      <c r="B1" s="32" t="s">
        <v>1</v>
      </c>
      <c r="C1" s="32" t="s">
        <v>2</v>
      </c>
      <c r="D1" s="33" t="s">
        <v>44</v>
      </c>
      <c r="E1" s="10" t="s">
        <v>3</v>
      </c>
      <c r="F1" s="10" t="s">
        <v>15</v>
      </c>
      <c r="G1" s="10" t="s">
        <v>21</v>
      </c>
      <c r="H1" s="10" t="s">
        <v>14</v>
      </c>
      <c r="I1" s="10" t="s">
        <v>4</v>
      </c>
      <c r="J1" s="10" t="s">
        <v>16</v>
      </c>
      <c r="K1" s="10" t="s">
        <v>40</v>
      </c>
      <c r="L1" s="10" t="s">
        <v>39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</row>
    <row r="2" spans="1:17" ht="14.25" x14ac:dyDescent="0.25">
      <c r="A2" s="1"/>
      <c r="B2" s="30"/>
      <c r="C2" s="30"/>
      <c r="D2" s="31"/>
      <c r="E2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2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2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2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2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2" s="16"/>
      <c r="K2" s="17"/>
      <c r="L2" s="22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2" s="34"/>
      <c r="N2" s="35"/>
      <c r="O2" s="35"/>
      <c r="P2" s="35"/>
      <c r="Q2" s="35"/>
    </row>
    <row r="3" spans="1:17" ht="14.25" x14ac:dyDescent="0.25">
      <c r="A3" s="1"/>
      <c r="B3" s="30"/>
      <c r="C3" s="30"/>
      <c r="D3" s="31"/>
      <c r="E3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3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3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3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3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3" s="16"/>
      <c r="K3" s="17"/>
      <c r="L3" s="22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3" s="34"/>
      <c r="N3" s="35"/>
      <c r="O3" s="35"/>
      <c r="P3" s="35"/>
      <c r="Q3" s="35"/>
    </row>
    <row r="4" spans="1:17" ht="14.25" x14ac:dyDescent="0.25">
      <c r="A4" s="1"/>
      <c r="B4" s="30"/>
      <c r="C4" s="30"/>
      <c r="D4" s="31"/>
      <c r="E4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4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4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4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4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4" s="16"/>
      <c r="K4" s="17"/>
      <c r="L4" s="22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4" s="34"/>
      <c r="N4" s="35"/>
      <c r="O4" s="35"/>
      <c r="P4" s="35"/>
      <c r="Q4" s="35"/>
    </row>
    <row r="5" spans="1:17" ht="14.25" x14ac:dyDescent="0.25">
      <c r="A5" s="1"/>
      <c r="B5" s="30"/>
      <c r="C5" s="30"/>
      <c r="D5" s="31"/>
      <c r="E5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5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5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5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5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5" s="16"/>
      <c r="K5" s="17"/>
      <c r="L5" s="22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5" s="34"/>
      <c r="N5" s="35"/>
      <c r="O5" s="35"/>
      <c r="P5" s="35"/>
      <c r="Q5" s="35"/>
    </row>
    <row r="6" spans="1:17" ht="14.25" x14ac:dyDescent="0.25">
      <c r="A6" s="1"/>
      <c r="B6" s="30"/>
      <c r="C6" s="30"/>
      <c r="D6" s="31"/>
      <c r="E6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6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6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6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6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6" s="16"/>
      <c r="K6" s="17"/>
      <c r="L6" s="22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6" s="34"/>
      <c r="N6" s="35"/>
      <c r="O6" s="35"/>
      <c r="P6" s="35"/>
      <c r="Q6" s="35"/>
    </row>
    <row r="7" spans="1:17" ht="14.25" x14ac:dyDescent="0.25">
      <c r="A7" s="1"/>
      <c r="B7" s="30"/>
      <c r="C7" s="30"/>
      <c r="D7" s="31"/>
      <c r="E7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7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7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7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7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7" s="16"/>
      <c r="K7" s="17"/>
      <c r="L7" s="22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7" s="34"/>
      <c r="N7" s="35"/>
      <c r="O7" s="35"/>
      <c r="P7" s="35"/>
      <c r="Q7" s="35"/>
    </row>
    <row r="8" spans="1:17" ht="14.25" x14ac:dyDescent="0.25">
      <c r="A8" s="1"/>
      <c r="B8" s="30"/>
      <c r="C8" s="30"/>
      <c r="D8" s="31"/>
      <c r="E8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8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8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8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8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8" s="16"/>
      <c r="K8" s="17"/>
      <c r="L8" s="22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8" s="34"/>
      <c r="N8" s="35"/>
      <c r="O8" s="35"/>
      <c r="P8" s="35"/>
      <c r="Q8" s="35"/>
    </row>
    <row r="9" spans="1:17" ht="14.25" x14ac:dyDescent="0.25">
      <c r="A9" s="1"/>
      <c r="B9" s="30"/>
      <c r="C9" s="30"/>
      <c r="D9" s="31"/>
      <c r="E9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9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9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9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9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9" s="16"/>
      <c r="K9" s="17"/>
      <c r="L9" s="22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9" s="34"/>
      <c r="N9" s="35"/>
      <c r="O9" s="35"/>
      <c r="P9" s="35"/>
      <c r="Q9" s="35"/>
    </row>
    <row r="10" spans="1:17" ht="14.25" x14ac:dyDescent="0.25">
      <c r="A10" s="1"/>
      <c r="B10" s="30"/>
      <c r="C10" s="30"/>
      <c r="D10" s="31"/>
      <c r="E10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10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10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10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10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10" s="16"/>
      <c r="K10" s="17"/>
      <c r="L10" s="22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10" s="34"/>
      <c r="N10" s="35"/>
      <c r="O10" s="35"/>
      <c r="P10" s="35"/>
      <c r="Q10" s="35"/>
    </row>
    <row r="11" spans="1:17" ht="14.25" x14ac:dyDescent="0.25">
      <c r="A11" s="1"/>
      <c r="B11" s="30"/>
      <c r="C11" s="30"/>
      <c r="D11" s="31"/>
      <c r="E11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11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11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11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11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11" s="16"/>
      <c r="K11" s="16"/>
      <c r="L11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11" s="35"/>
      <c r="N11" s="35"/>
      <c r="O11" s="35"/>
      <c r="P11" s="35"/>
      <c r="Q11" s="35"/>
    </row>
    <row r="12" spans="1:17" ht="14.25" x14ac:dyDescent="0.25">
      <c r="A12" s="1"/>
      <c r="B12" s="30"/>
      <c r="C12" s="30"/>
      <c r="D12" s="31"/>
      <c r="E12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12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12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12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12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12" s="16"/>
      <c r="K12" s="16"/>
      <c r="L12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12" s="35"/>
      <c r="N12" s="35"/>
      <c r="O12" s="35"/>
      <c r="P12" s="35"/>
      <c r="Q12" s="35"/>
    </row>
    <row r="13" spans="1:17" ht="14.25" x14ac:dyDescent="0.25">
      <c r="A13" s="1"/>
      <c r="B13" s="30"/>
      <c r="C13" s="30"/>
      <c r="D13" s="31"/>
      <c r="E13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13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13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13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13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13" s="16"/>
      <c r="K13" s="16"/>
      <c r="L13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13" s="35"/>
      <c r="N13" s="35"/>
      <c r="O13" s="35"/>
      <c r="P13" s="35"/>
      <c r="Q13" s="35"/>
    </row>
    <row r="14" spans="1:17" ht="14.25" x14ac:dyDescent="0.25">
      <c r="A14" s="1"/>
      <c r="B14" s="30"/>
      <c r="C14" s="30"/>
      <c r="D14" s="31"/>
      <c r="E14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14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14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14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14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14" s="16"/>
      <c r="K14" s="16"/>
      <c r="L14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14" s="35"/>
      <c r="N14" s="35"/>
      <c r="O14" s="35"/>
      <c r="P14" s="35"/>
      <c r="Q14" s="35"/>
    </row>
    <row r="15" spans="1:17" ht="14.25" x14ac:dyDescent="0.25">
      <c r="A15" s="1"/>
      <c r="B15" s="30"/>
      <c r="C15" s="30"/>
      <c r="D15" s="31"/>
      <c r="E15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15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15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15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15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15" s="16"/>
      <c r="K15" s="16"/>
      <c r="L15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15" s="35"/>
      <c r="N15" s="35"/>
      <c r="O15" s="35"/>
      <c r="P15" s="35"/>
      <c r="Q15" s="35"/>
    </row>
    <row r="16" spans="1:17" ht="14.25" x14ac:dyDescent="0.25">
      <c r="A16" s="1"/>
      <c r="B16" s="30"/>
      <c r="C16" s="30"/>
      <c r="D16" s="31"/>
      <c r="E16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16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16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16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16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16" s="16"/>
      <c r="K16" s="16"/>
      <c r="L16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16" s="35"/>
      <c r="N16" s="35"/>
      <c r="O16" s="35"/>
      <c r="P16" s="35"/>
      <c r="Q16" s="35"/>
    </row>
    <row r="17" spans="1:17" ht="14.25" x14ac:dyDescent="0.25">
      <c r="A17" s="1"/>
      <c r="B17" s="30"/>
      <c r="C17" s="30"/>
      <c r="D17" s="31"/>
      <c r="E17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17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17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17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17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17" s="16"/>
      <c r="K17" s="16"/>
      <c r="L17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17" s="35"/>
      <c r="N17" s="35"/>
      <c r="O17" s="35"/>
      <c r="P17" s="35"/>
      <c r="Q17" s="35"/>
    </row>
    <row r="18" spans="1:17" ht="14.25" x14ac:dyDescent="0.25">
      <c r="A18" s="1"/>
      <c r="B18" s="30"/>
      <c r="C18" s="30"/>
      <c r="D18" s="31"/>
      <c r="E18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18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18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18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18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18" s="16"/>
      <c r="K18" s="16"/>
      <c r="L18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18" s="35"/>
      <c r="N18" s="35"/>
      <c r="O18" s="35"/>
      <c r="P18" s="35"/>
      <c r="Q18" s="35"/>
    </row>
    <row r="19" spans="1:17" ht="14.25" x14ac:dyDescent="0.25">
      <c r="A19" s="1"/>
      <c r="B19" s="30"/>
      <c r="C19" s="30"/>
      <c r="D19" s="31"/>
      <c r="E19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19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19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19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19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19" s="16"/>
      <c r="K19" s="16"/>
      <c r="L19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19" s="35"/>
      <c r="N19" s="35"/>
      <c r="O19" s="35"/>
      <c r="P19" s="35"/>
      <c r="Q19" s="35"/>
    </row>
    <row r="20" spans="1:17" ht="14.25" x14ac:dyDescent="0.25">
      <c r="A20" s="1"/>
      <c r="B20" s="30"/>
      <c r="C20" s="30"/>
      <c r="D20" s="31"/>
      <c r="E20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20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20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20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20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20" s="16"/>
      <c r="K20" s="16"/>
      <c r="L20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20" s="35"/>
      <c r="N20" s="35"/>
      <c r="O20" s="35"/>
      <c r="P20" s="35"/>
      <c r="Q20" s="35"/>
    </row>
    <row r="21" spans="1:17" ht="14.25" x14ac:dyDescent="0.25">
      <c r="A21" s="1"/>
      <c r="B21" s="30"/>
      <c r="C21" s="30"/>
      <c r="D21" s="31"/>
      <c r="E21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21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21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21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21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21" s="16"/>
      <c r="K21" s="16"/>
      <c r="L21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21" s="35"/>
      <c r="N21" s="35"/>
      <c r="O21" s="35"/>
      <c r="P21" s="35"/>
      <c r="Q21" s="35"/>
    </row>
    <row r="22" spans="1:17" ht="14.25" x14ac:dyDescent="0.25">
      <c r="A22" s="1"/>
      <c r="B22" s="30"/>
      <c r="C22" s="30"/>
      <c r="D22" s="31"/>
      <c r="E22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22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22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22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22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22" s="16"/>
      <c r="K22" s="16"/>
      <c r="L22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22" s="35"/>
      <c r="N22" s="35"/>
      <c r="O22" s="35"/>
      <c r="P22" s="35"/>
      <c r="Q22" s="35"/>
    </row>
    <row r="23" spans="1:17" ht="14.25" x14ac:dyDescent="0.25">
      <c r="A23" s="1"/>
      <c r="B23" s="30"/>
      <c r="C23" s="30"/>
      <c r="D23" s="31"/>
      <c r="E23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23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23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23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23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23" s="16"/>
      <c r="K23" s="16"/>
      <c r="L23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23" s="35"/>
      <c r="N23" s="35"/>
      <c r="O23" s="35"/>
      <c r="P23" s="35"/>
      <c r="Q23" s="35"/>
    </row>
    <row r="24" spans="1:17" ht="14.25" x14ac:dyDescent="0.25">
      <c r="A24" s="1"/>
      <c r="B24" s="30"/>
      <c r="C24" s="30"/>
      <c r="D24" s="31"/>
      <c r="E24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24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24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24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24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24" s="16"/>
      <c r="K24" s="16"/>
      <c r="L24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24" s="35"/>
      <c r="N24" s="35"/>
      <c r="O24" s="35"/>
      <c r="P24" s="35"/>
      <c r="Q24" s="35"/>
    </row>
    <row r="25" spans="1:17" ht="14.25" x14ac:dyDescent="0.25">
      <c r="A25" s="1"/>
      <c r="B25" s="30"/>
      <c r="C25" s="30"/>
      <c r="D25" s="31"/>
      <c r="E25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25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25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25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25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25" s="16"/>
      <c r="K25" s="16"/>
      <c r="L25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25" s="35"/>
      <c r="N25" s="35"/>
      <c r="O25" s="35"/>
      <c r="P25" s="35"/>
      <c r="Q25" s="35"/>
    </row>
    <row r="26" spans="1:17" ht="14.25" x14ac:dyDescent="0.25">
      <c r="A26" s="1"/>
      <c r="B26" s="30"/>
      <c r="C26" s="30"/>
      <c r="D26" s="31"/>
      <c r="E26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26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26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26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26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26" s="16"/>
      <c r="K26" s="16"/>
      <c r="L26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26" s="35"/>
      <c r="N26" s="35"/>
      <c r="O26" s="35"/>
      <c r="P26" s="35"/>
      <c r="Q26" s="35"/>
    </row>
    <row r="27" spans="1:17" ht="14.25" x14ac:dyDescent="0.25">
      <c r="A27" s="1"/>
      <c r="B27" s="30"/>
      <c r="C27" s="30"/>
      <c r="D27" s="31"/>
      <c r="E27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27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27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27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27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27" s="16"/>
      <c r="K27" s="16"/>
      <c r="L27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27" s="35"/>
      <c r="N27" s="35"/>
      <c r="O27" s="35"/>
      <c r="P27" s="35"/>
      <c r="Q27" s="35"/>
    </row>
    <row r="28" spans="1:17" ht="14.25" x14ac:dyDescent="0.25">
      <c r="A28" s="1"/>
      <c r="B28" s="30"/>
      <c r="C28" s="30"/>
      <c r="D28" s="31"/>
      <c r="E28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28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28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28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28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28" s="16"/>
      <c r="K28" s="16"/>
      <c r="L28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28" s="35"/>
      <c r="N28" s="35"/>
      <c r="O28" s="35"/>
      <c r="P28" s="35"/>
      <c r="Q28" s="35"/>
    </row>
    <row r="29" spans="1:17" ht="14.25" x14ac:dyDescent="0.25">
      <c r="A29" s="1"/>
      <c r="B29" s="30"/>
      <c r="C29" s="30"/>
      <c r="D29" s="31"/>
      <c r="E29" s="26" t="str">
        <f>IF(ISBLANK(tblSites3435463[[#This Row],[Latitude]]),"",HYPERLINK("https://www.google.com/maps?q=" &amp; tblSites3435463[[#This Row],[Latitude]] &amp; "," &amp; tblSites3435463[[#This Row],[Longitude]], "View on Google Maps"))</f>
        <v/>
      </c>
      <c r="F29" s="26" t="str">
        <f>IF(ISBLANK(tblSites3435463[[#This Row],[Latitude]]),"",HYPERLINK("https://www.bing.com/maps?q=" &amp; tblSites3435463[[#This Row],[Latitude]] &amp; "," &amp; tblSites3435463[[#This Row],[Longitude]] &amp; "&amp;lvl=16", "View in Bing Maps"))</f>
        <v/>
      </c>
      <c r="G29" s="26" t="str">
        <f>IF(OR(ISBLANK(tblSites3435463[[#This Row],[Latitude]]),ISBLANK(tblSites3435463[[#This Row],[Longitude]])),"",HYPERLINK("https://fema.maps.arcgis.com/apps/mapviewer/index.html?find="&amp;SUBSTITUTE(tblSites3435463[[#This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in FEMA Map Viewer"))</f>
        <v/>
      </c>
      <c r="H29" s="26" t="str">
        <f>IF(ISBLANK(tblSites3435463[[#This Row],[Latitude]]),"",HYPERLINK("https://msc.fema.gov/portal/search?AddressQuery=" &amp; tblSites3435463[[#This Row],[Longitude]] &amp; "%2C%20" &amp; tblSites3435463[[#This Row],[Latitude]], "Flood Map Search"))</f>
        <v/>
      </c>
      <c r="I29" s="26" t="str">
        <f>IF(ISBLANK(tblSites3435463[[#This Row],[Latitude]]),"",HYPERLINK("https://msc.fema.gov/portal/firmette?latitude=" &amp; tblSites3435463[[#This Row],[Latitude]] &amp; "&amp;longitude=" &amp; tblSites3435463[[#This Row],[Longitude]], "Download Firmette"))</f>
        <v/>
      </c>
      <c r="J29" s="16"/>
      <c r="K29" s="16"/>
      <c r="L29" s="23" t="str">
        <f>IF(OR(tblSites3435463[[#This Row],[Latitude]]="",tblSites3435463[[#This Row],[Longitude]]=""),"",HYPERLINK("https://www.arcgis.com/apps/mapviewer/index.html?webmap=530694235e074e73a4f78f1a1a244b65&amp;find="&amp;SUBSTITUTE(tblSites3435463[[#This Row],[Longitude]],",",".")&amp;"%2C"&amp;SUBSTITUTE(tblSites3435463[[#This Row],[Latitude]],",",".")&amp;"&amp;marker="&amp;SUBSTITUTE(tblSites3435463[[#This Row],[Longitude]],",",".")&amp;","&amp;SUBSTITUTE(tblSites3435463[[#This Row],[Latitude]],",",".")&amp;",4326&amp;level=16","View TDOT"))</f>
        <v/>
      </c>
      <c r="M29" s="35"/>
      <c r="N29" s="35"/>
      <c r="O29" s="35"/>
      <c r="P29" s="35"/>
      <c r="Q29" s="35"/>
    </row>
    <row r="30" spans="1:17" x14ac:dyDescent="0.25">
      <c r="E30" s="28" t="str">
        <f t="shared" ref="E30:E36" si="0">IF(ISBLANK(B30),"",HYPERLINK("https://www.google.com/maps?q=" &amp; B30 &amp; "," &amp; C30, "View on Google Maps"))</f>
        <v/>
      </c>
      <c r="F30" s="28"/>
      <c r="G30" s="28" t="str">
        <f t="shared" ref="G30:G36" si="1">IF(
    ISBLANK(B30),
    "",
    HYPERLINK(
        "https://fema.maps.arcgis.com/apps/mapviewer/index.html?center=" &amp; C30 &amp; "," &amp; B30 &amp; "&amp;level=16",
        "View in FEMA Map Viewer"
    )
)</f>
        <v/>
      </c>
      <c r="H30" s="28" t="str">
        <f t="shared" ref="H30:H36" si="2">IF(ISBLANK(B30),"",HYPERLINK("https://msc.fema.gov/portal/search?AddressQuery="&amp;C30&amp;"%2C%20"&amp;B30,"Flood Map Search"))</f>
        <v/>
      </c>
      <c r="I30" s="28" t="str">
        <f t="shared" ref="I30:I36" si="3">IF(ISBLANK(B30),"",HYPERLINK("https://msc.fema.gov/portal/firmette?latitude="&amp;B30&amp;"&amp;longitude="&amp;C30,"Download Firmette"))</f>
        <v/>
      </c>
      <c r="L30" s="11"/>
      <c r="M30" s="24"/>
    </row>
    <row r="31" spans="1:17" x14ac:dyDescent="0.25">
      <c r="E31" s="28" t="str">
        <f t="shared" si="0"/>
        <v/>
      </c>
      <c r="F31" s="28"/>
      <c r="G31" s="28" t="str">
        <f t="shared" si="1"/>
        <v/>
      </c>
      <c r="H31" s="28" t="str">
        <f t="shared" si="2"/>
        <v/>
      </c>
      <c r="I31" s="28" t="str">
        <f t="shared" si="3"/>
        <v/>
      </c>
      <c r="L31" s="11"/>
      <c r="M31" s="24"/>
    </row>
    <row r="32" spans="1:17" x14ac:dyDescent="0.25">
      <c r="E32" s="28" t="str">
        <f t="shared" si="0"/>
        <v/>
      </c>
      <c r="F32" s="28"/>
      <c r="G32" s="28" t="str">
        <f t="shared" si="1"/>
        <v/>
      </c>
      <c r="H32" s="28" t="str">
        <f t="shared" si="2"/>
        <v/>
      </c>
      <c r="I32" s="28" t="str">
        <f t="shared" si="3"/>
        <v/>
      </c>
      <c r="L32" s="11"/>
      <c r="M32" s="24"/>
    </row>
    <row r="33" spans="5:13" x14ac:dyDescent="0.25">
      <c r="E33" s="28" t="str">
        <f t="shared" si="0"/>
        <v/>
      </c>
      <c r="F33" s="28"/>
      <c r="G33" s="28" t="str">
        <f t="shared" si="1"/>
        <v/>
      </c>
      <c r="H33" s="28" t="str">
        <f t="shared" si="2"/>
        <v/>
      </c>
      <c r="I33" s="28" t="str">
        <f t="shared" si="3"/>
        <v/>
      </c>
      <c r="L33" s="11"/>
      <c r="M33" s="24"/>
    </row>
    <row r="34" spans="5:13" x14ac:dyDescent="0.25">
      <c r="E34" s="28" t="str">
        <f t="shared" si="0"/>
        <v/>
      </c>
      <c r="F34" s="28"/>
      <c r="G34" s="28" t="str">
        <f t="shared" si="1"/>
        <v/>
      </c>
      <c r="H34" s="28" t="str">
        <f t="shared" si="2"/>
        <v/>
      </c>
      <c r="I34" s="28" t="str">
        <f t="shared" si="3"/>
        <v/>
      </c>
      <c r="L34" s="11"/>
      <c r="M34" s="24"/>
    </row>
    <row r="35" spans="5:13" x14ac:dyDescent="0.25">
      <c r="E35" s="28" t="str">
        <f t="shared" si="0"/>
        <v/>
      </c>
      <c r="F35" s="28"/>
      <c r="G35" s="28" t="str">
        <f t="shared" si="1"/>
        <v/>
      </c>
      <c r="H35" s="28" t="str">
        <f t="shared" si="2"/>
        <v/>
      </c>
      <c r="I35" s="28" t="str">
        <f t="shared" si="3"/>
        <v/>
      </c>
      <c r="L35" s="11"/>
      <c r="M35" s="24"/>
    </row>
    <row r="36" spans="5:13" x14ac:dyDescent="0.25">
      <c r="E36" s="28" t="str">
        <f t="shared" si="0"/>
        <v/>
      </c>
      <c r="F36" s="28"/>
      <c r="G36" s="28" t="str">
        <f t="shared" si="1"/>
        <v/>
      </c>
      <c r="H36" s="28" t="str">
        <f t="shared" si="2"/>
        <v/>
      </c>
      <c r="I36" s="28" t="str">
        <f t="shared" si="3"/>
        <v/>
      </c>
      <c r="L36" s="11"/>
      <c r="M36" s="24"/>
    </row>
  </sheetData>
  <dataValidations count="2">
    <dataValidation type="decimal" allowBlank="1" showInputMessage="1" showErrorMessage="1" errorTitle="Invalid Longitude" error="Longitude must be between -180 and 180." promptTitle="Longitude" prompt="Enter a value between -180 and 180." sqref="C2:C1048576" xr:uid="{FF22D910-4B1B-4948-9AED-C85C7DC694C6}">
      <formula1>-180</formula1>
      <formula2>180</formula2>
    </dataValidation>
    <dataValidation type="decimal" allowBlank="1" showInputMessage="1" showErrorMessage="1" errorTitle="Invalid Latitude" error="Latitude must be between -90 and 90." promptTitle="Latitude" prompt="Enter a value between -90 and 90." sqref="B2:B1048576" xr:uid="{C82A7FE6-411C-4A64-8ED3-1BDDA9BC9A0A}">
      <formula1>-90</formula1>
      <formula2>90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ExportPointsToKML_WithDialog">
                <anchor moveWithCells="1" sizeWithCells="1">
                  <from>
                    <xdr:col>13</xdr:col>
                    <xdr:colOff>581025</xdr:colOff>
                    <xdr:row>0</xdr:row>
                    <xdr:rowOff>104775</xdr:rowOff>
                  </from>
                  <to>
                    <xdr:col>18</xdr:col>
                    <xdr:colOff>266700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ownloadFirmettes">
                <anchor moveWithCells="1" sizeWithCells="1">
                  <from>
                    <xdr:col>13</xdr:col>
                    <xdr:colOff>581025</xdr:colOff>
                    <xdr:row>1</xdr:row>
                    <xdr:rowOff>352425</xdr:rowOff>
                  </from>
                  <to>
                    <xdr:col>18</xdr:col>
                    <xdr:colOff>266700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Metadata/LabelInfo.xml><?xml version="1.0" encoding="utf-8"?>
<clbl:labelList xmlns:clbl="http://schemas.microsoft.com/office/2020/mipLabelMetadata">
  <clbl:label id="{2863bcaf-4433-4a95-89dd-302e4b0159a1}" enabled="0" method="" siteId="{2863bcaf-4433-4a95-89dd-302e4b0159a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 Here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Caleb</dc:creator>
  <cp:lastModifiedBy>Smith, Caleb</cp:lastModifiedBy>
  <dcterms:created xsi:type="dcterms:W3CDTF">2026-03-05T01:03:36Z</dcterms:created>
  <dcterms:modified xsi:type="dcterms:W3CDTF">2026-03-05T20:06:07Z</dcterms:modified>
</cp:coreProperties>
</file>