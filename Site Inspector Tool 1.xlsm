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sfema-my.sharepoint.com/personal/0492734585_fema_dhs_gov1/Documents/Desktop/Working/03. Data and Mapping/"/>
    </mc:Choice>
  </mc:AlternateContent>
  <xr:revisionPtr revIDLastSave="253" documentId="8_{D4990F44-CF64-4EDC-B327-29B2C7A95BAF}" xr6:coauthVersionLast="47" xr6:coauthVersionMax="47" xr10:uidLastSave="{02271764-9631-4C23-A7CF-40C4550A137A}"/>
  <bookViews>
    <workbookView xWindow="28680" yWindow="-120" windowWidth="29040" windowHeight="15720" activeTab="2" xr2:uid="{00000000-000D-0000-FFFF-FFFF00000000}"/>
  </bookViews>
  <sheets>
    <sheet name="Start Here" sheetId="1" r:id="rId1"/>
    <sheet name="Setup" sheetId="2" r:id="rId2"/>
    <sheet name="Sites" sheetId="3" r:id="rId3"/>
    <sheet name="TEMPLATE" sheetId="4" state="hidden" r:id="rId4"/>
    <sheet name="MapPages" sheetId="5" r:id="rId5"/>
  </sheets>
  <definedNames>
    <definedName name="JobApplicant">Setup!$B$6</definedName>
    <definedName name="JobDI">Setup!$B$4</definedName>
    <definedName name="JobDisaster">Setup!$B$5</definedName>
    <definedName name="JobMode">Setup!$B$8</definedName>
    <definedName name="JobOutputFolder">Setup!$B$10</definedName>
    <definedName name="JobWO">Setup!$B$3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0" i="4" l="1"/>
  <c r="P50" i="4"/>
  <c r="O50" i="4"/>
  <c r="N50" i="4"/>
  <c r="M50" i="4"/>
  <c r="L50" i="4"/>
  <c r="J50" i="4"/>
  <c r="Q49" i="4"/>
  <c r="P49" i="4"/>
  <c r="O49" i="4"/>
  <c r="N49" i="4"/>
  <c r="M49" i="4"/>
  <c r="L49" i="4"/>
  <c r="J49" i="4"/>
  <c r="Q48" i="4"/>
  <c r="P48" i="4"/>
  <c r="O48" i="4"/>
  <c r="N48" i="4"/>
  <c r="M48" i="4"/>
  <c r="L48" i="4"/>
  <c r="J48" i="4"/>
  <c r="Q47" i="4"/>
  <c r="P47" i="4"/>
  <c r="O47" i="4"/>
  <c r="N47" i="4"/>
  <c r="M47" i="4"/>
  <c r="L47" i="4"/>
  <c r="J47" i="4"/>
  <c r="Q46" i="4"/>
  <c r="P46" i="4"/>
  <c r="O46" i="4"/>
  <c r="N46" i="4"/>
  <c r="M46" i="4"/>
  <c r="L46" i="4"/>
  <c r="J46" i="4"/>
  <c r="Q45" i="4"/>
  <c r="P45" i="4"/>
  <c r="O45" i="4"/>
  <c r="N45" i="4"/>
  <c r="M45" i="4"/>
  <c r="L45" i="4"/>
  <c r="J45" i="4"/>
  <c r="Q44" i="4"/>
  <c r="P44" i="4"/>
  <c r="O44" i="4"/>
  <c r="N44" i="4"/>
  <c r="M44" i="4"/>
  <c r="L44" i="4"/>
  <c r="J44" i="4"/>
  <c r="Q43" i="4"/>
  <c r="P43" i="4"/>
  <c r="O43" i="4"/>
  <c r="N43" i="4"/>
  <c r="M43" i="4"/>
  <c r="L43" i="4"/>
  <c r="J43" i="4"/>
  <c r="Q42" i="4"/>
  <c r="P42" i="4"/>
  <c r="O42" i="4"/>
  <c r="N42" i="4"/>
  <c r="M42" i="4"/>
  <c r="L42" i="4"/>
  <c r="J42" i="4"/>
  <c r="Q41" i="4"/>
  <c r="P41" i="4"/>
  <c r="O41" i="4"/>
  <c r="N41" i="4"/>
  <c r="M41" i="4"/>
  <c r="L41" i="4"/>
  <c r="J41" i="4"/>
  <c r="Q40" i="4"/>
  <c r="P40" i="4"/>
  <c r="O40" i="4"/>
  <c r="N40" i="4"/>
  <c r="M40" i="4"/>
  <c r="L40" i="4"/>
  <c r="J40" i="4"/>
  <c r="Q39" i="4"/>
  <c r="P39" i="4"/>
  <c r="O39" i="4"/>
  <c r="N39" i="4"/>
  <c r="M39" i="4"/>
  <c r="L39" i="4"/>
  <c r="J39" i="4"/>
  <c r="Q38" i="4"/>
  <c r="P38" i="4"/>
  <c r="O38" i="4"/>
  <c r="N38" i="4"/>
  <c r="M38" i="4"/>
  <c r="L38" i="4"/>
  <c r="J38" i="4"/>
  <c r="Q37" i="4"/>
  <c r="P37" i="4"/>
  <c r="O37" i="4"/>
  <c r="N37" i="4"/>
  <c r="M37" i="4"/>
  <c r="L37" i="4"/>
  <c r="J37" i="4"/>
  <c r="Q36" i="4"/>
  <c r="P36" i="4"/>
  <c r="O36" i="4"/>
  <c r="N36" i="4"/>
  <c r="M36" i="4"/>
  <c r="L36" i="4"/>
  <c r="J36" i="4"/>
  <c r="Q35" i="4"/>
  <c r="P35" i="4"/>
  <c r="O35" i="4"/>
  <c r="N35" i="4"/>
  <c r="M35" i="4"/>
  <c r="L35" i="4"/>
  <c r="J35" i="4"/>
  <c r="Q34" i="4"/>
  <c r="P34" i="4"/>
  <c r="O34" i="4"/>
  <c r="N34" i="4"/>
  <c r="M34" i="4"/>
  <c r="L34" i="4"/>
  <c r="J34" i="4"/>
  <c r="Q33" i="4"/>
  <c r="P33" i="4"/>
  <c r="O33" i="4"/>
  <c r="N33" i="4"/>
  <c r="M33" i="4"/>
  <c r="L33" i="4"/>
  <c r="J33" i="4"/>
  <c r="Q32" i="4"/>
  <c r="P32" i="4"/>
  <c r="O32" i="4"/>
  <c r="N32" i="4"/>
  <c r="M32" i="4"/>
  <c r="L32" i="4"/>
  <c r="J32" i="4"/>
  <c r="Q31" i="4"/>
  <c r="P31" i="4"/>
  <c r="O31" i="4"/>
  <c r="N31" i="4"/>
  <c r="M31" i="4"/>
  <c r="L31" i="4"/>
  <c r="J31" i="4"/>
  <c r="Q30" i="4"/>
  <c r="P30" i="4"/>
  <c r="O30" i="4"/>
  <c r="N30" i="4"/>
  <c r="M30" i="4"/>
  <c r="L30" i="4"/>
  <c r="J30" i="4"/>
  <c r="Q29" i="4"/>
  <c r="P29" i="4"/>
  <c r="O29" i="4"/>
  <c r="N29" i="4"/>
  <c r="M29" i="4"/>
  <c r="L29" i="4"/>
  <c r="J29" i="4"/>
  <c r="Q28" i="4"/>
  <c r="P28" i="4"/>
  <c r="O28" i="4"/>
  <c r="N28" i="4"/>
  <c r="M28" i="4"/>
  <c r="L28" i="4"/>
  <c r="J28" i="4"/>
  <c r="Q27" i="4"/>
  <c r="P27" i="4"/>
  <c r="O27" i="4"/>
  <c r="N27" i="4"/>
  <c r="M27" i="4"/>
  <c r="L27" i="4"/>
  <c r="J27" i="4"/>
  <c r="Q26" i="4"/>
  <c r="P26" i="4"/>
  <c r="O26" i="4"/>
  <c r="N26" i="4"/>
  <c r="M26" i="4"/>
  <c r="L26" i="4"/>
  <c r="J26" i="4"/>
  <c r="Q25" i="4"/>
  <c r="P25" i="4"/>
  <c r="O25" i="4"/>
  <c r="N25" i="4"/>
  <c r="M25" i="4"/>
  <c r="L25" i="4"/>
  <c r="J25" i="4"/>
  <c r="Q24" i="4"/>
  <c r="P24" i="4"/>
  <c r="O24" i="4"/>
  <c r="N24" i="4"/>
  <c r="M24" i="4"/>
  <c r="L24" i="4"/>
  <c r="J24" i="4"/>
  <c r="Q23" i="4"/>
  <c r="P23" i="4"/>
  <c r="O23" i="4"/>
  <c r="N23" i="4"/>
  <c r="M23" i="4"/>
  <c r="L23" i="4"/>
  <c r="J23" i="4"/>
  <c r="Q22" i="4"/>
  <c r="P22" i="4"/>
  <c r="O22" i="4"/>
  <c r="N22" i="4"/>
  <c r="M22" i="4"/>
  <c r="L22" i="4"/>
  <c r="J22" i="4"/>
  <c r="Q21" i="4"/>
  <c r="P21" i="4"/>
  <c r="O21" i="4"/>
  <c r="N21" i="4"/>
  <c r="M21" i="4"/>
  <c r="L21" i="4"/>
  <c r="J21" i="4"/>
  <c r="Q20" i="4"/>
  <c r="P20" i="4"/>
  <c r="O20" i="4"/>
  <c r="N20" i="4"/>
  <c r="M20" i="4"/>
  <c r="L20" i="4"/>
  <c r="J20" i="4"/>
  <c r="Q19" i="4"/>
  <c r="P19" i="4"/>
  <c r="O19" i="4"/>
  <c r="N19" i="4"/>
  <c r="M19" i="4"/>
  <c r="L19" i="4"/>
  <c r="J19" i="4"/>
  <c r="Q18" i="4"/>
  <c r="P18" i="4"/>
  <c r="O18" i="4"/>
  <c r="N18" i="4"/>
  <c r="M18" i="4"/>
  <c r="L18" i="4"/>
  <c r="J18" i="4"/>
  <c r="Q17" i="4"/>
  <c r="P17" i="4"/>
  <c r="O17" i="4"/>
  <c r="N17" i="4"/>
  <c r="M17" i="4"/>
  <c r="L17" i="4"/>
  <c r="J17" i="4"/>
  <c r="Q16" i="4"/>
  <c r="P16" i="4"/>
  <c r="O16" i="4"/>
  <c r="N16" i="4"/>
  <c r="M16" i="4"/>
  <c r="L16" i="4"/>
  <c r="J16" i="4"/>
  <c r="Q15" i="4"/>
  <c r="P15" i="4"/>
  <c r="O15" i="4"/>
  <c r="N15" i="4"/>
  <c r="M15" i="4"/>
  <c r="L15" i="4"/>
  <c r="J15" i="4"/>
  <c r="Q14" i="4"/>
  <c r="P14" i="4"/>
  <c r="O14" i="4"/>
  <c r="N14" i="4"/>
  <c r="M14" i="4"/>
  <c r="L14" i="4"/>
  <c r="J14" i="4"/>
  <c r="Q13" i="4"/>
  <c r="P13" i="4"/>
  <c r="O13" i="4"/>
  <c r="N13" i="4"/>
  <c r="M13" i="4"/>
  <c r="L13" i="4"/>
  <c r="J13" i="4"/>
  <c r="Q12" i="4"/>
  <c r="P12" i="4"/>
  <c r="O12" i="4"/>
  <c r="N12" i="4"/>
  <c r="M12" i="4"/>
  <c r="L12" i="4"/>
  <c r="J12" i="4"/>
  <c r="Q11" i="4"/>
  <c r="P11" i="4"/>
  <c r="O11" i="4"/>
  <c r="N11" i="4"/>
  <c r="M11" i="4"/>
  <c r="L11" i="4"/>
  <c r="J11" i="4"/>
  <c r="Q10" i="4"/>
  <c r="P10" i="4"/>
  <c r="O10" i="4"/>
  <c r="N10" i="4"/>
  <c r="M10" i="4"/>
  <c r="L10" i="4"/>
  <c r="J10" i="4"/>
  <c r="Q9" i="4"/>
  <c r="P9" i="4"/>
  <c r="O9" i="4"/>
  <c r="N9" i="4"/>
  <c r="M9" i="4"/>
  <c r="L9" i="4"/>
  <c r="J9" i="4"/>
  <c r="Q8" i="4"/>
  <c r="P8" i="4"/>
  <c r="O8" i="4"/>
  <c r="N8" i="4"/>
  <c r="M8" i="4"/>
  <c r="L8" i="4"/>
  <c r="J8" i="4"/>
  <c r="Q7" i="4"/>
  <c r="P7" i="4"/>
  <c r="O7" i="4"/>
  <c r="N7" i="4"/>
  <c r="M7" i="4"/>
  <c r="L7" i="4"/>
  <c r="J7" i="4"/>
  <c r="Q6" i="4"/>
  <c r="P6" i="4"/>
  <c r="O6" i="4"/>
  <c r="N6" i="4"/>
  <c r="M6" i="4"/>
  <c r="L6" i="4"/>
  <c r="J6" i="4"/>
  <c r="Q5" i="4"/>
  <c r="P5" i="4"/>
  <c r="O5" i="4"/>
  <c r="N5" i="4"/>
  <c r="M5" i="4"/>
  <c r="L5" i="4"/>
  <c r="J5" i="4"/>
  <c r="Q4" i="4"/>
  <c r="P4" i="4"/>
  <c r="O4" i="4"/>
  <c r="N4" i="4"/>
  <c r="M4" i="4"/>
  <c r="L4" i="4"/>
  <c r="J4" i="4"/>
  <c r="Q3" i="4"/>
  <c r="P3" i="4"/>
  <c r="O3" i="4"/>
  <c r="N3" i="4"/>
  <c r="M3" i="4"/>
  <c r="L3" i="4"/>
  <c r="J3" i="4"/>
  <c r="Q2" i="4"/>
  <c r="P2" i="4"/>
  <c r="O2" i="4"/>
  <c r="N2" i="4"/>
  <c r="M2" i="4"/>
  <c r="L2" i="4"/>
  <c r="J2" i="4"/>
  <c r="Q200" i="3"/>
  <c r="P200" i="3"/>
  <c r="O200" i="3"/>
  <c r="N200" i="3"/>
  <c r="M200" i="3"/>
  <c r="L200" i="3"/>
  <c r="J200" i="3"/>
  <c r="Q199" i="3"/>
  <c r="P199" i="3"/>
  <c r="O199" i="3"/>
  <c r="N199" i="3"/>
  <c r="M199" i="3"/>
  <c r="L199" i="3"/>
  <c r="J199" i="3"/>
  <c r="Q198" i="3"/>
  <c r="P198" i="3"/>
  <c r="O198" i="3"/>
  <c r="N198" i="3"/>
  <c r="M198" i="3"/>
  <c r="L198" i="3"/>
  <c r="J198" i="3"/>
  <c r="Q197" i="3"/>
  <c r="P197" i="3"/>
  <c r="O197" i="3"/>
  <c r="N197" i="3"/>
  <c r="M197" i="3"/>
  <c r="L197" i="3"/>
  <c r="J197" i="3"/>
  <c r="Q196" i="3"/>
  <c r="P196" i="3"/>
  <c r="O196" i="3"/>
  <c r="N196" i="3"/>
  <c r="M196" i="3"/>
  <c r="L196" i="3"/>
  <c r="J196" i="3"/>
  <c r="Q195" i="3"/>
  <c r="P195" i="3"/>
  <c r="O195" i="3"/>
  <c r="N195" i="3"/>
  <c r="M195" i="3"/>
  <c r="L195" i="3"/>
  <c r="J195" i="3"/>
  <c r="Q194" i="3"/>
  <c r="P194" i="3"/>
  <c r="O194" i="3"/>
  <c r="N194" i="3"/>
  <c r="M194" i="3"/>
  <c r="L194" i="3"/>
  <c r="J194" i="3"/>
  <c r="Q193" i="3"/>
  <c r="P193" i="3"/>
  <c r="O193" i="3"/>
  <c r="N193" i="3"/>
  <c r="M193" i="3"/>
  <c r="L193" i="3"/>
  <c r="J193" i="3"/>
  <c r="Q192" i="3"/>
  <c r="P192" i="3"/>
  <c r="O192" i="3"/>
  <c r="N192" i="3"/>
  <c r="M192" i="3"/>
  <c r="L192" i="3"/>
  <c r="J192" i="3"/>
  <c r="Q191" i="3"/>
  <c r="P191" i="3"/>
  <c r="O191" i="3"/>
  <c r="N191" i="3"/>
  <c r="M191" i="3"/>
  <c r="L191" i="3"/>
  <c r="J191" i="3"/>
  <c r="Q190" i="3"/>
  <c r="P190" i="3"/>
  <c r="O190" i="3"/>
  <c r="N190" i="3"/>
  <c r="M190" i="3"/>
  <c r="L190" i="3"/>
  <c r="J190" i="3"/>
  <c r="Q189" i="3"/>
  <c r="P189" i="3"/>
  <c r="O189" i="3"/>
  <c r="N189" i="3"/>
  <c r="M189" i="3"/>
  <c r="L189" i="3"/>
  <c r="J189" i="3"/>
  <c r="Q188" i="3"/>
  <c r="P188" i="3"/>
  <c r="O188" i="3"/>
  <c r="N188" i="3"/>
  <c r="M188" i="3"/>
  <c r="L188" i="3"/>
  <c r="J188" i="3"/>
  <c r="Q187" i="3"/>
  <c r="P187" i="3"/>
  <c r="O187" i="3"/>
  <c r="N187" i="3"/>
  <c r="M187" i="3"/>
  <c r="L187" i="3"/>
  <c r="J187" i="3"/>
  <c r="Q186" i="3"/>
  <c r="P186" i="3"/>
  <c r="O186" i="3"/>
  <c r="N186" i="3"/>
  <c r="M186" i="3"/>
  <c r="L186" i="3"/>
  <c r="J186" i="3"/>
  <c r="Q185" i="3"/>
  <c r="P185" i="3"/>
  <c r="O185" i="3"/>
  <c r="N185" i="3"/>
  <c r="M185" i="3"/>
  <c r="L185" i="3"/>
  <c r="J185" i="3"/>
  <c r="Q184" i="3"/>
  <c r="P184" i="3"/>
  <c r="O184" i="3"/>
  <c r="N184" i="3"/>
  <c r="M184" i="3"/>
  <c r="L184" i="3"/>
  <c r="J184" i="3"/>
  <c r="Q183" i="3"/>
  <c r="P183" i="3"/>
  <c r="O183" i="3"/>
  <c r="N183" i="3"/>
  <c r="M183" i="3"/>
  <c r="L183" i="3"/>
  <c r="J183" i="3"/>
  <c r="Q182" i="3"/>
  <c r="P182" i="3"/>
  <c r="O182" i="3"/>
  <c r="N182" i="3"/>
  <c r="M182" i="3"/>
  <c r="L182" i="3"/>
  <c r="J182" i="3"/>
  <c r="Q181" i="3"/>
  <c r="P181" i="3"/>
  <c r="O181" i="3"/>
  <c r="N181" i="3"/>
  <c r="M181" i="3"/>
  <c r="L181" i="3"/>
  <c r="J181" i="3"/>
  <c r="Q180" i="3"/>
  <c r="P180" i="3"/>
  <c r="O180" i="3"/>
  <c r="N180" i="3"/>
  <c r="M180" i="3"/>
  <c r="L180" i="3"/>
  <c r="J180" i="3"/>
  <c r="Q179" i="3"/>
  <c r="P179" i="3"/>
  <c r="O179" i="3"/>
  <c r="N179" i="3"/>
  <c r="M179" i="3"/>
  <c r="L179" i="3"/>
  <c r="J179" i="3"/>
  <c r="Q178" i="3"/>
  <c r="P178" i="3"/>
  <c r="O178" i="3"/>
  <c r="N178" i="3"/>
  <c r="M178" i="3"/>
  <c r="L178" i="3"/>
  <c r="J178" i="3"/>
  <c r="Q177" i="3"/>
  <c r="P177" i="3"/>
  <c r="O177" i="3"/>
  <c r="N177" i="3"/>
  <c r="M177" i="3"/>
  <c r="L177" i="3"/>
  <c r="J177" i="3"/>
  <c r="Q176" i="3"/>
  <c r="P176" i="3"/>
  <c r="O176" i="3"/>
  <c r="N176" i="3"/>
  <c r="M176" i="3"/>
  <c r="L176" i="3"/>
  <c r="J176" i="3"/>
  <c r="Q175" i="3"/>
  <c r="P175" i="3"/>
  <c r="O175" i="3"/>
  <c r="N175" i="3"/>
  <c r="M175" i="3"/>
  <c r="L175" i="3"/>
  <c r="J175" i="3"/>
  <c r="Q174" i="3"/>
  <c r="P174" i="3"/>
  <c r="O174" i="3"/>
  <c r="N174" i="3"/>
  <c r="M174" i="3"/>
  <c r="L174" i="3"/>
  <c r="J174" i="3"/>
  <c r="Q173" i="3"/>
  <c r="P173" i="3"/>
  <c r="O173" i="3"/>
  <c r="N173" i="3"/>
  <c r="M173" i="3"/>
  <c r="L173" i="3"/>
  <c r="J173" i="3"/>
  <c r="Q172" i="3"/>
  <c r="P172" i="3"/>
  <c r="O172" i="3"/>
  <c r="N172" i="3"/>
  <c r="M172" i="3"/>
  <c r="L172" i="3"/>
  <c r="J172" i="3"/>
  <c r="Q171" i="3"/>
  <c r="P171" i="3"/>
  <c r="O171" i="3"/>
  <c r="N171" i="3"/>
  <c r="M171" i="3"/>
  <c r="L171" i="3"/>
  <c r="J171" i="3"/>
  <c r="Q170" i="3"/>
  <c r="P170" i="3"/>
  <c r="O170" i="3"/>
  <c r="N170" i="3"/>
  <c r="M170" i="3"/>
  <c r="L170" i="3"/>
  <c r="J170" i="3"/>
  <c r="Q169" i="3"/>
  <c r="P169" i="3"/>
  <c r="O169" i="3"/>
  <c r="N169" i="3"/>
  <c r="M169" i="3"/>
  <c r="L169" i="3"/>
  <c r="J169" i="3"/>
  <c r="Q168" i="3"/>
  <c r="P168" i="3"/>
  <c r="O168" i="3"/>
  <c r="N168" i="3"/>
  <c r="M168" i="3"/>
  <c r="L168" i="3"/>
  <c r="J168" i="3"/>
  <c r="Q167" i="3"/>
  <c r="P167" i="3"/>
  <c r="O167" i="3"/>
  <c r="N167" i="3"/>
  <c r="M167" i="3"/>
  <c r="L167" i="3"/>
  <c r="J167" i="3"/>
  <c r="Q166" i="3"/>
  <c r="P166" i="3"/>
  <c r="O166" i="3"/>
  <c r="N166" i="3"/>
  <c r="M166" i="3"/>
  <c r="L166" i="3"/>
  <c r="J166" i="3"/>
  <c r="Q165" i="3"/>
  <c r="P165" i="3"/>
  <c r="O165" i="3"/>
  <c r="N165" i="3"/>
  <c r="M165" i="3"/>
  <c r="L165" i="3"/>
  <c r="J165" i="3"/>
  <c r="Q164" i="3"/>
  <c r="P164" i="3"/>
  <c r="O164" i="3"/>
  <c r="N164" i="3"/>
  <c r="M164" i="3"/>
  <c r="L164" i="3"/>
  <c r="J164" i="3"/>
  <c r="Q163" i="3"/>
  <c r="P163" i="3"/>
  <c r="O163" i="3"/>
  <c r="N163" i="3"/>
  <c r="M163" i="3"/>
  <c r="L163" i="3"/>
  <c r="J163" i="3"/>
  <c r="Q162" i="3"/>
  <c r="P162" i="3"/>
  <c r="O162" i="3"/>
  <c r="N162" i="3"/>
  <c r="M162" i="3"/>
  <c r="L162" i="3"/>
  <c r="J162" i="3"/>
  <c r="Q161" i="3"/>
  <c r="P161" i="3"/>
  <c r="O161" i="3"/>
  <c r="N161" i="3"/>
  <c r="M161" i="3"/>
  <c r="L161" i="3"/>
  <c r="J161" i="3"/>
  <c r="Q160" i="3"/>
  <c r="P160" i="3"/>
  <c r="O160" i="3"/>
  <c r="N160" i="3"/>
  <c r="M160" i="3"/>
  <c r="L160" i="3"/>
  <c r="J160" i="3"/>
  <c r="Q159" i="3"/>
  <c r="P159" i="3"/>
  <c r="O159" i="3"/>
  <c r="N159" i="3"/>
  <c r="M159" i="3"/>
  <c r="L159" i="3"/>
  <c r="J159" i="3"/>
  <c r="Q158" i="3"/>
  <c r="P158" i="3"/>
  <c r="O158" i="3"/>
  <c r="N158" i="3"/>
  <c r="M158" i="3"/>
  <c r="L158" i="3"/>
  <c r="J158" i="3"/>
  <c r="Q157" i="3"/>
  <c r="P157" i="3"/>
  <c r="O157" i="3"/>
  <c r="N157" i="3"/>
  <c r="M157" i="3"/>
  <c r="L157" i="3"/>
  <c r="J157" i="3"/>
  <c r="Q156" i="3"/>
  <c r="P156" i="3"/>
  <c r="O156" i="3"/>
  <c r="N156" i="3"/>
  <c r="M156" i="3"/>
  <c r="L156" i="3"/>
  <c r="J156" i="3"/>
  <c r="Q155" i="3"/>
  <c r="P155" i="3"/>
  <c r="O155" i="3"/>
  <c r="N155" i="3"/>
  <c r="M155" i="3"/>
  <c r="L155" i="3"/>
  <c r="J155" i="3"/>
  <c r="Q154" i="3"/>
  <c r="P154" i="3"/>
  <c r="O154" i="3"/>
  <c r="N154" i="3"/>
  <c r="M154" i="3"/>
  <c r="L154" i="3"/>
  <c r="J154" i="3"/>
  <c r="Q153" i="3"/>
  <c r="P153" i="3"/>
  <c r="O153" i="3"/>
  <c r="N153" i="3"/>
  <c r="M153" i="3"/>
  <c r="L153" i="3"/>
  <c r="J153" i="3"/>
  <c r="Q152" i="3"/>
  <c r="P152" i="3"/>
  <c r="O152" i="3"/>
  <c r="N152" i="3"/>
  <c r="M152" i="3"/>
  <c r="L152" i="3"/>
  <c r="J152" i="3"/>
  <c r="Q151" i="3"/>
  <c r="P151" i="3"/>
  <c r="O151" i="3"/>
  <c r="N151" i="3"/>
  <c r="M151" i="3"/>
  <c r="L151" i="3"/>
  <c r="J151" i="3"/>
  <c r="Q150" i="3"/>
  <c r="P150" i="3"/>
  <c r="O150" i="3"/>
  <c r="N150" i="3"/>
  <c r="M150" i="3"/>
  <c r="L150" i="3"/>
  <c r="J150" i="3"/>
  <c r="Q149" i="3"/>
  <c r="P149" i="3"/>
  <c r="O149" i="3"/>
  <c r="N149" i="3"/>
  <c r="M149" i="3"/>
  <c r="L149" i="3"/>
  <c r="J149" i="3"/>
  <c r="Q148" i="3"/>
  <c r="P148" i="3"/>
  <c r="O148" i="3"/>
  <c r="N148" i="3"/>
  <c r="M148" i="3"/>
  <c r="L148" i="3"/>
  <c r="J148" i="3"/>
  <c r="Q147" i="3"/>
  <c r="P147" i="3"/>
  <c r="O147" i="3"/>
  <c r="N147" i="3"/>
  <c r="M147" i="3"/>
  <c r="L147" i="3"/>
  <c r="J147" i="3"/>
  <c r="Q146" i="3"/>
  <c r="P146" i="3"/>
  <c r="O146" i="3"/>
  <c r="N146" i="3"/>
  <c r="M146" i="3"/>
  <c r="L146" i="3"/>
  <c r="J146" i="3"/>
  <c r="Q145" i="3"/>
  <c r="P145" i="3"/>
  <c r="O145" i="3"/>
  <c r="N145" i="3"/>
  <c r="M145" i="3"/>
  <c r="L145" i="3"/>
  <c r="J145" i="3"/>
  <c r="Q144" i="3"/>
  <c r="P144" i="3"/>
  <c r="O144" i="3"/>
  <c r="N144" i="3"/>
  <c r="M144" i="3"/>
  <c r="L144" i="3"/>
  <c r="J144" i="3"/>
  <c r="Q143" i="3"/>
  <c r="P143" i="3"/>
  <c r="O143" i="3"/>
  <c r="N143" i="3"/>
  <c r="M143" i="3"/>
  <c r="L143" i="3"/>
  <c r="J143" i="3"/>
  <c r="Q142" i="3"/>
  <c r="P142" i="3"/>
  <c r="O142" i="3"/>
  <c r="N142" i="3"/>
  <c r="M142" i="3"/>
  <c r="L142" i="3"/>
  <c r="J142" i="3"/>
  <c r="Q141" i="3"/>
  <c r="P141" i="3"/>
  <c r="O141" i="3"/>
  <c r="N141" i="3"/>
  <c r="M141" i="3"/>
  <c r="L141" i="3"/>
  <c r="J141" i="3"/>
  <c r="Q140" i="3"/>
  <c r="P140" i="3"/>
  <c r="O140" i="3"/>
  <c r="N140" i="3"/>
  <c r="M140" i="3"/>
  <c r="L140" i="3"/>
  <c r="J140" i="3"/>
  <c r="Q139" i="3"/>
  <c r="P139" i="3"/>
  <c r="O139" i="3"/>
  <c r="N139" i="3"/>
  <c r="M139" i="3"/>
  <c r="L139" i="3"/>
  <c r="J139" i="3"/>
  <c r="Q138" i="3"/>
  <c r="P138" i="3"/>
  <c r="O138" i="3"/>
  <c r="N138" i="3"/>
  <c r="M138" i="3"/>
  <c r="L138" i="3"/>
  <c r="J138" i="3"/>
  <c r="Q137" i="3"/>
  <c r="P137" i="3"/>
  <c r="O137" i="3"/>
  <c r="N137" i="3"/>
  <c r="M137" i="3"/>
  <c r="L137" i="3"/>
  <c r="J137" i="3"/>
  <c r="Q136" i="3"/>
  <c r="P136" i="3"/>
  <c r="O136" i="3"/>
  <c r="N136" i="3"/>
  <c r="M136" i="3"/>
  <c r="L136" i="3"/>
  <c r="J136" i="3"/>
  <c r="Q135" i="3"/>
  <c r="P135" i="3"/>
  <c r="O135" i="3"/>
  <c r="N135" i="3"/>
  <c r="M135" i="3"/>
  <c r="L135" i="3"/>
  <c r="J135" i="3"/>
  <c r="Q134" i="3"/>
  <c r="P134" i="3"/>
  <c r="O134" i="3"/>
  <c r="N134" i="3"/>
  <c r="M134" i="3"/>
  <c r="L134" i="3"/>
  <c r="J134" i="3"/>
  <c r="Q133" i="3"/>
  <c r="P133" i="3"/>
  <c r="O133" i="3"/>
  <c r="N133" i="3"/>
  <c r="M133" i="3"/>
  <c r="L133" i="3"/>
  <c r="J133" i="3"/>
  <c r="Q132" i="3"/>
  <c r="P132" i="3"/>
  <c r="O132" i="3"/>
  <c r="N132" i="3"/>
  <c r="M132" i="3"/>
  <c r="L132" i="3"/>
  <c r="J132" i="3"/>
  <c r="Q131" i="3"/>
  <c r="P131" i="3"/>
  <c r="O131" i="3"/>
  <c r="N131" i="3"/>
  <c r="M131" i="3"/>
  <c r="L131" i="3"/>
  <c r="J131" i="3"/>
  <c r="Q130" i="3"/>
  <c r="P130" i="3"/>
  <c r="O130" i="3"/>
  <c r="N130" i="3"/>
  <c r="M130" i="3"/>
  <c r="L130" i="3"/>
  <c r="J130" i="3"/>
  <c r="Q129" i="3"/>
  <c r="P129" i="3"/>
  <c r="O129" i="3"/>
  <c r="N129" i="3"/>
  <c r="M129" i="3"/>
  <c r="L129" i="3"/>
  <c r="J129" i="3"/>
  <c r="Q128" i="3"/>
  <c r="P128" i="3"/>
  <c r="O128" i="3"/>
  <c r="N128" i="3"/>
  <c r="M128" i="3"/>
  <c r="L128" i="3"/>
  <c r="J128" i="3"/>
  <c r="Q127" i="3"/>
  <c r="P127" i="3"/>
  <c r="O127" i="3"/>
  <c r="N127" i="3"/>
  <c r="M127" i="3"/>
  <c r="L127" i="3"/>
  <c r="J127" i="3"/>
  <c r="Q126" i="3"/>
  <c r="P126" i="3"/>
  <c r="O126" i="3"/>
  <c r="N126" i="3"/>
  <c r="M126" i="3"/>
  <c r="L126" i="3"/>
  <c r="J126" i="3"/>
  <c r="Q125" i="3"/>
  <c r="P125" i="3"/>
  <c r="O125" i="3"/>
  <c r="N125" i="3"/>
  <c r="M125" i="3"/>
  <c r="L125" i="3"/>
  <c r="J125" i="3"/>
  <c r="Q124" i="3"/>
  <c r="P124" i="3"/>
  <c r="O124" i="3"/>
  <c r="N124" i="3"/>
  <c r="M124" i="3"/>
  <c r="L124" i="3"/>
  <c r="J124" i="3"/>
  <c r="Q123" i="3"/>
  <c r="P123" i="3"/>
  <c r="O123" i="3"/>
  <c r="N123" i="3"/>
  <c r="M123" i="3"/>
  <c r="L123" i="3"/>
  <c r="J123" i="3"/>
  <c r="Q122" i="3"/>
  <c r="P122" i="3"/>
  <c r="O122" i="3"/>
  <c r="N122" i="3"/>
  <c r="M122" i="3"/>
  <c r="L122" i="3"/>
  <c r="J122" i="3"/>
  <c r="Q121" i="3"/>
  <c r="P121" i="3"/>
  <c r="O121" i="3"/>
  <c r="N121" i="3"/>
  <c r="M121" i="3"/>
  <c r="L121" i="3"/>
  <c r="J121" i="3"/>
  <c r="Q120" i="3"/>
  <c r="P120" i="3"/>
  <c r="O120" i="3"/>
  <c r="N120" i="3"/>
  <c r="M120" i="3"/>
  <c r="L120" i="3"/>
  <c r="J120" i="3"/>
  <c r="Q119" i="3"/>
  <c r="P119" i="3"/>
  <c r="O119" i="3"/>
  <c r="N119" i="3"/>
  <c r="M119" i="3"/>
  <c r="L119" i="3"/>
  <c r="J119" i="3"/>
  <c r="Q118" i="3"/>
  <c r="P118" i="3"/>
  <c r="O118" i="3"/>
  <c r="N118" i="3"/>
  <c r="M118" i="3"/>
  <c r="L118" i="3"/>
  <c r="J118" i="3"/>
  <c r="Q117" i="3"/>
  <c r="P117" i="3"/>
  <c r="O117" i="3"/>
  <c r="N117" i="3"/>
  <c r="M117" i="3"/>
  <c r="L117" i="3"/>
  <c r="J117" i="3"/>
  <c r="Q116" i="3"/>
  <c r="P116" i="3"/>
  <c r="O116" i="3"/>
  <c r="N116" i="3"/>
  <c r="M116" i="3"/>
  <c r="L116" i="3"/>
  <c r="J116" i="3"/>
  <c r="Q115" i="3"/>
  <c r="P115" i="3"/>
  <c r="O115" i="3"/>
  <c r="N115" i="3"/>
  <c r="M115" i="3"/>
  <c r="L115" i="3"/>
  <c r="J115" i="3"/>
  <c r="Q114" i="3"/>
  <c r="P114" i="3"/>
  <c r="O114" i="3"/>
  <c r="N114" i="3"/>
  <c r="M114" i="3"/>
  <c r="L114" i="3"/>
  <c r="J114" i="3"/>
  <c r="Q113" i="3"/>
  <c r="P113" i="3"/>
  <c r="O113" i="3"/>
  <c r="N113" i="3"/>
  <c r="M113" i="3"/>
  <c r="L113" i="3"/>
  <c r="J113" i="3"/>
  <c r="Q112" i="3"/>
  <c r="P112" i="3"/>
  <c r="O112" i="3"/>
  <c r="N112" i="3"/>
  <c r="M112" i="3"/>
  <c r="L112" i="3"/>
  <c r="J112" i="3"/>
  <c r="Q111" i="3"/>
  <c r="P111" i="3"/>
  <c r="O111" i="3"/>
  <c r="N111" i="3"/>
  <c r="M111" i="3"/>
  <c r="L111" i="3"/>
  <c r="J111" i="3"/>
  <c r="Q110" i="3"/>
  <c r="P110" i="3"/>
  <c r="O110" i="3"/>
  <c r="N110" i="3"/>
  <c r="M110" i="3"/>
  <c r="L110" i="3"/>
  <c r="J110" i="3"/>
  <c r="Q109" i="3"/>
  <c r="P109" i="3"/>
  <c r="O109" i="3"/>
  <c r="N109" i="3"/>
  <c r="M109" i="3"/>
  <c r="L109" i="3"/>
  <c r="J109" i="3"/>
  <c r="Q108" i="3"/>
  <c r="P108" i="3"/>
  <c r="O108" i="3"/>
  <c r="N108" i="3"/>
  <c r="M108" i="3"/>
  <c r="L108" i="3"/>
  <c r="J108" i="3"/>
  <c r="Q107" i="3"/>
  <c r="P107" i="3"/>
  <c r="O107" i="3"/>
  <c r="N107" i="3"/>
  <c r="M107" i="3"/>
  <c r="L107" i="3"/>
  <c r="J107" i="3"/>
  <c r="Q106" i="3"/>
  <c r="P106" i="3"/>
  <c r="O106" i="3"/>
  <c r="N106" i="3"/>
  <c r="M106" i="3"/>
  <c r="L106" i="3"/>
  <c r="J106" i="3"/>
  <c r="Q105" i="3"/>
  <c r="P105" i="3"/>
  <c r="O105" i="3"/>
  <c r="N105" i="3"/>
  <c r="M105" i="3"/>
  <c r="L105" i="3"/>
  <c r="J105" i="3"/>
  <c r="Q104" i="3"/>
  <c r="P104" i="3"/>
  <c r="O104" i="3"/>
  <c r="N104" i="3"/>
  <c r="M104" i="3"/>
  <c r="L104" i="3"/>
  <c r="J104" i="3"/>
  <c r="Q103" i="3"/>
  <c r="P103" i="3"/>
  <c r="O103" i="3"/>
  <c r="N103" i="3"/>
  <c r="M103" i="3"/>
  <c r="L103" i="3"/>
  <c r="J103" i="3"/>
  <c r="Q102" i="3"/>
  <c r="P102" i="3"/>
  <c r="O102" i="3"/>
  <c r="N102" i="3"/>
  <c r="M102" i="3"/>
  <c r="L102" i="3"/>
  <c r="J102" i="3"/>
  <c r="Q101" i="3"/>
  <c r="P101" i="3"/>
  <c r="O101" i="3"/>
  <c r="N101" i="3"/>
  <c r="M101" i="3"/>
  <c r="L101" i="3"/>
  <c r="J101" i="3"/>
  <c r="Q100" i="3"/>
  <c r="P100" i="3"/>
  <c r="O100" i="3"/>
  <c r="N100" i="3"/>
  <c r="M100" i="3"/>
  <c r="L100" i="3"/>
  <c r="J100" i="3"/>
  <c r="Q99" i="3"/>
  <c r="P99" i="3"/>
  <c r="O99" i="3"/>
  <c r="N99" i="3"/>
  <c r="M99" i="3"/>
  <c r="L99" i="3"/>
  <c r="J99" i="3"/>
  <c r="Q98" i="3"/>
  <c r="P98" i="3"/>
  <c r="O98" i="3"/>
  <c r="N98" i="3"/>
  <c r="M98" i="3"/>
  <c r="L98" i="3"/>
  <c r="J98" i="3"/>
  <c r="Q97" i="3"/>
  <c r="P97" i="3"/>
  <c r="O97" i="3"/>
  <c r="N97" i="3"/>
  <c r="M97" i="3"/>
  <c r="L97" i="3"/>
  <c r="J97" i="3"/>
  <c r="Q96" i="3"/>
  <c r="P96" i="3"/>
  <c r="O96" i="3"/>
  <c r="N96" i="3"/>
  <c r="M96" i="3"/>
  <c r="L96" i="3"/>
  <c r="J96" i="3"/>
  <c r="Q95" i="3"/>
  <c r="P95" i="3"/>
  <c r="O95" i="3"/>
  <c r="N95" i="3"/>
  <c r="M95" i="3"/>
  <c r="L95" i="3"/>
  <c r="J95" i="3"/>
  <c r="Q94" i="3"/>
  <c r="P94" i="3"/>
  <c r="O94" i="3"/>
  <c r="N94" i="3"/>
  <c r="M94" i="3"/>
  <c r="L94" i="3"/>
  <c r="J94" i="3"/>
  <c r="Q93" i="3"/>
  <c r="P93" i="3"/>
  <c r="O93" i="3"/>
  <c r="N93" i="3"/>
  <c r="M93" i="3"/>
  <c r="L93" i="3"/>
  <c r="J93" i="3"/>
  <c r="Q92" i="3"/>
  <c r="P92" i="3"/>
  <c r="O92" i="3"/>
  <c r="N92" i="3"/>
  <c r="M92" i="3"/>
  <c r="L92" i="3"/>
  <c r="J92" i="3"/>
  <c r="Q91" i="3"/>
  <c r="P91" i="3"/>
  <c r="O91" i="3"/>
  <c r="N91" i="3"/>
  <c r="M91" i="3"/>
  <c r="L91" i="3"/>
  <c r="J91" i="3"/>
  <c r="Q90" i="3"/>
  <c r="P90" i="3"/>
  <c r="O90" i="3"/>
  <c r="N90" i="3"/>
  <c r="M90" i="3"/>
  <c r="L90" i="3"/>
  <c r="J90" i="3"/>
  <c r="Q89" i="3"/>
  <c r="P89" i="3"/>
  <c r="O89" i="3"/>
  <c r="N89" i="3"/>
  <c r="M89" i="3"/>
  <c r="L89" i="3"/>
  <c r="J89" i="3"/>
  <c r="Q88" i="3"/>
  <c r="P88" i="3"/>
  <c r="O88" i="3"/>
  <c r="N88" i="3"/>
  <c r="M88" i="3"/>
  <c r="L88" i="3"/>
  <c r="J88" i="3"/>
  <c r="Q87" i="3"/>
  <c r="P87" i="3"/>
  <c r="O87" i="3"/>
  <c r="N87" i="3"/>
  <c r="M87" i="3"/>
  <c r="L87" i="3"/>
  <c r="J87" i="3"/>
  <c r="Q86" i="3"/>
  <c r="P86" i="3"/>
  <c r="O86" i="3"/>
  <c r="N86" i="3"/>
  <c r="M86" i="3"/>
  <c r="L86" i="3"/>
  <c r="J86" i="3"/>
  <c r="Q85" i="3"/>
  <c r="P85" i="3"/>
  <c r="O85" i="3"/>
  <c r="N85" i="3"/>
  <c r="M85" i="3"/>
  <c r="L85" i="3"/>
  <c r="J85" i="3"/>
  <c r="Q84" i="3"/>
  <c r="P84" i="3"/>
  <c r="O84" i="3"/>
  <c r="N84" i="3"/>
  <c r="M84" i="3"/>
  <c r="L84" i="3"/>
  <c r="J84" i="3"/>
  <c r="Q83" i="3"/>
  <c r="P83" i="3"/>
  <c r="O83" i="3"/>
  <c r="N83" i="3"/>
  <c r="M83" i="3"/>
  <c r="L83" i="3"/>
  <c r="J83" i="3"/>
  <c r="Q82" i="3"/>
  <c r="P82" i="3"/>
  <c r="O82" i="3"/>
  <c r="N82" i="3"/>
  <c r="M82" i="3"/>
  <c r="L82" i="3"/>
  <c r="J82" i="3"/>
  <c r="Q81" i="3"/>
  <c r="P81" i="3"/>
  <c r="O81" i="3"/>
  <c r="N81" i="3"/>
  <c r="M81" i="3"/>
  <c r="L81" i="3"/>
  <c r="J81" i="3"/>
  <c r="Q80" i="3"/>
  <c r="P80" i="3"/>
  <c r="O80" i="3"/>
  <c r="N80" i="3"/>
  <c r="M80" i="3"/>
  <c r="L80" i="3"/>
  <c r="J80" i="3"/>
  <c r="Q79" i="3"/>
  <c r="P79" i="3"/>
  <c r="O79" i="3"/>
  <c r="N79" i="3"/>
  <c r="M79" i="3"/>
  <c r="L79" i="3"/>
  <c r="J79" i="3"/>
  <c r="Q78" i="3"/>
  <c r="P78" i="3"/>
  <c r="O78" i="3"/>
  <c r="N78" i="3"/>
  <c r="M78" i="3"/>
  <c r="L78" i="3"/>
  <c r="J78" i="3"/>
  <c r="Q77" i="3"/>
  <c r="P77" i="3"/>
  <c r="O77" i="3"/>
  <c r="N77" i="3"/>
  <c r="M77" i="3"/>
  <c r="L77" i="3"/>
  <c r="J77" i="3"/>
  <c r="Q76" i="3"/>
  <c r="P76" i="3"/>
  <c r="O76" i="3"/>
  <c r="N76" i="3"/>
  <c r="M76" i="3"/>
  <c r="L76" i="3"/>
  <c r="J76" i="3"/>
  <c r="Q75" i="3"/>
  <c r="P75" i="3"/>
  <c r="O75" i="3"/>
  <c r="N75" i="3"/>
  <c r="M75" i="3"/>
  <c r="L75" i="3"/>
  <c r="J75" i="3"/>
  <c r="Q74" i="3"/>
  <c r="P74" i="3"/>
  <c r="O74" i="3"/>
  <c r="N74" i="3"/>
  <c r="M74" i="3"/>
  <c r="L74" i="3"/>
  <c r="J74" i="3"/>
  <c r="Q73" i="3"/>
  <c r="P73" i="3"/>
  <c r="O73" i="3"/>
  <c r="N73" i="3"/>
  <c r="M73" i="3"/>
  <c r="L73" i="3"/>
  <c r="J73" i="3"/>
  <c r="Q72" i="3"/>
  <c r="P72" i="3"/>
  <c r="O72" i="3"/>
  <c r="N72" i="3"/>
  <c r="M72" i="3"/>
  <c r="L72" i="3"/>
  <c r="J72" i="3"/>
  <c r="Q71" i="3"/>
  <c r="P71" i="3"/>
  <c r="O71" i="3"/>
  <c r="N71" i="3"/>
  <c r="M71" i="3"/>
  <c r="L71" i="3"/>
  <c r="J71" i="3"/>
  <c r="Q70" i="3"/>
  <c r="P70" i="3"/>
  <c r="O70" i="3"/>
  <c r="N70" i="3"/>
  <c r="M70" i="3"/>
  <c r="L70" i="3"/>
  <c r="J70" i="3"/>
  <c r="Q69" i="3"/>
  <c r="P69" i="3"/>
  <c r="O69" i="3"/>
  <c r="N69" i="3"/>
  <c r="M69" i="3"/>
  <c r="L69" i="3"/>
  <c r="J69" i="3"/>
  <c r="Q68" i="3"/>
  <c r="P68" i="3"/>
  <c r="O68" i="3"/>
  <c r="N68" i="3"/>
  <c r="M68" i="3"/>
  <c r="L68" i="3"/>
  <c r="J68" i="3"/>
  <c r="Q67" i="3"/>
  <c r="P67" i="3"/>
  <c r="O67" i="3"/>
  <c r="N67" i="3"/>
  <c r="M67" i="3"/>
  <c r="L67" i="3"/>
  <c r="J67" i="3"/>
  <c r="Q66" i="3"/>
  <c r="P66" i="3"/>
  <c r="O66" i="3"/>
  <c r="N66" i="3"/>
  <c r="M66" i="3"/>
  <c r="L66" i="3"/>
  <c r="J66" i="3"/>
  <c r="Q65" i="3"/>
  <c r="P65" i="3"/>
  <c r="O65" i="3"/>
  <c r="N65" i="3"/>
  <c r="M65" i="3"/>
  <c r="L65" i="3"/>
  <c r="J65" i="3"/>
  <c r="Q64" i="3"/>
  <c r="P64" i="3"/>
  <c r="O64" i="3"/>
  <c r="N64" i="3"/>
  <c r="M64" i="3"/>
  <c r="L64" i="3"/>
  <c r="J64" i="3"/>
  <c r="Q63" i="3"/>
  <c r="P63" i="3"/>
  <c r="O63" i="3"/>
  <c r="N63" i="3"/>
  <c r="M63" i="3"/>
  <c r="L63" i="3"/>
  <c r="J63" i="3"/>
  <c r="Q62" i="3"/>
  <c r="P62" i="3"/>
  <c r="O62" i="3"/>
  <c r="N62" i="3"/>
  <c r="M62" i="3"/>
  <c r="L62" i="3"/>
  <c r="J62" i="3"/>
  <c r="Q61" i="3"/>
  <c r="P61" i="3"/>
  <c r="O61" i="3"/>
  <c r="N61" i="3"/>
  <c r="M61" i="3"/>
  <c r="L61" i="3"/>
  <c r="J61" i="3"/>
  <c r="Q60" i="3"/>
  <c r="P60" i="3"/>
  <c r="O60" i="3"/>
  <c r="N60" i="3"/>
  <c r="M60" i="3"/>
  <c r="L60" i="3"/>
  <c r="J60" i="3"/>
  <c r="Q59" i="3"/>
  <c r="P59" i="3"/>
  <c r="O59" i="3"/>
  <c r="N59" i="3"/>
  <c r="M59" i="3"/>
  <c r="L59" i="3"/>
  <c r="J59" i="3"/>
  <c r="Q58" i="3"/>
  <c r="P58" i="3"/>
  <c r="O58" i="3"/>
  <c r="N58" i="3"/>
  <c r="M58" i="3"/>
  <c r="L58" i="3"/>
  <c r="J58" i="3"/>
  <c r="Q57" i="3"/>
  <c r="P57" i="3"/>
  <c r="O57" i="3"/>
  <c r="N57" i="3"/>
  <c r="M57" i="3"/>
  <c r="L57" i="3"/>
  <c r="J57" i="3"/>
  <c r="Q56" i="3"/>
  <c r="P56" i="3"/>
  <c r="O56" i="3"/>
  <c r="N56" i="3"/>
  <c r="M56" i="3"/>
  <c r="L56" i="3"/>
  <c r="J56" i="3"/>
  <c r="Q55" i="3"/>
  <c r="P55" i="3"/>
  <c r="O55" i="3"/>
  <c r="N55" i="3"/>
  <c r="M55" i="3"/>
  <c r="L55" i="3"/>
  <c r="J55" i="3"/>
  <c r="Q54" i="3"/>
  <c r="P54" i="3"/>
  <c r="O54" i="3"/>
  <c r="N54" i="3"/>
  <c r="M54" i="3"/>
  <c r="L54" i="3"/>
  <c r="J54" i="3"/>
  <c r="Q53" i="3"/>
  <c r="P53" i="3"/>
  <c r="O53" i="3"/>
  <c r="N53" i="3"/>
  <c r="M53" i="3"/>
  <c r="L53" i="3"/>
  <c r="J53" i="3"/>
  <c r="Q52" i="3"/>
  <c r="P52" i="3"/>
  <c r="O52" i="3"/>
  <c r="N52" i="3"/>
  <c r="M52" i="3"/>
  <c r="L52" i="3"/>
  <c r="J52" i="3"/>
  <c r="Q51" i="3"/>
  <c r="P51" i="3"/>
  <c r="O51" i="3"/>
  <c r="N51" i="3"/>
  <c r="M51" i="3"/>
  <c r="L51" i="3"/>
  <c r="J51" i="3"/>
  <c r="Q50" i="3"/>
  <c r="P50" i="3"/>
  <c r="O50" i="3"/>
  <c r="N50" i="3"/>
  <c r="M50" i="3"/>
  <c r="L50" i="3"/>
  <c r="J50" i="3"/>
  <c r="Q49" i="3"/>
  <c r="P49" i="3"/>
  <c r="O49" i="3"/>
  <c r="N49" i="3"/>
  <c r="M49" i="3"/>
  <c r="L49" i="3"/>
  <c r="J49" i="3"/>
  <c r="Q48" i="3"/>
  <c r="P48" i="3"/>
  <c r="O48" i="3"/>
  <c r="N48" i="3"/>
  <c r="M48" i="3"/>
  <c r="L48" i="3"/>
  <c r="J48" i="3"/>
  <c r="Q47" i="3"/>
  <c r="P47" i="3"/>
  <c r="O47" i="3"/>
  <c r="N47" i="3"/>
  <c r="M47" i="3"/>
  <c r="L47" i="3"/>
  <c r="J47" i="3"/>
  <c r="Q46" i="3"/>
  <c r="P46" i="3"/>
  <c r="O46" i="3"/>
  <c r="N46" i="3"/>
  <c r="M46" i="3"/>
  <c r="L46" i="3"/>
  <c r="J46" i="3"/>
  <c r="Q45" i="3"/>
  <c r="P45" i="3"/>
  <c r="O45" i="3"/>
  <c r="N45" i="3"/>
  <c r="M45" i="3"/>
  <c r="L45" i="3"/>
  <c r="J45" i="3"/>
  <c r="Q44" i="3"/>
  <c r="P44" i="3"/>
  <c r="O44" i="3"/>
  <c r="N44" i="3"/>
  <c r="M44" i="3"/>
  <c r="L44" i="3"/>
  <c r="J44" i="3"/>
  <c r="Q43" i="3"/>
  <c r="P43" i="3"/>
  <c r="O43" i="3"/>
  <c r="N43" i="3"/>
  <c r="M43" i="3"/>
  <c r="L43" i="3"/>
  <c r="J43" i="3"/>
  <c r="Q42" i="3"/>
  <c r="P42" i="3"/>
  <c r="O42" i="3"/>
  <c r="N42" i="3"/>
  <c r="M42" i="3"/>
  <c r="L42" i="3"/>
  <c r="J42" i="3"/>
  <c r="Q41" i="3"/>
  <c r="P41" i="3"/>
  <c r="O41" i="3"/>
  <c r="N41" i="3"/>
  <c r="M41" i="3"/>
  <c r="L41" i="3"/>
  <c r="J41" i="3"/>
  <c r="Q40" i="3"/>
  <c r="P40" i="3"/>
  <c r="O40" i="3"/>
  <c r="N40" i="3"/>
  <c r="M40" i="3"/>
  <c r="L40" i="3"/>
  <c r="J40" i="3"/>
  <c r="Q39" i="3"/>
  <c r="P39" i="3"/>
  <c r="O39" i="3"/>
  <c r="N39" i="3"/>
  <c r="M39" i="3"/>
  <c r="L39" i="3"/>
  <c r="J39" i="3"/>
  <c r="Q38" i="3"/>
  <c r="P38" i="3"/>
  <c r="O38" i="3"/>
  <c r="N38" i="3"/>
  <c r="M38" i="3"/>
  <c r="L38" i="3"/>
  <c r="J38" i="3"/>
  <c r="Q37" i="3"/>
  <c r="P37" i="3"/>
  <c r="O37" i="3"/>
  <c r="N37" i="3"/>
  <c r="M37" i="3"/>
  <c r="L37" i="3"/>
  <c r="J37" i="3"/>
  <c r="Q36" i="3"/>
  <c r="P36" i="3"/>
  <c r="O36" i="3"/>
  <c r="N36" i="3"/>
  <c r="M36" i="3"/>
  <c r="L36" i="3"/>
  <c r="J36" i="3"/>
  <c r="Q35" i="3"/>
  <c r="P35" i="3"/>
  <c r="O35" i="3"/>
  <c r="N35" i="3"/>
  <c r="M35" i="3"/>
  <c r="L35" i="3"/>
  <c r="J35" i="3"/>
  <c r="Q34" i="3"/>
  <c r="P34" i="3"/>
  <c r="O34" i="3"/>
  <c r="N34" i="3"/>
  <c r="M34" i="3"/>
  <c r="L34" i="3"/>
  <c r="J34" i="3"/>
  <c r="Q33" i="3"/>
  <c r="P33" i="3"/>
  <c r="O33" i="3"/>
  <c r="N33" i="3"/>
  <c r="M33" i="3"/>
  <c r="L33" i="3"/>
  <c r="J33" i="3"/>
  <c r="Q32" i="3"/>
  <c r="P32" i="3"/>
  <c r="O32" i="3"/>
  <c r="N32" i="3"/>
  <c r="M32" i="3"/>
  <c r="L32" i="3"/>
  <c r="J32" i="3"/>
  <c r="Q31" i="3"/>
  <c r="P31" i="3"/>
  <c r="O31" i="3"/>
  <c r="N31" i="3"/>
  <c r="M31" i="3"/>
  <c r="L31" i="3"/>
  <c r="J31" i="3"/>
  <c r="Q30" i="3"/>
  <c r="P30" i="3"/>
  <c r="O30" i="3"/>
  <c r="N30" i="3"/>
  <c r="M30" i="3"/>
  <c r="L30" i="3"/>
  <c r="J30" i="3"/>
  <c r="Q29" i="3"/>
  <c r="P29" i="3"/>
  <c r="O29" i="3"/>
  <c r="N29" i="3"/>
  <c r="M29" i="3"/>
  <c r="L29" i="3"/>
  <c r="J29" i="3"/>
  <c r="Q28" i="3"/>
  <c r="P28" i="3"/>
  <c r="O28" i="3"/>
  <c r="N28" i="3"/>
  <c r="M28" i="3"/>
  <c r="L28" i="3"/>
  <c r="J28" i="3"/>
  <c r="Q27" i="3"/>
  <c r="P27" i="3"/>
  <c r="O27" i="3"/>
  <c r="N27" i="3"/>
  <c r="M27" i="3"/>
  <c r="L27" i="3"/>
  <c r="J27" i="3"/>
  <c r="Q26" i="3"/>
  <c r="P26" i="3"/>
  <c r="O26" i="3"/>
  <c r="N26" i="3"/>
  <c r="M26" i="3"/>
  <c r="L26" i="3"/>
  <c r="J26" i="3"/>
  <c r="Q25" i="3"/>
  <c r="P25" i="3"/>
  <c r="O25" i="3"/>
  <c r="N25" i="3"/>
  <c r="M25" i="3"/>
  <c r="L25" i="3"/>
  <c r="J25" i="3"/>
  <c r="Q24" i="3"/>
  <c r="P24" i="3"/>
  <c r="O24" i="3"/>
  <c r="N24" i="3"/>
  <c r="M24" i="3"/>
  <c r="L24" i="3"/>
  <c r="J24" i="3"/>
  <c r="Q23" i="3"/>
  <c r="P23" i="3"/>
  <c r="O23" i="3"/>
  <c r="N23" i="3"/>
  <c r="M23" i="3"/>
  <c r="L23" i="3"/>
  <c r="J23" i="3"/>
  <c r="Q22" i="3"/>
  <c r="P22" i="3"/>
  <c r="O22" i="3"/>
  <c r="N22" i="3"/>
  <c r="M22" i="3"/>
  <c r="L22" i="3"/>
  <c r="J22" i="3"/>
  <c r="Q21" i="3"/>
  <c r="P21" i="3"/>
  <c r="O21" i="3"/>
  <c r="N21" i="3"/>
  <c r="M21" i="3"/>
  <c r="L21" i="3"/>
  <c r="J21" i="3"/>
  <c r="Q20" i="3"/>
  <c r="P20" i="3"/>
  <c r="O20" i="3"/>
  <c r="N20" i="3"/>
  <c r="M20" i="3"/>
  <c r="L20" i="3"/>
  <c r="J20" i="3"/>
  <c r="Q19" i="3"/>
  <c r="P19" i="3"/>
  <c r="O19" i="3"/>
  <c r="N19" i="3"/>
  <c r="M19" i="3"/>
  <c r="L19" i="3"/>
  <c r="J19" i="3"/>
  <c r="Q18" i="3"/>
  <c r="P18" i="3"/>
  <c r="O18" i="3"/>
  <c r="N18" i="3"/>
  <c r="M18" i="3"/>
  <c r="L18" i="3"/>
  <c r="J18" i="3"/>
  <c r="Q17" i="3"/>
  <c r="P17" i="3"/>
  <c r="O17" i="3"/>
  <c r="N17" i="3"/>
  <c r="M17" i="3"/>
  <c r="L17" i="3"/>
  <c r="J17" i="3"/>
  <c r="Q16" i="3"/>
  <c r="P16" i="3"/>
  <c r="O16" i="3"/>
  <c r="N16" i="3"/>
  <c r="M16" i="3"/>
  <c r="L16" i="3"/>
  <c r="J16" i="3"/>
  <c r="Q15" i="3"/>
  <c r="P15" i="3"/>
  <c r="O15" i="3"/>
  <c r="N15" i="3"/>
  <c r="M15" i="3"/>
  <c r="L15" i="3"/>
  <c r="J15" i="3"/>
  <c r="Q14" i="3"/>
  <c r="P14" i="3"/>
  <c r="O14" i="3"/>
  <c r="N14" i="3"/>
  <c r="M14" i="3"/>
  <c r="L14" i="3"/>
  <c r="J14" i="3"/>
  <c r="Q13" i="3"/>
  <c r="P13" i="3"/>
  <c r="O13" i="3"/>
  <c r="N13" i="3"/>
  <c r="M13" i="3"/>
  <c r="L13" i="3"/>
  <c r="J13" i="3"/>
  <c r="Q12" i="3"/>
  <c r="P12" i="3"/>
  <c r="O12" i="3"/>
  <c r="N12" i="3"/>
  <c r="M12" i="3"/>
  <c r="L12" i="3"/>
  <c r="J12" i="3"/>
  <c r="Q11" i="3"/>
  <c r="P11" i="3"/>
  <c r="O11" i="3"/>
  <c r="N11" i="3"/>
  <c r="M11" i="3"/>
  <c r="L11" i="3"/>
  <c r="J11" i="3"/>
  <c r="Q10" i="3"/>
  <c r="P10" i="3"/>
  <c r="O10" i="3"/>
  <c r="N10" i="3"/>
  <c r="M10" i="3"/>
  <c r="L10" i="3"/>
  <c r="J10" i="3"/>
  <c r="Q9" i="3"/>
  <c r="P9" i="3"/>
  <c r="O9" i="3"/>
  <c r="N9" i="3"/>
  <c r="M9" i="3"/>
  <c r="L9" i="3"/>
  <c r="J9" i="3"/>
  <c r="Q8" i="3"/>
  <c r="P8" i="3"/>
  <c r="O8" i="3"/>
  <c r="N8" i="3"/>
  <c r="M8" i="3"/>
  <c r="L8" i="3"/>
  <c r="J8" i="3"/>
  <c r="Q7" i="3"/>
  <c r="P7" i="3"/>
  <c r="O7" i="3"/>
  <c r="N7" i="3"/>
  <c r="M7" i="3"/>
  <c r="L7" i="3"/>
  <c r="J7" i="3"/>
  <c r="Q6" i="3"/>
  <c r="P6" i="3"/>
  <c r="O6" i="3"/>
  <c r="N6" i="3"/>
  <c r="M6" i="3"/>
  <c r="L6" i="3"/>
  <c r="J6" i="3"/>
  <c r="Q5" i="3"/>
  <c r="P5" i="3"/>
  <c r="O5" i="3"/>
  <c r="N5" i="3"/>
  <c r="M5" i="3"/>
  <c r="L5" i="3"/>
  <c r="J5" i="3"/>
  <c r="Q4" i="3"/>
  <c r="P4" i="3"/>
  <c r="O4" i="3"/>
  <c r="N4" i="3"/>
  <c r="M4" i="3"/>
  <c r="L4" i="3"/>
  <c r="J4" i="3"/>
  <c r="Q3" i="3"/>
  <c r="P3" i="3"/>
  <c r="O3" i="3"/>
  <c r="N3" i="3"/>
  <c r="M3" i="3"/>
  <c r="L3" i="3"/>
  <c r="J3" i="3"/>
  <c r="Q2" i="3"/>
  <c r="P2" i="3"/>
  <c r="O2" i="3"/>
  <c r="N2" i="3"/>
  <c r="M2" i="3"/>
  <c r="L2" i="3"/>
  <c r="J2" i="3"/>
</calcChain>
</file>

<file path=xl/sharedStrings.xml><?xml version="1.0" encoding="utf-8"?>
<sst xmlns="http://schemas.openxmlformats.org/spreadsheetml/2006/main" count="157" uniqueCount="96">
  <si>
    <t>WO #</t>
  </si>
  <si>
    <t>DI #</t>
  </si>
  <si>
    <t>Site #</t>
  </si>
  <si>
    <t>Site Name</t>
  </si>
  <si>
    <t>Latitude</t>
  </si>
  <si>
    <t>Longitude</t>
  </si>
  <si>
    <t>Category</t>
  </si>
  <si>
    <t>Description</t>
  </si>
  <si>
    <t>Textbox Preview</t>
  </si>
  <si>
    <t>Google Maps</t>
  </si>
  <si>
    <t>Bing Maps</t>
  </si>
  <si>
    <t>FEMA Map Viewer</t>
  </si>
  <si>
    <t>Flood Map Search</t>
  </si>
  <si>
    <t>Download Firmette</t>
  </si>
  <si>
    <t>Google Earth</t>
  </si>
  <si>
    <t>FIRMette Status</t>
  </si>
  <si>
    <t>Map Status</t>
  </si>
  <si>
    <t>FHWA Class</t>
  </si>
  <si>
    <t>Urban/Rural</t>
  </si>
  <si>
    <t>Road Name</t>
  </si>
  <si>
    <t>FHWA Status</t>
  </si>
  <si>
    <t>Site Inspector Tool</t>
  </si>
  <si>
    <t>Purpose</t>
  </si>
  <si>
    <t>Manage site data, download FIRMettes, and produce location maps for FEMA PA Site Inspections.</t>
  </si>
  <si>
    <t>Quick Start</t>
  </si>
  <si>
    <t>1) Go to the Setup sheet. Enter Work Order, DI, Disaster, and Applicant.</t>
  </si>
  <si>
    <t>2) Choose WO/DI Mode: 'Same for all sites' or 'Per-site (granular)'.</t>
  </si>
  <si>
    <t>3) Go to the Sites sheet. Enter site details (one row per site).</t>
  </si>
  <si>
    <t>4) Click 'Browse Output Folder' to select where files are saved.</t>
  </si>
  <si>
    <t>5) Use the workflow buttons: Download FIRMettes, Prepare Map Pages, etc.</t>
  </si>
  <si>
    <t>Textbox Format (appears on FIRMettes and Maps)</t>
  </si>
  <si>
    <t>WO #XXXXX DI #XXXXXXX</t>
  </si>
  <si>
    <t>[Applicant Name]</t>
  </si>
  <si>
    <t>Site # Site Name</t>
  </si>
  <si>
    <t>XX.XXXXX, -XX.XXXXX</t>
  </si>
  <si>
    <t>Cat X, Description</t>
  </si>
  <si>
    <t>Available Workflows</t>
  </si>
  <si>
    <t>Download FIRMettes — Batch-download FEMA FIRMette PDFs via ArcGIS GP API.</t>
  </si>
  <si>
    <t>Prepare Map Pages — Generate map page templates with textbox overlays for screenshot pasting.</t>
  </si>
  <si>
    <t>Export Map PDFs — Export combined or individual map PDFs from the MapPages sheet.</t>
  </si>
  <si>
    <t>Copy Textbox Text — Copy formatted textbox text for the selected site to clipboard.</t>
  </si>
  <si>
    <t>Open in Google Earth Pro — Generate KML with all sites and open in Google Earth.</t>
  </si>
  <si>
    <t>FHWA/TDOT Lookup — Query TDOT road classification data (separate workflow).</t>
  </si>
  <si>
    <t>Version</t>
  </si>
  <si>
    <t>Site Inspector Tool v1.2 — 2026-03-09</t>
  </si>
  <si>
    <t>Job Setup</t>
  </si>
  <si>
    <t>Work Order (WO) #</t>
  </si>
  <si>
    <t>Damage Inventory (DI) #</t>
  </si>
  <si>
    <t>Disaster</t>
  </si>
  <si>
    <t>Applicant Name</t>
  </si>
  <si>
    <t>WO/DI Mode</t>
  </si>
  <si>
    <t>Output Folder</t>
  </si>
  <si>
    <t>Same for all sites</t>
  </si>
  <si>
    <t>Anderson Road Site 01 Start</t>
  </si>
  <si>
    <t>Anderson Road Site 01 End</t>
  </si>
  <si>
    <t>Arnold Road Site 02 Start</t>
  </si>
  <si>
    <t>Arnold Road Site 02 End</t>
  </si>
  <si>
    <t>Backside Beaverdam Road Site 03 Start</t>
  </si>
  <si>
    <t>Backside Beaverdam Road Site 03 End</t>
  </si>
  <si>
    <t>Baker Hollow Road Site 04 Start</t>
  </si>
  <si>
    <t>Baker Hollow Road Site 04 End</t>
  </si>
  <si>
    <t>Barren Fork Bridge Road Site 05 Start</t>
  </si>
  <si>
    <t>C</t>
  </si>
  <si>
    <t>Brown County</t>
  </si>
  <si>
    <t>Anderson Road Site 01 Start_x000D_
_x000D_
Paste screenshot here (Place in Cell)</t>
  </si>
  <si>
    <t>Map page created</t>
  </si>
  <si>
    <t>Anderson Road Site 01 End_x000D_
_x000D_
Paste screenshot here (Place in Cell)</t>
  </si>
  <si>
    <t>Arnold Road Site 02 Start_x000D_
_x000D_
Paste screenshot here (Place in Cell)</t>
  </si>
  <si>
    <t>Arnold Road Site 02 End_x000D_
_x000D_
Paste screenshot here (Place in Cell)</t>
  </si>
  <si>
    <t>Backside Beaverdam Road Site 03 Start_x000D_
_x000D_
Paste screenshot here (Place in Cell)</t>
  </si>
  <si>
    <t>Backside Beaverdam Road Site 03 End_x000D_
_x000D_
Paste screenshot here (Place in Cell)</t>
  </si>
  <si>
    <t>Baker Hollow Road Site 04 Start_x000D_
_x000D_
Paste screenshot here (Place in Cell)</t>
  </si>
  <si>
    <t>Baker Hollow Road Site 04 End_x000D_
_x000D_
Paste screenshot here (Place in Cell)</t>
  </si>
  <si>
    <t>Barren Fork Bridge Road Site 05 Start_x000D_
_x000D_
Paste screenshot here (Place in Cell)</t>
  </si>
  <si>
    <t>C:\Users\csmit240\OneDrive - FEMA\Desktop\Working\03. Data and Mapping\Firmette test</t>
  </si>
  <si>
    <t>Downloaded</t>
  </si>
  <si>
    <t>Rural Local | Rural Local</t>
  </si>
  <si>
    <t>Rural | Rural</t>
  </si>
  <si>
    <t>LICK CREEK RD. | ANDERSON RD.</t>
  </si>
  <si>
    <t>Matched (Nearest&lt;=150ft, n=2)</t>
  </si>
  <si>
    <t>Rural Local</t>
  </si>
  <si>
    <t>Rural</t>
  </si>
  <si>
    <t>ANDERSON RD.</t>
  </si>
  <si>
    <t>Matched (Nearest&lt;=150ft, n=1)</t>
  </si>
  <si>
    <t>Rural Local | Rural Local | Rural Minor Arterial</t>
  </si>
  <si>
    <t>Rural | Rural | Rural</t>
  </si>
  <si>
    <t>ARNOLD RD. | WADES BRANCH RD. | SR-100</t>
  </si>
  <si>
    <t>Matched (Nearest&lt;=150ft, n=3)</t>
  </si>
  <si>
    <t>ARNOLD RD. | RICHARD DORNING RD.</t>
  </si>
  <si>
    <t>BACKSIDE BEAVERDAM RD.</t>
  </si>
  <si>
    <t>Rural Local | Rural Minor Collector</t>
  </si>
  <si>
    <t>BACKSIDE BEAVERDAM RD. | SULPHUR CREEK RD.</t>
  </si>
  <si>
    <t>Rural Local | Rural Local | Rural Minor Collector</t>
  </si>
  <si>
    <t>BAKER HOLLOW RD. | BAKER HOLLOW RD. | PINEWOOD RD.</t>
  </si>
  <si>
    <t>BAKER HOLLOW RD.</t>
  </si>
  <si>
    <t>BARREN FORK BRIDGE RD.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</si>
</sst>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12" x14ac:knownFonts="1">
    <font>
      <sz val="11"/>
      <color theme="1"/>
      <name val="Calibri"/>
      <family val="2"/>
      <scheme val="minor"/>
    </font>
    <font>
      <b/>
      <sz val="16"/>
      <color rgb="FF516881"/>
      <name val="Segoe UI Semibold"/>
    </font>
    <font>
      <sz val="11"/>
      <name val="Segoe UI"/>
    </font>
    <font>
      <b/>
      <sz val="12"/>
      <name val="Segoe UI Semibold"/>
    </font>
    <font>
      <sz val="10"/>
      <color rgb="FF646464"/>
      <name val="Segoe UI"/>
    </font>
    <font>
      <sz val="14"/>
      <color rgb="FF516881"/>
      <name val="Segoe UI Semibold"/>
    </font>
    <font>
      <b/>
      <sz val="11"/>
      <name val="Segoe UI"/>
    </font>
    <font>
      <sz val="9"/>
      <color rgb="FF646464"/>
      <name val="Segoe UI"/>
    </font>
    <font>
      <b/>
      <sz val="10"/>
      <color rgb="FFFFFFFF"/>
      <name val="Segoe UI Semibold"/>
    </font>
    <font>
      <sz val="9"/>
      <name val="Consolas"/>
    </font>
    <font>
      <sz val="11"/>
      <name val="Segoe UI"/>
      <family val="2"/>
    </font>
    <font>
      <i/>
      <sz val="18"/>
      <color rgb="FFC8C8C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E6"/>
      </patternFill>
    </fill>
    <fill>
      <patternFill patternType="solid">
        <fgColor rgb="FFE6F0FF"/>
      </patternFill>
    </fill>
    <fill>
      <patternFill patternType="solid">
        <fgColor rgb="FFF5F5F5"/>
      </patternFill>
    </fill>
    <fill>
      <patternFill patternType="solid">
        <fgColor rgb="FF516881"/>
      </patternFill>
    </fill>
    <fill>
      <patternFill patternType="solid">
        <fgColor rgb="FFFFFFFF"/>
      </patternFill>
    </fill>
    <fill>
      <patternFill patternType="solid">
        <fgColor rgb="FFFFC7CE"/>
        <bgColor indexed="64"/>
      </patternFill>
    </fill>
  </fills>
  <borders count="2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6" fillId="0" borderId="0" xfId="0" applyFont="1"/>
    <xf numFmtId="0" fontId="2" fillId="2" borderId="1" xfId="0" applyFont="1" applyFill="1" applyBorder="1"/>
    <xf numFmtId="0" fontId="2" fillId="3" borderId="1" xfId="0" applyFont="1" applyFill="1" applyBorder="1"/>
    <xf numFmtId="0" fontId="7" fillId="4" borderId="1" xfId="0" applyFont="1" applyFill="1" applyBorder="1"/>
    <xf numFmtId="0" fontId="8" fillId="5" borderId="0" xfId="0" applyFont="1" applyFill="1" applyAlignment="1">
      <alignment horizontal="center" vertical="center" wrapText="1"/>
    </xf>
    <xf numFmtId="0" fontId="0" fillId="6" borderId="0" xfId="0" applyFill="1"/>
    <xf numFmtId="164" fontId="0" fillId="0" borderId="0" xfId="0" applyNumberFormat="1"/>
    <xf numFmtId="0" fontId="9" fillId="0" borderId="0" xfId="0" applyFont="1" applyAlignment="1">
      <alignment vertical="top" wrapText="1"/>
    </xf>
    <xf numFmtId="0" fontId="0" fillId="0" borderId="0" xfId="0"/>
    <xf numFmtId="0" fontId="5" fillId="0" borderId="0" xfId="0" applyFont="1"/>
    <xf numFmtId="0" fontId="0" fillId="0" borderId="0" xfId="0"/>
    <xf numFmtId="0" fontId="10" fillId="2" borderId="1" xfId="0" applyFont="1" applyFill="1" applyBorder="1"/>
    <xf numFmtId="0" fontId="1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/>
    <xf numFmtId="0" fontId="0" fillId="7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20320</xdr:colOff>
      <xdr:row>7</xdr:row>
      <xdr:rowOff>170180</xdr:rowOff>
    </xdr:from>
    <xdr:to>
      <xdr:col>0</xdr:col>
      <xdr:colOff>1409700</xdr:colOff>
      <xdr:row>9</xdr:row>
      <xdr:rowOff>22225</xdr:rowOff>
    </xdr:to>
    <xdr:sp macro="SiteInspectorModule.SelectOutput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E4E251B-F8C1-D13B-8FAE-13940DE22122}"/>
            </a:ext>
          </a:extLst>
        </xdr:cNvPr>
        <xdr:cNvSpPr/>
      </xdr:nvSpPr>
      <xdr:spPr>
        <a:xfrm>
          <a:off x="12700" y="1778000"/>
          <a:ext cx="1397000" cy="254000"/>
        </a:xfrm>
        <a:prstGeom prst="roundRect">
          <a:avLst/>
        </a:prstGeom>
        <a:solidFill>
          <a:srgbClr val="00528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Browse Folder...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2235200</xdr:colOff>
      <xdr:row>1</xdr:row>
      <xdr:rowOff>28575</xdr:rowOff>
    </xdr:from>
    <xdr:to>
      <xdr:col>10</xdr:col>
      <xdr:colOff>1149350</xdr:colOff>
      <xdr:row>1</xdr:row>
      <xdr:rowOff>257175</xdr:rowOff>
    </xdr:to>
    <xdr:sp macro="SiteInspectorModule.DownloadFirmett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B89AE7F-699F-CC24-4A39-6EB021817EF5}"/>
            </a:ext>
          </a:extLst>
        </xdr:cNvPr>
        <xdr:cNvSpPr/>
      </xdr:nvSpPr>
      <xdr:spPr>
        <a:xfrm>
          <a:off x="11398250" y="381000"/>
          <a:ext cx="1714500" cy="228600"/>
        </a:xfrm>
        <a:prstGeom prst="roundRect">
          <a:avLst/>
        </a:prstGeom>
        <a:solidFill>
          <a:srgbClr val="00528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Download FIRMettes</a:t>
          </a:r>
        </a:p>
      </xdr:txBody>
    </xdr:sp>
    <xdr:clientData/>
  </xdr:twoCellAnchor>
  <xdr:twoCellAnchor editAs="absolute">
    <xdr:from>
      <xdr:col>9</xdr:col>
      <xdr:colOff>2235200</xdr:colOff>
      <xdr:row>1</xdr:row>
      <xdr:rowOff>295275</xdr:rowOff>
    </xdr:from>
    <xdr:to>
      <xdr:col>10</xdr:col>
      <xdr:colOff>1149350</xdr:colOff>
      <xdr:row>1</xdr:row>
      <xdr:rowOff>523875</xdr:rowOff>
    </xdr:to>
    <xdr:sp macro="SiteInspectorModule.PrepareMapPag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716A10B-5AFF-B23E-D39F-E4921B1956A8}"/>
            </a:ext>
          </a:extLst>
        </xdr:cNvPr>
        <xdr:cNvSpPr/>
      </xdr:nvSpPr>
      <xdr:spPr>
        <a:xfrm>
          <a:off x="11398250" y="647700"/>
          <a:ext cx="1714500" cy="228600"/>
        </a:xfrm>
        <a:prstGeom prst="roundRect">
          <a:avLst/>
        </a:prstGeom>
        <a:solidFill>
          <a:srgbClr val="00528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Prepare Map Pages</a:t>
          </a:r>
        </a:p>
      </xdr:txBody>
    </xdr:sp>
    <xdr:clientData/>
  </xdr:twoCellAnchor>
  <xdr:twoCellAnchor editAs="absolute">
    <xdr:from>
      <xdr:col>9</xdr:col>
      <xdr:colOff>2235200</xdr:colOff>
      <xdr:row>1</xdr:row>
      <xdr:rowOff>561975</xdr:rowOff>
    </xdr:from>
    <xdr:to>
      <xdr:col>10</xdr:col>
      <xdr:colOff>1149350</xdr:colOff>
      <xdr:row>1</xdr:row>
      <xdr:rowOff>790575</xdr:rowOff>
    </xdr:to>
    <xdr:sp macro="SiteInspectorModule.AddNewPag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EACC07B-B5ED-1340-F4EB-3D3F3430E852}"/>
            </a:ext>
          </a:extLst>
        </xdr:cNvPr>
        <xdr:cNvSpPr/>
      </xdr:nvSpPr>
      <xdr:spPr>
        <a:xfrm>
          <a:off x="11398250" y="914400"/>
          <a:ext cx="1714500" cy="228600"/>
        </a:xfrm>
        <a:prstGeom prst="roundRect">
          <a:avLst/>
        </a:prstGeom>
        <a:solidFill>
          <a:srgbClr val="00528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Add New Page</a:t>
          </a:r>
        </a:p>
      </xdr:txBody>
    </xdr:sp>
    <xdr:clientData/>
  </xdr:twoCellAnchor>
  <xdr:twoCellAnchor editAs="absolute">
    <xdr:from>
      <xdr:col>9</xdr:col>
      <xdr:colOff>2235200</xdr:colOff>
      <xdr:row>1</xdr:row>
      <xdr:rowOff>828675</xdr:rowOff>
    </xdr:from>
    <xdr:to>
      <xdr:col>10</xdr:col>
      <xdr:colOff>1149350</xdr:colOff>
      <xdr:row>2</xdr:row>
      <xdr:rowOff>104775</xdr:rowOff>
    </xdr:to>
    <xdr:sp macro="SiteInspectorModule.ExportCombinedMapPdf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101C111-F95A-49C5-DF4D-462B4C096853}"/>
            </a:ext>
          </a:extLst>
        </xdr:cNvPr>
        <xdr:cNvSpPr/>
      </xdr:nvSpPr>
      <xdr:spPr>
        <a:xfrm>
          <a:off x="11398250" y="1181100"/>
          <a:ext cx="1714500" cy="228600"/>
        </a:xfrm>
        <a:prstGeom prst="roundRect">
          <a:avLst/>
        </a:prstGeom>
        <a:solidFill>
          <a:srgbClr val="00528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Export Combined Map PDF</a:t>
          </a:r>
        </a:p>
      </xdr:txBody>
    </xdr:sp>
    <xdr:clientData/>
  </xdr:twoCellAnchor>
  <xdr:twoCellAnchor editAs="absolute">
    <xdr:from>
      <xdr:col>9</xdr:col>
      <xdr:colOff>2235200</xdr:colOff>
      <xdr:row>2</xdr:row>
      <xdr:rowOff>142875</xdr:rowOff>
    </xdr:from>
    <xdr:to>
      <xdr:col>10</xdr:col>
      <xdr:colOff>1149350</xdr:colOff>
      <xdr:row>2</xdr:row>
      <xdr:rowOff>371475</xdr:rowOff>
    </xdr:to>
    <xdr:sp macro="SiteInspectorModule.ExportIndividualMapPdf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7A784E7-1F6C-510E-711F-B158FE9BEC07}"/>
            </a:ext>
          </a:extLst>
        </xdr:cNvPr>
        <xdr:cNvSpPr/>
      </xdr:nvSpPr>
      <xdr:spPr>
        <a:xfrm>
          <a:off x="11398250" y="1447800"/>
          <a:ext cx="1714500" cy="228600"/>
        </a:xfrm>
        <a:prstGeom prst="roundRect">
          <a:avLst/>
        </a:prstGeom>
        <a:solidFill>
          <a:srgbClr val="00528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Export Individual Map PDFs</a:t>
          </a:r>
        </a:p>
      </xdr:txBody>
    </xdr:sp>
    <xdr:clientData/>
  </xdr:twoCellAnchor>
  <xdr:twoCellAnchor editAs="absolute">
    <xdr:from>
      <xdr:col>9</xdr:col>
      <xdr:colOff>2235200</xdr:colOff>
      <xdr:row>2</xdr:row>
      <xdr:rowOff>409575</xdr:rowOff>
    </xdr:from>
    <xdr:to>
      <xdr:col>10</xdr:col>
      <xdr:colOff>1149350</xdr:colOff>
      <xdr:row>2</xdr:row>
      <xdr:rowOff>638175</xdr:rowOff>
    </xdr:to>
    <xdr:sp macro="SiteInspectorModule.CopyTextboxToClipboard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F1B00994-43CE-8BA9-ED7E-CC9EE5756AA9}"/>
            </a:ext>
          </a:extLst>
        </xdr:cNvPr>
        <xdr:cNvSpPr/>
      </xdr:nvSpPr>
      <xdr:spPr>
        <a:xfrm>
          <a:off x="11398250" y="1714500"/>
          <a:ext cx="1714500" cy="228600"/>
        </a:xfrm>
        <a:prstGeom prst="roundRect">
          <a:avLst/>
        </a:prstGeom>
        <a:solidFill>
          <a:srgbClr val="00528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Copy Textbox Text</a:t>
          </a:r>
        </a:p>
      </xdr:txBody>
    </xdr:sp>
    <xdr:clientData/>
  </xdr:twoCellAnchor>
  <xdr:twoCellAnchor editAs="absolute">
    <xdr:from>
      <xdr:col>9</xdr:col>
      <xdr:colOff>2235200</xdr:colOff>
      <xdr:row>2</xdr:row>
      <xdr:rowOff>676275</xdr:rowOff>
    </xdr:from>
    <xdr:to>
      <xdr:col>10</xdr:col>
      <xdr:colOff>1149350</xdr:colOff>
      <xdr:row>2</xdr:row>
      <xdr:rowOff>904875</xdr:rowOff>
    </xdr:to>
    <xdr:sp macro="SiteInspectorModule.ExportSitesToKML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2F83B02A-DC63-4132-F627-75C3312797F5}"/>
            </a:ext>
          </a:extLst>
        </xdr:cNvPr>
        <xdr:cNvSpPr/>
      </xdr:nvSpPr>
      <xdr:spPr>
        <a:xfrm>
          <a:off x="11398250" y="1981200"/>
          <a:ext cx="1714500" cy="228600"/>
        </a:xfrm>
        <a:prstGeom prst="roundRect">
          <a:avLst/>
        </a:prstGeom>
        <a:solidFill>
          <a:srgbClr val="00528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Open in Google Earth Pro</a:t>
          </a:r>
        </a:p>
      </xdr:txBody>
    </xdr:sp>
    <xdr:clientData/>
  </xdr:twoCellAnchor>
  <xdr:twoCellAnchor editAs="absolute">
    <xdr:from>
      <xdr:col>9</xdr:col>
      <xdr:colOff>2235200</xdr:colOff>
      <xdr:row>2</xdr:row>
      <xdr:rowOff>942975</xdr:rowOff>
    </xdr:from>
    <xdr:to>
      <xdr:col>10</xdr:col>
      <xdr:colOff>1149350</xdr:colOff>
      <xdr:row>3</xdr:row>
      <xdr:rowOff>219075</xdr:rowOff>
    </xdr:to>
    <xdr:sp macro="SiteInspectorModule.LookupFunctionalClassification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962C900-35D2-42F6-8F5C-4F716C10A121}"/>
            </a:ext>
          </a:extLst>
        </xdr:cNvPr>
        <xdr:cNvSpPr/>
      </xdr:nvSpPr>
      <xdr:spPr>
        <a:xfrm>
          <a:off x="11398250" y="2247900"/>
          <a:ext cx="1714500" cy="228600"/>
        </a:xfrm>
        <a:prstGeom prst="roundRect">
          <a:avLst/>
        </a:prstGeom>
        <a:solidFill>
          <a:srgbClr val="00528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FHWA / TDOT Lookup</a:t>
          </a:r>
        </a:p>
      </xdr:txBody>
    </xdr:sp>
    <xdr:clientData/>
  </xdr:twoCellAnchor>
  <xdr:twoCellAnchor editAs="absolute">
    <xdr:from>
      <xdr:col>9</xdr:col>
      <xdr:colOff>2235200</xdr:colOff>
      <xdr:row>3</xdr:row>
      <xdr:rowOff>257175</xdr:rowOff>
    </xdr:from>
    <xdr:to>
      <xdr:col>10</xdr:col>
      <xdr:colOff>1149350</xdr:colOff>
      <xdr:row>3</xdr:row>
      <xdr:rowOff>485775</xdr:rowOff>
    </xdr:to>
    <xdr:sp macro="SiteInspectorModule.SelectOutputFolde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BBF8C8A7-879B-CF81-AC08-12978B57CF6E}"/>
            </a:ext>
          </a:extLst>
        </xdr:cNvPr>
        <xdr:cNvSpPr/>
      </xdr:nvSpPr>
      <xdr:spPr>
        <a:xfrm>
          <a:off x="11398250" y="2514600"/>
          <a:ext cx="1714500" cy="228600"/>
        </a:xfrm>
        <a:prstGeom prst="roundRect">
          <a:avLst/>
        </a:prstGeom>
        <a:solidFill>
          <a:srgbClr val="00528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Browse Output Folder</a:t>
          </a:r>
        </a:p>
      </xdr:txBody>
    </xdr:sp>
    <xdr:clientData/>
  </xdr:twoCellAnchor>
  <xdr:twoCellAnchor editAs="absolute">
    <xdr:from>
      <xdr:col>9</xdr:col>
      <xdr:colOff>2235200</xdr:colOff>
      <xdr:row>3</xdr:row>
      <xdr:rowOff>523875</xdr:rowOff>
    </xdr:from>
    <xdr:to>
      <xdr:col>10</xdr:col>
      <xdr:colOff>1149350</xdr:colOff>
      <xdr:row>3</xdr:row>
      <xdr:rowOff>752475</xdr:rowOff>
    </xdr:to>
    <xdr:sp macro="SiteInspectorModule.SyncWoDiMode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A4D2399A-79C5-CC57-9AF2-2EAE448E9414}"/>
            </a:ext>
          </a:extLst>
        </xdr:cNvPr>
        <xdr:cNvSpPr/>
      </xdr:nvSpPr>
      <xdr:spPr>
        <a:xfrm>
          <a:off x="11398250" y="2781300"/>
          <a:ext cx="1714500" cy="228600"/>
        </a:xfrm>
        <a:prstGeom prst="roundRect">
          <a:avLst/>
        </a:prstGeom>
        <a:solidFill>
          <a:srgbClr val="00528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Sync WO/DI Mode</a:t>
          </a:r>
        </a:p>
      </xdr:txBody>
    </xdr:sp>
    <xdr:clientData/>
  </xdr:twoCellAnchor>
  <xdr:twoCellAnchor editAs="absolute">
    <xdr:from>
      <xdr:col>9</xdr:col>
      <xdr:colOff>2235200</xdr:colOff>
      <xdr:row>3</xdr:row>
      <xdr:rowOff>790575</xdr:rowOff>
    </xdr:from>
    <xdr:to>
      <xdr:col>10</xdr:col>
      <xdr:colOff>1149350</xdr:colOff>
      <xdr:row>4</xdr:row>
      <xdr:rowOff>66675</xdr:rowOff>
    </xdr:to>
    <xdr:sp macro="SiteInspectorModule.ShowVerificationLinks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F6B77F76-EEC8-9765-B0C4-282F4A5F97BA}"/>
            </a:ext>
          </a:extLst>
        </xdr:cNvPr>
        <xdr:cNvSpPr/>
      </xdr:nvSpPr>
      <xdr:spPr>
        <a:xfrm>
          <a:off x="11398250" y="3048000"/>
          <a:ext cx="1714500" cy="228600"/>
        </a:xfrm>
        <a:prstGeom prst="roundRect">
          <a:avLst/>
        </a:prstGeom>
        <a:solidFill>
          <a:srgbClr val="00528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Show Verification Links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3</xdr:col>
      <xdr:colOff>727075</xdr:colOff>
      <xdr:row>0</xdr:row>
      <xdr:rowOff>1079500</xdr:rowOff>
    </xdr:to>
    <xdr:sp macro="" textlink="">
      <xdr:nvSpPr>
        <xdr:cNvPr id="2" name="Textbox_Site_1">
          <a:extLst>
            <a:ext uri="{FF2B5EF4-FFF2-40B4-BE49-F238E27FC236}">
              <a16:creationId xmlns:a16="http://schemas.microsoft.com/office/drawing/2014/main" id="{24E94E15-B389-7DF2-35EE-1BCA6EB10FD0}"/>
            </a:ext>
          </a:extLst>
        </xdr:cNvPr>
        <xdr:cNvSpPr txBox="1"/>
      </xdr:nvSpPr>
      <xdr:spPr>
        <a:xfrm>
          <a:off x="63500" y="63500"/>
          <a:ext cx="2921000" cy="1016000"/>
        </a:xfrm>
        <a:prstGeom prst="rect">
          <a:avLst/>
        </a:prstGeom>
        <a:solidFill>
          <a:srgbClr val="FFFFFF">
            <a:alpha val="80000"/>
          </a:srgbClr>
        </a:solidFill>
        <a:ln w="6350" cmpd="sng">
          <a:solidFill>
            <a:srgbClr val="6464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63500" tIns="38100" rIns="63500" bIns="38100" rtlCol="0" anchor="t">
          <a:noAutofit/>
        </a:bodyPr>
        <a:lstStyle/>
        <a:p>
          <a:r>
            <a:rPr lang="en-US" sz="800" b="1" kern="1200">
              <a:solidFill>
                <a:srgbClr val="000000"/>
              </a:solidFill>
              <a:latin typeface="Segoe UI" panose="020B0502040204020203" pitchFamily="34" charset="0"/>
            </a:rPr>
            <a:t>WO #111111 DI #222222</a:t>
          </a:r>
          <a:r>
            <a:rPr lang="en-US" sz="800" kern="1200">
              <a:solidFill>
                <a:srgbClr val="000000"/>
              </a:solidFill>
              <a:latin typeface="Segoe UI" panose="020B0502040204020203" pitchFamily="34" charset="0"/>
            </a:rPr>
            <a:t>
Brown County
Anderson Road Site 01 Start
35.83957, -87.22318
Cat C</a:t>
          </a:r>
        </a:p>
      </xdr:txBody>
    </xdr:sp>
    <xdr:clientData/>
  </xdr:twoCellAnchor>
  <xdr:twoCellAnchor>
    <xdr:from>
      <xdr:col>0</xdr:col>
      <xdr:colOff>63500</xdr:colOff>
      <xdr:row>4</xdr:row>
      <xdr:rowOff>63500</xdr:rowOff>
    </xdr:from>
    <xdr:to>
      <xdr:col>3</xdr:col>
      <xdr:colOff>727075</xdr:colOff>
      <xdr:row>4</xdr:row>
      <xdr:rowOff>1079500</xdr:rowOff>
    </xdr:to>
    <xdr:sp macro="" textlink="">
      <xdr:nvSpPr>
        <xdr:cNvPr id="3" name="Textbox_Site_2">
          <a:extLst>
            <a:ext uri="{FF2B5EF4-FFF2-40B4-BE49-F238E27FC236}">
              <a16:creationId xmlns:a16="http://schemas.microsoft.com/office/drawing/2014/main" id="{11EADFBE-F885-8385-2C35-031EA4086FCD}"/>
            </a:ext>
          </a:extLst>
        </xdr:cNvPr>
        <xdr:cNvSpPr txBox="1"/>
      </xdr:nvSpPr>
      <xdr:spPr>
        <a:xfrm>
          <a:off x="63500" y="7835900"/>
          <a:ext cx="2921000" cy="1016000"/>
        </a:xfrm>
        <a:prstGeom prst="rect">
          <a:avLst/>
        </a:prstGeom>
        <a:solidFill>
          <a:srgbClr val="FFFFFF">
            <a:alpha val="80000"/>
          </a:srgbClr>
        </a:solidFill>
        <a:ln w="6350" cmpd="sng">
          <a:solidFill>
            <a:srgbClr val="6464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63500" tIns="38100" rIns="63500" bIns="38100" rtlCol="0" anchor="t">
          <a:noAutofit/>
        </a:bodyPr>
        <a:lstStyle/>
        <a:p>
          <a:r>
            <a:rPr lang="en-US" sz="800" b="1" kern="1200">
              <a:solidFill>
                <a:srgbClr val="000000"/>
              </a:solidFill>
              <a:latin typeface="Segoe UI" panose="020B0502040204020203" pitchFamily="34" charset="0"/>
            </a:rPr>
            <a:t>WO #111111 DI #222222</a:t>
          </a:r>
          <a:r>
            <a:rPr lang="en-US" sz="800" kern="1200">
              <a:solidFill>
                <a:srgbClr val="000000"/>
              </a:solidFill>
              <a:latin typeface="Segoe UI" panose="020B0502040204020203" pitchFamily="34" charset="0"/>
            </a:rPr>
            <a:t>
Brown County
Anderson Road Site 01 End
35.83185, -87.22487
Cat C</a:t>
          </a:r>
        </a:p>
      </xdr:txBody>
    </xdr:sp>
    <xdr:clientData/>
  </xdr:twoCellAnchor>
  <xdr:twoCellAnchor>
    <xdr:from>
      <xdr:col>0</xdr:col>
      <xdr:colOff>63500</xdr:colOff>
      <xdr:row>8</xdr:row>
      <xdr:rowOff>63500</xdr:rowOff>
    </xdr:from>
    <xdr:to>
      <xdr:col>3</xdr:col>
      <xdr:colOff>727075</xdr:colOff>
      <xdr:row>8</xdr:row>
      <xdr:rowOff>1079500</xdr:rowOff>
    </xdr:to>
    <xdr:sp macro="" textlink="">
      <xdr:nvSpPr>
        <xdr:cNvPr id="4" name="Textbox_Site_3">
          <a:extLst>
            <a:ext uri="{FF2B5EF4-FFF2-40B4-BE49-F238E27FC236}">
              <a16:creationId xmlns:a16="http://schemas.microsoft.com/office/drawing/2014/main" id="{A2663EAC-DD84-5AFC-99AD-1BCE5767BBD7}"/>
            </a:ext>
          </a:extLst>
        </xdr:cNvPr>
        <xdr:cNvSpPr txBox="1"/>
      </xdr:nvSpPr>
      <xdr:spPr>
        <a:xfrm>
          <a:off x="63500" y="15608300"/>
          <a:ext cx="2921000" cy="1016000"/>
        </a:xfrm>
        <a:prstGeom prst="rect">
          <a:avLst/>
        </a:prstGeom>
        <a:solidFill>
          <a:srgbClr val="FFFFFF">
            <a:alpha val="80000"/>
          </a:srgbClr>
        </a:solidFill>
        <a:ln w="6350" cmpd="sng">
          <a:solidFill>
            <a:srgbClr val="6464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63500" tIns="38100" rIns="63500" bIns="38100" rtlCol="0" anchor="t">
          <a:noAutofit/>
        </a:bodyPr>
        <a:lstStyle/>
        <a:p>
          <a:r>
            <a:rPr lang="en-US" sz="800" b="1" kern="1200">
              <a:solidFill>
                <a:srgbClr val="000000"/>
              </a:solidFill>
              <a:latin typeface="Segoe UI" panose="020B0502040204020203" pitchFamily="34" charset="0"/>
            </a:rPr>
            <a:t>WO #111111 DI #222222</a:t>
          </a:r>
          <a:r>
            <a:rPr lang="en-US" sz="800" kern="1200">
              <a:solidFill>
                <a:srgbClr val="000000"/>
              </a:solidFill>
              <a:latin typeface="Segoe UI" panose="020B0502040204020203" pitchFamily="34" charset="0"/>
            </a:rPr>
            <a:t>
Brown County
Arnold Road Site 02 Start
35.67771, -87.55209
Cat C</a:t>
          </a:r>
        </a:p>
      </xdr:txBody>
    </xdr:sp>
    <xdr:clientData/>
  </xdr:twoCellAnchor>
  <xdr:twoCellAnchor>
    <xdr:from>
      <xdr:col>0</xdr:col>
      <xdr:colOff>63500</xdr:colOff>
      <xdr:row>12</xdr:row>
      <xdr:rowOff>63500</xdr:rowOff>
    </xdr:from>
    <xdr:to>
      <xdr:col>3</xdr:col>
      <xdr:colOff>727075</xdr:colOff>
      <xdr:row>12</xdr:row>
      <xdr:rowOff>1079500</xdr:rowOff>
    </xdr:to>
    <xdr:sp macro="" textlink="">
      <xdr:nvSpPr>
        <xdr:cNvPr id="5" name="Textbox_Site_4">
          <a:extLst>
            <a:ext uri="{FF2B5EF4-FFF2-40B4-BE49-F238E27FC236}">
              <a16:creationId xmlns:a16="http://schemas.microsoft.com/office/drawing/2014/main" id="{4B99BCA7-E990-3F5E-1986-3B6FBAA08B65}"/>
            </a:ext>
          </a:extLst>
        </xdr:cNvPr>
        <xdr:cNvSpPr txBox="1"/>
      </xdr:nvSpPr>
      <xdr:spPr>
        <a:xfrm>
          <a:off x="63500" y="23380700"/>
          <a:ext cx="2921000" cy="1016000"/>
        </a:xfrm>
        <a:prstGeom prst="rect">
          <a:avLst/>
        </a:prstGeom>
        <a:solidFill>
          <a:srgbClr val="FFFFFF">
            <a:alpha val="80000"/>
          </a:srgbClr>
        </a:solidFill>
        <a:ln w="6350" cmpd="sng">
          <a:solidFill>
            <a:srgbClr val="6464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63500" tIns="38100" rIns="63500" bIns="38100" rtlCol="0" anchor="t">
          <a:noAutofit/>
        </a:bodyPr>
        <a:lstStyle/>
        <a:p>
          <a:r>
            <a:rPr lang="en-US" sz="800" b="1" kern="1200">
              <a:solidFill>
                <a:srgbClr val="000000"/>
              </a:solidFill>
              <a:latin typeface="Segoe UI" panose="020B0502040204020203" pitchFamily="34" charset="0"/>
            </a:rPr>
            <a:t>WO #111111 DI #222222</a:t>
          </a:r>
          <a:r>
            <a:rPr lang="en-US" sz="800" kern="1200">
              <a:solidFill>
                <a:srgbClr val="000000"/>
              </a:solidFill>
              <a:latin typeface="Segoe UI" panose="020B0502040204020203" pitchFamily="34" charset="0"/>
            </a:rPr>
            <a:t>
Brown County
Arnold Road Site 02 End
35.64020, -87.55864
Cat C</a:t>
          </a:r>
        </a:p>
      </xdr:txBody>
    </xdr:sp>
    <xdr:clientData/>
  </xdr:twoCellAnchor>
  <xdr:twoCellAnchor>
    <xdr:from>
      <xdr:col>0</xdr:col>
      <xdr:colOff>63500</xdr:colOff>
      <xdr:row>16</xdr:row>
      <xdr:rowOff>63500</xdr:rowOff>
    </xdr:from>
    <xdr:to>
      <xdr:col>3</xdr:col>
      <xdr:colOff>727075</xdr:colOff>
      <xdr:row>16</xdr:row>
      <xdr:rowOff>1079500</xdr:rowOff>
    </xdr:to>
    <xdr:sp macro="" textlink="">
      <xdr:nvSpPr>
        <xdr:cNvPr id="6" name="Textbox_Site_5">
          <a:extLst>
            <a:ext uri="{FF2B5EF4-FFF2-40B4-BE49-F238E27FC236}">
              <a16:creationId xmlns:a16="http://schemas.microsoft.com/office/drawing/2014/main" id="{AE8F48BE-D3A0-1FEF-BB2B-FA37DF4A6F91}"/>
            </a:ext>
          </a:extLst>
        </xdr:cNvPr>
        <xdr:cNvSpPr txBox="1"/>
      </xdr:nvSpPr>
      <xdr:spPr>
        <a:xfrm>
          <a:off x="63500" y="31153100"/>
          <a:ext cx="2921000" cy="1016000"/>
        </a:xfrm>
        <a:prstGeom prst="rect">
          <a:avLst/>
        </a:prstGeom>
        <a:solidFill>
          <a:srgbClr val="FFFFFF">
            <a:alpha val="80000"/>
          </a:srgbClr>
        </a:solidFill>
        <a:ln w="6350" cmpd="sng">
          <a:solidFill>
            <a:srgbClr val="6464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63500" tIns="38100" rIns="63500" bIns="38100" rtlCol="0" anchor="t">
          <a:noAutofit/>
        </a:bodyPr>
        <a:lstStyle/>
        <a:p>
          <a:r>
            <a:rPr lang="en-US" sz="800" b="1" kern="1200">
              <a:solidFill>
                <a:srgbClr val="000000"/>
              </a:solidFill>
              <a:latin typeface="Segoe UI" panose="020B0502040204020203" pitchFamily="34" charset="0"/>
            </a:rPr>
            <a:t>WO #111111 DI #222222</a:t>
          </a:r>
          <a:r>
            <a:rPr lang="en-US" sz="800" kern="1200">
              <a:solidFill>
                <a:srgbClr val="000000"/>
              </a:solidFill>
              <a:latin typeface="Segoe UI" panose="020B0502040204020203" pitchFamily="34" charset="0"/>
            </a:rPr>
            <a:t>
Brown County
Backside Beaverdam Road Site 03 Start
35.76673, -87.57888
Cat C</a:t>
          </a:r>
        </a:p>
      </xdr:txBody>
    </xdr:sp>
    <xdr:clientData/>
  </xdr:twoCellAnchor>
  <xdr:twoCellAnchor>
    <xdr:from>
      <xdr:col>0</xdr:col>
      <xdr:colOff>63500</xdr:colOff>
      <xdr:row>20</xdr:row>
      <xdr:rowOff>63500</xdr:rowOff>
    </xdr:from>
    <xdr:to>
      <xdr:col>3</xdr:col>
      <xdr:colOff>727075</xdr:colOff>
      <xdr:row>20</xdr:row>
      <xdr:rowOff>1079500</xdr:rowOff>
    </xdr:to>
    <xdr:sp macro="" textlink="">
      <xdr:nvSpPr>
        <xdr:cNvPr id="7" name="Textbox_Site_6">
          <a:extLst>
            <a:ext uri="{FF2B5EF4-FFF2-40B4-BE49-F238E27FC236}">
              <a16:creationId xmlns:a16="http://schemas.microsoft.com/office/drawing/2014/main" id="{47BFD265-EB33-FD5E-01D2-429609440B46}"/>
            </a:ext>
          </a:extLst>
        </xdr:cNvPr>
        <xdr:cNvSpPr txBox="1"/>
      </xdr:nvSpPr>
      <xdr:spPr>
        <a:xfrm>
          <a:off x="63500" y="38925500"/>
          <a:ext cx="2921000" cy="1016000"/>
        </a:xfrm>
        <a:prstGeom prst="rect">
          <a:avLst/>
        </a:prstGeom>
        <a:solidFill>
          <a:srgbClr val="FFFFFF">
            <a:alpha val="80000"/>
          </a:srgbClr>
        </a:solidFill>
        <a:ln w="6350" cmpd="sng">
          <a:solidFill>
            <a:srgbClr val="6464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63500" tIns="38100" rIns="63500" bIns="38100" rtlCol="0" anchor="t">
          <a:noAutofit/>
        </a:bodyPr>
        <a:lstStyle/>
        <a:p>
          <a:r>
            <a:rPr lang="en-US" sz="800" b="1" kern="1200">
              <a:solidFill>
                <a:srgbClr val="000000"/>
              </a:solidFill>
              <a:latin typeface="Segoe UI" panose="020B0502040204020203" pitchFamily="34" charset="0"/>
            </a:rPr>
            <a:t>WO #111111 DI #222222</a:t>
          </a:r>
          <a:r>
            <a:rPr lang="en-US" sz="800" kern="1200">
              <a:solidFill>
                <a:srgbClr val="000000"/>
              </a:solidFill>
              <a:latin typeface="Segoe UI" panose="020B0502040204020203" pitchFamily="34" charset="0"/>
            </a:rPr>
            <a:t>
Brown County
Backside Beaverdam Road Site 03 End
35.77049, -87.61440
Cat C</a:t>
          </a:r>
        </a:p>
      </xdr:txBody>
    </xdr:sp>
    <xdr:clientData/>
  </xdr:twoCellAnchor>
  <xdr:twoCellAnchor>
    <xdr:from>
      <xdr:col>0</xdr:col>
      <xdr:colOff>63500</xdr:colOff>
      <xdr:row>24</xdr:row>
      <xdr:rowOff>63500</xdr:rowOff>
    </xdr:from>
    <xdr:to>
      <xdr:col>3</xdr:col>
      <xdr:colOff>727075</xdr:colOff>
      <xdr:row>24</xdr:row>
      <xdr:rowOff>1079500</xdr:rowOff>
    </xdr:to>
    <xdr:sp macro="" textlink="">
      <xdr:nvSpPr>
        <xdr:cNvPr id="8" name="Textbox_Site_7">
          <a:extLst>
            <a:ext uri="{FF2B5EF4-FFF2-40B4-BE49-F238E27FC236}">
              <a16:creationId xmlns:a16="http://schemas.microsoft.com/office/drawing/2014/main" id="{597D4A87-0FC5-1299-11EB-4A73F8280E3A}"/>
            </a:ext>
          </a:extLst>
        </xdr:cNvPr>
        <xdr:cNvSpPr txBox="1"/>
      </xdr:nvSpPr>
      <xdr:spPr>
        <a:xfrm>
          <a:off x="63500" y="46697900"/>
          <a:ext cx="2921000" cy="1016000"/>
        </a:xfrm>
        <a:prstGeom prst="rect">
          <a:avLst/>
        </a:prstGeom>
        <a:solidFill>
          <a:srgbClr val="FFFFFF">
            <a:alpha val="80000"/>
          </a:srgbClr>
        </a:solidFill>
        <a:ln w="6350" cmpd="sng">
          <a:solidFill>
            <a:srgbClr val="6464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63500" tIns="38100" rIns="63500" bIns="38100" rtlCol="0" anchor="t">
          <a:noAutofit/>
        </a:bodyPr>
        <a:lstStyle/>
        <a:p>
          <a:r>
            <a:rPr lang="en-US" sz="800" b="1" kern="1200">
              <a:solidFill>
                <a:srgbClr val="000000"/>
              </a:solidFill>
              <a:latin typeface="Segoe UI" panose="020B0502040204020203" pitchFamily="34" charset="0"/>
            </a:rPr>
            <a:t>WO #111111 DI #222222</a:t>
          </a:r>
          <a:r>
            <a:rPr lang="en-US" sz="800" kern="1200">
              <a:solidFill>
                <a:srgbClr val="000000"/>
              </a:solidFill>
              <a:latin typeface="Segoe UI" panose="020B0502040204020203" pitchFamily="34" charset="0"/>
            </a:rPr>
            <a:t>
Brown County
Baker Hollow Road Site 04 Start
35.91416, -87.41881
Cat C</a:t>
          </a:r>
        </a:p>
      </xdr:txBody>
    </xdr:sp>
    <xdr:clientData/>
  </xdr:twoCellAnchor>
  <xdr:twoCellAnchor>
    <xdr:from>
      <xdr:col>0</xdr:col>
      <xdr:colOff>63500</xdr:colOff>
      <xdr:row>28</xdr:row>
      <xdr:rowOff>63500</xdr:rowOff>
    </xdr:from>
    <xdr:to>
      <xdr:col>3</xdr:col>
      <xdr:colOff>727075</xdr:colOff>
      <xdr:row>28</xdr:row>
      <xdr:rowOff>1079500</xdr:rowOff>
    </xdr:to>
    <xdr:sp macro="" textlink="">
      <xdr:nvSpPr>
        <xdr:cNvPr id="9" name="Textbox_Site_8">
          <a:extLst>
            <a:ext uri="{FF2B5EF4-FFF2-40B4-BE49-F238E27FC236}">
              <a16:creationId xmlns:a16="http://schemas.microsoft.com/office/drawing/2014/main" id="{2B1346E2-82B7-4565-8720-989DC9AE6040}"/>
            </a:ext>
          </a:extLst>
        </xdr:cNvPr>
        <xdr:cNvSpPr txBox="1"/>
      </xdr:nvSpPr>
      <xdr:spPr>
        <a:xfrm>
          <a:off x="63500" y="54470300"/>
          <a:ext cx="2921000" cy="1016000"/>
        </a:xfrm>
        <a:prstGeom prst="rect">
          <a:avLst/>
        </a:prstGeom>
        <a:solidFill>
          <a:srgbClr val="FFFFFF">
            <a:alpha val="80000"/>
          </a:srgbClr>
        </a:solidFill>
        <a:ln w="6350" cmpd="sng">
          <a:solidFill>
            <a:srgbClr val="6464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63500" tIns="38100" rIns="63500" bIns="38100" rtlCol="0" anchor="t">
          <a:noAutofit/>
        </a:bodyPr>
        <a:lstStyle/>
        <a:p>
          <a:r>
            <a:rPr lang="en-US" sz="800" b="1" kern="1200">
              <a:solidFill>
                <a:srgbClr val="000000"/>
              </a:solidFill>
              <a:latin typeface="Segoe UI" panose="020B0502040204020203" pitchFamily="34" charset="0"/>
            </a:rPr>
            <a:t>WO #111111 DI #222222</a:t>
          </a:r>
          <a:r>
            <a:rPr lang="en-US" sz="800" kern="1200">
              <a:solidFill>
                <a:srgbClr val="000000"/>
              </a:solidFill>
              <a:latin typeface="Segoe UI" panose="020B0502040204020203" pitchFamily="34" charset="0"/>
            </a:rPr>
            <a:t>
Brown County
Baker Hollow Road Site 04 End
35.90748, -87.40644
Cat C</a:t>
          </a:r>
        </a:p>
      </xdr:txBody>
    </xdr:sp>
    <xdr:clientData/>
  </xdr:twoCellAnchor>
  <xdr:twoCellAnchor>
    <xdr:from>
      <xdr:col>0</xdr:col>
      <xdr:colOff>63500</xdr:colOff>
      <xdr:row>32</xdr:row>
      <xdr:rowOff>63500</xdr:rowOff>
    </xdr:from>
    <xdr:to>
      <xdr:col>3</xdr:col>
      <xdr:colOff>727075</xdr:colOff>
      <xdr:row>32</xdr:row>
      <xdr:rowOff>1079500</xdr:rowOff>
    </xdr:to>
    <xdr:sp macro="" textlink="">
      <xdr:nvSpPr>
        <xdr:cNvPr id="10" name="Textbox_Site_9">
          <a:extLst>
            <a:ext uri="{FF2B5EF4-FFF2-40B4-BE49-F238E27FC236}">
              <a16:creationId xmlns:a16="http://schemas.microsoft.com/office/drawing/2014/main" id="{690EE199-27F1-3BA3-E4F8-B75ED045A526}"/>
            </a:ext>
          </a:extLst>
        </xdr:cNvPr>
        <xdr:cNvSpPr txBox="1"/>
      </xdr:nvSpPr>
      <xdr:spPr>
        <a:xfrm>
          <a:off x="63500" y="62242700"/>
          <a:ext cx="2921000" cy="1016000"/>
        </a:xfrm>
        <a:prstGeom prst="rect">
          <a:avLst/>
        </a:prstGeom>
        <a:solidFill>
          <a:srgbClr val="FFFFFF">
            <a:alpha val="80000"/>
          </a:srgbClr>
        </a:solidFill>
        <a:ln w="6350" cmpd="sng">
          <a:solidFill>
            <a:srgbClr val="6464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63500" tIns="38100" rIns="63500" bIns="38100" rtlCol="0" anchor="t">
          <a:noAutofit/>
        </a:bodyPr>
        <a:lstStyle/>
        <a:p>
          <a:r>
            <a:rPr lang="en-US" sz="800" b="1" kern="1200">
              <a:solidFill>
                <a:srgbClr val="000000"/>
              </a:solidFill>
              <a:latin typeface="Segoe UI" panose="020B0502040204020203" pitchFamily="34" charset="0"/>
            </a:rPr>
            <a:t>WO #111111 DI #222222</a:t>
          </a:r>
          <a:r>
            <a:rPr lang="en-US" sz="800" kern="1200">
              <a:solidFill>
                <a:srgbClr val="000000"/>
              </a:solidFill>
              <a:latin typeface="Segoe UI" panose="020B0502040204020203" pitchFamily="34" charset="0"/>
            </a:rPr>
            <a:t>
Brown County
Barren Fork Bridge Road Site 05 Start
35.89687, -87.25799
Cat C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516881"/>
  </sheetPr>
  <dimension ref="A1:A29"/>
  <sheetViews>
    <sheetView workbookViewId="0">
      <selection activeCell="A9" sqref="A9"/>
    </sheetView>
  </sheetViews>
  <sheetFormatPr defaultRowHeight="15" x14ac:dyDescent="0.25"/>
  <cols>
    <col min="1" max="1" width="100" customWidth="1"/>
  </cols>
  <sheetData>
    <row r="1" spans="1:1" ht="21.95" customHeight="1" x14ac:dyDescent="0.5">
      <c r="A1" s="1" t="s">
        <v>21</v>
      </c>
    </row>
    <row r="2" spans="1:1" ht="21.95" customHeight="1" x14ac:dyDescent="0.3">
      <c r="A2" s="2"/>
    </row>
    <row r="3" spans="1:1" ht="21.95" customHeight="1" x14ac:dyDescent="0.3">
      <c r="A3" s="3" t="s">
        <v>22</v>
      </c>
    </row>
    <row r="4" spans="1:1" ht="21.95" customHeight="1" x14ac:dyDescent="0.3">
      <c r="A4" s="2" t="s">
        <v>23</v>
      </c>
    </row>
    <row r="5" spans="1:1" ht="21.95" customHeight="1" x14ac:dyDescent="0.3">
      <c r="A5" s="2"/>
    </row>
    <row r="6" spans="1:1" ht="21.95" customHeight="1" x14ac:dyDescent="0.3">
      <c r="A6" s="3" t="s">
        <v>24</v>
      </c>
    </row>
    <row r="7" spans="1:1" ht="21.95" customHeight="1" x14ac:dyDescent="0.3">
      <c r="A7" s="2" t="s">
        <v>25</v>
      </c>
    </row>
    <row r="8" spans="1:1" ht="21.95" customHeight="1" x14ac:dyDescent="0.3">
      <c r="A8" s="2" t="s">
        <v>26</v>
      </c>
    </row>
    <row r="9" spans="1:1" ht="21.95" customHeight="1" x14ac:dyDescent="0.3">
      <c r="A9" s="2" t="s">
        <v>27</v>
      </c>
    </row>
    <row r="10" spans="1:1" ht="21.95" customHeight="1" x14ac:dyDescent="0.3">
      <c r="A10" s="2" t="s">
        <v>28</v>
      </c>
    </row>
    <row r="11" spans="1:1" ht="21.95" customHeight="1" x14ac:dyDescent="0.3">
      <c r="A11" s="2" t="s">
        <v>29</v>
      </c>
    </row>
    <row r="12" spans="1:1" ht="21.95" customHeight="1" x14ac:dyDescent="0.3">
      <c r="A12" s="2"/>
    </row>
    <row r="13" spans="1:1" ht="21.95" customHeight="1" x14ac:dyDescent="0.3">
      <c r="A13" s="3" t="s">
        <v>30</v>
      </c>
    </row>
    <row r="14" spans="1:1" ht="21.95" customHeight="1" x14ac:dyDescent="0.25">
      <c r="A14" s="4" t="s">
        <v>31</v>
      </c>
    </row>
    <row r="15" spans="1:1" ht="21.95" customHeight="1" x14ac:dyDescent="0.25">
      <c r="A15" s="4" t="s">
        <v>32</v>
      </c>
    </row>
    <row r="16" spans="1:1" ht="21.95" customHeight="1" x14ac:dyDescent="0.25">
      <c r="A16" s="4" t="s">
        <v>33</v>
      </c>
    </row>
    <row r="17" spans="1:1" ht="21.95" customHeight="1" x14ac:dyDescent="0.25">
      <c r="A17" s="4" t="s">
        <v>34</v>
      </c>
    </row>
    <row r="18" spans="1:1" ht="21.95" customHeight="1" x14ac:dyDescent="0.25">
      <c r="A18" s="4" t="s">
        <v>35</v>
      </c>
    </row>
    <row r="19" spans="1:1" ht="21.95" customHeight="1" x14ac:dyDescent="0.3">
      <c r="A19" s="2"/>
    </row>
    <row r="20" spans="1:1" ht="21.95" customHeight="1" x14ac:dyDescent="0.3">
      <c r="A20" s="3" t="s">
        <v>36</v>
      </c>
    </row>
    <row r="21" spans="1:1" ht="21.95" customHeight="1" x14ac:dyDescent="0.3">
      <c r="A21" s="2" t="s">
        <v>37</v>
      </c>
    </row>
    <row r="22" spans="1:1" ht="21.95" customHeight="1" x14ac:dyDescent="0.3">
      <c r="A22" s="2" t="s">
        <v>38</v>
      </c>
    </row>
    <row r="23" spans="1:1" ht="21.95" customHeight="1" x14ac:dyDescent="0.3">
      <c r="A23" s="2" t="s">
        <v>39</v>
      </c>
    </row>
    <row r="24" spans="1:1" ht="21.95" customHeight="1" x14ac:dyDescent="0.3">
      <c r="A24" s="2" t="s">
        <v>40</v>
      </c>
    </row>
    <row r="25" spans="1:1" ht="21.95" customHeight="1" x14ac:dyDescent="0.3">
      <c r="A25" s="2" t="s">
        <v>41</v>
      </c>
    </row>
    <row r="26" spans="1:1" ht="21.95" customHeight="1" x14ac:dyDescent="0.3">
      <c r="A26" s="2" t="s">
        <v>42</v>
      </c>
    </row>
    <row r="27" spans="1:1" ht="21.95" customHeight="1" x14ac:dyDescent="0.3">
      <c r="A27" s="2"/>
    </row>
    <row r="28" spans="1:1" ht="21.95" customHeight="1" x14ac:dyDescent="0.3">
      <c r="A28" s="3" t="s">
        <v>43</v>
      </c>
    </row>
    <row r="29" spans="1:1" ht="21.95" customHeight="1" x14ac:dyDescent="0.25">
      <c r="A29" s="4" t="s">
        <v>44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E8B57"/>
  </sheetPr>
  <dimension ref="A1:B10"/>
  <sheetViews>
    <sheetView workbookViewId="0">
      <selection activeCell="B15" sqref="B15"/>
    </sheetView>
  </sheetViews>
  <sheetFormatPr defaultRowHeight="15" x14ac:dyDescent="0.25"/>
  <cols>
    <col min="1" max="1" width="28" customWidth="1"/>
    <col min="2" max="2" width="60" customWidth="1"/>
  </cols>
  <sheetData>
    <row r="1" spans="1:2" ht="30" customHeight="1" x14ac:dyDescent="0.35">
      <c r="A1" s="14" t="s">
        <v>45</v>
      </c>
      <c r="B1" s="15"/>
    </row>
    <row r="3" spans="1:2" ht="16.5" x14ac:dyDescent="0.3">
      <c r="A3" s="5" t="s">
        <v>46</v>
      </c>
      <c r="B3" s="6">
        <v>111111</v>
      </c>
    </row>
    <row r="4" spans="1:2" ht="16.5" x14ac:dyDescent="0.3">
      <c r="A4" s="5" t="s">
        <v>47</v>
      </c>
      <c r="B4" s="6">
        <v>222222</v>
      </c>
    </row>
    <row r="5" spans="1:2" ht="16.5" x14ac:dyDescent="0.3">
      <c r="A5" s="5" t="s">
        <v>48</v>
      </c>
      <c r="B5" s="6">
        <v>4424</v>
      </c>
    </row>
    <row r="6" spans="1:2" ht="16.5" x14ac:dyDescent="0.3">
      <c r="A6" s="5" t="s">
        <v>49</v>
      </c>
      <c r="B6" s="16" t="s">
        <v>63</v>
      </c>
    </row>
    <row r="8" spans="1:2" ht="16.5" x14ac:dyDescent="0.3">
      <c r="A8" s="5" t="s">
        <v>50</v>
      </c>
      <c r="B8" s="7" t="s">
        <v>52</v>
      </c>
    </row>
    <row r="10" spans="1:2" ht="16.5" x14ac:dyDescent="0.3">
      <c r="A10" s="5" t="s">
        <v>51</v>
      </c>
      <c r="B10" s="8" t="s">
        <v>74</v>
      </c>
    </row>
  </sheetData>
  <mergeCells count="1">
    <mergeCell ref="A1:B1"/>
  </mergeCells>
  <dataValidations count="1">
    <dataValidation type="list" errorTitle="Invalid Mode" error="Please select a valid mode." sqref="B8" xr:uid="{00000000-0002-0000-0100-000000000000}">
      <formula1>"Same for all sites,Per-site (granular)"</formula1>
    </dataValidation>
  </dataValidation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66CC"/>
  </sheetPr>
  <dimension ref="A1:X200"/>
  <sheetViews>
    <sheetView tabSelected="1" topLeftCell="M1" workbookViewId="0">
      <pane ySplit="1" topLeftCell="A2" activePane="bottomLeft" state="frozen"/>
      <selection pane="bottomLeft" activeCell="S2" sqref="S2"/>
    </sheetView>
  </sheetViews>
  <sheetFormatPr defaultRowHeight="15" x14ac:dyDescent="0.25"/>
  <cols>
    <col min="1" max="1" width="10" customWidth="1"/>
    <col min="2" max="2" width="12" customWidth="1"/>
    <col min="3" max="3" width="8" customWidth="1"/>
    <col min="4" max="4" width="24" customWidth="1"/>
    <col min="5" max="6" width="13" customWidth="1"/>
    <col min="7" max="7" width="10" customWidth="1"/>
    <col min="8" max="8" width="36" customWidth="1"/>
    <col min="9" max="9" width="11.42578125" customWidth="1"/>
    <col min="10" max="10" width="42" customWidth="1"/>
    <col min="11" max="11" width="26.85546875" customWidth="1"/>
    <col min="12" max="12" width="16.5703125" customWidth="1"/>
    <col min="13" max="14" width="15" customWidth="1"/>
    <col min="15" max="15" width="15.5703125" customWidth="1"/>
    <col min="16" max="16" width="12.5703125" customWidth="1"/>
    <col min="17" max="17" width="16.5703125" customWidth="1"/>
    <col min="18" max="18" width="25.85546875" customWidth="1"/>
    <col min="19" max="19" width="20" customWidth="1"/>
    <col min="20" max="20" width="18" customWidth="1"/>
    <col min="21" max="21" width="58" customWidth="1"/>
    <col min="22" max="22" width="12" customWidth="1"/>
    <col min="23" max="23" width="20" customWidth="1"/>
    <col min="24" max="24" width="22" customWidth="1"/>
  </cols>
  <sheetData>
    <row r="1" spans="1:24" ht="27.95" customHeight="1" x14ac:dyDescent="0.25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10"/>
      <c r="J1" s="9" t="s">
        <v>8</v>
      </c>
      <c r="K1" s="10"/>
      <c r="L1" s="9" t="s">
        <v>9</v>
      </c>
      <c r="M1" s="9" t="s">
        <v>10</v>
      </c>
      <c r="N1" s="9" t="s">
        <v>11</v>
      </c>
      <c r="O1" s="9" t="s">
        <v>12</v>
      </c>
      <c r="P1" s="9" t="s">
        <v>13</v>
      </c>
      <c r="Q1" s="9" t="s">
        <v>14</v>
      </c>
      <c r="R1" s="10"/>
      <c r="S1" s="9" t="s">
        <v>15</v>
      </c>
      <c r="T1" s="9" t="s">
        <v>16</v>
      </c>
      <c r="U1" s="9" t="s">
        <v>17</v>
      </c>
      <c r="V1" s="9" t="s">
        <v>18</v>
      </c>
      <c r="W1" s="9" t="s">
        <v>19</v>
      </c>
      <c r="X1" s="9" t="s">
        <v>20</v>
      </c>
    </row>
    <row r="2" spans="1:24" ht="75" customHeight="1" x14ac:dyDescent="0.25">
      <c r="D2" t="s">
        <v>53</v>
      </c>
      <c r="E2" s="11">
        <v>35.839570000000002</v>
      </c>
      <c r="F2" s="11">
        <v>-87.223179999999999</v>
      </c>
      <c r="G2" t="s">
        <v>62</v>
      </c>
      <c r="J2" s="12" t="str">
        <f t="shared" ref="J2:J33" si="0">IF(OR($E2="",$F2=""),"","WO #"&amp;IF(JobMode="Per-site (granular)",$A2,JobWO)&amp;" DI #"&amp;IF(JobMode="Per-site (granular)",$B2,JobDI)&amp;CHAR(10)&amp;JobApplicant&amp;CHAR(10)&amp;IF($C2&lt;&gt;"","Site "&amp;$C2&amp;" "&amp;$D2,$D2)&amp;CHAR(10)&amp;TEXT($E2,"0.00000")&amp;", "&amp;TEXT($F2,"0.00000")&amp;IF(OR($G2&lt;&gt;"",$H2&lt;&gt;""),CHAR(10)&amp;IF(AND($G2&lt;&gt;"",$H2&lt;&gt;""),"Cat "&amp;$G2&amp;", "&amp;$H2,IF($G2&lt;&gt;"","Cat "&amp;$G2,$H2)),""))</f>
        <v>WO #111111 DI #222222
Brown County
Anderson Road Site 01 Start
35.83957, -87.22318
Cat C</v>
      </c>
      <c r="L2" t="str">
        <f t="shared" ref="L2:L33" si="1">IF(OR($E2="",$F2=""),"",HYPERLINK("https://www.google.com/maps?q="&amp;$E2&amp;","&amp;$F2,"Open"))</f>
        <v>Open</v>
      </c>
      <c r="M2" t="str">
        <f t="shared" ref="M2:M33" si="2">IF(OR($E2="",$F2=""),"",HYPERLINK("https://www.bing.com/maps?cp="&amp;$E2&amp;"~"&amp;$F2&amp;"&amp;lvl=18","Open"))</f>
        <v>Open</v>
      </c>
      <c r="N2" t="str">
        <f t="shared" ref="N2:N33" si="3">IF(OR($E2="",$F2=""),"",HYPERLINK("https://fema.maps.arcgis.com/apps/mapviewer/index.html?find="&amp;$F2&amp;"%2C"&amp;$E2&amp;"&amp;marker="&amp;$F2&amp;","&amp;$E2&amp;",4326&amp;level=16","View"))</f>
        <v>View</v>
      </c>
      <c r="O2" t="str">
        <f t="shared" ref="O2:O33" si="4">IF(OR($E2="",$F2=""),"",HYPERLINK("https://msc.fema.gov/portal/search?AddressQuery="&amp;$F2&amp;"%2C%20"&amp;$E2,"Search"))</f>
        <v>Search</v>
      </c>
      <c r="P2" t="str">
        <f t="shared" ref="P2:P33" si="5">IF(OR($E2="",$F2=""),"",HYPERLINK("https://msc.fema.gov/portal/firmette?latitude="&amp;$E2&amp;"&amp;longitude="&amp;$F2,"Download"))</f>
        <v>Download</v>
      </c>
      <c r="Q2" t="str">
        <f t="shared" ref="Q2:Q33" si="6">IF(OR($E2="",$F2=""),"",HYPERLINK("https://earth.google.com/web/@"&amp;$E2&amp;","&amp;$F2&amp;",500a,35y,0h,0t,0r","View"))</f>
        <v>View</v>
      </c>
      <c r="S2" t="s">
        <v>75</v>
      </c>
      <c r="T2" t="s">
        <v>65</v>
      </c>
      <c r="U2" s="19" t="s">
        <v>76</v>
      </c>
      <c r="V2" s="19" t="s">
        <v>77</v>
      </c>
      <c r="W2" s="19" t="s">
        <v>78</v>
      </c>
      <c r="X2" t="s">
        <v>79</v>
      </c>
    </row>
    <row r="3" spans="1:24" ht="75" customHeight="1" x14ac:dyDescent="0.25">
      <c r="D3" t="s">
        <v>54</v>
      </c>
      <c r="E3" s="11">
        <v>35.831850000000003</v>
      </c>
      <c r="F3" s="11">
        <v>-87.224869999999996</v>
      </c>
      <c r="G3" s="13" t="s">
        <v>62</v>
      </c>
      <c r="J3" s="12" t="str">
        <f t="shared" si="0"/>
        <v>WO #111111 DI #222222
Brown County
Anderson Road Site 01 End
35.83185, -87.22487
Cat C</v>
      </c>
      <c r="L3" t="str">
        <f t="shared" si="1"/>
        <v>Open</v>
      </c>
      <c r="M3" t="str">
        <f t="shared" si="2"/>
        <v>Open</v>
      </c>
      <c r="N3" t="str">
        <f t="shared" si="3"/>
        <v>View</v>
      </c>
      <c r="O3" t="str">
        <f t="shared" si="4"/>
        <v>Search</v>
      </c>
      <c r="P3" t="str">
        <f t="shared" si="5"/>
        <v>Download</v>
      </c>
      <c r="Q3" t="str">
        <f t="shared" si="6"/>
        <v>View</v>
      </c>
      <c r="S3" t="s">
        <v>75</v>
      </c>
      <c r="T3" t="s">
        <v>65</v>
      </c>
      <c r="U3" s="19" t="s">
        <v>80</v>
      </c>
      <c r="V3" s="19" t="s">
        <v>81</v>
      </c>
      <c r="W3" s="19" t="s">
        <v>82</v>
      </c>
      <c r="X3" t="s">
        <v>83</v>
      </c>
    </row>
    <row r="4" spans="1:24" ht="75" customHeight="1" x14ac:dyDescent="0.25">
      <c r="D4" t="s">
        <v>55</v>
      </c>
      <c r="E4" s="11">
        <v>35.677709999999998</v>
      </c>
      <c r="F4" s="11">
        <v>-87.552090000000007</v>
      </c>
      <c r="G4" s="13" t="s">
        <v>62</v>
      </c>
      <c r="J4" s="12" t="str">
        <f t="shared" si="0"/>
        <v>WO #111111 DI #222222
Brown County
Arnold Road Site 02 Start
35.67771, -87.55209
Cat C</v>
      </c>
      <c r="L4" t="str">
        <f t="shared" si="1"/>
        <v>Open</v>
      </c>
      <c r="M4" t="str">
        <f t="shared" si="2"/>
        <v>Open</v>
      </c>
      <c r="N4" t="str">
        <f t="shared" si="3"/>
        <v>View</v>
      </c>
      <c r="O4" t="str">
        <f t="shared" si="4"/>
        <v>Search</v>
      </c>
      <c r="P4" t="str">
        <f t="shared" si="5"/>
        <v>Download</v>
      </c>
      <c r="Q4" t="str">
        <f t="shared" si="6"/>
        <v>View</v>
      </c>
      <c r="S4" t="s">
        <v>75</v>
      </c>
      <c r="T4" t="s">
        <v>65</v>
      </c>
      <c r="U4" s="20" t="s">
        <v>84</v>
      </c>
      <c r="V4" s="20" t="s">
        <v>85</v>
      </c>
      <c r="W4" s="20" t="s">
        <v>86</v>
      </c>
      <c r="X4" t="s">
        <v>87</v>
      </c>
    </row>
    <row r="5" spans="1:24" ht="75" customHeight="1" x14ac:dyDescent="0.25">
      <c r="D5" t="s">
        <v>56</v>
      </c>
      <c r="E5" s="11">
        <v>35.6402</v>
      </c>
      <c r="F5" s="11">
        <v>-87.558639999999997</v>
      </c>
      <c r="G5" s="13" t="s">
        <v>62</v>
      </c>
      <c r="J5" s="12" t="str">
        <f t="shared" si="0"/>
        <v>WO #111111 DI #222222
Brown County
Arnold Road Site 02 End
35.64020, -87.55864
Cat C</v>
      </c>
      <c r="L5" t="str">
        <f t="shared" si="1"/>
        <v>Open</v>
      </c>
      <c r="M5" t="str">
        <f t="shared" si="2"/>
        <v>Open</v>
      </c>
      <c r="N5" t="str">
        <f t="shared" si="3"/>
        <v>View</v>
      </c>
      <c r="O5" t="str">
        <f t="shared" si="4"/>
        <v>Search</v>
      </c>
      <c r="P5" t="str">
        <f t="shared" si="5"/>
        <v>Download</v>
      </c>
      <c r="Q5" t="str">
        <f t="shared" si="6"/>
        <v>View</v>
      </c>
      <c r="S5" t="s">
        <v>75</v>
      </c>
      <c r="T5" t="s">
        <v>65</v>
      </c>
      <c r="U5" s="19" t="s">
        <v>76</v>
      </c>
      <c r="V5" s="19" t="s">
        <v>77</v>
      </c>
      <c r="W5" s="19" t="s">
        <v>88</v>
      </c>
      <c r="X5" t="s">
        <v>79</v>
      </c>
    </row>
    <row r="6" spans="1:24" ht="75" customHeight="1" x14ac:dyDescent="0.25">
      <c r="D6" t="s">
        <v>57</v>
      </c>
      <c r="E6" s="11">
        <v>35.766730000000003</v>
      </c>
      <c r="F6" s="11">
        <v>-87.578879999999998</v>
      </c>
      <c r="G6" s="13" t="s">
        <v>62</v>
      </c>
      <c r="J6" s="12" t="str">
        <f t="shared" si="0"/>
        <v>WO #111111 DI #222222
Brown County
Backside Beaverdam Road Site 03 Start
35.76673, -87.57888
Cat C</v>
      </c>
      <c r="L6" t="str">
        <f t="shared" si="1"/>
        <v>Open</v>
      </c>
      <c r="M6" t="str">
        <f t="shared" si="2"/>
        <v>Open</v>
      </c>
      <c r="N6" t="str">
        <f t="shared" si="3"/>
        <v>View</v>
      </c>
      <c r="O6" t="str">
        <f t="shared" si="4"/>
        <v>Search</v>
      </c>
      <c r="P6" t="str">
        <f t="shared" si="5"/>
        <v>Download</v>
      </c>
      <c r="Q6" t="str">
        <f t="shared" si="6"/>
        <v>View</v>
      </c>
      <c r="S6" t="s">
        <v>75</v>
      </c>
      <c r="T6" t="s">
        <v>65</v>
      </c>
      <c r="U6" s="19" t="s">
        <v>80</v>
      </c>
      <c r="V6" s="19" t="s">
        <v>81</v>
      </c>
      <c r="W6" s="19" t="s">
        <v>89</v>
      </c>
      <c r="X6" t="s">
        <v>83</v>
      </c>
    </row>
    <row r="7" spans="1:24" ht="75" customHeight="1" x14ac:dyDescent="0.25">
      <c r="D7" t="s">
        <v>58</v>
      </c>
      <c r="E7" s="11">
        <v>35.770490000000002</v>
      </c>
      <c r="F7" s="11">
        <v>-87.614400000000003</v>
      </c>
      <c r="G7" s="13" t="s">
        <v>62</v>
      </c>
      <c r="J7" s="12" t="str">
        <f t="shared" si="0"/>
        <v>WO #111111 DI #222222
Brown County
Backside Beaverdam Road Site 03 End
35.77049, -87.61440
Cat C</v>
      </c>
      <c r="L7" t="str">
        <f t="shared" si="1"/>
        <v>Open</v>
      </c>
      <c r="M7" t="str">
        <f t="shared" si="2"/>
        <v>Open</v>
      </c>
      <c r="N7" t="str">
        <f t="shared" si="3"/>
        <v>View</v>
      </c>
      <c r="O7" t="str">
        <f t="shared" si="4"/>
        <v>Search</v>
      </c>
      <c r="P7" t="str">
        <f t="shared" si="5"/>
        <v>Download</v>
      </c>
      <c r="Q7" t="str">
        <f t="shared" si="6"/>
        <v>View</v>
      </c>
      <c r="S7" t="s">
        <v>75</v>
      </c>
      <c r="T7" t="s">
        <v>65</v>
      </c>
      <c r="U7" s="19" t="s">
        <v>90</v>
      </c>
      <c r="V7" s="19" t="s">
        <v>77</v>
      </c>
      <c r="W7" s="19" t="s">
        <v>91</v>
      </c>
      <c r="X7" t="s">
        <v>79</v>
      </c>
    </row>
    <row r="8" spans="1:24" ht="75" customHeight="1" x14ac:dyDescent="0.25">
      <c r="D8" t="s">
        <v>59</v>
      </c>
      <c r="E8" s="11">
        <v>35.914160000000003</v>
      </c>
      <c r="F8" s="11">
        <v>-87.418809999999993</v>
      </c>
      <c r="G8" s="13" t="s">
        <v>62</v>
      </c>
      <c r="J8" s="12" t="str">
        <f t="shared" si="0"/>
        <v>WO #111111 DI #222222
Brown County
Baker Hollow Road Site 04 Start
35.91416, -87.41881
Cat C</v>
      </c>
      <c r="L8" t="str">
        <f t="shared" si="1"/>
        <v>Open</v>
      </c>
      <c r="M8" t="str">
        <f t="shared" si="2"/>
        <v>Open</v>
      </c>
      <c r="N8" t="str">
        <f t="shared" si="3"/>
        <v>View</v>
      </c>
      <c r="O8" t="str">
        <f t="shared" si="4"/>
        <v>Search</v>
      </c>
      <c r="P8" t="str">
        <f t="shared" si="5"/>
        <v>Download</v>
      </c>
      <c r="Q8" t="str">
        <f t="shared" si="6"/>
        <v>View</v>
      </c>
      <c r="S8" t="s">
        <v>75</v>
      </c>
      <c r="T8" t="s">
        <v>65</v>
      </c>
      <c r="U8" s="19" t="s">
        <v>92</v>
      </c>
      <c r="V8" s="19" t="s">
        <v>85</v>
      </c>
      <c r="W8" s="19" t="s">
        <v>93</v>
      </c>
      <c r="X8" t="s">
        <v>87</v>
      </c>
    </row>
    <row r="9" spans="1:24" ht="75" customHeight="1" x14ac:dyDescent="0.25">
      <c r="D9" t="s">
        <v>60</v>
      </c>
      <c r="E9" s="11">
        <v>35.90748</v>
      </c>
      <c r="F9" s="11">
        <v>-87.406440000000003</v>
      </c>
      <c r="G9" s="13" t="s">
        <v>62</v>
      </c>
      <c r="J9" s="12" t="str">
        <f t="shared" si="0"/>
        <v>WO #111111 DI #222222
Brown County
Baker Hollow Road Site 04 End
35.90748, -87.40644
Cat C</v>
      </c>
      <c r="L9" t="str">
        <f t="shared" si="1"/>
        <v>Open</v>
      </c>
      <c r="M9" t="str">
        <f t="shared" si="2"/>
        <v>Open</v>
      </c>
      <c r="N9" t="str">
        <f t="shared" si="3"/>
        <v>View</v>
      </c>
      <c r="O9" t="str">
        <f t="shared" si="4"/>
        <v>Search</v>
      </c>
      <c r="P9" t="str">
        <f t="shared" si="5"/>
        <v>Download</v>
      </c>
      <c r="Q9" t="str">
        <f t="shared" si="6"/>
        <v>View</v>
      </c>
      <c r="S9" t="s">
        <v>75</v>
      </c>
      <c r="T9" t="s">
        <v>65</v>
      </c>
      <c r="U9" s="19" t="s">
        <v>80</v>
      </c>
      <c r="V9" s="19" t="s">
        <v>81</v>
      </c>
      <c r="W9" s="19" t="s">
        <v>94</v>
      </c>
      <c r="X9" t="s">
        <v>83</v>
      </c>
    </row>
    <row r="10" spans="1:24" ht="75" customHeight="1" x14ac:dyDescent="0.25">
      <c r="D10" t="s">
        <v>61</v>
      </c>
      <c r="E10" s="11">
        <v>35.89687</v>
      </c>
      <c r="F10" s="11">
        <v>-87.257990000000007</v>
      </c>
      <c r="G10" s="13" t="s">
        <v>62</v>
      </c>
      <c r="J10" s="12" t="str">
        <f t="shared" si="0"/>
        <v>WO #111111 DI #222222
Brown County
Barren Fork Bridge Road Site 05 Start
35.89687, -87.25799
Cat C</v>
      </c>
      <c r="L10" t="str">
        <f t="shared" si="1"/>
        <v>Open</v>
      </c>
      <c r="M10" t="str">
        <f t="shared" si="2"/>
        <v>Open</v>
      </c>
      <c r="N10" t="str">
        <f t="shared" si="3"/>
        <v>View</v>
      </c>
      <c r="O10" t="str">
        <f t="shared" si="4"/>
        <v>Search</v>
      </c>
      <c r="P10" t="str">
        <f t="shared" si="5"/>
        <v>Download</v>
      </c>
      <c r="Q10" t="str">
        <f t="shared" si="6"/>
        <v>View</v>
      </c>
      <c r="S10" t="s">
        <v>75</v>
      </c>
      <c r="T10" t="s">
        <v>65</v>
      </c>
      <c r="U10" s="19" t="s">
        <v>80</v>
      </c>
      <c r="V10" s="19" t="s">
        <v>81</v>
      </c>
      <c r="W10" s="19" t="s">
        <v>95</v>
      </c>
      <c r="X10" t="s">
        <v>83</v>
      </c>
    </row>
    <row r="11" spans="1:24" ht="75" customHeight="1" x14ac:dyDescent="0.25">
      <c r="E11" s="11"/>
      <c r="F11" s="11"/>
      <c r="J11" s="12" t="str">
        <f t="shared" si="0"/>
        <v/>
      </c>
      <c r="L11" t="str">
        <f t="shared" si="1"/>
        <v/>
      </c>
      <c r="M11" t="str">
        <f t="shared" si="2"/>
        <v/>
      </c>
      <c r="N11" t="str">
        <f t="shared" si="3"/>
        <v/>
      </c>
      <c r="O11" t="str">
        <f t="shared" si="4"/>
        <v/>
      </c>
      <c r="P11" t="str">
        <f t="shared" si="5"/>
        <v/>
      </c>
      <c r="Q11" t="str">
        <f t="shared" si="6"/>
        <v/>
      </c>
    </row>
    <row r="12" spans="1:24" ht="75" customHeight="1" x14ac:dyDescent="0.25">
      <c r="E12" s="11"/>
      <c r="F12" s="11"/>
      <c r="J12" s="12" t="str">
        <f t="shared" si="0"/>
        <v/>
      </c>
      <c r="L12" t="str">
        <f t="shared" si="1"/>
        <v/>
      </c>
      <c r="M12" t="str">
        <f t="shared" si="2"/>
        <v/>
      </c>
      <c r="N12" t="str">
        <f t="shared" si="3"/>
        <v/>
      </c>
      <c r="O12" t="str">
        <f t="shared" si="4"/>
        <v/>
      </c>
      <c r="P12" t="str">
        <f t="shared" si="5"/>
        <v/>
      </c>
      <c r="Q12" t="str">
        <f t="shared" si="6"/>
        <v/>
      </c>
    </row>
    <row r="13" spans="1:24" ht="75" customHeight="1" x14ac:dyDescent="0.25">
      <c r="E13" s="11"/>
      <c r="F13" s="11"/>
      <c r="J13" s="12" t="str">
        <f t="shared" si="0"/>
        <v/>
      </c>
      <c r="L13" t="str">
        <f t="shared" si="1"/>
        <v/>
      </c>
      <c r="M13" t="str">
        <f t="shared" si="2"/>
        <v/>
      </c>
      <c r="N13" t="str">
        <f t="shared" si="3"/>
        <v/>
      </c>
      <c r="O13" t="str">
        <f t="shared" si="4"/>
        <v/>
      </c>
      <c r="P13" t="str">
        <f t="shared" si="5"/>
        <v/>
      </c>
      <c r="Q13" t="str">
        <f t="shared" si="6"/>
        <v/>
      </c>
    </row>
    <row r="14" spans="1:24" ht="75" customHeight="1" x14ac:dyDescent="0.25">
      <c r="E14" s="11"/>
      <c r="F14" s="11"/>
      <c r="J14" s="12" t="str">
        <f t="shared" si="0"/>
        <v/>
      </c>
      <c r="L14" t="str">
        <f t="shared" si="1"/>
        <v/>
      </c>
      <c r="M14" t="str">
        <f t="shared" si="2"/>
        <v/>
      </c>
      <c r="N14" t="str">
        <f t="shared" si="3"/>
        <v/>
      </c>
      <c r="O14" t="str">
        <f t="shared" si="4"/>
        <v/>
      </c>
      <c r="P14" t="str">
        <f t="shared" si="5"/>
        <v/>
      </c>
      <c r="Q14" t="str">
        <f t="shared" si="6"/>
        <v/>
      </c>
    </row>
    <row r="15" spans="1:24" ht="75" customHeight="1" x14ac:dyDescent="0.25">
      <c r="E15" s="11"/>
      <c r="F15" s="11"/>
      <c r="J15" s="12" t="str">
        <f t="shared" si="0"/>
        <v/>
      </c>
      <c r="L15" t="str">
        <f t="shared" si="1"/>
        <v/>
      </c>
      <c r="M15" t="str">
        <f t="shared" si="2"/>
        <v/>
      </c>
      <c r="N15" t="str">
        <f t="shared" si="3"/>
        <v/>
      </c>
      <c r="O15" t="str">
        <f t="shared" si="4"/>
        <v/>
      </c>
      <c r="P15" t="str">
        <f t="shared" si="5"/>
        <v/>
      </c>
      <c r="Q15" t="str">
        <f t="shared" si="6"/>
        <v/>
      </c>
    </row>
    <row r="16" spans="1:24" ht="75" customHeight="1" x14ac:dyDescent="0.25">
      <c r="E16" s="11"/>
      <c r="F16" s="11"/>
      <c r="J16" s="12" t="str">
        <f t="shared" si="0"/>
        <v/>
      </c>
      <c r="L16" t="str">
        <f t="shared" si="1"/>
        <v/>
      </c>
      <c r="M16" t="str">
        <f t="shared" si="2"/>
        <v/>
      </c>
      <c r="N16" t="str">
        <f t="shared" si="3"/>
        <v/>
      </c>
      <c r="O16" t="str">
        <f t="shared" si="4"/>
        <v/>
      </c>
      <c r="P16" t="str">
        <f t="shared" si="5"/>
        <v/>
      </c>
      <c r="Q16" t="str">
        <f t="shared" si="6"/>
        <v/>
      </c>
    </row>
    <row r="17" spans="5:17" ht="75" customHeight="1" x14ac:dyDescent="0.25">
      <c r="E17" s="11"/>
      <c r="F17" s="11"/>
      <c r="J17" s="12" t="str">
        <f t="shared" si="0"/>
        <v/>
      </c>
      <c r="L17" t="str">
        <f t="shared" si="1"/>
        <v/>
      </c>
      <c r="M17" t="str">
        <f t="shared" si="2"/>
        <v/>
      </c>
      <c r="N17" t="str">
        <f t="shared" si="3"/>
        <v/>
      </c>
      <c r="O17" t="str">
        <f t="shared" si="4"/>
        <v/>
      </c>
      <c r="P17" t="str">
        <f t="shared" si="5"/>
        <v/>
      </c>
      <c r="Q17" t="str">
        <f t="shared" si="6"/>
        <v/>
      </c>
    </row>
    <row r="18" spans="5:17" ht="75" customHeight="1" x14ac:dyDescent="0.25">
      <c r="E18" s="11"/>
      <c r="F18" s="11"/>
      <c r="J18" s="12" t="str">
        <f t="shared" si="0"/>
        <v/>
      </c>
      <c r="L18" t="str">
        <f t="shared" si="1"/>
        <v/>
      </c>
      <c r="M18" t="str">
        <f t="shared" si="2"/>
        <v/>
      </c>
      <c r="N18" t="str">
        <f t="shared" si="3"/>
        <v/>
      </c>
      <c r="O18" t="str">
        <f t="shared" si="4"/>
        <v/>
      </c>
      <c r="P18" t="str">
        <f t="shared" si="5"/>
        <v/>
      </c>
      <c r="Q18" t="str">
        <f t="shared" si="6"/>
        <v/>
      </c>
    </row>
    <row r="19" spans="5:17" ht="75" customHeight="1" x14ac:dyDescent="0.25">
      <c r="E19" s="11"/>
      <c r="F19" s="11"/>
      <c r="J19" s="12" t="str">
        <f t="shared" si="0"/>
        <v/>
      </c>
      <c r="L19" t="str">
        <f t="shared" si="1"/>
        <v/>
      </c>
      <c r="M19" t="str">
        <f t="shared" si="2"/>
        <v/>
      </c>
      <c r="N19" t="str">
        <f t="shared" si="3"/>
        <v/>
      </c>
      <c r="O19" t="str">
        <f t="shared" si="4"/>
        <v/>
      </c>
      <c r="P19" t="str">
        <f t="shared" si="5"/>
        <v/>
      </c>
      <c r="Q19" t="str">
        <f t="shared" si="6"/>
        <v/>
      </c>
    </row>
    <row r="20" spans="5:17" ht="75" customHeight="1" x14ac:dyDescent="0.25">
      <c r="E20" s="11"/>
      <c r="F20" s="11"/>
      <c r="J20" s="12" t="str">
        <f t="shared" si="0"/>
        <v/>
      </c>
      <c r="L20" t="str">
        <f t="shared" si="1"/>
        <v/>
      </c>
      <c r="M20" t="str">
        <f t="shared" si="2"/>
        <v/>
      </c>
      <c r="N20" t="str">
        <f t="shared" si="3"/>
        <v/>
      </c>
      <c r="O20" t="str">
        <f t="shared" si="4"/>
        <v/>
      </c>
      <c r="P20" t="str">
        <f t="shared" si="5"/>
        <v/>
      </c>
      <c r="Q20" t="str">
        <f t="shared" si="6"/>
        <v/>
      </c>
    </row>
    <row r="21" spans="5:17" ht="75" customHeight="1" x14ac:dyDescent="0.25">
      <c r="E21" s="11"/>
      <c r="F21" s="11"/>
      <c r="J21" s="12" t="str">
        <f t="shared" si="0"/>
        <v/>
      </c>
      <c r="L21" t="str">
        <f t="shared" si="1"/>
        <v/>
      </c>
      <c r="M21" t="str">
        <f t="shared" si="2"/>
        <v/>
      </c>
      <c r="N21" t="str">
        <f t="shared" si="3"/>
        <v/>
      </c>
      <c r="O21" t="str">
        <f t="shared" si="4"/>
        <v/>
      </c>
      <c r="P21" t="str">
        <f t="shared" si="5"/>
        <v/>
      </c>
      <c r="Q21" t="str">
        <f t="shared" si="6"/>
        <v/>
      </c>
    </row>
    <row r="22" spans="5:17" ht="75" customHeight="1" x14ac:dyDescent="0.25">
      <c r="E22" s="11"/>
      <c r="F22" s="11"/>
      <c r="J22" s="12" t="str">
        <f t="shared" si="0"/>
        <v/>
      </c>
      <c r="L22" t="str">
        <f t="shared" si="1"/>
        <v/>
      </c>
      <c r="M22" t="str">
        <f t="shared" si="2"/>
        <v/>
      </c>
      <c r="N22" t="str">
        <f t="shared" si="3"/>
        <v/>
      </c>
      <c r="O22" t="str">
        <f t="shared" si="4"/>
        <v/>
      </c>
      <c r="P22" t="str">
        <f t="shared" si="5"/>
        <v/>
      </c>
      <c r="Q22" t="str">
        <f t="shared" si="6"/>
        <v/>
      </c>
    </row>
    <row r="23" spans="5:17" ht="75" customHeight="1" x14ac:dyDescent="0.25">
      <c r="E23" s="11"/>
      <c r="F23" s="11"/>
      <c r="J23" s="12" t="str">
        <f t="shared" si="0"/>
        <v/>
      </c>
      <c r="L23" t="str">
        <f t="shared" si="1"/>
        <v/>
      </c>
      <c r="M23" t="str">
        <f t="shared" si="2"/>
        <v/>
      </c>
      <c r="N23" t="str">
        <f t="shared" si="3"/>
        <v/>
      </c>
      <c r="O23" t="str">
        <f t="shared" si="4"/>
        <v/>
      </c>
      <c r="P23" t="str">
        <f t="shared" si="5"/>
        <v/>
      </c>
      <c r="Q23" t="str">
        <f t="shared" si="6"/>
        <v/>
      </c>
    </row>
    <row r="24" spans="5:17" ht="75" customHeight="1" x14ac:dyDescent="0.25">
      <c r="E24" s="11"/>
      <c r="F24" s="11"/>
      <c r="J24" s="12" t="str">
        <f t="shared" si="0"/>
        <v/>
      </c>
      <c r="L24" t="str">
        <f t="shared" si="1"/>
        <v/>
      </c>
      <c r="M24" t="str">
        <f t="shared" si="2"/>
        <v/>
      </c>
      <c r="N24" t="str">
        <f t="shared" si="3"/>
        <v/>
      </c>
      <c r="O24" t="str">
        <f t="shared" si="4"/>
        <v/>
      </c>
      <c r="P24" t="str">
        <f t="shared" si="5"/>
        <v/>
      </c>
      <c r="Q24" t="str">
        <f t="shared" si="6"/>
        <v/>
      </c>
    </row>
    <row r="25" spans="5:17" ht="75" customHeight="1" x14ac:dyDescent="0.25">
      <c r="E25" s="11"/>
      <c r="F25" s="11"/>
      <c r="J25" s="12" t="str">
        <f t="shared" si="0"/>
        <v/>
      </c>
      <c r="L25" t="str">
        <f t="shared" si="1"/>
        <v/>
      </c>
      <c r="M25" t="str">
        <f t="shared" si="2"/>
        <v/>
      </c>
      <c r="N25" t="str">
        <f t="shared" si="3"/>
        <v/>
      </c>
      <c r="O25" t="str">
        <f t="shared" si="4"/>
        <v/>
      </c>
      <c r="P25" t="str">
        <f t="shared" si="5"/>
        <v/>
      </c>
      <c r="Q25" t="str">
        <f t="shared" si="6"/>
        <v/>
      </c>
    </row>
    <row r="26" spans="5:17" ht="75" customHeight="1" x14ac:dyDescent="0.25">
      <c r="E26" s="11"/>
      <c r="F26" s="11"/>
      <c r="J26" s="12" t="str">
        <f t="shared" si="0"/>
        <v/>
      </c>
      <c r="L26" t="str">
        <f t="shared" si="1"/>
        <v/>
      </c>
      <c r="M26" t="str">
        <f t="shared" si="2"/>
        <v/>
      </c>
      <c r="N26" t="str">
        <f t="shared" si="3"/>
        <v/>
      </c>
      <c r="O26" t="str">
        <f t="shared" si="4"/>
        <v/>
      </c>
      <c r="P26" t="str">
        <f t="shared" si="5"/>
        <v/>
      </c>
      <c r="Q26" t="str">
        <f t="shared" si="6"/>
        <v/>
      </c>
    </row>
    <row r="27" spans="5:17" ht="75" customHeight="1" x14ac:dyDescent="0.25">
      <c r="E27" s="11"/>
      <c r="F27" s="11"/>
      <c r="J27" s="12" t="str">
        <f t="shared" si="0"/>
        <v/>
      </c>
      <c r="L27" t="str">
        <f t="shared" si="1"/>
        <v/>
      </c>
      <c r="M27" t="str">
        <f t="shared" si="2"/>
        <v/>
      </c>
      <c r="N27" t="str">
        <f t="shared" si="3"/>
        <v/>
      </c>
      <c r="O27" t="str">
        <f t="shared" si="4"/>
        <v/>
      </c>
      <c r="P27" t="str">
        <f t="shared" si="5"/>
        <v/>
      </c>
      <c r="Q27" t="str">
        <f t="shared" si="6"/>
        <v/>
      </c>
    </row>
    <row r="28" spans="5:17" ht="75" customHeight="1" x14ac:dyDescent="0.25">
      <c r="E28" s="11"/>
      <c r="F28" s="11"/>
      <c r="J28" s="12" t="str">
        <f t="shared" si="0"/>
        <v/>
      </c>
      <c r="L28" t="str">
        <f t="shared" si="1"/>
        <v/>
      </c>
      <c r="M28" t="str">
        <f t="shared" si="2"/>
        <v/>
      </c>
      <c r="N28" t="str">
        <f t="shared" si="3"/>
        <v/>
      </c>
      <c r="O28" t="str">
        <f t="shared" si="4"/>
        <v/>
      </c>
      <c r="P28" t="str">
        <f t="shared" si="5"/>
        <v/>
      </c>
      <c r="Q28" t="str">
        <f t="shared" si="6"/>
        <v/>
      </c>
    </row>
    <row r="29" spans="5:17" ht="75" customHeight="1" x14ac:dyDescent="0.25">
      <c r="E29" s="11"/>
      <c r="F29" s="11"/>
      <c r="J29" s="12" t="str">
        <f t="shared" si="0"/>
        <v/>
      </c>
      <c r="L29" t="str">
        <f t="shared" si="1"/>
        <v/>
      </c>
      <c r="M29" t="str">
        <f t="shared" si="2"/>
        <v/>
      </c>
      <c r="N29" t="str">
        <f t="shared" si="3"/>
        <v/>
      </c>
      <c r="O29" t="str">
        <f t="shared" si="4"/>
        <v/>
      </c>
      <c r="P29" t="str">
        <f t="shared" si="5"/>
        <v/>
      </c>
      <c r="Q29" t="str">
        <f t="shared" si="6"/>
        <v/>
      </c>
    </row>
    <row r="30" spans="5:17" ht="75" customHeight="1" x14ac:dyDescent="0.25">
      <c r="E30" s="11"/>
      <c r="F30" s="11"/>
      <c r="J30" s="12" t="str">
        <f t="shared" si="0"/>
        <v/>
      </c>
      <c r="L30" t="str">
        <f t="shared" si="1"/>
        <v/>
      </c>
      <c r="M30" t="str">
        <f t="shared" si="2"/>
        <v/>
      </c>
      <c r="N30" t="str">
        <f t="shared" si="3"/>
        <v/>
      </c>
      <c r="O30" t="str">
        <f t="shared" si="4"/>
        <v/>
      </c>
      <c r="P30" t="str">
        <f t="shared" si="5"/>
        <v/>
      </c>
      <c r="Q30" t="str">
        <f t="shared" si="6"/>
        <v/>
      </c>
    </row>
    <row r="31" spans="5:17" ht="75" customHeight="1" x14ac:dyDescent="0.25">
      <c r="E31" s="11"/>
      <c r="F31" s="11"/>
      <c r="J31" s="12" t="str">
        <f t="shared" si="0"/>
        <v/>
      </c>
      <c r="L31" t="str">
        <f t="shared" si="1"/>
        <v/>
      </c>
      <c r="M31" t="str">
        <f t="shared" si="2"/>
        <v/>
      </c>
      <c r="N31" t="str">
        <f t="shared" si="3"/>
        <v/>
      </c>
      <c r="O31" t="str">
        <f t="shared" si="4"/>
        <v/>
      </c>
      <c r="P31" t="str">
        <f t="shared" si="5"/>
        <v/>
      </c>
      <c r="Q31" t="str">
        <f t="shared" si="6"/>
        <v/>
      </c>
    </row>
    <row r="32" spans="5:17" ht="75" customHeight="1" x14ac:dyDescent="0.25">
      <c r="E32" s="11"/>
      <c r="F32" s="11"/>
      <c r="J32" s="12" t="str">
        <f t="shared" si="0"/>
        <v/>
      </c>
      <c r="L32" t="str">
        <f t="shared" si="1"/>
        <v/>
      </c>
      <c r="M32" t="str">
        <f t="shared" si="2"/>
        <v/>
      </c>
      <c r="N32" t="str">
        <f t="shared" si="3"/>
        <v/>
      </c>
      <c r="O32" t="str">
        <f t="shared" si="4"/>
        <v/>
      </c>
      <c r="P32" t="str">
        <f t="shared" si="5"/>
        <v/>
      </c>
      <c r="Q32" t="str">
        <f t="shared" si="6"/>
        <v/>
      </c>
    </row>
    <row r="33" spans="5:17" ht="75" customHeight="1" x14ac:dyDescent="0.25">
      <c r="E33" s="11"/>
      <c r="F33" s="11"/>
      <c r="J33" s="12" t="str">
        <f t="shared" si="0"/>
        <v/>
      </c>
      <c r="L33" t="str">
        <f t="shared" si="1"/>
        <v/>
      </c>
      <c r="M33" t="str">
        <f t="shared" si="2"/>
        <v/>
      </c>
      <c r="N33" t="str">
        <f t="shared" si="3"/>
        <v/>
      </c>
      <c r="O33" t="str">
        <f t="shared" si="4"/>
        <v/>
      </c>
      <c r="P33" t="str">
        <f t="shared" si="5"/>
        <v/>
      </c>
      <c r="Q33" t="str">
        <f t="shared" si="6"/>
        <v/>
      </c>
    </row>
    <row r="34" spans="5:17" ht="75" customHeight="1" x14ac:dyDescent="0.25">
      <c r="E34" s="11"/>
      <c r="F34" s="11"/>
      <c r="J34" s="12" t="str">
        <f t="shared" ref="J34:J65" si="7">IF(OR($E34="",$F34=""),"","WO #"&amp;IF(JobMode="Per-site (granular)",$A34,JobWO)&amp;" DI #"&amp;IF(JobMode="Per-site (granular)",$B34,JobDI)&amp;CHAR(10)&amp;JobApplicant&amp;CHAR(10)&amp;IF($C34&lt;&gt;"","Site "&amp;$C34&amp;" "&amp;$D34,$D34)&amp;CHAR(10)&amp;TEXT($E34,"0.00000")&amp;", "&amp;TEXT($F34,"0.00000")&amp;IF(OR($G34&lt;&gt;"",$H34&lt;&gt;""),CHAR(10)&amp;IF(AND($G34&lt;&gt;"",$H34&lt;&gt;""),"Cat "&amp;$G34&amp;", "&amp;$H34,IF($G34&lt;&gt;"","Cat "&amp;$G34,$H34)),""))</f>
        <v/>
      </c>
      <c r="L34" t="str">
        <f t="shared" ref="L34:L65" si="8">IF(OR($E34="",$F34=""),"",HYPERLINK("https://www.google.com/maps?q="&amp;$E34&amp;","&amp;$F34,"Open"))</f>
        <v/>
      </c>
      <c r="M34" t="str">
        <f t="shared" ref="M34:M65" si="9">IF(OR($E34="",$F34=""),"",HYPERLINK("https://www.bing.com/maps?cp="&amp;$E34&amp;"~"&amp;$F34&amp;"&amp;lvl=18","Open"))</f>
        <v/>
      </c>
      <c r="N34" t="str">
        <f t="shared" ref="N34:N65" si="10">IF(OR($E34="",$F34=""),"",HYPERLINK("https://fema.maps.arcgis.com/apps/mapviewer/index.html?find="&amp;$F34&amp;"%2C"&amp;$E34&amp;"&amp;marker="&amp;$F34&amp;","&amp;$E34&amp;",4326&amp;level=16","View"))</f>
        <v/>
      </c>
      <c r="O34" t="str">
        <f t="shared" ref="O34:O65" si="11">IF(OR($E34="",$F34=""),"",HYPERLINK("https://msc.fema.gov/portal/search?AddressQuery="&amp;$F34&amp;"%2C%20"&amp;$E34,"Search"))</f>
        <v/>
      </c>
      <c r="P34" t="str">
        <f t="shared" ref="P34:P65" si="12">IF(OR($E34="",$F34=""),"",HYPERLINK("https://msc.fema.gov/portal/firmette?latitude="&amp;$E34&amp;"&amp;longitude="&amp;$F34,"Download"))</f>
        <v/>
      </c>
      <c r="Q34" t="str">
        <f t="shared" ref="Q34:Q65" si="13">IF(OR($E34="",$F34=""),"",HYPERLINK("https://earth.google.com/web/@"&amp;$E34&amp;","&amp;$F34&amp;",500a,35y,0h,0t,0r","View"))</f>
        <v/>
      </c>
    </row>
    <row r="35" spans="5:17" ht="75" customHeight="1" x14ac:dyDescent="0.25">
      <c r="E35" s="11"/>
      <c r="F35" s="11"/>
      <c r="J35" s="12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  <c r="O35" t="str">
        <f t="shared" si="11"/>
        <v/>
      </c>
      <c r="P35" t="str">
        <f t="shared" si="12"/>
        <v/>
      </c>
      <c r="Q35" t="str">
        <f t="shared" si="13"/>
        <v/>
      </c>
    </row>
    <row r="36" spans="5:17" ht="75" customHeight="1" x14ac:dyDescent="0.25">
      <c r="E36" s="11"/>
      <c r="F36" s="11"/>
      <c r="J36" s="12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  <c r="O36" t="str">
        <f t="shared" si="11"/>
        <v/>
      </c>
      <c r="P36" t="str">
        <f t="shared" si="12"/>
        <v/>
      </c>
      <c r="Q36" t="str">
        <f t="shared" si="13"/>
        <v/>
      </c>
    </row>
    <row r="37" spans="5:17" ht="75" customHeight="1" x14ac:dyDescent="0.25">
      <c r="E37" s="11"/>
      <c r="F37" s="11"/>
      <c r="J37" s="12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  <c r="O37" t="str">
        <f t="shared" si="11"/>
        <v/>
      </c>
      <c r="P37" t="str">
        <f t="shared" si="12"/>
        <v/>
      </c>
      <c r="Q37" t="str">
        <f t="shared" si="13"/>
        <v/>
      </c>
    </row>
    <row r="38" spans="5:17" ht="75" customHeight="1" x14ac:dyDescent="0.25">
      <c r="E38" s="11"/>
      <c r="F38" s="11"/>
      <c r="J38" s="12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  <c r="O38" t="str">
        <f t="shared" si="11"/>
        <v/>
      </c>
      <c r="P38" t="str">
        <f t="shared" si="12"/>
        <v/>
      </c>
      <c r="Q38" t="str">
        <f t="shared" si="13"/>
        <v/>
      </c>
    </row>
    <row r="39" spans="5:17" ht="75" customHeight="1" x14ac:dyDescent="0.25">
      <c r="E39" s="11"/>
      <c r="F39" s="11"/>
      <c r="J39" s="12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  <c r="O39" t="str">
        <f t="shared" si="11"/>
        <v/>
      </c>
      <c r="P39" t="str">
        <f t="shared" si="12"/>
        <v/>
      </c>
      <c r="Q39" t="str">
        <f t="shared" si="13"/>
        <v/>
      </c>
    </row>
    <row r="40" spans="5:17" ht="75" customHeight="1" x14ac:dyDescent="0.25">
      <c r="E40" s="11"/>
      <c r="F40" s="11"/>
      <c r="J40" s="12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  <c r="O40" t="str">
        <f t="shared" si="11"/>
        <v/>
      </c>
      <c r="P40" t="str">
        <f t="shared" si="12"/>
        <v/>
      </c>
      <c r="Q40" t="str">
        <f t="shared" si="13"/>
        <v/>
      </c>
    </row>
    <row r="41" spans="5:17" ht="75" customHeight="1" x14ac:dyDescent="0.25">
      <c r="E41" s="11"/>
      <c r="F41" s="11"/>
      <c r="J41" s="12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  <c r="O41" t="str">
        <f t="shared" si="11"/>
        <v/>
      </c>
      <c r="P41" t="str">
        <f t="shared" si="12"/>
        <v/>
      </c>
      <c r="Q41" t="str">
        <f t="shared" si="13"/>
        <v/>
      </c>
    </row>
    <row r="42" spans="5:17" ht="75" customHeight="1" x14ac:dyDescent="0.25">
      <c r="E42" s="11"/>
      <c r="F42" s="11"/>
      <c r="J42" s="1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  <c r="O42" t="str">
        <f t="shared" si="11"/>
        <v/>
      </c>
      <c r="P42" t="str">
        <f t="shared" si="12"/>
        <v/>
      </c>
      <c r="Q42" t="str">
        <f t="shared" si="13"/>
        <v/>
      </c>
    </row>
    <row r="43" spans="5:17" ht="75" customHeight="1" x14ac:dyDescent="0.25">
      <c r="E43" s="11"/>
      <c r="F43" s="11"/>
      <c r="J43" s="12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  <c r="O43" t="str">
        <f t="shared" si="11"/>
        <v/>
      </c>
      <c r="P43" t="str">
        <f t="shared" si="12"/>
        <v/>
      </c>
      <c r="Q43" t="str">
        <f t="shared" si="13"/>
        <v/>
      </c>
    </row>
    <row r="44" spans="5:17" ht="75" customHeight="1" x14ac:dyDescent="0.25">
      <c r="E44" s="11"/>
      <c r="F44" s="11"/>
      <c r="J44" s="12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  <c r="O44" t="str">
        <f t="shared" si="11"/>
        <v/>
      </c>
      <c r="P44" t="str">
        <f t="shared" si="12"/>
        <v/>
      </c>
      <c r="Q44" t="str">
        <f t="shared" si="13"/>
        <v/>
      </c>
    </row>
    <row r="45" spans="5:17" ht="75" customHeight="1" x14ac:dyDescent="0.25">
      <c r="E45" s="11"/>
      <c r="F45" s="11"/>
      <c r="J45" s="12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  <c r="O45" t="str">
        <f t="shared" si="11"/>
        <v/>
      </c>
      <c r="P45" t="str">
        <f t="shared" si="12"/>
        <v/>
      </c>
      <c r="Q45" t="str">
        <f t="shared" si="13"/>
        <v/>
      </c>
    </row>
    <row r="46" spans="5:17" ht="75" customHeight="1" x14ac:dyDescent="0.25">
      <c r="E46" s="11"/>
      <c r="F46" s="11"/>
      <c r="J46" s="12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  <c r="O46" t="str">
        <f t="shared" si="11"/>
        <v/>
      </c>
      <c r="P46" t="str">
        <f t="shared" si="12"/>
        <v/>
      </c>
      <c r="Q46" t="str">
        <f t="shared" si="13"/>
        <v/>
      </c>
    </row>
    <row r="47" spans="5:17" ht="75" customHeight="1" x14ac:dyDescent="0.25">
      <c r="E47" s="11"/>
      <c r="F47" s="11"/>
      <c r="J47" s="12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  <c r="O47" t="str">
        <f t="shared" si="11"/>
        <v/>
      </c>
      <c r="P47" t="str">
        <f t="shared" si="12"/>
        <v/>
      </c>
      <c r="Q47" t="str">
        <f t="shared" si="13"/>
        <v/>
      </c>
    </row>
    <row r="48" spans="5:17" ht="75" customHeight="1" x14ac:dyDescent="0.25">
      <c r="E48" s="11"/>
      <c r="F48" s="11"/>
      <c r="J48" s="12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  <c r="O48" t="str">
        <f t="shared" si="11"/>
        <v/>
      </c>
      <c r="P48" t="str">
        <f t="shared" si="12"/>
        <v/>
      </c>
      <c r="Q48" t="str">
        <f t="shared" si="13"/>
        <v/>
      </c>
    </row>
    <row r="49" spans="5:17" ht="75" customHeight="1" x14ac:dyDescent="0.25">
      <c r="E49" s="11"/>
      <c r="F49" s="11"/>
      <c r="J49" s="12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  <c r="O49" t="str">
        <f t="shared" si="11"/>
        <v/>
      </c>
      <c r="P49" t="str">
        <f t="shared" si="12"/>
        <v/>
      </c>
      <c r="Q49" t="str">
        <f t="shared" si="13"/>
        <v/>
      </c>
    </row>
    <row r="50" spans="5:17" ht="75" customHeight="1" x14ac:dyDescent="0.25">
      <c r="E50" s="11"/>
      <c r="F50" s="11"/>
      <c r="J50" s="12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  <c r="O50" t="str">
        <f t="shared" si="11"/>
        <v/>
      </c>
      <c r="P50" t="str">
        <f t="shared" si="12"/>
        <v/>
      </c>
      <c r="Q50" t="str">
        <f t="shared" si="13"/>
        <v/>
      </c>
    </row>
    <row r="51" spans="5:17" ht="75" customHeight="1" x14ac:dyDescent="0.25">
      <c r="E51" s="11"/>
      <c r="F51" s="11"/>
      <c r="J51" s="12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  <c r="O51" t="str">
        <f t="shared" si="11"/>
        <v/>
      </c>
      <c r="P51" t="str">
        <f t="shared" si="12"/>
        <v/>
      </c>
      <c r="Q51" t="str">
        <f t="shared" si="13"/>
        <v/>
      </c>
    </row>
    <row r="52" spans="5:17" ht="75" customHeight="1" x14ac:dyDescent="0.25">
      <c r="E52" s="11"/>
      <c r="F52" s="11"/>
      <c r="J52" s="1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  <c r="O52" t="str">
        <f t="shared" si="11"/>
        <v/>
      </c>
      <c r="P52" t="str">
        <f t="shared" si="12"/>
        <v/>
      </c>
      <c r="Q52" t="str">
        <f t="shared" si="13"/>
        <v/>
      </c>
    </row>
    <row r="53" spans="5:17" ht="75" customHeight="1" x14ac:dyDescent="0.25">
      <c r="E53" s="11"/>
      <c r="F53" s="11"/>
      <c r="J53" s="12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  <c r="O53" t="str">
        <f t="shared" si="11"/>
        <v/>
      </c>
      <c r="P53" t="str">
        <f t="shared" si="12"/>
        <v/>
      </c>
      <c r="Q53" t="str">
        <f t="shared" si="13"/>
        <v/>
      </c>
    </row>
    <row r="54" spans="5:17" ht="75" customHeight="1" x14ac:dyDescent="0.25">
      <c r="E54" s="11"/>
      <c r="F54" s="11"/>
      <c r="J54" s="12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  <c r="O54" t="str">
        <f t="shared" si="11"/>
        <v/>
      </c>
      <c r="P54" t="str">
        <f t="shared" si="12"/>
        <v/>
      </c>
      <c r="Q54" t="str">
        <f t="shared" si="13"/>
        <v/>
      </c>
    </row>
    <row r="55" spans="5:17" ht="75" customHeight="1" x14ac:dyDescent="0.25">
      <c r="E55" s="11"/>
      <c r="F55" s="11"/>
      <c r="J55" s="12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  <c r="O55" t="str">
        <f t="shared" si="11"/>
        <v/>
      </c>
      <c r="P55" t="str">
        <f t="shared" si="12"/>
        <v/>
      </c>
      <c r="Q55" t="str">
        <f t="shared" si="13"/>
        <v/>
      </c>
    </row>
    <row r="56" spans="5:17" ht="75" customHeight="1" x14ac:dyDescent="0.25">
      <c r="E56" s="11"/>
      <c r="F56" s="11"/>
      <c r="J56" s="12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  <c r="O56" t="str">
        <f t="shared" si="11"/>
        <v/>
      </c>
      <c r="P56" t="str">
        <f t="shared" si="12"/>
        <v/>
      </c>
      <c r="Q56" t="str">
        <f t="shared" si="13"/>
        <v/>
      </c>
    </row>
    <row r="57" spans="5:17" ht="75" customHeight="1" x14ac:dyDescent="0.25">
      <c r="E57" s="11"/>
      <c r="F57" s="11"/>
      <c r="J57" s="12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  <c r="O57" t="str">
        <f t="shared" si="11"/>
        <v/>
      </c>
      <c r="P57" t="str">
        <f t="shared" si="12"/>
        <v/>
      </c>
      <c r="Q57" t="str">
        <f t="shared" si="13"/>
        <v/>
      </c>
    </row>
    <row r="58" spans="5:17" ht="75" customHeight="1" x14ac:dyDescent="0.25">
      <c r="E58" s="11"/>
      <c r="F58" s="11"/>
      <c r="J58" s="12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  <c r="O58" t="str">
        <f t="shared" si="11"/>
        <v/>
      </c>
      <c r="P58" t="str">
        <f t="shared" si="12"/>
        <v/>
      </c>
      <c r="Q58" t="str">
        <f t="shared" si="13"/>
        <v/>
      </c>
    </row>
    <row r="59" spans="5:17" ht="75" customHeight="1" x14ac:dyDescent="0.25">
      <c r="E59" s="11"/>
      <c r="F59" s="11"/>
      <c r="J59" s="12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  <c r="O59" t="str">
        <f t="shared" si="11"/>
        <v/>
      </c>
      <c r="P59" t="str">
        <f t="shared" si="12"/>
        <v/>
      </c>
      <c r="Q59" t="str">
        <f t="shared" si="13"/>
        <v/>
      </c>
    </row>
    <row r="60" spans="5:17" ht="75" customHeight="1" x14ac:dyDescent="0.25">
      <c r="E60" s="11"/>
      <c r="F60" s="11"/>
      <c r="J60" s="12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  <c r="O60" t="str">
        <f t="shared" si="11"/>
        <v/>
      </c>
      <c r="P60" t="str">
        <f t="shared" si="12"/>
        <v/>
      </c>
      <c r="Q60" t="str">
        <f t="shared" si="13"/>
        <v/>
      </c>
    </row>
    <row r="61" spans="5:17" ht="75" customHeight="1" x14ac:dyDescent="0.25">
      <c r="E61" s="11"/>
      <c r="F61" s="11"/>
      <c r="J61" s="12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  <c r="O61" t="str">
        <f t="shared" si="11"/>
        <v/>
      </c>
      <c r="P61" t="str">
        <f t="shared" si="12"/>
        <v/>
      </c>
      <c r="Q61" t="str">
        <f t="shared" si="13"/>
        <v/>
      </c>
    </row>
    <row r="62" spans="5:17" ht="75" customHeight="1" x14ac:dyDescent="0.25">
      <c r="E62" s="11"/>
      <c r="F62" s="11"/>
      <c r="J62" s="1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  <c r="O62" t="str">
        <f t="shared" si="11"/>
        <v/>
      </c>
      <c r="P62" t="str">
        <f t="shared" si="12"/>
        <v/>
      </c>
      <c r="Q62" t="str">
        <f t="shared" si="13"/>
        <v/>
      </c>
    </row>
    <row r="63" spans="5:17" ht="75" customHeight="1" x14ac:dyDescent="0.25">
      <c r="E63" s="11"/>
      <c r="F63" s="11"/>
      <c r="J63" s="12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  <c r="O63" t="str">
        <f t="shared" si="11"/>
        <v/>
      </c>
      <c r="P63" t="str">
        <f t="shared" si="12"/>
        <v/>
      </c>
      <c r="Q63" t="str">
        <f t="shared" si="13"/>
        <v/>
      </c>
    </row>
    <row r="64" spans="5:17" ht="75" customHeight="1" x14ac:dyDescent="0.25">
      <c r="E64" s="11"/>
      <c r="F64" s="11"/>
      <c r="J64" s="12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  <c r="O64" t="str">
        <f t="shared" si="11"/>
        <v/>
      </c>
      <c r="P64" t="str">
        <f t="shared" si="12"/>
        <v/>
      </c>
      <c r="Q64" t="str">
        <f t="shared" si="13"/>
        <v/>
      </c>
    </row>
    <row r="65" spans="5:17" ht="75" customHeight="1" x14ac:dyDescent="0.25">
      <c r="E65" s="11"/>
      <c r="F65" s="11"/>
      <c r="J65" s="12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  <c r="O65" t="str">
        <f t="shared" si="11"/>
        <v/>
      </c>
      <c r="P65" t="str">
        <f t="shared" si="12"/>
        <v/>
      </c>
      <c r="Q65" t="str">
        <f t="shared" si="13"/>
        <v/>
      </c>
    </row>
    <row r="66" spans="5:17" ht="75" customHeight="1" x14ac:dyDescent="0.25">
      <c r="E66" s="11"/>
      <c r="F66" s="11"/>
      <c r="J66" s="12" t="str">
        <f t="shared" ref="J66:J97" si="14">IF(OR($E66="",$F66=""),"","WO #"&amp;IF(JobMode="Per-site (granular)",$A66,JobWO)&amp;" DI #"&amp;IF(JobMode="Per-site (granular)",$B66,JobDI)&amp;CHAR(10)&amp;JobApplicant&amp;CHAR(10)&amp;IF($C66&lt;&gt;"","Site "&amp;$C66&amp;" "&amp;$D66,$D66)&amp;CHAR(10)&amp;TEXT($E66,"0.00000")&amp;", "&amp;TEXT($F66,"0.00000")&amp;IF(OR($G66&lt;&gt;"",$H66&lt;&gt;""),CHAR(10)&amp;IF(AND($G66&lt;&gt;"",$H66&lt;&gt;""),"Cat "&amp;$G66&amp;", "&amp;$H66,IF($G66&lt;&gt;"","Cat "&amp;$G66,$H66)),""))</f>
        <v/>
      </c>
      <c r="L66" t="str">
        <f t="shared" ref="L66:L97" si="15">IF(OR($E66="",$F66=""),"",HYPERLINK("https://www.google.com/maps?q="&amp;$E66&amp;","&amp;$F66,"Open"))</f>
        <v/>
      </c>
      <c r="M66" t="str">
        <f t="shared" ref="M66:M97" si="16">IF(OR($E66="",$F66=""),"",HYPERLINK("https://www.bing.com/maps?cp="&amp;$E66&amp;"~"&amp;$F66&amp;"&amp;lvl=18","Open"))</f>
        <v/>
      </c>
      <c r="N66" t="str">
        <f t="shared" ref="N66:N97" si="17">IF(OR($E66="",$F66=""),"",HYPERLINK("https://fema.maps.arcgis.com/apps/mapviewer/index.html?find="&amp;$F66&amp;"%2C"&amp;$E66&amp;"&amp;marker="&amp;$F66&amp;","&amp;$E66&amp;",4326&amp;level=16","View"))</f>
        <v/>
      </c>
      <c r="O66" t="str">
        <f t="shared" ref="O66:O97" si="18">IF(OR($E66="",$F66=""),"",HYPERLINK("https://msc.fema.gov/portal/search?AddressQuery="&amp;$F66&amp;"%2C%20"&amp;$E66,"Search"))</f>
        <v/>
      </c>
      <c r="P66" t="str">
        <f t="shared" ref="P66:P97" si="19">IF(OR($E66="",$F66=""),"",HYPERLINK("https://msc.fema.gov/portal/firmette?latitude="&amp;$E66&amp;"&amp;longitude="&amp;$F66,"Download"))</f>
        <v/>
      </c>
      <c r="Q66" t="str">
        <f t="shared" ref="Q66:Q97" si="20">IF(OR($E66="",$F66=""),"",HYPERLINK("https://earth.google.com/web/@"&amp;$E66&amp;","&amp;$F66&amp;",500a,35y,0h,0t,0r","View"))</f>
        <v/>
      </c>
    </row>
    <row r="67" spans="5:17" ht="75" customHeight="1" x14ac:dyDescent="0.25">
      <c r="E67" s="11"/>
      <c r="F67" s="11"/>
      <c r="J67" s="12" t="str">
        <f t="shared" si="14"/>
        <v/>
      </c>
      <c r="L67" t="str">
        <f t="shared" si="15"/>
        <v/>
      </c>
      <c r="M67" t="str">
        <f t="shared" si="16"/>
        <v/>
      </c>
      <c r="N67" t="str">
        <f t="shared" si="17"/>
        <v/>
      </c>
      <c r="O67" t="str">
        <f t="shared" si="18"/>
        <v/>
      </c>
      <c r="P67" t="str">
        <f t="shared" si="19"/>
        <v/>
      </c>
      <c r="Q67" t="str">
        <f t="shared" si="20"/>
        <v/>
      </c>
    </row>
    <row r="68" spans="5:17" ht="75" customHeight="1" x14ac:dyDescent="0.25">
      <c r="E68" s="11"/>
      <c r="F68" s="11"/>
      <c r="J68" s="12" t="str">
        <f t="shared" si="14"/>
        <v/>
      </c>
      <c r="L68" t="str">
        <f t="shared" si="15"/>
        <v/>
      </c>
      <c r="M68" t="str">
        <f t="shared" si="16"/>
        <v/>
      </c>
      <c r="N68" t="str">
        <f t="shared" si="17"/>
        <v/>
      </c>
      <c r="O68" t="str">
        <f t="shared" si="18"/>
        <v/>
      </c>
      <c r="P68" t="str">
        <f t="shared" si="19"/>
        <v/>
      </c>
      <c r="Q68" t="str">
        <f t="shared" si="20"/>
        <v/>
      </c>
    </row>
    <row r="69" spans="5:17" ht="75" customHeight="1" x14ac:dyDescent="0.25">
      <c r="E69" s="11"/>
      <c r="F69" s="11"/>
      <c r="J69" s="12" t="str">
        <f t="shared" si="14"/>
        <v/>
      </c>
      <c r="L69" t="str">
        <f t="shared" si="15"/>
        <v/>
      </c>
      <c r="M69" t="str">
        <f t="shared" si="16"/>
        <v/>
      </c>
      <c r="N69" t="str">
        <f t="shared" si="17"/>
        <v/>
      </c>
      <c r="O69" t="str">
        <f t="shared" si="18"/>
        <v/>
      </c>
      <c r="P69" t="str">
        <f t="shared" si="19"/>
        <v/>
      </c>
      <c r="Q69" t="str">
        <f t="shared" si="20"/>
        <v/>
      </c>
    </row>
    <row r="70" spans="5:17" ht="75" customHeight="1" x14ac:dyDescent="0.25">
      <c r="E70" s="11"/>
      <c r="F70" s="11"/>
      <c r="J70" s="12" t="str">
        <f t="shared" si="14"/>
        <v/>
      </c>
      <c r="L70" t="str">
        <f t="shared" si="15"/>
        <v/>
      </c>
      <c r="M70" t="str">
        <f t="shared" si="16"/>
        <v/>
      </c>
      <c r="N70" t="str">
        <f t="shared" si="17"/>
        <v/>
      </c>
      <c r="O70" t="str">
        <f t="shared" si="18"/>
        <v/>
      </c>
      <c r="P70" t="str">
        <f t="shared" si="19"/>
        <v/>
      </c>
      <c r="Q70" t="str">
        <f t="shared" si="20"/>
        <v/>
      </c>
    </row>
    <row r="71" spans="5:17" ht="75" customHeight="1" x14ac:dyDescent="0.25">
      <c r="E71" s="11"/>
      <c r="F71" s="11"/>
      <c r="J71" s="12" t="str">
        <f t="shared" si="14"/>
        <v/>
      </c>
      <c r="L71" t="str">
        <f t="shared" si="15"/>
        <v/>
      </c>
      <c r="M71" t="str">
        <f t="shared" si="16"/>
        <v/>
      </c>
      <c r="N71" t="str">
        <f t="shared" si="17"/>
        <v/>
      </c>
      <c r="O71" t="str">
        <f t="shared" si="18"/>
        <v/>
      </c>
      <c r="P71" t="str">
        <f t="shared" si="19"/>
        <v/>
      </c>
      <c r="Q71" t="str">
        <f t="shared" si="20"/>
        <v/>
      </c>
    </row>
    <row r="72" spans="5:17" ht="75" customHeight="1" x14ac:dyDescent="0.25">
      <c r="E72" s="11"/>
      <c r="F72" s="11"/>
      <c r="J72" s="12" t="str">
        <f t="shared" si="14"/>
        <v/>
      </c>
      <c r="L72" t="str">
        <f t="shared" si="15"/>
        <v/>
      </c>
      <c r="M72" t="str">
        <f t="shared" si="16"/>
        <v/>
      </c>
      <c r="N72" t="str">
        <f t="shared" si="17"/>
        <v/>
      </c>
      <c r="O72" t="str">
        <f t="shared" si="18"/>
        <v/>
      </c>
      <c r="P72" t="str">
        <f t="shared" si="19"/>
        <v/>
      </c>
      <c r="Q72" t="str">
        <f t="shared" si="20"/>
        <v/>
      </c>
    </row>
    <row r="73" spans="5:17" ht="75" customHeight="1" x14ac:dyDescent="0.25">
      <c r="E73" s="11"/>
      <c r="F73" s="11"/>
      <c r="J73" s="12" t="str">
        <f t="shared" si="14"/>
        <v/>
      </c>
      <c r="L73" t="str">
        <f t="shared" si="15"/>
        <v/>
      </c>
      <c r="M73" t="str">
        <f t="shared" si="16"/>
        <v/>
      </c>
      <c r="N73" t="str">
        <f t="shared" si="17"/>
        <v/>
      </c>
      <c r="O73" t="str">
        <f t="shared" si="18"/>
        <v/>
      </c>
      <c r="P73" t="str">
        <f t="shared" si="19"/>
        <v/>
      </c>
      <c r="Q73" t="str">
        <f t="shared" si="20"/>
        <v/>
      </c>
    </row>
    <row r="74" spans="5:17" ht="75" customHeight="1" x14ac:dyDescent="0.25">
      <c r="E74" s="11"/>
      <c r="F74" s="11"/>
      <c r="J74" s="12" t="str">
        <f t="shared" si="14"/>
        <v/>
      </c>
      <c r="L74" t="str">
        <f t="shared" si="15"/>
        <v/>
      </c>
      <c r="M74" t="str">
        <f t="shared" si="16"/>
        <v/>
      </c>
      <c r="N74" t="str">
        <f t="shared" si="17"/>
        <v/>
      </c>
      <c r="O74" t="str">
        <f t="shared" si="18"/>
        <v/>
      </c>
      <c r="P74" t="str">
        <f t="shared" si="19"/>
        <v/>
      </c>
      <c r="Q74" t="str">
        <f t="shared" si="20"/>
        <v/>
      </c>
    </row>
    <row r="75" spans="5:17" ht="75" customHeight="1" x14ac:dyDescent="0.25">
      <c r="E75" s="11"/>
      <c r="F75" s="11"/>
      <c r="J75" s="12" t="str">
        <f t="shared" si="14"/>
        <v/>
      </c>
      <c r="L75" t="str">
        <f t="shared" si="15"/>
        <v/>
      </c>
      <c r="M75" t="str">
        <f t="shared" si="16"/>
        <v/>
      </c>
      <c r="N75" t="str">
        <f t="shared" si="17"/>
        <v/>
      </c>
      <c r="O75" t="str">
        <f t="shared" si="18"/>
        <v/>
      </c>
      <c r="P75" t="str">
        <f t="shared" si="19"/>
        <v/>
      </c>
      <c r="Q75" t="str">
        <f t="shared" si="20"/>
        <v/>
      </c>
    </row>
    <row r="76" spans="5:17" ht="75" customHeight="1" x14ac:dyDescent="0.25">
      <c r="E76" s="11"/>
      <c r="F76" s="11"/>
      <c r="J76" s="12" t="str">
        <f t="shared" si="14"/>
        <v/>
      </c>
      <c r="L76" t="str">
        <f t="shared" si="15"/>
        <v/>
      </c>
      <c r="M76" t="str">
        <f t="shared" si="16"/>
        <v/>
      </c>
      <c r="N76" t="str">
        <f t="shared" si="17"/>
        <v/>
      </c>
      <c r="O76" t="str">
        <f t="shared" si="18"/>
        <v/>
      </c>
      <c r="P76" t="str">
        <f t="shared" si="19"/>
        <v/>
      </c>
      <c r="Q76" t="str">
        <f t="shared" si="20"/>
        <v/>
      </c>
    </row>
    <row r="77" spans="5:17" ht="75" customHeight="1" x14ac:dyDescent="0.25">
      <c r="E77" s="11"/>
      <c r="F77" s="11"/>
      <c r="J77" s="12" t="str">
        <f t="shared" si="14"/>
        <v/>
      </c>
      <c r="L77" t="str">
        <f t="shared" si="15"/>
        <v/>
      </c>
      <c r="M77" t="str">
        <f t="shared" si="16"/>
        <v/>
      </c>
      <c r="N77" t="str">
        <f t="shared" si="17"/>
        <v/>
      </c>
      <c r="O77" t="str">
        <f t="shared" si="18"/>
        <v/>
      </c>
      <c r="P77" t="str">
        <f t="shared" si="19"/>
        <v/>
      </c>
      <c r="Q77" t="str">
        <f t="shared" si="20"/>
        <v/>
      </c>
    </row>
    <row r="78" spans="5:17" ht="75" customHeight="1" x14ac:dyDescent="0.25">
      <c r="E78" s="11"/>
      <c r="F78" s="11"/>
      <c r="J78" s="12" t="str">
        <f t="shared" si="14"/>
        <v/>
      </c>
      <c r="L78" t="str">
        <f t="shared" si="15"/>
        <v/>
      </c>
      <c r="M78" t="str">
        <f t="shared" si="16"/>
        <v/>
      </c>
      <c r="N78" t="str">
        <f t="shared" si="17"/>
        <v/>
      </c>
      <c r="O78" t="str">
        <f t="shared" si="18"/>
        <v/>
      </c>
      <c r="P78" t="str">
        <f t="shared" si="19"/>
        <v/>
      </c>
      <c r="Q78" t="str">
        <f t="shared" si="20"/>
        <v/>
      </c>
    </row>
    <row r="79" spans="5:17" ht="75" customHeight="1" x14ac:dyDescent="0.25">
      <c r="E79" s="11"/>
      <c r="F79" s="11"/>
      <c r="J79" s="12" t="str">
        <f t="shared" si="14"/>
        <v/>
      </c>
      <c r="L79" t="str">
        <f t="shared" si="15"/>
        <v/>
      </c>
      <c r="M79" t="str">
        <f t="shared" si="16"/>
        <v/>
      </c>
      <c r="N79" t="str">
        <f t="shared" si="17"/>
        <v/>
      </c>
      <c r="O79" t="str">
        <f t="shared" si="18"/>
        <v/>
      </c>
      <c r="P79" t="str">
        <f t="shared" si="19"/>
        <v/>
      </c>
      <c r="Q79" t="str">
        <f t="shared" si="20"/>
        <v/>
      </c>
    </row>
    <row r="80" spans="5:17" ht="75" customHeight="1" x14ac:dyDescent="0.25">
      <c r="E80" s="11"/>
      <c r="F80" s="11"/>
      <c r="J80" s="12" t="str">
        <f t="shared" si="14"/>
        <v/>
      </c>
      <c r="L80" t="str">
        <f t="shared" si="15"/>
        <v/>
      </c>
      <c r="M80" t="str">
        <f t="shared" si="16"/>
        <v/>
      </c>
      <c r="N80" t="str">
        <f t="shared" si="17"/>
        <v/>
      </c>
      <c r="O80" t="str">
        <f t="shared" si="18"/>
        <v/>
      </c>
      <c r="P80" t="str">
        <f t="shared" si="19"/>
        <v/>
      </c>
      <c r="Q80" t="str">
        <f t="shared" si="20"/>
        <v/>
      </c>
    </row>
    <row r="81" spans="5:17" ht="75" customHeight="1" x14ac:dyDescent="0.25">
      <c r="E81" s="11"/>
      <c r="F81" s="11"/>
      <c r="J81" s="12" t="str">
        <f t="shared" si="14"/>
        <v/>
      </c>
      <c r="L81" t="str">
        <f t="shared" si="15"/>
        <v/>
      </c>
      <c r="M81" t="str">
        <f t="shared" si="16"/>
        <v/>
      </c>
      <c r="N81" t="str">
        <f t="shared" si="17"/>
        <v/>
      </c>
      <c r="O81" t="str">
        <f t="shared" si="18"/>
        <v/>
      </c>
      <c r="P81" t="str">
        <f t="shared" si="19"/>
        <v/>
      </c>
      <c r="Q81" t="str">
        <f t="shared" si="20"/>
        <v/>
      </c>
    </row>
    <row r="82" spans="5:17" ht="75" customHeight="1" x14ac:dyDescent="0.25">
      <c r="E82" s="11"/>
      <c r="F82" s="11"/>
      <c r="J82" s="12" t="str">
        <f t="shared" si="14"/>
        <v/>
      </c>
      <c r="L82" t="str">
        <f t="shared" si="15"/>
        <v/>
      </c>
      <c r="M82" t="str">
        <f t="shared" si="16"/>
        <v/>
      </c>
      <c r="N82" t="str">
        <f t="shared" si="17"/>
        <v/>
      </c>
      <c r="O82" t="str">
        <f t="shared" si="18"/>
        <v/>
      </c>
      <c r="P82" t="str">
        <f t="shared" si="19"/>
        <v/>
      </c>
      <c r="Q82" t="str">
        <f t="shared" si="20"/>
        <v/>
      </c>
    </row>
    <row r="83" spans="5:17" ht="75" customHeight="1" x14ac:dyDescent="0.25">
      <c r="E83" s="11"/>
      <c r="F83" s="11"/>
      <c r="J83" s="12" t="str">
        <f t="shared" si="14"/>
        <v/>
      </c>
      <c r="L83" t="str">
        <f t="shared" si="15"/>
        <v/>
      </c>
      <c r="M83" t="str">
        <f t="shared" si="16"/>
        <v/>
      </c>
      <c r="N83" t="str">
        <f t="shared" si="17"/>
        <v/>
      </c>
      <c r="O83" t="str">
        <f t="shared" si="18"/>
        <v/>
      </c>
      <c r="P83" t="str">
        <f t="shared" si="19"/>
        <v/>
      </c>
      <c r="Q83" t="str">
        <f t="shared" si="20"/>
        <v/>
      </c>
    </row>
    <row r="84" spans="5:17" ht="75" customHeight="1" x14ac:dyDescent="0.25">
      <c r="E84" s="11"/>
      <c r="F84" s="11"/>
      <c r="J84" s="12" t="str">
        <f t="shared" si="14"/>
        <v/>
      </c>
      <c r="L84" t="str">
        <f t="shared" si="15"/>
        <v/>
      </c>
      <c r="M84" t="str">
        <f t="shared" si="16"/>
        <v/>
      </c>
      <c r="N84" t="str">
        <f t="shared" si="17"/>
        <v/>
      </c>
      <c r="O84" t="str">
        <f t="shared" si="18"/>
        <v/>
      </c>
      <c r="P84" t="str">
        <f t="shared" si="19"/>
        <v/>
      </c>
      <c r="Q84" t="str">
        <f t="shared" si="20"/>
        <v/>
      </c>
    </row>
    <row r="85" spans="5:17" ht="75" customHeight="1" x14ac:dyDescent="0.25">
      <c r="E85" s="11"/>
      <c r="F85" s="11"/>
      <c r="J85" s="12" t="str">
        <f t="shared" si="14"/>
        <v/>
      </c>
      <c r="L85" t="str">
        <f t="shared" si="15"/>
        <v/>
      </c>
      <c r="M85" t="str">
        <f t="shared" si="16"/>
        <v/>
      </c>
      <c r="N85" t="str">
        <f t="shared" si="17"/>
        <v/>
      </c>
      <c r="O85" t="str">
        <f t="shared" si="18"/>
        <v/>
      </c>
      <c r="P85" t="str">
        <f t="shared" si="19"/>
        <v/>
      </c>
      <c r="Q85" t="str">
        <f t="shared" si="20"/>
        <v/>
      </c>
    </row>
    <row r="86" spans="5:17" ht="75" customHeight="1" x14ac:dyDescent="0.25">
      <c r="E86" s="11"/>
      <c r="F86" s="11"/>
      <c r="J86" s="12" t="str">
        <f t="shared" si="14"/>
        <v/>
      </c>
      <c r="L86" t="str">
        <f t="shared" si="15"/>
        <v/>
      </c>
      <c r="M86" t="str">
        <f t="shared" si="16"/>
        <v/>
      </c>
      <c r="N86" t="str">
        <f t="shared" si="17"/>
        <v/>
      </c>
      <c r="O86" t="str">
        <f t="shared" si="18"/>
        <v/>
      </c>
      <c r="P86" t="str">
        <f t="shared" si="19"/>
        <v/>
      </c>
      <c r="Q86" t="str">
        <f t="shared" si="20"/>
        <v/>
      </c>
    </row>
    <row r="87" spans="5:17" ht="75" customHeight="1" x14ac:dyDescent="0.25">
      <c r="E87" s="11"/>
      <c r="F87" s="11"/>
      <c r="J87" s="12" t="str">
        <f t="shared" si="14"/>
        <v/>
      </c>
      <c r="L87" t="str">
        <f t="shared" si="15"/>
        <v/>
      </c>
      <c r="M87" t="str">
        <f t="shared" si="16"/>
        <v/>
      </c>
      <c r="N87" t="str">
        <f t="shared" si="17"/>
        <v/>
      </c>
      <c r="O87" t="str">
        <f t="shared" si="18"/>
        <v/>
      </c>
      <c r="P87" t="str">
        <f t="shared" si="19"/>
        <v/>
      </c>
      <c r="Q87" t="str">
        <f t="shared" si="20"/>
        <v/>
      </c>
    </row>
    <row r="88" spans="5:17" ht="75" customHeight="1" x14ac:dyDescent="0.25">
      <c r="E88" s="11"/>
      <c r="F88" s="11"/>
      <c r="J88" s="12" t="str">
        <f t="shared" si="14"/>
        <v/>
      </c>
      <c r="L88" t="str">
        <f t="shared" si="15"/>
        <v/>
      </c>
      <c r="M88" t="str">
        <f t="shared" si="16"/>
        <v/>
      </c>
      <c r="N88" t="str">
        <f t="shared" si="17"/>
        <v/>
      </c>
      <c r="O88" t="str">
        <f t="shared" si="18"/>
        <v/>
      </c>
      <c r="P88" t="str">
        <f t="shared" si="19"/>
        <v/>
      </c>
      <c r="Q88" t="str">
        <f t="shared" si="20"/>
        <v/>
      </c>
    </row>
    <row r="89" spans="5:17" ht="75" customHeight="1" x14ac:dyDescent="0.25">
      <c r="E89" s="11"/>
      <c r="F89" s="11"/>
      <c r="J89" s="12" t="str">
        <f t="shared" si="14"/>
        <v/>
      </c>
      <c r="L89" t="str">
        <f t="shared" si="15"/>
        <v/>
      </c>
      <c r="M89" t="str">
        <f t="shared" si="16"/>
        <v/>
      </c>
      <c r="N89" t="str">
        <f t="shared" si="17"/>
        <v/>
      </c>
      <c r="O89" t="str">
        <f t="shared" si="18"/>
        <v/>
      </c>
      <c r="P89" t="str">
        <f t="shared" si="19"/>
        <v/>
      </c>
      <c r="Q89" t="str">
        <f t="shared" si="20"/>
        <v/>
      </c>
    </row>
    <row r="90" spans="5:17" ht="75" customHeight="1" x14ac:dyDescent="0.25">
      <c r="E90" s="11"/>
      <c r="F90" s="11"/>
      <c r="J90" s="12" t="str">
        <f t="shared" si="14"/>
        <v/>
      </c>
      <c r="L90" t="str">
        <f t="shared" si="15"/>
        <v/>
      </c>
      <c r="M90" t="str">
        <f t="shared" si="16"/>
        <v/>
      </c>
      <c r="N90" t="str">
        <f t="shared" si="17"/>
        <v/>
      </c>
      <c r="O90" t="str">
        <f t="shared" si="18"/>
        <v/>
      </c>
      <c r="P90" t="str">
        <f t="shared" si="19"/>
        <v/>
      </c>
      <c r="Q90" t="str">
        <f t="shared" si="20"/>
        <v/>
      </c>
    </row>
    <row r="91" spans="5:17" ht="75" customHeight="1" x14ac:dyDescent="0.25">
      <c r="E91" s="11"/>
      <c r="F91" s="11"/>
      <c r="J91" s="12" t="str">
        <f t="shared" si="14"/>
        <v/>
      </c>
      <c r="L91" t="str">
        <f t="shared" si="15"/>
        <v/>
      </c>
      <c r="M91" t="str">
        <f t="shared" si="16"/>
        <v/>
      </c>
      <c r="N91" t="str">
        <f t="shared" si="17"/>
        <v/>
      </c>
      <c r="O91" t="str">
        <f t="shared" si="18"/>
        <v/>
      </c>
      <c r="P91" t="str">
        <f t="shared" si="19"/>
        <v/>
      </c>
      <c r="Q91" t="str">
        <f t="shared" si="20"/>
        <v/>
      </c>
    </row>
    <row r="92" spans="5:17" ht="75" customHeight="1" x14ac:dyDescent="0.25">
      <c r="E92" s="11"/>
      <c r="F92" s="11"/>
      <c r="J92" s="12" t="str">
        <f t="shared" si="14"/>
        <v/>
      </c>
      <c r="L92" t="str">
        <f t="shared" si="15"/>
        <v/>
      </c>
      <c r="M92" t="str">
        <f t="shared" si="16"/>
        <v/>
      </c>
      <c r="N92" t="str">
        <f t="shared" si="17"/>
        <v/>
      </c>
      <c r="O92" t="str">
        <f t="shared" si="18"/>
        <v/>
      </c>
      <c r="P92" t="str">
        <f t="shared" si="19"/>
        <v/>
      </c>
      <c r="Q92" t="str">
        <f t="shared" si="20"/>
        <v/>
      </c>
    </row>
    <row r="93" spans="5:17" ht="75" customHeight="1" x14ac:dyDescent="0.25">
      <c r="E93" s="11"/>
      <c r="F93" s="11"/>
      <c r="J93" s="12" t="str">
        <f t="shared" si="14"/>
        <v/>
      </c>
      <c r="L93" t="str">
        <f t="shared" si="15"/>
        <v/>
      </c>
      <c r="M93" t="str">
        <f t="shared" si="16"/>
        <v/>
      </c>
      <c r="N93" t="str">
        <f t="shared" si="17"/>
        <v/>
      </c>
      <c r="O93" t="str">
        <f t="shared" si="18"/>
        <v/>
      </c>
      <c r="P93" t="str">
        <f t="shared" si="19"/>
        <v/>
      </c>
      <c r="Q93" t="str">
        <f t="shared" si="20"/>
        <v/>
      </c>
    </row>
    <row r="94" spans="5:17" ht="75" customHeight="1" x14ac:dyDescent="0.25">
      <c r="E94" s="11"/>
      <c r="F94" s="11"/>
      <c r="J94" s="12" t="str">
        <f t="shared" si="14"/>
        <v/>
      </c>
      <c r="L94" t="str">
        <f t="shared" si="15"/>
        <v/>
      </c>
      <c r="M94" t="str">
        <f t="shared" si="16"/>
        <v/>
      </c>
      <c r="N94" t="str">
        <f t="shared" si="17"/>
        <v/>
      </c>
      <c r="O94" t="str">
        <f t="shared" si="18"/>
        <v/>
      </c>
      <c r="P94" t="str">
        <f t="shared" si="19"/>
        <v/>
      </c>
      <c r="Q94" t="str">
        <f t="shared" si="20"/>
        <v/>
      </c>
    </row>
    <row r="95" spans="5:17" ht="75" customHeight="1" x14ac:dyDescent="0.25">
      <c r="E95" s="11"/>
      <c r="F95" s="11"/>
      <c r="J95" s="12" t="str">
        <f t="shared" si="14"/>
        <v/>
      </c>
      <c r="L95" t="str">
        <f t="shared" si="15"/>
        <v/>
      </c>
      <c r="M95" t="str">
        <f t="shared" si="16"/>
        <v/>
      </c>
      <c r="N95" t="str">
        <f t="shared" si="17"/>
        <v/>
      </c>
      <c r="O95" t="str">
        <f t="shared" si="18"/>
        <v/>
      </c>
      <c r="P95" t="str">
        <f t="shared" si="19"/>
        <v/>
      </c>
      <c r="Q95" t="str">
        <f t="shared" si="20"/>
        <v/>
      </c>
    </row>
    <row r="96" spans="5:17" ht="75" customHeight="1" x14ac:dyDescent="0.25">
      <c r="E96" s="11"/>
      <c r="F96" s="11"/>
      <c r="J96" s="12" t="str">
        <f t="shared" si="14"/>
        <v/>
      </c>
      <c r="L96" t="str">
        <f t="shared" si="15"/>
        <v/>
      </c>
      <c r="M96" t="str">
        <f t="shared" si="16"/>
        <v/>
      </c>
      <c r="N96" t="str">
        <f t="shared" si="17"/>
        <v/>
      </c>
      <c r="O96" t="str">
        <f t="shared" si="18"/>
        <v/>
      </c>
      <c r="P96" t="str">
        <f t="shared" si="19"/>
        <v/>
      </c>
      <c r="Q96" t="str">
        <f t="shared" si="20"/>
        <v/>
      </c>
    </row>
    <row r="97" spans="5:17" ht="75" customHeight="1" x14ac:dyDescent="0.25">
      <c r="E97" s="11"/>
      <c r="F97" s="11"/>
      <c r="J97" s="12" t="str">
        <f t="shared" si="14"/>
        <v/>
      </c>
      <c r="L97" t="str">
        <f t="shared" si="15"/>
        <v/>
      </c>
      <c r="M97" t="str">
        <f t="shared" si="16"/>
        <v/>
      </c>
      <c r="N97" t="str">
        <f t="shared" si="17"/>
        <v/>
      </c>
      <c r="O97" t="str">
        <f t="shared" si="18"/>
        <v/>
      </c>
      <c r="P97" t="str">
        <f t="shared" si="19"/>
        <v/>
      </c>
      <c r="Q97" t="str">
        <f t="shared" si="20"/>
        <v/>
      </c>
    </row>
    <row r="98" spans="5:17" ht="75" customHeight="1" x14ac:dyDescent="0.25">
      <c r="E98" s="11"/>
      <c r="F98" s="11"/>
      <c r="J98" s="12" t="str">
        <f t="shared" ref="J98:J129" si="21">IF(OR($E98="",$F98=""),"","WO #"&amp;IF(JobMode="Per-site (granular)",$A98,JobWO)&amp;" DI #"&amp;IF(JobMode="Per-site (granular)",$B98,JobDI)&amp;CHAR(10)&amp;JobApplicant&amp;CHAR(10)&amp;IF($C98&lt;&gt;"","Site "&amp;$C98&amp;" "&amp;$D98,$D98)&amp;CHAR(10)&amp;TEXT($E98,"0.00000")&amp;", "&amp;TEXT($F98,"0.00000")&amp;IF(OR($G98&lt;&gt;"",$H98&lt;&gt;""),CHAR(10)&amp;IF(AND($G98&lt;&gt;"",$H98&lt;&gt;""),"Cat "&amp;$G98&amp;", "&amp;$H98,IF($G98&lt;&gt;"","Cat "&amp;$G98,$H98)),""))</f>
        <v/>
      </c>
      <c r="L98" t="str">
        <f t="shared" ref="L98:L129" si="22">IF(OR($E98="",$F98=""),"",HYPERLINK("https://www.google.com/maps?q="&amp;$E98&amp;","&amp;$F98,"Open"))</f>
        <v/>
      </c>
      <c r="M98" t="str">
        <f t="shared" ref="M98:M129" si="23">IF(OR($E98="",$F98=""),"",HYPERLINK("https://www.bing.com/maps?cp="&amp;$E98&amp;"~"&amp;$F98&amp;"&amp;lvl=18","Open"))</f>
        <v/>
      </c>
      <c r="N98" t="str">
        <f t="shared" ref="N98:N129" si="24">IF(OR($E98="",$F98=""),"",HYPERLINK("https://fema.maps.arcgis.com/apps/mapviewer/index.html?find="&amp;$F98&amp;"%2C"&amp;$E98&amp;"&amp;marker="&amp;$F98&amp;","&amp;$E98&amp;",4326&amp;level=16","View"))</f>
        <v/>
      </c>
      <c r="O98" t="str">
        <f t="shared" ref="O98:O129" si="25">IF(OR($E98="",$F98=""),"",HYPERLINK("https://msc.fema.gov/portal/search?AddressQuery="&amp;$F98&amp;"%2C%20"&amp;$E98,"Search"))</f>
        <v/>
      </c>
      <c r="P98" t="str">
        <f t="shared" ref="P98:P129" si="26">IF(OR($E98="",$F98=""),"",HYPERLINK("https://msc.fema.gov/portal/firmette?latitude="&amp;$E98&amp;"&amp;longitude="&amp;$F98,"Download"))</f>
        <v/>
      </c>
      <c r="Q98" t="str">
        <f t="shared" ref="Q98:Q129" si="27">IF(OR($E98="",$F98=""),"",HYPERLINK("https://earth.google.com/web/@"&amp;$E98&amp;","&amp;$F98&amp;",500a,35y,0h,0t,0r","View"))</f>
        <v/>
      </c>
    </row>
    <row r="99" spans="5:17" ht="75" customHeight="1" x14ac:dyDescent="0.25">
      <c r="E99" s="11"/>
      <c r="F99" s="11"/>
      <c r="J99" s="12" t="str">
        <f t="shared" si="21"/>
        <v/>
      </c>
      <c r="L99" t="str">
        <f t="shared" si="22"/>
        <v/>
      </c>
      <c r="M99" t="str">
        <f t="shared" si="23"/>
        <v/>
      </c>
      <c r="N99" t="str">
        <f t="shared" si="24"/>
        <v/>
      </c>
      <c r="O99" t="str">
        <f t="shared" si="25"/>
        <v/>
      </c>
      <c r="P99" t="str">
        <f t="shared" si="26"/>
        <v/>
      </c>
      <c r="Q99" t="str">
        <f t="shared" si="27"/>
        <v/>
      </c>
    </row>
    <row r="100" spans="5:17" ht="75" customHeight="1" x14ac:dyDescent="0.25">
      <c r="E100" s="11"/>
      <c r="F100" s="11"/>
      <c r="J100" s="12" t="str">
        <f t="shared" si="21"/>
        <v/>
      </c>
      <c r="L100" t="str">
        <f t="shared" si="22"/>
        <v/>
      </c>
      <c r="M100" t="str">
        <f t="shared" si="23"/>
        <v/>
      </c>
      <c r="N100" t="str">
        <f t="shared" si="24"/>
        <v/>
      </c>
      <c r="O100" t="str">
        <f t="shared" si="25"/>
        <v/>
      </c>
      <c r="P100" t="str">
        <f t="shared" si="26"/>
        <v/>
      </c>
      <c r="Q100" t="str">
        <f t="shared" si="27"/>
        <v/>
      </c>
    </row>
    <row r="101" spans="5:17" ht="75" customHeight="1" x14ac:dyDescent="0.25">
      <c r="E101" s="11"/>
      <c r="F101" s="11"/>
      <c r="J101" s="12" t="str">
        <f t="shared" si="21"/>
        <v/>
      </c>
      <c r="L101" t="str">
        <f t="shared" si="22"/>
        <v/>
      </c>
      <c r="M101" t="str">
        <f t="shared" si="23"/>
        <v/>
      </c>
      <c r="N101" t="str">
        <f t="shared" si="24"/>
        <v/>
      </c>
      <c r="O101" t="str">
        <f t="shared" si="25"/>
        <v/>
      </c>
      <c r="P101" t="str">
        <f t="shared" si="26"/>
        <v/>
      </c>
      <c r="Q101" t="str">
        <f t="shared" si="27"/>
        <v/>
      </c>
    </row>
    <row r="102" spans="5:17" ht="75" customHeight="1" x14ac:dyDescent="0.25">
      <c r="E102" s="11"/>
      <c r="F102" s="11"/>
      <c r="J102" s="12" t="str">
        <f t="shared" si="21"/>
        <v/>
      </c>
      <c r="L102" t="str">
        <f t="shared" si="22"/>
        <v/>
      </c>
      <c r="M102" t="str">
        <f t="shared" si="23"/>
        <v/>
      </c>
      <c r="N102" t="str">
        <f t="shared" si="24"/>
        <v/>
      </c>
      <c r="O102" t="str">
        <f t="shared" si="25"/>
        <v/>
      </c>
      <c r="P102" t="str">
        <f t="shared" si="26"/>
        <v/>
      </c>
      <c r="Q102" t="str">
        <f t="shared" si="27"/>
        <v/>
      </c>
    </row>
    <row r="103" spans="5:17" ht="75" customHeight="1" x14ac:dyDescent="0.25">
      <c r="E103" s="11"/>
      <c r="F103" s="11"/>
      <c r="J103" s="12" t="str">
        <f t="shared" si="21"/>
        <v/>
      </c>
      <c r="L103" t="str">
        <f t="shared" si="22"/>
        <v/>
      </c>
      <c r="M103" t="str">
        <f t="shared" si="23"/>
        <v/>
      </c>
      <c r="N103" t="str">
        <f t="shared" si="24"/>
        <v/>
      </c>
      <c r="O103" t="str">
        <f t="shared" si="25"/>
        <v/>
      </c>
      <c r="P103" t="str">
        <f t="shared" si="26"/>
        <v/>
      </c>
      <c r="Q103" t="str">
        <f t="shared" si="27"/>
        <v/>
      </c>
    </row>
    <row r="104" spans="5:17" ht="75" customHeight="1" x14ac:dyDescent="0.25">
      <c r="E104" s="11"/>
      <c r="F104" s="11"/>
      <c r="J104" s="12" t="str">
        <f t="shared" si="21"/>
        <v/>
      </c>
      <c r="L104" t="str">
        <f t="shared" si="22"/>
        <v/>
      </c>
      <c r="M104" t="str">
        <f t="shared" si="23"/>
        <v/>
      </c>
      <c r="N104" t="str">
        <f t="shared" si="24"/>
        <v/>
      </c>
      <c r="O104" t="str">
        <f t="shared" si="25"/>
        <v/>
      </c>
      <c r="P104" t="str">
        <f t="shared" si="26"/>
        <v/>
      </c>
      <c r="Q104" t="str">
        <f t="shared" si="27"/>
        <v/>
      </c>
    </row>
    <row r="105" spans="5:17" ht="75" customHeight="1" x14ac:dyDescent="0.25">
      <c r="E105" s="11"/>
      <c r="F105" s="11"/>
      <c r="J105" s="12" t="str">
        <f t="shared" si="21"/>
        <v/>
      </c>
      <c r="L105" t="str">
        <f t="shared" si="22"/>
        <v/>
      </c>
      <c r="M105" t="str">
        <f t="shared" si="23"/>
        <v/>
      </c>
      <c r="N105" t="str">
        <f t="shared" si="24"/>
        <v/>
      </c>
      <c r="O105" t="str">
        <f t="shared" si="25"/>
        <v/>
      </c>
      <c r="P105" t="str">
        <f t="shared" si="26"/>
        <v/>
      </c>
      <c r="Q105" t="str">
        <f t="shared" si="27"/>
        <v/>
      </c>
    </row>
    <row r="106" spans="5:17" ht="75" customHeight="1" x14ac:dyDescent="0.25">
      <c r="E106" s="11"/>
      <c r="F106" s="11"/>
      <c r="J106" s="12" t="str">
        <f t="shared" si="21"/>
        <v/>
      </c>
      <c r="L106" t="str">
        <f t="shared" si="22"/>
        <v/>
      </c>
      <c r="M106" t="str">
        <f t="shared" si="23"/>
        <v/>
      </c>
      <c r="N106" t="str">
        <f t="shared" si="24"/>
        <v/>
      </c>
      <c r="O106" t="str">
        <f t="shared" si="25"/>
        <v/>
      </c>
      <c r="P106" t="str">
        <f t="shared" si="26"/>
        <v/>
      </c>
      <c r="Q106" t="str">
        <f t="shared" si="27"/>
        <v/>
      </c>
    </row>
    <row r="107" spans="5:17" ht="75" customHeight="1" x14ac:dyDescent="0.25">
      <c r="E107" s="11"/>
      <c r="F107" s="11"/>
      <c r="J107" s="12" t="str">
        <f t="shared" si="21"/>
        <v/>
      </c>
      <c r="L107" t="str">
        <f t="shared" si="22"/>
        <v/>
      </c>
      <c r="M107" t="str">
        <f t="shared" si="23"/>
        <v/>
      </c>
      <c r="N107" t="str">
        <f t="shared" si="24"/>
        <v/>
      </c>
      <c r="O107" t="str">
        <f t="shared" si="25"/>
        <v/>
      </c>
      <c r="P107" t="str">
        <f t="shared" si="26"/>
        <v/>
      </c>
      <c r="Q107" t="str">
        <f t="shared" si="27"/>
        <v/>
      </c>
    </row>
    <row r="108" spans="5:17" ht="75" customHeight="1" x14ac:dyDescent="0.25">
      <c r="E108" s="11"/>
      <c r="F108" s="11"/>
      <c r="J108" s="12" t="str">
        <f t="shared" si="21"/>
        <v/>
      </c>
      <c r="L108" t="str">
        <f t="shared" si="22"/>
        <v/>
      </c>
      <c r="M108" t="str">
        <f t="shared" si="23"/>
        <v/>
      </c>
      <c r="N108" t="str">
        <f t="shared" si="24"/>
        <v/>
      </c>
      <c r="O108" t="str">
        <f t="shared" si="25"/>
        <v/>
      </c>
      <c r="P108" t="str">
        <f t="shared" si="26"/>
        <v/>
      </c>
      <c r="Q108" t="str">
        <f t="shared" si="27"/>
        <v/>
      </c>
    </row>
    <row r="109" spans="5:17" ht="75" customHeight="1" x14ac:dyDescent="0.25">
      <c r="E109" s="11"/>
      <c r="F109" s="11"/>
      <c r="J109" s="12" t="str">
        <f t="shared" si="21"/>
        <v/>
      </c>
      <c r="L109" t="str">
        <f t="shared" si="22"/>
        <v/>
      </c>
      <c r="M109" t="str">
        <f t="shared" si="23"/>
        <v/>
      </c>
      <c r="N109" t="str">
        <f t="shared" si="24"/>
        <v/>
      </c>
      <c r="O109" t="str">
        <f t="shared" si="25"/>
        <v/>
      </c>
      <c r="P109" t="str">
        <f t="shared" si="26"/>
        <v/>
      </c>
      <c r="Q109" t="str">
        <f t="shared" si="27"/>
        <v/>
      </c>
    </row>
    <row r="110" spans="5:17" ht="75" customHeight="1" x14ac:dyDescent="0.25">
      <c r="E110" s="11"/>
      <c r="F110" s="11"/>
      <c r="J110" s="12" t="str">
        <f t="shared" si="21"/>
        <v/>
      </c>
      <c r="L110" t="str">
        <f t="shared" si="22"/>
        <v/>
      </c>
      <c r="M110" t="str">
        <f t="shared" si="23"/>
        <v/>
      </c>
      <c r="N110" t="str">
        <f t="shared" si="24"/>
        <v/>
      </c>
      <c r="O110" t="str">
        <f t="shared" si="25"/>
        <v/>
      </c>
      <c r="P110" t="str">
        <f t="shared" si="26"/>
        <v/>
      </c>
      <c r="Q110" t="str">
        <f t="shared" si="27"/>
        <v/>
      </c>
    </row>
    <row r="111" spans="5:17" ht="75" customHeight="1" x14ac:dyDescent="0.25">
      <c r="E111" s="11"/>
      <c r="F111" s="11"/>
      <c r="J111" s="12" t="str">
        <f t="shared" si="21"/>
        <v/>
      </c>
      <c r="L111" t="str">
        <f t="shared" si="22"/>
        <v/>
      </c>
      <c r="M111" t="str">
        <f t="shared" si="23"/>
        <v/>
      </c>
      <c r="N111" t="str">
        <f t="shared" si="24"/>
        <v/>
      </c>
      <c r="O111" t="str">
        <f t="shared" si="25"/>
        <v/>
      </c>
      <c r="P111" t="str">
        <f t="shared" si="26"/>
        <v/>
      </c>
      <c r="Q111" t="str">
        <f t="shared" si="27"/>
        <v/>
      </c>
    </row>
    <row r="112" spans="5:17" ht="75" customHeight="1" x14ac:dyDescent="0.25">
      <c r="E112" s="11"/>
      <c r="F112" s="11"/>
      <c r="J112" s="12" t="str">
        <f t="shared" si="21"/>
        <v/>
      </c>
      <c r="L112" t="str">
        <f t="shared" si="22"/>
        <v/>
      </c>
      <c r="M112" t="str">
        <f t="shared" si="23"/>
        <v/>
      </c>
      <c r="N112" t="str">
        <f t="shared" si="24"/>
        <v/>
      </c>
      <c r="O112" t="str">
        <f t="shared" si="25"/>
        <v/>
      </c>
      <c r="P112" t="str">
        <f t="shared" si="26"/>
        <v/>
      </c>
      <c r="Q112" t="str">
        <f t="shared" si="27"/>
        <v/>
      </c>
    </row>
    <row r="113" spans="5:17" ht="75" customHeight="1" x14ac:dyDescent="0.25">
      <c r="E113" s="11"/>
      <c r="F113" s="11"/>
      <c r="J113" s="12" t="str">
        <f t="shared" si="21"/>
        <v/>
      </c>
      <c r="L113" t="str">
        <f t="shared" si="22"/>
        <v/>
      </c>
      <c r="M113" t="str">
        <f t="shared" si="23"/>
        <v/>
      </c>
      <c r="N113" t="str">
        <f t="shared" si="24"/>
        <v/>
      </c>
      <c r="O113" t="str">
        <f t="shared" si="25"/>
        <v/>
      </c>
      <c r="P113" t="str">
        <f t="shared" si="26"/>
        <v/>
      </c>
      <c r="Q113" t="str">
        <f t="shared" si="27"/>
        <v/>
      </c>
    </row>
    <row r="114" spans="5:17" ht="75" customHeight="1" x14ac:dyDescent="0.25">
      <c r="E114" s="11"/>
      <c r="F114" s="11"/>
      <c r="J114" s="12" t="str">
        <f t="shared" si="21"/>
        <v/>
      </c>
      <c r="L114" t="str">
        <f t="shared" si="22"/>
        <v/>
      </c>
      <c r="M114" t="str">
        <f t="shared" si="23"/>
        <v/>
      </c>
      <c r="N114" t="str">
        <f t="shared" si="24"/>
        <v/>
      </c>
      <c r="O114" t="str">
        <f t="shared" si="25"/>
        <v/>
      </c>
      <c r="P114" t="str">
        <f t="shared" si="26"/>
        <v/>
      </c>
      <c r="Q114" t="str">
        <f t="shared" si="27"/>
        <v/>
      </c>
    </row>
    <row r="115" spans="5:17" ht="75" customHeight="1" x14ac:dyDescent="0.25">
      <c r="E115" s="11"/>
      <c r="F115" s="11"/>
      <c r="J115" s="12" t="str">
        <f t="shared" si="21"/>
        <v/>
      </c>
      <c r="L115" t="str">
        <f t="shared" si="22"/>
        <v/>
      </c>
      <c r="M115" t="str">
        <f t="shared" si="23"/>
        <v/>
      </c>
      <c r="N115" t="str">
        <f t="shared" si="24"/>
        <v/>
      </c>
      <c r="O115" t="str">
        <f t="shared" si="25"/>
        <v/>
      </c>
      <c r="P115" t="str">
        <f t="shared" si="26"/>
        <v/>
      </c>
      <c r="Q115" t="str">
        <f t="shared" si="27"/>
        <v/>
      </c>
    </row>
    <row r="116" spans="5:17" ht="75" customHeight="1" x14ac:dyDescent="0.25">
      <c r="E116" s="11"/>
      <c r="F116" s="11"/>
      <c r="J116" s="12" t="str">
        <f t="shared" si="21"/>
        <v/>
      </c>
      <c r="L116" t="str">
        <f t="shared" si="22"/>
        <v/>
      </c>
      <c r="M116" t="str">
        <f t="shared" si="23"/>
        <v/>
      </c>
      <c r="N116" t="str">
        <f t="shared" si="24"/>
        <v/>
      </c>
      <c r="O116" t="str">
        <f t="shared" si="25"/>
        <v/>
      </c>
      <c r="P116" t="str">
        <f t="shared" si="26"/>
        <v/>
      </c>
      <c r="Q116" t="str">
        <f t="shared" si="27"/>
        <v/>
      </c>
    </row>
    <row r="117" spans="5:17" ht="75" customHeight="1" x14ac:dyDescent="0.25">
      <c r="E117" s="11"/>
      <c r="F117" s="11"/>
      <c r="J117" s="12" t="str">
        <f t="shared" si="21"/>
        <v/>
      </c>
      <c r="L117" t="str">
        <f t="shared" si="22"/>
        <v/>
      </c>
      <c r="M117" t="str">
        <f t="shared" si="23"/>
        <v/>
      </c>
      <c r="N117" t="str">
        <f t="shared" si="24"/>
        <v/>
      </c>
      <c r="O117" t="str">
        <f t="shared" si="25"/>
        <v/>
      </c>
      <c r="P117" t="str">
        <f t="shared" si="26"/>
        <v/>
      </c>
      <c r="Q117" t="str">
        <f t="shared" si="27"/>
        <v/>
      </c>
    </row>
    <row r="118" spans="5:17" ht="75" customHeight="1" x14ac:dyDescent="0.25">
      <c r="E118" s="11"/>
      <c r="F118" s="11"/>
      <c r="J118" s="12" t="str">
        <f t="shared" si="21"/>
        <v/>
      </c>
      <c r="L118" t="str">
        <f t="shared" si="22"/>
        <v/>
      </c>
      <c r="M118" t="str">
        <f t="shared" si="23"/>
        <v/>
      </c>
      <c r="N118" t="str">
        <f t="shared" si="24"/>
        <v/>
      </c>
      <c r="O118" t="str">
        <f t="shared" si="25"/>
        <v/>
      </c>
      <c r="P118" t="str">
        <f t="shared" si="26"/>
        <v/>
      </c>
      <c r="Q118" t="str">
        <f t="shared" si="27"/>
        <v/>
      </c>
    </row>
    <row r="119" spans="5:17" ht="75" customHeight="1" x14ac:dyDescent="0.25">
      <c r="E119" s="11"/>
      <c r="F119" s="11"/>
      <c r="J119" s="12" t="str">
        <f t="shared" si="21"/>
        <v/>
      </c>
      <c r="L119" t="str">
        <f t="shared" si="22"/>
        <v/>
      </c>
      <c r="M119" t="str">
        <f t="shared" si="23"/>
        <v/>
      </c>
      <c r="N119" t="str">
        <f t="shared" si="24"/>
        <v/>
      </c>
      <c r="O119" t="str">
        <f t="shared" si="25"/>
        <v/>
      </c>
      <c r="P119" t="str">
        <f t="shared" si="26"/>
        <v/>
      </c>
      <c r="Q119" t="str">
        <f t="shared" si="27"/>
        <v/>
      </c>
    </row>
    <row r="120" spans="5:17" ht="75" customHeight="1" x14ac:dyDescent="0.25">
      <c r="E120" s="11"/>
      <c r="F120" s="11"/>
      <c r="J120" s="12" t="str">
        <f t="shared" si="21"/>
        <v/>
      </c>
      <c r="L120" t="str">
        <f t="shared" si="22"/>
        <v/>
      </c>
      <c r="M120" t="str">
        <f t="shared" si="23"/>
        <v/>
      </c>
      <c r="N120" t="str">
        <f t="shared" si="24"/>
        <v/>
      </c>
      <c r="O120" t="str">
        <f t="shared" si="25"/>
        <v/>
      </c>
      <c r="P120" t="str">
        <f t="shared" si="26"/>
        <v/>
      </c>
      <c r="Q120" t="str">
        <f t="shared" si="27"/>
        <v/>
      </c>
    </row>
    <row r="121" spans="5:17" ht="75" customHeight="1" x14ac:dyDescent="0.25">
      <c r="E121" s="11"/>
      <c r="F121" s="11"/>
      <c r="J121" s="12" t="str">
        <f t="shared" si="21"/>
        <v/>
      </c>
      <c r="L121" t="str">
        <f t="shared" si="22"/>
        <v/>
      </c>
      <c r="M121" t="str">
        <f t="shared" si="23"/>
        <v/>
      </c>
      <c r="N121" t="str">
        <f t="shared" si="24"/>
        <v/>
      </c>
      <c r="O121" t="str">
        <f t="shared" si="25"/>
        <v/>
      </c>
      <c r="P121" t="str">
        <f t="shared" si="26"/>
        <v/>
      </c>
      <c r="Q121" t="str">
        <f t="shared" si="27"/>
        <v/>
      </c>
    </row>
    <row r="122" spans="5:17" ht="75" customHeight="1" x14ac:dyDescent="0.25">
      <c r="E122" s="11"/>
      <c r="F122" s="11"/>
      <c r="J122" s="12" t="str">
        <f t="shared" si="21"/>
        <v/>
      </c>
      <c r="L122" t="str">
        <f t="shared" si="22"/>
        <v/>
      </c>
      <c r="M122" t="str">
        <f t="shared" si="23"/>
        <v/>
      </c>
      <c r="N122" t="str">
        <f t="shared" si="24"/>
        <v/>
      </c>
      <c r="O122" t="str">
        <f t="shared" si="25"/>
        <v/>
      </c>
      <c r="P122" t="str">
        <f t="shared" si="26"/>
        <v/>
      </c>
      <c r="Q122" t="str">
        <f t="shared" si="27"/>
        <v/>
      </c>
    </row>
    <row r="123" spans="5:17" ht="75" customHeight="1" x14ac:dyDescent="0.25">
      <c r="E123" s="11"/>
      <c r="F123" s="11"/>
      <c r="J123" s="12" t="str">
        <f t="shared" si="21"/>
        <v/>
      </c>
      <c r="L123" t="str">
        <f t="shared" si="22"/>
        <v/>
      </c>
      <c r="M123" t="str">
        <f t="shared" si="23"/>
        <v/>
      </c>
      <c r="N123" t="str">
        <f t="shared" si="24"/>
        <v/>
      </c>
      <c r="O123" t="str">
        <f t="shared" si="25"/>
        <v/>
      </c>
      <c r="P123" t="str">
        <f t="shared" si="26"/>
        <v/>
      </c>
      <c r="Q123" t="str">
        <f t="shared" si="27"/>
        <v/>
      </c>
    </row>
    <row r="124" spans="5:17" ht="75" customHeight="1" x14ac:dyDescent="0.25">
      <c r="E124" s="11"/>
      <c r="F124" s="11"/>
      <c r="J124" s="12" t="str">
        <f t="shared" si="21"/>
        <v/>
      </c>
      <c r="L124" t="str">
        <f t="shared" si="22"/>
        <v/>
      </c>
      <c r="M124" t="str">
        <f t="shared" si="23"/>
        <v/>
      </c>
      <c r="N124" t="str">
        <f t="shared" si="24"/>
        <v/>
      </c>
      <c r="O124" t="str">
        <f t="shared" si="25"/>
        <v/>
      </c>
      <c r="P124" t="str">
        <f t="shared" si="26"/>
        <v/>
      </c>
      <c r="Q124" t="str">
        <f t="shared" si="27"/>
        <v/>
      </c>
    </row>
    <row r="125" spans="5:17" ht="75" customHeight="1" x14ac:dyDescent="0.25">
      <c r="E125" s="11"/>
      <c r="F125" s="11"/>
      <c r="J125" s="12" t="str">
        <f t="shared" si="21"/>
        <v/>
      </c>
      <c r="L125" t="str">
        <f t="shared" si="22"/>
        <v/>
      </c>
      <c r="M125" t="str">
        <f t="shared" si="23"/>
        <v/>
      </c>
      <c r="N125" t="str">
        <f t="shared" si="24"/>
        <v/>
      </c>
      <c r="O125" t="str">
        <f t="shared" si="25"/>
        <v/>
      </c>
      <c r="P125" t="str">
        <f t="shared" si="26"/>
        <v/>
      </c>
      <c r="Q125" t="str">
        <f t="shared" si="27"/>
        <v/>
      </c>
    </row>
    <row r="126" spans="5:17" ht="75" customHeight="1" x14ac:dyDescent="0.25">
      <c r="E126" s="11"/>
      <c r="F126" s="11"/>
      <c r="J126" s="12" t="str">
        <f t="shared" si="21"/>
        <v/>
      </c>
      <c r="L126" t="str">
        <f t="shared" si="22"/>
        <v/>
      </c>
      <c r="M126" t="str">
        <f t="shared" si="23"/>
        <v/>
      </c>
      <c r="N126" t="str">
        <f t="shared" si="24"/>
        <v/>
      </c>
      <c r="O126" t="str">
        <f t="shared" si="25"/>
        <v/>
      </c>
      <c r="P126" t="str">
        <f t="shared" si="26"/>
        <v/>
      </c>
      <c r="Q126" t="str">
        <f t="shared" si="27"/>
        <v/>
      </c>
    </row>
    <row r="127" spans="5:17" ht="75" customHeight="1" x14ac:dyDescent="0.25">
      <c r="E127" s="11"/>
      <c r="F127" s="11"/>
      <c r="J127" s="12" t="str">
        <f t="shared" si="21"/>
        <v/>
      </c>
      <c r="L127" t="str">
        <f t="shared" si="22"/>
        <v/>
      </c>
      <c r="M127" t="str">
        <f t="shared" si="23"/>
        <v/>
      </c>
      <c r="N127" t="str">
        <f t="shared" si="24"/>
        <v/>
      </c>
      <c r="O127" t="str">
        <f t="shared" si="25"/>
        <v/>
      </c>
      <c r="P127" t="str">
        <f t="shared" si="26"/>
        <v/>
      </c>
      <c r="Q127" t="str">
        <f t="shared" si="27"/>
        <v/>
      </c>
    </row>
    <row r="128" spans="5:17" ht="75" customHeight="1" x14ac:dyDescent="0.25">
      <c r="E128" s="11"/>
      <c r="F128" s="11"/>
      <c r="J128" s="12" t="str">
        <f t="shared" si="21"/>
        <v/>
      </c>
      <c r="L128" t="str">
        <f t="shared" si="22"/>
        <v/>
      </c>
      <c r="M128" t="str">
        <f t="shared" si="23"/>
        <v/>
      </c>
      <c r="N128" t="str">
        <f t="shared" si="24"/>
        <v/>
      </c>
      <c r="O128" t="str">
        <f t="shared" si="25"/>
        <v/>
      </c>
      <c r="P128" t="str">
        <f t="shared" si="26"/>
        <v/>
      </c>
      <c r="Q128" t="str">
        <f t="shared" si="27"/>
        <v/>
      </c>
    </row>
    <row r="129" spans="5:17" ht="75" customHeight="1" x14ac:dyDescent="0.25">
      <c r="E129" s="11"/>
      <c r="F129" s="11"/>
      <c r="J129" s="12" t="str">
        <f t="shared" si="21"/>
        <v/>
      </c>
      <c r="L129" t="str">
        <f t="shared" si="22"/>
        <v/>
      </c>
      <c r="M129" t="str">
        <f t="shared" si="23"/>
        <v/>
      </c>
      <c r="N129" t="str">
        <f t="shared" si="24"/>
        <v/>
      </c>
      <c r="O129" t="str">
        <f t="shared" si="25"/>
        <v/>
      </c>
      <c r="P129" t="str">
        <f t="shared" si="26"/>
        <v/>
      </c>
      <c r="Q129" t="str">
        <f t="shared" si="27"/>
        <v/>
      </c>
    </row>
    <row r="130" spans="5:17" ht="75" customHeight="1" x14ac:dyDescent="0.25">
      <c r="E130" s="11"/>
      <c r="F130" s="11"/>
      <c r="J130" s="12" t="str">
        <f t="shared" ref="J130:J161" si="28">IF(OR($E130="",$F130=""),"","WO #"&amp;IF(JobMode="Per-site (granular)",$A130,JobWO)&amp;" DI #"&amp;IF(JobMode="Per-site (granular)",$B130,JobDI)&amp;CHAR(10)&amp;JobApplicant&amp;CHAR(10)&amp;IF($C130&lt;&gt;"","Site "&amp;$C130&amp;" "&amp;$D130,$D130)&amp;CHAR(10)&amp;TEXT($E130,"0.00000")&amp;", "&amp;TEXT($F130,"0.00000")&amp;IF(OR($G130&lt;&gt;"",$H130&lt;&gt;""),CHAR(10)&amp;IF(AND($G130&lt;&gt;"",$H130&lt;&gt;""),"Cat "&amp;$G130&amp;", "&amp;$H130,IF($G130&lt;&gt;"","Cat "&amp;$G130,$H130)),""))</f>
        <v/>
      </c>
      <c r="L130" t="str">
        <f t="shared" ref="L130:L161" si="29">IF(OR($E130="",$F130=""),"",HYPERLINK("https://www.google.com/maps?q="&amp;$E130&amp;","&amp;$F130,"Open"))</f>
        <v/>
      </c>
      <c r="M130" t="str">
        <f t="shared" ref="M130:M161" si="30">IF(OR($E130="",$F130=""),"",HYPERLINK("https://www.bing.com/maps?cp="&amp;$E130&amp;"~"&amp;$F130&amp;"&amp;lvl=18","Open"))</f>
        <v/>
      </c>
      <c r="N130" t="str">
        <f t="shared" ref="N130:N161" si="31">IF(OR($E130="",$F130=""),"",HYPERLINK("https://fema.maps.arcgis.com/apps/mapviewer/index.html?find="&amp;$F130&amp;"%2C"&amp;$E130&amp;"&amp;marker="&amp;$F130&amp;","&amp;$E130&amp;",4326&amp;level=16","View"))</f>
        <v/>
      </c>
      <c r="O130" t="str">
        <f t="shared" ref="O130:O161" si="32">IF(OR($E130="",$F130=""),"",HYPERLINK("https://msc.fema.gov/portal/search?AddressQuery="&amp;$F130&amp;"%2C%20"&amp;$E130,"Search"))</f>
        <v/>
      </c>
      <c r="P130" t="str">
        <f t="shared" ref="P130:P161" si="33">IF(OR($E130="",$F130=""),"",HYPERLINK("https://msc.fema.gov/portal/firmette?latitude="&amp;$E130&amp;"&amp;longitude="&amp;$F130,"Download"))</f>
        <v/>
      </c>
      <c r="Q130" t="str">
        <f t="shared" ref="Q130:Q161" si="34">IF(OR($E130="",$F130=""),"",HYPERLINK("https://earth.google.com/web/@"&amp;$E130&amp;","&amp;$F130&amp;",500a,35y,0h,0t,0r","View"))</f>
        <v/>
      </c>
    </row>
    <row r="131" spans="5:17" ht="75" customHeight="1" x14ac:dyDescent="0.25">
      <c r="E131" s="11"/>
      <c r="F131" s="11"/>
      <c r="J131" s="12" t="str">
        <f t="shared" si="28"/>
        <v/>
      </c>
      <c r="L131" t="str">
        <f t="shared" si="29"/>
        <v/>
      </c>
      <c r="M131" t="str">
        <f t="shared" si="30"/>
        <v/>
      </c>
      <c r="N131" t="str">
        <f t="shared" si="31"/>
        <v/>
      </c>
      <c r="O131" t="str">
        <f t="shared" si="32"/>
        <v/>
      </c>
      <c r="P131" t="str">
        <f t="shared" si="33"/>
        <v/>
      </c>
      <c r="Q131" t="str">
        <f t="shared" si="34"/>
        <v/>
      </c>
    </row>
    <row r="132" spans="5:17" ht="75" customHeight="1" x14ac:dyDescent="0.25">
      <c r="E132" s="11"/>
      <c r="F132" s="11"/>
      <c r="J132" s="12" t="str">
        <f t="shared" si="28"/>
        <v/>
      </c>
      <c r="L132" t="str">
        <f t="shared" si="29"/>
        <v/>
      </c>
      <c r="M132" t="str">
        <f t="shared" si="30"/>
        <v/>
      </c>
      <c r="N132" t="str">
        <f t="shared" si="31"/>
        <v/>
      </c>
      <c r="O132" t="str">
        <f t="shared" si="32"/>
        <v/>
      </c>
      <c r="P132" t="str">
        <f t="shared" si="33"/>
        <v/>
      </c>
      <c r="Q132" t="str">
        <f t="shared" si="34"/>
        <v/>
      </c>
    </row>
    <row r="133" spans="5:17" ht="75" customHeight="1" x14ac:dyDescent="0.25">
      <c r="E133" s="11"/>
      <c r="F133" s="11"/>
      <c r="J133" s="12" t="str">
        <f t="shared" si="28"/>
        <v/>
      </c>
      <c r="L133" t="str">
        <f t="shared" si="29"/>
        <v/>
      </c>
      <c r="M133" t="str">
        <f t="shared" si="30"/>
        <v/>
      </c>
      <c r="N133" t="str">
        <f t="shared" si="31"/>
        <v/>
      </c>
      <c r="O133" t="str">
        <f t="shared" si="32"/>
        <v/>
      </c>
      <c r="P133" t="str">
        <f t="shared" si="33"/>
        <v/>
      </c>
      <c r="Q133" t="str">
        <f t="shared" si="34"/>
        <v/>
      </c>
    </row>
    <row r="134" spans="5:17" ht="75" customHeight="1" x14ac:dyDescent="0.25">
      <c r="E134" s="11"/>
      <c r="F134" s="11"/>
      <c r="J134" s="12" t="str">
        <f t="shared" si="28"/>
        <v/>
      </c>
      <c r="L134" t="str">
        <f t="shared" si="29"/>
        <v/>
      </c>
      <c r="M134" t="str">
        <f t="shared" si="30"/>
        <v/>
      </c>
      <c r="N134" t="str">
        <f t="shared" si="31"/>
        <v/>
      </c>
      <c r="O134" t="str">
        <f t="shared" si="32"/>
        <v/>
      </c>
      <c r="P134" t="str">
        <f t="shared" si="33"/>
        <v/>
      </c>
      <c r="Q134" t="str">
        <f t="shared" si="34"/>
        <v/>
      </c>
    </row>
    <row r="135" spans="5:17" ht="75" customHeight="1" x14ac:dyDescent="0.25">
      <c r="E135" s="11"/>
      <c r="F135" s="11"/>
      <c r="J135" s="12" t="str">
        <f t="shared" si="28"/>
        <v/>
      </c>
      <c r="L135" t="str">
        <f t="shared" si="29"/>
        <v/>
      </c>
      <c r="M135" t="str">
        <f t="shared" si="30"/>
        <v/>
      </c>
      <c r="N135" t="str">
        <f t="shared" si="31"/>
        <v/>
      </c>
      <c r="O135" t="str">
        <f t="shared" si="32"/>
        <v/>
      </c>
      <c r="P135" t="str">
        <f t="shared" si="33"/>
        <v/>
      </c>
      <c r="Q135" t="str">
        <f t="shared" si="34"/>
        <v/>
      </c>
    </row>
    <row r="136" spans="5:17" ht="75" customHeight="1" x14ac:dyDescent="0.25">
      <c r="E136" s="11"/>
      <c r="F136" s="11"/>
      <c r="J136" s="12" t="str">
        <f t="shared" si="28"/>
        <v/>
      </c>
      <c r="L136" t="str">
        <f t="shared" si="29"/>
        <v/>
      </c>
      <c r="M136" t="str">
        <f t="shared" si="30"/>
        <v/>
      </c>
      <c r="N136" t="str">
        <f t="shared" si="31"/>
        <v/>
      </c>
      <c r="O136" t="str">
        <f t="shared" si="32"/>
        <v/>
      </c>
      <c r="P136" t="str">
        <f t="shared" si="33"/>
        <v/>
      </c>
      <c r="Q136" t="str">
        <f t="shared" si="34"/>
        <v/>
      </c>
    </row>
    <row r="137" spans="5:17" ht="75" customHeight="1" x14ac:dyDescent="0.25">
      <c r="E137" s="11"/>
      <c r="F137" s="11"/>
      <c r="J137" s="12" t="str">
        <f t="shared" si="28"/>
        <v/>
      </c>
      <c r="L137" t="str">
        <f t="shared" si="29"/>
        <v/>
      </c>
      <c r="M137" t="str">
        <f t="shared" si="30"/>
        <v/>
      </c>
      <c r="N137" t="str">
        <f t="shared" si="31"/>
        <v/>
      </c>
      <c r="O137" t="str">
        <f t="shared" si="32"/>
        <v/>
      </c>
      <c r="P137" t="str">
        <f t="shared" si="33"/>
        <v/>
      </c>
      <c r="Q137" t="str">
        <f t="shared" si="34"/>
        <v/>
      </c>
    </row>
    <row r="138" spans="5:17" ht="75" customHeight="1" x14ac:dyDescent="0.25">
      <c r="E138" s="11"/>
      <c r="F138" s="11"/>
      <c r="J138" s="12" t="str">
        <f t="shared" si="28"/>
        <v/>
      </c>
      <c r="L138" t="str">
        <f t="shared" si="29"/>
        <v/>
      </c>
      <c r="M138" t="str">
        <f t="shared" si="30"/>
        <v/>
      </c>
      <c r="N138" t="str">
        <f t="shared" si="31"/>
        <v/>
      </c>
      <c r="O138" t="str">
        <f t="shared" si="32"/>
        <v/>
      </c>
      <c r="P138" t="str">
        <f t="shared" si="33"/>
        <v/>
      </c>
      <c r="Q138" t="str">
        <f t="shared" si="34"/>
        <v/>
      </c>
    </row>
    <row r="139" spans="5:17" ht="75" customHeight="1" x14ac:dyDescent="0.25">
      <c r="E139" s="11"/>
      <c r="F139" s="11"/>
      <c r="J139" s="12" t="str">
        <f t="shared" si="28"/>
        <v/>
      </c>
      <c r="L139" t="str">
        <f t="shared" si="29"/>
        <v/>
      </c>
      <c r="M139" t="str">
        <f t="shared" si="30"/>
        <v/>
      </c>
      <c r="N139" t="str">
        <f t="shared" si="31"/>
        <v/>
      </c>
      <c r="O139" t="str">
        <f t="shared" si="32"/>
        <v/>
      </c>
      <c r="P139" t="str">
        <f t="shared" si="33"/>
        <v/>
      </c>
      <c r="Q139" t="str">
        <f t="shared" si="34"/>
        <v/>
      </c>
    </row>
    <row r="140" spans="5:17" ht="75" customHeight="1" x14ac:dyDescent="0.25">
      <c r="E140" s="11"/>
      <c r="F140" s="11"/>
      <c r="J140" s="12" t="str">
        <f t="shared" si="28"/>
        <v/>
      </c>
      <c r="L140" t="str">
        <f t="shared" si="29"/>
        <v/>
      </c>
      <c r="M140" t="str">
        <f t="shared" si="30"/>
        <v/>
      </c>
      <c r="N140" t="str">
        <f t="shared" si="31"/>
        <v/>
      </c>
      <c r="O140" t="str">
        <f t="shared" si="32"/>
        <v/>
      </c>
      <c r="P140" t="str">
        <f t="shared" si="33"/>
        <v/>
      </c>
      <c r="Q140" t="str">
        <f t="shared" si="34"/>
        <v/>
      </c>
    </row>
    <row r="141" spans="5:17" ht="75" customHeight="1" x14ac:dyDescent="0.25">
      <c r="E141" s="11"/>
      <c r="F141" s="11"/>
      <c r="J141" s="12" t="str">
        <f t="shared" si="28"/>
        <v/>
      </c>
      <c r="L141" t="str">
        <f t="shared" si="29"/>
        <v/>
      </c>
      <c r="M141" t="str">
        <f t="shared" si="30"/>
        <v/>
      </c>
      <c r="N141" t="str">
        <f t="shared" si="31"/>
        <v/>
      </c>
      <c r="O141" t="str">
        <f t="shared" si="32"/>
        <v/>
      </c>
      <c r="P141" t="str">
        <f t="shared" si="33"/>
        <v/>
      </c>
      <c r="Q141" t="str">
        <f t="shared" si="34"/>
        <v/>
      </c>
    </row>
    <row r="142" spans="5:17" ht="75" customHeight="1" x14ac:dyDescent="0.25">
      <c r="E142" s="11"/>
      <c r="F142" s="11"/>
      <c r="J142" s="12" t="str">
        <f t="shared" si="28"/>
        <v/>
      </c>
      <c r="L142" t="str">
        <f t="shared" si="29"/>
        <v/>
      </c>
      <c r="M142" t="str">
        <f t="shared" si="30"/>
        <v/>
      </c>
      <c r="N142" t="str">
        <f t="shared" si="31"/>
        <v/>
      </c>
      <c r="O142" t="str">
        <f t="shared" si="32"/>
        <v/>
      </c>
      <c r="P142" t="str">
        <f t="shared" si="33"/>
        <v/>
      </c>
      <c r="Q142" t="str">
        <f t="shared" si="34"/>
        <v/>
      </c>
    </row>
    <row r="143" spans="5:17" ht="75" customHeight="1" x14ac:dyDescent="0.25">
      <c r="E143" s="11"/>
      <c r="F143" s="11"/>
      <c r="J143" s="12" t="str">
        <f t="shared" si="28"/>
        <v/>
      </c>
      <c r="L143" t="str">
        <f t="shared" si="29"/>
        <v/>
      </c>
      <c r="M143" t="str">
        <f t="shared" si="30"/>
        <v/>
      </c>
      <c r="N143" t="str">
        <f t="shared" si="31"/>
        <v/>
      </c>
      <c r="O143" t="str">
        <f t="shared" si="32"/>
        <v/>
      </c>
      <c r="P143" t="str">
        <f t="shared" si="33"/>
        <v/>
      </c>
      <c r="Q143" t="str">
        <f t="shared" si="34"/>
        <v/>
      </c>
    </row>
    <row r="144" spans="5:17" ht="75" customHeight="1" x14ac:dyDescent="0.25">
      <c r="E144" s="11"/>
      <c r="F144" s="11"/>
      <c r="J144" s="12" t="str">
        <f t="shared" si="28"/>
        <v/>
      </c>
      <c r="L144" t="str">
        <f t="shared" si="29"/>
        <v/>
      </c>
      <c r="M144" t="str">
        <f t="shared" si="30"/>
        <v/>
      </c>
      <c r="N144" t="str">
        <f t="shared" si="31"/>
        <v/>
      </c>
      <c r="O144" t="str">
        <f t="shared" si="32"/>
        <v/>
      </c>
      <c r="P144" t="str">
        <f t="shared" si="33"/>
        <v/>
      </c>
      <c r="Q144" t="str">
        <f t="shared" si="34"/>
        <v/>
      </c>
    </row>
    <row r="145" spans="5:17" ht="75" customHeight="1" x14ac:dyDescent="0.25">
      <c r="E145" s="11"/>
      <c r="F145" s="11"/>
      <c r="J145" s="12" t="str">
        <f t="shared" si="28"/>
        <v/>
      </c>
      <c r="L145" t="str">
        <f t="shared" si="29"/>
        <v/>
      </c>
      <c r="M145" t="str">
        <f t="shared" si="30"/>
        <v/>
      </c>
      <c r="N145" t="str">
        <f t="shared" si="31"/>
        <v/>
      </c>
      <c r="O145" t="str">
        <f t="shared" si="32"/>
        <v/>
      </c>
      <c r="P145" t="str">
        <f t="shared" si="33"/>
        <v/>
      </c>
      <c r="Q145" t="str">
        <f t="shared" si="34"/>
        <v/>
      </c>
    </row>
    <row r="146" spans="5:17" ht="75" customHeight="1" x14ac:dyDescent="0.25">
      <c r="E146" s="11"/>
      <c r="F146" s="11"/>
      <c r="J146" s="12" t="str">
        <f t="shared" si="28"/>
        <v/>
      </c>
      <c r="L146" t="str">
        <f t="shared" si="29"/>
        <v/>
      </c>
      <c r="M146" t="str">
        <f t="shared" si="30"/>
        <v/>
      </c>
      <c r="N146" t="str">
        <f t="shared" si="31"/>
        <v/>
      </c>
      <c r="O146" t="str">
        <f t="shared" si="32"/>
        <v/>
      </c>
      <c r="P146" t="str">
        <f t="shared" si="33"/>
        <v/>
      </c>
      <c r="Q146" t="str">
        <f t="shared" si="34"/>
        <v/>
      </c>
    </row>
    <row r="147" spans="5:17" ht="75" customHeight="1" x14ac:dyDescent="0.25">
      <c r="E147" s="11"/>
      <c r="F147" s="11"/>
      <c r="J147" s="12" t="str">
        <f t="shared" si="28"/>
        <v/>
      </c>
      <c r="L147" t="str">
        <f t="shared" si="29"/>
        <v/>
      </c>
      <c r="M147" t="str">
        <f t="shared" si="30"/>
        <v/>
      </c>
      <c r="N147" t="str">
        <f t="shared" si="31"/>
        <v/>
      </c>
      <c r="O147" t="str">
        <f t="shared" si="32"/>
        <v/>
      </c>
      <c r="P147" t="str">
        <f t="shared" si="33"/>
        <v/>
      </c>
      <c r="Q147" t="str">
        <f t="shared" si="34"/>
        <v/>
      </c>
    </row>
    <row r="148" spans="5:17" ht="75" customHeight="1" x14ac:dyDescent="0.25">
      <c r="E148" s="11"/>
      <c r="F148" s="11"/>
      <c r="J148" s="12" t="str">
        <f t="shared" si="28"/>
        <v/>
      </c>
      <c r="L148" t="str">
        <f t="shared" si="29"/>
        <v/>
      </c>
      <c r="M148" t="str">
        <f t="shared" si="30"/>
        <v/>
      </c>
      <c r="N148" t="str">
        <f t="shared" si="31"/>
        <v/>
      </c>
      <c r="O148" t="str">
        <f t="shared" si="32"/>
        <v/>
      </c>
      <c r="P148" t="str">
        <f t="shared" si="33"/>
        <v/>
      </c>
      <c r="Q148" t="str">
        <f t="shared" si="34"/>
        <v/>
      </c>
    </row>
    <row r="149" spans="5:17" ht="75" customHeight="1" x14ac:dyDescent="0.25">
      <c r="E149" s="11"/>
      <c r="F149" s="11"/>
      <c r="J149" s="12" t="str">
        <f t="shared" si="28"/>
        <v/>
      </c>
      <c r="L149" t="str">
        <f t="shared" si="29"/>
        <v/>
      </c>
      <c r="M149" t="str">
        <f t="shared" si="30"/>
        <v/>
      </c>
      <c r="N149" t="str">
        <f t="shared" si="31"/>
        <v/>
      </c>
      <c r="O149" t="str">
        <f t="shared" si="32"/>
        <v/>
      </c>
      <c r="P149" t="str">
        <f t="shared" si="33"/>
        <v/>
      </c>
      <c r="Q149" t="str">
        <f t="shared" si="34"/>
        <v/>
      </c>
    </row>
    <row r="150" spans="5:17" ht="75" customHeight="1" x14ac:dyDescent="0.25">
      <c r="E150" s="11"/>
      <c r="F150" s="11"/>
      <c r="J150" s="12" t="str">
        <f t="shared" si="28"/>
        <v/>
      </c>
      <c r="L150" t="str">
        <f t="shared" si="29"/>
        <v/>
      </c>
      <c r="M150" t="str">
        <f t="shared" si="30"/>
        <v/>
      </c>
      <c r="N150" t="str">
        <f t="shared" si="31"/>
        <v/>
      </c>
      <c r="O150" t="str">
        <f t="shared" si="32"/>
        <v/>
      </c>
      <c r="P150" t="str">
        <f t="shared" si="33"/>
        <v/>
      </c>
      <c r="Q150" t="str">
        <f t="shared" si="34"/>
        <v/>
      </c>
    </row>
    <row r="151" spans="5:17" ht="75" customHeight="1" x14ac:dyDescent="0.25">
      <c r="E151" s="11"/>
      <c r="F151" s="11"/>
      <c r="J151" s="12" t="str">
        <f t="shared" si="28"/>
        <v/>
      </c>
      <c r="L151" t="str">
        <f t="shared" si="29"/>
        <v/>
      </c>
      <c r="M151" t="str">
        <f t="shared" si="30"/>
        <v/>
      </c>
      <c r="N151" t="str">
        <f t="shared" si="31"/>
        <v/>
      </c>
      <c r="O151" t="str">
        <f t="shared" si="32"/>
        <v/>
      </c>
      <c r="P151" t="str">
        <f t="shared" si="33"/>
        <v/>
      </c>
      <c r="Q151" t="str">
        <f t="shared" si="34"/>
        <v/>
      </c>
    </row>
    <row r="152" spans="5:17" ht="75" customHeight="1" x14ac:dyDescent="0.25">
      <c r="E152" s="11"/>
      <c r="F152" s="11"/>
      <c r="J152" s="12" t="str">
        <f t="shared" si="28"/>
        <v/>
      </c>
      <c r="L152" t="str">
        <f t="shared" si="29"/>
        <v/>
      </c>
      <c r="M152" t="str">
        <f t="shared" si="30"/>
        <v/>
      </c>
      <c r="N152" t="str">
        <f t="shared" si="31"/>
        <v/>
      </c>
      <c r="O152" t="str">
        <f t="shared" si="32"/>
        <v/>
      </c>
      <c r="P152" t="str">
        <f t="shared" si="33"/>
        <v/>
      </c>
      <c r="Q152" t="str">
        <f t="shared" si="34"/>
        <v/>
      </c>
    </row>
    <row r="153" spans="5:17" ht="75" customHeight="1" x14ac:dyDescent="0.25">
      <c r="E153" s="11"/>
      <c r="F153" s="11"/>
      <c r="J153" s="12" t="str">
        <f t="shared" si="28"/>
        <v/>
      </c>
      <c r="L153" t="str">
        <f t="shared" si="29"/>
        <v/>
      </c>
      <c r="M153" t="str">
        <f t="shared" si="30"/>
        <v/>
      </c>
      <c r="N153" t="str">
        <f t="shared" si="31"/>
        <v/>
      </c>
      <c r="O153" t="str">
        <f t="shared" si="32"/>
        <v/>
      </c>
      <c r="P153" t="str">
        <f t="shared" si="33"/>
        <v/>
      </c>
      <c r="Q153" t="str">
        <f t="shared" si="34"/>
        <v/>
      </c>
    </row>
    <row r="154" spans="5:17" ht="75" customHeight="1" x14ac:dyDescent="0.25">
      <c r="E154" s="11"/>
      <c r="F154" s="11"/>
      <c r="J154" s="12" t="str">
        <f t="shared" si="28"/>
        <v/>
      </c>
      <c r="L154" t="str">
        <f t="shared" si="29"/>
        <v/>
      </c>
      <c r="M154" t="str">
        <f t="shared" si="30"/>
        <v/>
      </c>
      <c r="N154" t="str">
        <f t="shared" si="31"/>
        <v/>
      </c>
      <c r="O154" t="str">
        <f t="shared" si="32"/>
        <v/>
      </c>
      <c r="P154" t="str">
        <f t="shared" si="33"/>
        <v/>
      </c>
      <c r="Q154" t="str">
        <f t="shared" si="34"/>
        <v/>
      </c>
    </row>
    <row r="155" spans="5:17" ht="75" customHeight="1" x14ac:dyDescent="0.25">
      <c r="E155" s="11"/>
      <c r="F155" s="11"/>
      <c r="J155" s="12" t="str">
        <f t="shared" si="28"/>
        <v/>
      </c>
      <c r="L155" t="str">
        <f t="shared" si="29"/>
        <v/>
      </c>
      <c r="M155" t="str">
        <f t="shared" si="30"/>
        <v/>
      </c>
      <c r="N155" t="str">
        <f t="shared" si="31"/>
        <v/>
      </c>
      <c r="O155" t="str">
        <f t="shared" si="32"/>
        <v/>
      </c>
      <c r="P155" t="str">
        <f t="shared" si="33"/>
        <v/>
      </c>
      <c r="Q155" t="str">
        <f t="shared" si="34"/>
        <v/>
      </c>
    </row>
    <row r="156" spans="5:17" ht="75" customHeight="1" x14ac:dyDescent="0.25">
      <c r="E156" s="11"/>
      <c r="F156" s="11"/>
      <c r="J156" s="12" t="str">
        <f t="shared" si="28"/>
        <v/>
      </c>
      <c r="L156" t="str">
        <f t="shared" si="29"/>
        <v/>
      </c>
      <c r="M156" t="str">
        <f t="shared" si="30"/>
        <v/>
      </c>
      <c r="N156" t="str">
        <f t="shared" si="31"/>
        <v/>
      </c>
      <c r="O156" t="str">
        <f t="shared" si="32"/>
        <v/>
      </c>
      <c r="P156" t="str">
        <f t="shared" si="33"/>
        <v/>
      </c>
      <c r="Q156" t="str">
        <f t="shared" si="34"/>
        <v/>
      </c>
    </row>
    <row r="157" spans="5:17" ht="75" customHeight="1" x14ac:dyDescent="0.25">
      <c r="E157" s="11"/>
      <c r="F157" s="11"/>
      <c r="J157" s="12" t="str">
        <f t="shared" si="28"/>
        <v/>
      </c>
      <c r="L157" t="str">
        <f t="shared" si="29"/>
        <v/>
      </c>
      <c r="M157" t="str">
        <f t="shared" si="30"/>
        <v/>
      </c>
      <c r="N157" t="str">
        <f t="shared" si="31"/>
        <v/>
      </c>
      <c r="O157" t="str">
        <f t="shared" si="32"/>
        <v/>
      </c>
      <c r="P157" t="str">
        <f t="shared" si="33"/>
        <v/>
      </c>
      <c r="Q157" t="str">
        <f t="shared" si="34"/>
        <v/>
      </c>
    </row>
    <row r="158" spans="5:17" ht="75" customHeight="1" x14ac:dyDescent="0.25">
      <c r="E158" s="11"/>
      <c r="F158" s="11"/>
      <c r="J158" s="12" t="str">
        <f t="shared" si="28"/>
        <v/>
      </c>
      <c r="L158" t="str">
        <f t="shared" si="29"/>
        <v/>
      </c>
      <c r="M158" t="str">
        <f t="shared" si="30"/>
        <v/>
      </c>
      <c r="N158" t="str">
        <f t="shared" si="31"/>
        <v/>
      </c>
      <c r="O158" t="str">
        <f t="shared" si="32"/>
        <v/>
      </c>
      <c r="P158" t="str">
        <f t="shared" si="33"/>
        <v/>
      </c>
      <c r="Q158" t="str">
        <f t="shared" si="34"/>
        <v/>
      </c>
    </row>
    <row r="159" spans="5:17" ht="75" customHeight="1" x14ac:dyDescent="0.25">
      <c r="E159" s="11"/>
      <c r="F159" s="11"/>
      <c r="J159" s="12" t="str">
        <f t="shared" si="28"/>
        <v/>
      </c>
      <c r="L159" t="str">
        <f t="shared" si="29"/>
        <v/>
      </c>
      <c r="M159" t="str">
        <f t="shared" si="30"/>
        <v/>
      </c>
      <c r="N159" t="str">
        <f t="shared" si="31"/>
        <v/>
      </c>
      <c r="O159" t="str">
        <f t="shared" si="32"/>
        <v/>
      </c>
      <c r="P159" t="str">
        <f t="shared" si="33"/>
        <v/>
      </c>
      <c r="Q159" t="str">
        <f t="shared" si="34"/>
        <v/>
      </c>
    </row>
    <row r="160" spans="5:17" ht="75" customHeight="1" x14ac:dyDescent="0.25">
      <c r="E160" s="11"/>
      <c r="F160" s="11"/>
      <c r="J160" s="12" t="str">
        <f t="shared" si="28"/>
        <v/>
      </c>
      <c r="L160" t="str">
        <f t="shared" si="29"/>
        <v/>
      </c>
      <c r="M160" t="str">
        <f t="shared" si="30"/>
        <v/>
      </c>
      <c r="N160" t="str">
        <f t="shared" si="31"/>
        <v/>
      </c>
      <c r="O160" t="str">
        <f t="shared" si="32"/>
        <v/>
      </c>
      <c r="P160" t="str">
        <f t="shared" si="33"/>
        <v/>
      </c>
      <c r="Q160" t="str">
        <f t="shared" si="34"/>
        <v/>
      </c>
    </row>
    <row r="161" spans="5:17" ht="75" customHeight="1" x14ac:dyDescent="0.25">
      <c r="E161" s="11"/>
      <c r="F161" s="11"/>
      <c r="J161" s="12" t="str">
        <f t="shared" si="28"/>
        <v/>
      </c>
      <c r="L161" t="str">
        <f t="shared" si="29"/>
        <v/>
      </c>
      <c r="M161" t="str">
        <f t="shared" si="30"/>
        <v/>
      </c>
      <c r="N161" t="str">
        <f t="shared" si="31"/>
        <v/>
      </c>
      <c r="O161" t="str">
        <f t="shared" si="32"/>
        <v/>
      </c>
      <c r="P161" t="str">
        <f t="shared" si="33"/>
        <v/>
      </c>
      <c r="Q161" t="str">
        <f t="shared" si="34"/>
        <v/>
      </c>
    </row>
    <row r="162" spans="5:17" ht="75" customHeight="1" x14ac:dyDescent="0.25">
      <c r="E162" s="11"/>
      <c r="F162" s="11"/>
      <c r="J162" s="12" t="str">
        <f t="shared" ref="J162:J193" si="35">IF(OR($E162="",$F162=""),"","WO #"&amp;IF(JobMode="Per-site (granular)",$A162,JobWO)&amp;" DI #"&amp;IF(JobMode="Per-site (granular)",$B162,JobDI)&amp;CHAR(10)&amp;JobApplicant&amp;CHAR(10)&amp;IF($C162&lt;&gt;"","Site "&amp;$C162&amp;" "&amp;$D162,$D162)&amp;CHAR(10)&amp;TEXT($E162,"0.00000")&amp;", "&amp;TEXT($F162,"0.00000")&amp;IF(OR($G162&lt;&gt;"",$H162&lt;&gt;""),CHAR(10)&amp;IF(AND($G162&lt;&gt;"",$H162&lt;&gt;""),"Cat "&amp;$G162&amp;", "&amp;$H162,IF($G162&lt;&gt;"","Cat "&amp;$G162,$H162)),""))</f>
        <v/>
      </c>
      <c r="L162" t="str">
        <f t="shared" ref="L162:L193" si="36">IF(OR($E162="",$F162=""),"",HYPERLINK("https://www.google.com/maps?q="&amp;$E162&amp;","&amp;$F162,"Open"))</f>
        <v/>
      </c>
      <c r="M162" t="str">
        <f t="shared" ref="M162:M193" si="37">IF(OR($E162="",$F162=""),"",HYPERLINK("https://www.bing.com/maps?cp="&amp;$E162&amp;"~"&amp;$F162&amp;"&amp;lvl=18","Open"))</f>
        <v/>
      </c>
      <c r="N162" t="str">
        <f t="shared" ref="N162:N193" si="38">IF(OR($E162="",$F162=""),"",HYPERLINK("https://fema.maps.arcgis.com/apps/mapviewer/index.html?find="&amp;$F162&amp;"%2C"&amp;$E162&amp;"&amp;marker="&amp;$F162&amp;","&amp;$E162&amp;",4326&amp;level=16","View"))</f>
        <v/>
      </c>
      <c r="O162" t="str">
        <f t="shared" ref="O162:O193" si="39">IF(OR($E162="",$F162=""),"",HYPERLINK("https://msc.fema.gov/portal/search?AddressQuery="&amp;$F162&amp;"%2C%20"&amp;$E162,"Search"))</f>
        <v/>
      </c>
      <c r="P162" t="str">
        <f t="shared" ref="P162:P193" si="40">IF(OR($E162="",$F162=""),"",HYPERLINK("https://msc.fema.gov/portal/firmette?latitude="&amp;$E162&amp;"&amp;longitude="&amp;$F162,"Download"))</f>
        <v/>
      </c>
      <c r="Q162" t="str">
        <f t="shared" ref="Q162:Q193" si="41">IF(OR($E162="",$F162=""),"",HYPERLINK("https://earth.google.com/web/@"&amp;$E162&amp;","&amp;$F162&amp;",500a,35y,0h,0t,0r","View"))</f>
        <v/>
      </c>
    </row>
    <row r="163" spans="5:17" ht="75" customHeight="1" x14ac:dyDescent="0.25">
      <c r="E163" s="11"/>
      <c r="F163" s="11"/>
      <c r="J163" s="12" t="str">
        <f t="shared" si="35"/>
        <v/>
      </c>
      <c r="L163" t="str">
        <f t="shared" si="36"/>
        <v/>
      </c>
      <c r="M163" t="str">
        <f t="shared" si="37"/>
        <v/>
      </c>
      <c r="N163" t="str">
        <f t="shared" si="38"/>
        <v/>
      </c>
      <c r="O163" t="str">
        <f t="shared" si="39"/>
        <v/>
      </c>
      <c r="P163" t="str">
        <f t="shared" si="40"/>
        <v/>
      </c>
      <c r="Q163" t="str">
        <f t="shared" si="41"/>
        <v/>
      </c>
    </row>
    <row r="164" spans="5:17" ht="75" customHeight="1" x14ac:dyDescent="0.25">
      <c r="E164" s="11"/>
      <c r="F164" s="11"/>
      <c r="J164" s="12" t="str">
        <f t="shared" si="35"/>
        <v/>
      </c>
      <c r="L164" t="str">
        <f t="shared" si="36"/>
        <v/>
      </c>
      <c r="M164" t="str">
        <f t="shared" si="37"/>
        <v/>
      </c>
      <c r="N164" t="str">
        <f t="shared" si="38"/>
        <v/>
      </c>
      <c r="O164" t="str">
        <f t="shared" si="39"/>
        <v/>
      </c>
      <c r="P164" t="str">
        <f t="shared" si="40"/>
        <v/>
      </c>
      <c r="Q164" t="str">
        <f t="shared" si="41"/>
        <v/>
      </c>
    </row>
    <row r="165" spans="5:17" ht="75" customHeight="1" x14ac:dyDescent="0.25">
      <c r="E165" s="11"/>
      <c r="F165" s="11"/>
      <c r="J165" s="12" t="str">
        <f t="shared" si="35"/>
        <v/>
      </c>
      <c r="L165" t="str">
        <f t="shared" si="36"/>
        <v/>
      </c>
      <c r="M165" t="str">
        <f t="shared" si="37"/>
        <v/>
      </c>
      <c r="N165" t="str">
        <f t="shared" si="38"/>
        <v/>
      </c>
      <c r="O165" t="str">
        <f t="shared" si="39"/>
        <v/>
      </c>
      <c r="P165" t="str">
        <f t="shared" si="40"/>
        <v/>
      </c>
      <c r="Q165" t="str">
        <f t="shared" si="41"/>
        <v/>
      </c>
    </row>
    <row r="166" spans="5:17" ht="75" customHeight="1" x14ac:dyDescent="0.25">
      <c r="E166" s="11"/>
      <c r="F166" s="11"/>
      <c r="J166" s="12" t="str">
        <f t="shared" si="35"/>
        <v/>
      </c>
      <c r="L166" t="str">
        <f t="shared" si="36"/>
        <v/>
      </c>
      <c r="M166" t="str">
        <f t="shared" si="37"/>
        <v/>
      </c>
      <c r="N166" t="str">
        <f t="shared" si="38"/>
        <v/>
      </c>
      <c r="O166" t="str">
        <f t="shared" si="39"/>
        <v/>
      </c>
      <c r="P166" t="str">
        <f t="shared" si="40"/>
        <v/>
      </c>
      <c r="Q166" t="str">
        <f t="shared" si="41"/>
        <v/>
      </c>
    </row>
    <row r="167" spans="5:17" ht="75" customHeight="1" x14ac:dyDescent="0.25">
      <c r="E167" s="11"/>
      <c r="F167" s="11"/>
      <c r="J167" s="12" t="str">
        <f t="shared" si="35"/>
        <v/>
      </c>
      <c r="L167" t="str">
        <f t="shared" si="36"/>
        <v/>
      </c>
      <c r="M167" t="str">
        <f t="shared" si="37"/>
        <v/>
      </c>
      <c r="N167" t="str">
        <f t="shared" si="38"/>
        <v/>
      </c>
      <c r="O167" t="str">
        <f t="shared" si="39"/>
        <v/>
      </c>
      <c r="P167" t="str">
        <f t="shared" si="40"/>
        <v/>
      </c>
      <c r="Q167" t="str">
        <f t="shared" si="41"/>
        <v/>
      </c>
    </row>
    <row r="168" spans="5:17" ht="75" customHeight="1" x14ac:dyDescent="0.25">
      <c r="E168" s="11"/>
      <c r="F168" s="11"/>
      <c r="J168" s="12" t="str">
        <f t="shared" si="35"/>
        <v/>
      </c>
      <c r="L168" t="str">
        <f t="shared" si="36"/>
        <v/>
      </c>
      <c r="M168" t="str">
        <f t="shared" si="37"/>
        <v/>
      </c>
      <c r="N168" t="str">
        <f t="shared" si="38"/>
        <v/>
      </c>
      <c r="O168" t="str">
        <f t="shared" si="39"/>
        <v/>
      </c>
      <c r="P168" t="str">
        <f t="shared" si="40"/>
        <v/>
      </c>
      <c r="Q168" t="str">
        <f t="shared" si="41"/>
        <v/>
      </c>
    </row>
    <row r="169" spans="5:17" ht="75" customHeight="1" x14ac:dyDescent="0.25">
      <c r="E169" s="11"/>
      <c r="F169" s="11"/>
      <c r="J169" s="12" t="str">
        <f t="shared" si="35"/>
        <v/>
      </c>
      <c r="L169" t="str">
        <f t="shared" si="36"/>
        <v/>
      </c>
      <c r="M169" t="str">
        <f t="shared" si="37"/>
        <v/>
      </c>
      <c r="N169" t="str">
        <f t="shared" si="38"/>
        <v/>
      </c>
      <c r="O169" t="str">
        <f t="shared" si="39"/>
        <v/>
      </c>
      <c r="P169" t="str">
        <f t="shared" si="40"/>
        <v/>
      </c>
      <c r="Q169" t="str">
        <f t="shared" si="41"/>
        <v/>
      </c>
    </row>
    <row r="170" spans="5:17" ht="75" customHeight="1" x14ac:dyDescent="0.25">
      <c r="E170" s="11"/>
      <c r="F170" s="11"/>
      <c r="J170" s="12" t="str">
        <f t="shared" si="35"/>
        <v/>
      </c>
      <c r="L170" t="str">
        <f t="shared" si="36"/>
        <v/>
      </c>
      <c r="M170" t="str">
        <f t="shared" si="37"/>
        <v/>
      </c>
      <c r="N170" t="str">
        <f t="shared" si="38"/>
        <v/>
      </c>
      <c r="O170" t="str">
        <f t="shared" si="39"/>
        <v/>
      </c>
      <c r="P170" t="str">
        <f t="shared" si="40"/>
        <v/>
      </c>
      <c r="Q170" t="str">
        <f t="shared" si="41"/>
        <v/>
      </c>
    </row>
    <row r="171" spans="5:17" ht="75" customHeight="1" x14ac:dyDescent="0.25">
      <c r="E171" s="11"/>
      <c r="F171" s="11"/>
      <c r="J171" s="12" t="str">
        <f t="shared" si="35"/>
        <v/>
      </c>
      <c r="L171" t="str">
        <f t="shared" si="36"/>
        <v/>
      </c>
      <c r="M171" t="str">
        <f t="shared" si="37"/>
        <v/>
      </c>
      <c r="N171" t="str">
        <f t="shared" si="38"/>
        <v/>
      </c>
      <c r="O171" t="str">
        <f t="shared" si="39"/>
        <v/>
      </c>
      <c r="P171" t="str">
        <f t="shared" si="40"/>
        <v/>
      </c>
      <c r="Q171" t="str">
        <f t="shared" si="41"/>
        <v/>
      </c>
    </row>
    <row r="172" spans="5:17" ht="75" customHeight="1" x14ac:dyDescent="0.25">
      <c r="E172" s="11"/>
      <c r="F172" s="11"/>
      <c r="J172" s="12" t="str">
        <f t="shared" si="35"/>
        <v/>
      </c>
      <c r="L172" t="str">
        <f t="shared" si="36"/>
        <v/>
      </c>
      <c r="M172" t="str">
        <f t="shared" si="37"/>
        <v/>
      </c>
      <c r="N172" t="str">
        <f t="shared" si="38"/>
        <v/>
      </c>
      <c r="O172" t="str">
        <f t="shared" si="39"/>
        <v/>
      </c>
      <c r="P172" t="str">
        <f t="shared" si="40"/>
        <v/>
      </c>
      <c r="Q172" t="str">
        <f t="shared" si="41"/>
        <v/>
      </c>
    </row>
    <row r="173" spans="5:17" ht="75" customHeight="1" x14ac:dyDescent="0.25">
      <c r="E173" s="11"/>
      <c r="F173" s="11"/>
      <c r="J173" s="12" t="str">
        <f t="shared" si="35"/>
        <v/>
      </c>
      <c r="L173" t="str">
        <f t="shared" si="36"/>
        <v/>
      </c>
      <c r="M173" t="str">
        <f t="shared" si="37"/>
        <v/>
      </c>
      <c r="N173" t="str">
        <f t="shared" si="38"/>
        <v/>
      </c>
      <c r="O173" t="str">
        <f t="shared" si="39"/>
        <v/>
      </c>
      <c r="P173" t="str">
        <f t="shared" si="40"/>
        <v/>
      </c>
      <c r="Q173" t="str">
        <f t="shared" si="41"/>
        <v/>
      </c>
    </row>
    <row r="174" spans="5:17" ht="75" customHeight="1" x14ac:dyDescent="0.25">
      <c r="E174" s="11"/>
      <c r="F174" s="11"/>
      <c r="J174" s="12" t="str">
        <f t="shared" si="35"/>
        <v/>
      </c>
      <c r="L174" t="str">
        <f t="shared" si="36"/>
        <v/>
      </c>
      <c r="M174" t="str">
        <f t="shared" si="37"/>
        <v/>
      </c>
      <c r="N174" t="str">
        <f t="shared" si="38"/>
        <v/>
      </c>
      <c r="O174" t="str">
        <f t="shared" si="39"/>
        <v/>
      </c>
      <c r="P174" t="str">
        <f t="shared" si="40"/>
        <v/>
      </c>
      <c r="Q174" t="str">
        <f t="shared" si="41"/>
        <v/>
      </c>
    </row>
    <row r="175" spans="5:17" ht="75" customHeight="1" x14ac:dyDescent="0.25">
      <c r="E175" s="11"/>
      <c r="F175" s="11"/>
      <c r="J175" s="12" t="str">
        <f t="shared" si="35"/>
        <v/>
      </c>
      <c r="L175" t="str">
        <f t="shared" si="36"/>
        <v/>
      </c>
      <c r="M175" t="str">
        <f t="shared" si="37"/>
        <v/>
      </c>
      <c r="N175" t="str">
        <f t="shared" si="38"/>
        <v/>
      </c>
      <c r="O175" t="str">
        <f t="shared" si="39"/>
        <v/>
      </c>
      <c r="P175" t="str">
        <f t="shared" si="40"/>
        <v/>
      </c>
      <c r="Q175" t="str">
        <f t="shared" si="41"/>
        <v/>
      </c>
    </row>
    <row r="176" spans="5:17" ht="75" customHeight="1" x14ac:dyDescent="0.25">
      <c r="E176" s="11"/>
      <c r="F176" s="11"/>
      <c r="J176" s="12" t="str">
        <f t="shared" si="35"/>
        <v/>
      </c>
      <c r="L176" t="str">
        <f t="shared" si="36"/>
        <v/>
      </c>
      <c r="M176" t="str">
        <f t="shared" si="37"/>
        <v/>
      </c>
      <c r="N176" t="str">
        <f t="shared" si="38"/>
        <v/>
      </c>
      <c r="O176" t="str">
        <f t="shared" si="39"/>
        <v/>
      </c>
      <c r="P176" t="str">
        <f t="shared" si="40"/>
        <v/>
      </c>
      <c r="Q176" t="str">
        <f t="shared" si="41"/>
        <v/>
      </c>
    </row>
    <row r="177" spans="5:17" ht="75" customHeight="1" x14ac:dyDescent="0.25">
      <c r="E177" s="11"/>
      <c r="F177" s="11"/>
      <c r="J177" s="12" t="str">
        <f t="shared" si="35"/>
        <v/>
      </c>
      <c r="L177" t="str">
        <f t="shared" si="36"/>
        <v/>
      </c>
      <c r="M177" t="str">
        <f t="shared" si="37"/>
        <v/>
      </c>
      <c r="N177" t="str">
        <f t="shared" si="38"/>
        <v/>
      </c>
      <c r="O177" t="str">
        <f t="shared" si="39"/>
        <v/>
      </c>
      <c r="P177" t="str">
        <f t="shared" si="40"/>
        <v/>
      </c>
      <c r="Q177" t="str">
        <f t="shared" si="41"/>
        <v/>
      </c>
    </row>
    <row r="178" spans="5:17" ht="75" customHeight="1" x14ac:dyDescent="0.25">
      <c r="E178" s="11"/>
      <c r="F178" s="11"/>
      <c r="J178" s="12" t="str">
        <f t="shared" si="35"/>
        <v/>
      </c>
      <c r="L178" t="str">
        <f t="shared" si="36"/>
        <v/>
      </c>
      <c r="M178" t="str">
        <f t="shared" si="37"/>
        <v/>
      </c>
      <c r="N178" t="str">
        <f t="shared" si="38"/>
        <v/>
      </c>
      <c r="O178" t="str">
        <f t="shared" si="39"/>
        <v/>
      </c>
      <c r="P178" t="str">
        <f t="shared" si="40"/>
        <v/>
      </c>
      <c r="Q178" t="str">
        <f t="shared" si="41"/>
        <v/>
      </c>
    </row>
    <row r="179" spans="5:17" ht="75" customHeight="1" x14ac:dyDescent="0.25">
      <c r="E179" s="11"/>
      <c r="F179" s="11"/>
      <c r="J179" s="12" t="str">
        <f t="shared" si="35"/>
        <v/>
      </c>
      <c r="L179" t="str">
        <f t="shared" si="36"/>
        <v/>
      </c>
      <c r="M179" t="str">
        <f t="shared" si="37"/>
        <v/>
      </c>
      <c r="N179" t="str">
        <f t="shared" si="38"/>
        <v/>
      </c>
      <c r="O179" t="str">
        <f t="shared" si="39"/>
        <v/>
      </c>
      <c r="P179" t="str">
        <f t="shared" si="40"/>
        <v/>
      </c>
      <c r="Q179" t="str">
        <f t="shared" si="41"/>
        <v/>
      </c>
    </row>
    <row r="180" spans="5:17" ht="75" customHeight="1" x14ac:dyDescent="0.25">
      <c r="E180" s="11"/>
      <c r="F180" s="11"/>
      <c r="J180" s="12" t="str">
        <f t="shared" si="35"/>
        <v/>
      </c>
      <c r="L180" t="str">
        <f t="shared" si="36"/>
        <v/>
      </c>
      <c r="M180" t="str">
        <f t="shared" si="37"/>
        <v/>
      </c>
      <c r="N180" t="str">
        <f t="shared" si="38"/>
        <v/>
      </c>
      <c r="O180" t="str">
        <f t="shared" si="39"/>
        <v/>
      </c>
      <c r="P180" t="str">
        <f t="shared" si="40"/>
        <v/>
      </c>
      <c r="Q180" t="str">
        <f t="shared" si="41"/>
        <v/>
      </c>
    </row>
    <row r="181" spans="5:17" ht="75" customHeight="1" x14ac:dyDescent="0.25">
      <c r="E181" s="11"/>
      <c r="F181" s="11"/>
      <c r="J181" s="12" t="str">
        <f t="shared" si="35"/>
        <v/>
      </c>
      <c r="L181" t="str">
        <f t="shared" si="36"/>
        <v/>
      </c>
      <c r="M181" t="str">
        <f t="shared" si="37"/>
        <v/>
      </c>
      <c r="N181" t="str">
        <f t="shared" si="38"/>
        <v/>
      </c>
      <c r="O181" t="str">
        <f t="shared" si="39"/>
        <v/>
      </c>
      <c r="P181" t="str">
        <f t="shared" si="40"/>
        <v/>
      </c>
      <c r="Q181" t="str">
        <f t="shared" si="41"/>
        <v/>
      </c>
    </row>
    <row r="182" spans="5:17" ht="75" customHeight="1" x14ac:dyDescent="0.25">
      <c r="E182" s="11"/>
      <c r="F182" s="11"/>
      <c r="J182" s="12" t="str">
        <f t="shared" si="35"/>
        <v/>
      </c>
      <c r="L182" t="str">
        <f t="shared" si="36"/>
        <v/>
      </c>
      <c r="M182" t="str">
        <f t="shared" si="37"/>
        <v/>
      </c>
      <c r="N182" t="str">
        <f t="shared" si="38"/>
        <v/>
      </c>
      <c r="O182" t="str">
        <f t="shared" si="39"/>
        <v/>
      </c>
      <c r="P182" t="str">
        <f t="shared" si="40"/>
        <v/>
      </c>
      <c r="Q182" t="str">
        <f t="shared" si="41"/>
        <v/>
      </c>
    </row>
    <row r="183" spans="5:17" ht="75" customHeight="1" x14ac:dyDescent="0.25">
      <c r="E183" s="11"/>
      <c r="F183" s="11"/>
      <c r="J183" s="12" t="str">
        <f t="shared" si="35"/>
        <v/>
      </c>
      <c r="L183" t="str">
        <f t="shared" si="36"/>
        <v/>
      </c>
      <c r="M183" t="str">
        <f t="shared" si="37"/>
        <v/>
      </c>
      <c r="N183" t="str">
        <f t="shared" si="38"/>
        <v/>
      </c>
      <c r="O183" t="str">
        <f t="shared" si="39"/>
        <v/>
      </c>
      <c r="P183" t="str">
        <f t="shared" si="40"/>
        <v/>
      </c>
      <c r="Q183" t="str">
        <f t="shared" si="41"/>
        <v/>
      </c>
    </row>
    <row r="184" spans="5:17" ht="75" customHeight="1" x14ac:dyDescent="0.25">
      <c r="E184" s="11"/>
      <c r="F184" s="11"/>
      <c r="J184" s="12" t="str">
        <f t="shared" si="35"/>
        <v/>
      </c>
      <c r="L184" t="str">
        <f t="shared" si="36"/>
        <v/>
      </c>
      <c r="M184" t="str">
        <f t="shared" si="37"/>
        <v/>
      </c>
      <c r="N184" t="str">
        <f t="shared" si="38"/>
        <v/>
      </c>
      <c r="O184" t="str">
        <f t="shared" si="39"/>
        <v/>
      </c>
      <c r="P184" t="str">
        <f t="shared" si="40"/>
        <v/>
      </c>
      <c r="Q184" t="str">
        <f t="shared" si="41"/>
        <v/>
      </c>
    </row>
    <row r="185" spans="5:17" ht="75" customHeight="1" x14ac:dyDescent="0.25">
      <c r="E185" s="11"/>
      <c r="F185" s="11"/>
      <c r="J185" s="12" t="str">
        <f t="shared" si="35"/>
        <v/>
      </c>
      <c r="L185" t="str">
        <f t="shared" si="36"/>
        <v/>
      </c>
      <c r="M185" t="str">
        <f t="shared" si="37"/>
        <v/>
      </c>
      <c r="N185" t="str">
        <f t="shared" si="38"/>
        <v/>
      </c>
      <c r="O185" t="str">
        <f t="shared" si="39"/>
        <v/>
      </c>
      <c r="P185" t="str">
        <f t="shared" si="40"/>
        <v/>
      </c>
      <c r="Q185" t="str">
        <f t="shared" si="41"/>
        <v/>
      </c>
    </row>
    <row r="186" spans="5:17" ht="75" customHeight="1" x14ac:dyDescent="0.25">
      <c r="E186" s="11"/>
      <c r="F186" s="11"/>
      <c r="J186" s="12" t="str">
        <f t="shared" si="35"/>
        <v/>
      </c>
      <c r="L186" t="str">
        <f t="shared" si="36"/>
        <v/>
      </c>
      <c r="M186" t="str">
        <f t="shared" si="37"/>
        <v/>
      </c>
      <c r="N186" t="str">
        <f t="shared" si="38"/>
        <v/>
      </c>
      <c r="O186" t="str">
        <f t="shared" si="39"/>
        <v/>
      </c>
      <c r="P186" t="str">
        <f t="shared" si="40"/>
        <v/>
      </c>
      <c r="Q186" t="str">
        <f t="shared" si="41"/>
        <v/>
      </c>
    </row>
    <row r="187" spans="5:17" ht="75" customHeight="1" x14ac:dyDescent="0.25">
      <c r="E187" s="11"/>
      <c r="F187" s="11"/>
      <c r="J187" s="12" t="str">
        <f t="shared" si="35"/>
        <v/>
      </c>
      <c r="L187" t="str">
        <f t="shared" si="36"/>
        <v/>
      </c>
      <c r="M187" t="str">
        <f t="shared" si="37"/>
        <v/>
      </c>
      <c r="N187" t="str">
        <f t="shared" si="38"/>
        <v/>
      </c>
      <c r="O187" t="str">
        <f t="shared" si="39"/>
        <v/>
      </c>
      <c r="P187" t="str">
        <f t="shared" si="40"/>
        <v/>
      </c>
      <c r="Q187" t="str">
        <f t="shared" si="41"/>
        <v/>
      </c>
    </row>
    <row r="188" spans="5:17" ht="75" customHeight="1" x14ac:dyDescent="0.25">
      <c r="E188" s="11"/>
      <c r="F188" s="11"/>
      <c r="J188" s="12" t="str">
        <f t="shared" si="35"/>
        <v/>
      </c>
      <c r="L188" t="str">
        <f t="shared" si="36"/>
        <v/>
      </c>
      <c r="M188" t="str">
        <f t="shared" si="37"/>
        <v/>
      </c>
      <c r="N188" t="str">
        <f t="shared" si="38"/>
        <v/>
      </c>
      <c r="O188" t="str">
        <f t="shared" si="39"/>
        <v/>
      </c>
      <c r="P188" t="str">
        <f t="shared" si="40"/>
        <v/>
      </c>
      <c r="Q188" t="str">
        <f t="shared" si="41"/>
        <v/>
      </c>
    </row>
    <row r="189" spans="5:17" ht="75" customHeight="1" x14ac:dyDescent="0.25">
      <c r="E189" s="11"/>
      <c r="F189" s="11"/>
      <c r="J189" s="12" t="str">
        <f t="shared" si="35"/>
        <v/>
      </c>
      <c r="L189" t="str">
        <f t="shared" si="36"/>
        <v/>
      </c>
      <c r="M189" t="str">
        <f t="shared" si="37"/>
        <v/>
      </c>
      <c r="N189" t="str">
        <f t="shared" si="38"/>
        <v/>
      </c>
      <c r="O189" t="str">
        <f t="shared" si="39"/>
        <v/>
      </c>
      <c r="P189" t="str">
        <f t="shared" si="40"/>
        <v/>
      </c>
      <c r="Q189" t="str">
        <f t="shared" si="41"/>
        <v/>
      </c>
    </row>
    <row r="190" spans="5:17" ht="75" customHeight="1" x14ac:dyDescent="0.25">
      <c r="E190" s="11"/>
      <c r="F190" s="11"/>
      <c r="J190" s="12" t="str">
        <f t="shared" si="35"/>
        <v/>
      </c>
      <c r="L190" t="str">
        <f t="shared" si="36"/>
        <v/>
      </c>
      <c r="M190" t="str">
        <f t="shared" si="37"/>
        <v/>
      </c>
      <c r="N190" t="str">
        <f t="shared" si="38"/>
        <v/>
      </c>
      <c r="O190" t="str">
        <f t="shared" si="39"/>
        <v/>
      </c>
      <c r="P190" t="str">
        <f t="shared" si="40"/>
        <v/>
      </c>
      <c r="Q190" t="str">
        <f t="shared" si="41"/>
        <v/>
      </c>
    </row>
    <row r="191" spans="5:17" ht="75" customHeight="1" x14ac:dyDescent="0.25">
      <c r="E191" s="11"/>
      <c r="F191" s="11"/>
      <c r="J191" s="12" t="str">
        <f t="shared" si="35"/>
        <v/>
      </c>
      <c r="L191" t="str">
        <f t="shared" si="36"/>
        <v/>
      </c>
      <c r="M191" t="str">
        <f t="shared" si="37"/>
        <v/>
      </c>
      <c r="N191" t="str">
        <f t="shared" si="38"/>
        <v/>
      </c>
      <c r="O191" t="str">
        <f t="shared" si="39"/>
        <v/>
      </c>
      <c r="P191" t="str">
        <f t="shared" si="40"/>
        <v/>
      </c>
      <c r="Q191" t="str">
        <f t="shared" si="41"/>
        <v/>
      </c>
    </row>
    <row r="192" spans="5:17" ht="75" customHeight="1" x14ac:dyDescent="0.25">
      <c r="E192" s="11"/>
      <c r="F192" s="11"/>
      <c r="J192" s="12" t="str">
        <f t="shared" si="35"/>
        <v/>
      </c>
      <c r="L192" t="str">
        <f t="shared" si="36"/>
        <v/>
      </c>
      <c r="M192" t="str">
        <f t="shared" si="37"/>
        <v/>
      </c>
      <c r="N192" t="str">
        <f t="shared" si="38"/>
        <v/>
      </c>
      <c r="O192" t="str">
        <f t="shared" si="39"/>
        <v/>
      </c>
      <c r="P192" t="str">
        <f t="shared" si="40"/>
        <v/>
      </c>
      <c r="Q192" t="str">
        <f t="shared" si="41"/>
        <v/>
      </c>
    </row>
    <row r="193" spans="5:17" ht="75" customHeight="1" x14ac:dyDescent="0.25">
      <c r="E193" s="11"/>
      <c r="F193" s="11"/>
      <c r="J193" s="12" t="str">
        <f t="shared" si="35"/>
        <v/>
      </c>
      <c r="L193" t="str">
        <f t="shared" si="36"/>
        <v/>
      </c>
      <c r="M193" t="str">
        <f t="shared" si="37"/>
        <v/>
      </c>
      <c r="N193" t="str">
        <f t="shared" si="38"/>
        <v/>
      </c>
      <c r="O193" t="str">
        <f t="shared" si="39"/>
        <v/>
      </c>
      <c r="P193" t="str">
        <f t="shared" si="40"/>
        <v/>
      </c>
      <c r="Q193" t="str">
        <f t="shared" si="41"/>
        <v/>
      </c>
    </row>
    <row r="194" spans="5:17" ht="75" customHeight="1" x14ac:dyDescent="0.25">
      <c r="E194" s="11"/>
      <c r="F194" s="11"/>
      <c r="J194" s="12" t="str">
        <f t="shared" ref="J194:J200" si="42">IF(OR($E194="",$F194=""),"","WO #"&amp;IF(JobMode="Per-site (granular)",$A194,JobWO)&amp;" DI #"&amp;IF(JobMode="Per-site (granular)",$B194,JobDI)&amp;CHAR(10)&amp;JobApplicant&amp;CHAR(10)&amp;IF($C194&lt;&gt;"","Site "&amp;$C194&amp;" "&amp;$D194,$D194)&amp;CHAR(10)&amp;TEXT($E194,"0.00000")&amp;", "&amp;TEXT($F194,"0.00000")&amp;IF(OR($G194&lt;&gt;"",$H194&lt;&gt;""),CHAR(10)&amp;IF(AND($G194&lt;&gt;"",$H194&lt;&gt;""),"Cat "&amp;$G194&amp;", "&amp;$H194,IF($G194&lt;&gt;"","Cat "&amp;$G194,$H194)),""))</f>
        <v/>
      </c>
      <c r="L194" t="str">
        <f t="shared" ref="L194:L200" si="43">IF(OR($E194="",$F194=""),"",HYPERLINK("https://www.google.com/maps?q="&amp;$E194&amp;","&amp;$F194,"Open"))</f>
        <v/>
      </c>
      <c r="M194" t="str">
        <f t="shared" ref="M194:M200" si="44">IF(OR($E194="",$F194=""),"",HYPERLINK("https://www.bing.com/maps?cp="&amp;$E194&amp;"~"&amp;$F194&amp;"&amp;lvl=18","Open"))</f>
        <v/>
      </c>
      <c r="N194" t="str">
        <f t="shared" ref="N194:N200" si="45">IF(OR($E194="",$F194=""),"",HYPERLINK("https://fema.maps.arcgis.com/apps/mapviewer/index.html?find="&amp;$F194&amp;"%2C"&amp;$E194&amp;"&amp;marker="&amp;$F194&amp;","&amp;$E194&amp;",4326&amp;level=16","View"))</f>
        <v/>
      </c>
      <c r="O194" t="str">
        <f t="shared" ref="O194:O200" si="46">IF(OR($E194="",$F194=""),"",HYPERLINK("https://msc.fema.gov/portal/search?AddressQuery="&amp;$F194&amp;"%2C%20"&amp;$E194,"Search"))</f>
        <v/>
      </c>
      <c r="P194" t="str">
        <f t="shared" ref="P194:P200" si="47">IF(OR($E194="",$F194=""),"",HYPERLINK("https://msc.fema.gov/portal/firmette?latitude="&amp;$E194&amp;"&amp;longitude="&amp;$F194,"Download"))</f>
        <v/>
      </c>
      <c r="Q194" t="str">
        <f t="shared" ref="Q194:Q200" si="48">IF(OR($E194="",$F194=""),"",HYPERLINK("https://earth.google.com/web/@"&amp;$E194&amp;","&amp;$F194&amp;",500a,35y,0h,0t,0r","View"))</f>
        <v/>
      </c>
    </row>
    <row r="195" spans="5:17" ht="75" customHeight="1" x14ac:dyDescent="0.25">
      <c r="E195" s="11"/>
      <c r="F195" s="11"/>
      <c r="J195" s="12" t="str">
        <f t="shared" si="42"/>
        <v/>
      </c>
      <c r="L195" t="str">
        <f t="shared" si="43"/>
        <v/>
      </c>
      <c r="M195" t="str">
        <f t="shared" si="44"/>
        <v/>
      </c>
      <c r="N195" t="str">
        <f t="shared" si="45"/>
        <v/>
      </c>
      <c r="O195" t="str">
        <f t="shared" si="46"/>
        <v/>
      </c>
      <c r="P195" t="str">
        <f t="shared" si="47"/>
        <v/>
      </c>
      <c r="Q195" t="str">
        <f t="shared" si="48"/>
        <v/>
      </c>
    </row>
    <row r="196" spans="5:17" ht="75" customHeight="1" x14ac:dyDescent="0.25">
      <c r="E196" s="11"/>
      <c r="F196" s="11"/>
      <c r="J196" s="12" t="str">
        <f t="shared" si="42"/>
        <v/>
      </c>
      <c r="L196" t="str">
        <f t="shared" si="43"/>
        <v/>
      </c>
      <c r="M196" t="str">
        <f t="shared" si="44"/>
        <v/>
      </c>
      <c r="N196" t="str">
        <f t="shared" si="45"/>
        <v/>
      </c>
      <c r="O196" t="str">
        <f t="shared" si="46"/>
        <v/>
      </c>
      <c r="P196" t="str">
        <f t="shared" si="47"/>
        <v/>
      </c>
      <c r="Q196" t="str">
        <f t="shared" si="48"/>
        <v/>
      </c>
    </row>
    <row r="197" spans="5:17" ht="75" customHeight="1" x14ac:dyDescent="0.25">
      <c r="E197" s="11"/>
      <c r="F197" s="11"/>
      <c r="J197" s="12" t="str">
        <f t="shared" si="42"/>
        <v/>
      </c>
      <c r="L197" t="str">
        <f t="shared" si="43"/>
        <v/>
      </c>
      <c r="M197" t="str">
        <f t="shared" si="44"/>
        <v/>
      </c>
      <c r="N197" t="str">
        <f t="shared" si="45"/>
        <v/>
      </c>
      <c r="O197" t="str">
        <f t="shared" si="46"/>
        <v/>
      </c>
      <c r="P197" t="str">
        <f t="shared" si="47"/>
        <v/>
      </c>
      <c r="Q197" t="str">
        <f t="shared" si="48"/>
        <v/>
      </c>
    </row>
    <row r="198" spans="5:17" ht="75" customHeight="1" x14ac:dyDescent="0.25">
      <c r="E198" s="11"/>
      <c r="F198" s="11"/>
      <c r="J198" s="12" t="str">
        <f t="shared" si="42"/>
        <v/>
      </c>
      <c r="L198" t="str">
        <f t="shared" si="43"/>
        <v/>
      </c>
      <c r="M198" t="str">
        <f t="shared" si="44"/>
        <v/>
      </c>
      <c r="N198" t="str">
        <f t="shared" si="45"/>
        <v/>
      </c>
      <c r="O198" t="str">
        <f t="shared" si="46"/>
        <v/>
      </c>
      <c r="P198" t="str">
        <f t="shared" si="47"/>
        <v/>
      </c>
      <c r="Q198" t="str">
        <f t="shared" si="48"/>
        <v/>
      </c>
    </row>
    <row r="199" spans="5:17" ht="75" customHeight="1" x14ac:dyDescent="0.25">
      <c r="E199" s="11"/>
      <c r="F199" s="11"/>
      <c r="J199" s="12" t="str">
        <f t="shared" si="42"/>
        <v/>
      </c>
      <c r="L199" t="str">
        <f t="shared" si="43"/>
        <v/>
      </c>
      <c r="M199" t="str">
        <f t="shared" si="44"/>
        <v/>
      </c>
      <c r="N199" t="str">
        <f t="shared" si="45"/>
        <v/>
      </c>
      <c r="O199" t="str">
        <f t="shared" si="46"/>
        <v/>
      </c>
      <c r="P199" t="str">
        <f t="shared" si="47"/>
        <v/>
      </c>
      <c r="Q199" t="str">
        <f t="shared" si="48"/>
        <v/>
      </c>
    </row>
    <row r="200" spans="5:17" ht="75" customHeight="1" x14ac:dyDescent="0.25">
      <c r="E200" s="11"/>
      <c r="F200" s="11"/>
      <c r="J200" s="12" t="str">
        <f t="shared" si="42"/>
        <v/>
      </c>
      <c r="L200" t="str">
        <f t="shared" si="43"/>
        <v/>
      </c>
      <c r="M200" t="str">
        <f t="shared" si="44"/>
        <v/>
      </c>
      <c r="N200" t="str">
        <f t="shared" si="45"/>
        <v/>
      </c>
      <c r="O200" t="str">
        <f t="shared" si="46"/>
        <v/>
      </c>
      <c r="P200" t="str">
        <f t="shared" si="47"/>
        <v/>
      </c>
      <c r="Q200" t="str">
        <f t="shared" si="48"/>
        <v/>
      </c>
    </row>
  </sheetData>
  <dataValidations count="3">
    <dataValidation type="decimal" allowBlank="1" errorTitle="Invalid Latitude" error="Latitude must be between -90 and 90." promptTitle="Latitude" prompt="Enter latitude between -90 and 90." sqref="E2:E200" xr:uid="{00000000-0002-0000-0200-000000000000}">
      <formula1>-90</formula1>
      <formula2>90</formula2>
    </dataValidation>
    <dataValidation type="decimal" allowBlank="1" errorTitle="Invalid Longitude" error="Longitude must be between -180 and 180." promptTitle="Longitude" prompt="Enter longitude between -180 and 180." sqref="F2:F200" xr:uid="{00000000-0002-0000-0200-000001000000}">
      <formula1>-180</formula1>
      <formula2>180</formula2>
    </dataValidation>
    <dataValidation type="list" allowBlank="1" errorTitle="Invalid Category" error="Select a valid Category of Work (A-G)." promptTitle="Category of Work" prompt="A=Debris, B=Emergency, C=Roads, D=Water, E=Buildings, F=Utilities, G=Parks/Rec" sqref="G2:G200" xr:uid="{00000000-0002-0000-0200-000002000000}">
      <formula1>"A,B,C,D,E,F,G"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969696"/>
  </sheetPr>
  <dimension ref="A1:X5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0" customWidth="1"/>
    <col min="2" max="2" width="12" customWidth="1"/>
    <col min="3" max="3" width="8" customWidth="1"/>
    <col min="4" max="4" width="24" customWidth="1"/>
    <col min="5" max="6" width="13" customWidth="1"/>
    <col min="7" max="7" width="10" customWidth="1"/>
    <col min="8" max="8" width="36" customWidth="1"/>
    <col min="9" max="9" width="2" customWidth="1"/>
    <col min="10" max="10" width="42" customWidth="1"/>
    <col min="11" max="11" width="2" customWidth="1"/>
    <col min="12" max="17" width="15" hidden="1" customWidth="1"/>
    <col min="18" max="18" width="2" customWidth="1"/>
    <col min="19" max="19" width="20" customWidth="1"/>
    <col min="20" max="20" width="18" customWidth="1"/>
    <col min="21" max="21" width="28" customWidth="1"/>
    <col min="22" max="22" width="12" customWidth="1"/>
    <col min="23" max="23" width="20" customWidth="1"/>
    <col min="24" max="24" width="22" customWidth="1"/>
  </cols>
  <sheetData>
    <row r="1" spans="1:24" ht="27.95" customHeight="1" x14ac:dyDescent="0.25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10"/>
      <c r="J1" s="9" t="s">
        <v>8</v>
      </c>
      <c r="K1" s="10"/>
      <c r="L1" s="9" t="s">
        <v>9</v>
      </c>
      <c r="M1" s="9" t="s">
        <v>10</v>
      </c>
      <c r="N1" s="9" t="s">
        <v>11</v>
      </c>
      <c r="O1" s="9" t="s">
        <v>12</v>
      </c>
      <c r="P1" s="9" t="s">
        <v>13</v>
      </c>
      <c r="Q1" s="9" t="s">
        <v>14</v>
      </c>
      <c r="R1" s="10"/>
      <c r="S1" s="9" t="s">
        <v>15</v>
      </c>
      <c r="T1" s="9" t="s">
        <v>16</v>
      </c>
      <c r="U1" s="9" t="s">
        <v>17</v>
      </c>
      <c r="V1" s="9" t="s">
        <v>18</v>
      </c>
      <c r="W1" s="9" t="s">
        <v>19</v>
      </c>
      <c r="X1" s="9" t="s">
        <v>20</v>
      </c>
    </row>
    <row r="2" spans="1:24" ht="75" customHeight="1" x14ac:dyDescent="0.25">
      <c r="E2" s="11"/>
      <c r="F2" s="11"/>
      <c r="J2" s="12" t="str">
        <f t="shared" ref="J2:J33" si="0">IF(OR($E2="",$F2=""),"","WO #"&amp;IF(JobMode="Per-site (granular)",$A2,JobWO)&amp;" DI #"&amp;IF(JobMode="Per-site (granular)",$B2,JobDI)&amp;CHAR(10)&amp;JobApplicant&amp;CHAR(10)&amp;IF($C2&lt;&gt;"","Site "&amp;$C2&amp;" "&amp;$D2,$D2)&amp;CHAR(10)&amp;TEXT($E2,"0.00000")&amp;", "&amp;TEXT($F2,"0.00000")&amp;IF(OR($G2&lt;&gt;"",$H2&lt;&gt;""),CHAR(10)&amp;IF(AND($G2&lt;&gt;"",$H2&lt;&gt;""),"Cat "&amp;$G2&amp;", "&amp;$H2,IF($G2&lt;&gt;"","Cat "&amp;$G2,$H2)),""))</f>
        <v/>
      </c>
      <c r="L2" t="str">
        <f t="shared" ref="L2:L33" si="1">IF(OR($E2="",$F2=""),"",HYPERLINK("https://www.google.com/maps?q="&amp;$E2&amp;","&amp;$F2,"Open"))</f>
        <v/>
      </c>
      <c r="M2" t="str">
        <f t="shared" ref="M2:M33" si="2">IF(OR($E2="",$F2=""),"",HYPERLINK("https://www.bing.com/maps?cp="&amp;$E2&amp;"~"&amp;$F2&amp;"&amp;lvl=18","Open"))</f>
        <v/>
      </c>
      <c r="N2" t="str">
        <f t="shared" ref="N2:N33" si="3">IF(OR($E2="",$F2=""),"",HYPERLINK("https://fema.maps.arcgis.com/apps/mapviewer/index.html?find="&amp;$F2&amp;"%2C"&amp;$E2&amp;"&amp;marker="&amp;$F2&amp;","&amp;$E2&amp;",4326&amp;level=16","View"))</f>
        <v/>
      </c>
      <c r="O2" t="str">
        <f t="shared" ref="O2:O33" si="4">IF(OR($E2="",$F2=""),"",HYPERLINK("https://msc.fema.gov/portal/search?AddressQuery="&amp;$F2&amp;"%2C%20"&amp;$E2,"Search"))</f>
        <v/>
      </c>
      <c r="P2" t="str">
        <f t="shared" ref="P2:P33" si="5">IF(OR($E2="",$F2=""),"",HYPERLINK("https://msc.fema.gov/portal/firmette?latitude="&amp;$E2&amp;"&amp;longitude="&amp;$F2,"Download"))</f>
        <v/>
      </c>
      <c r="Q2" t="str">
        <f t="shared" ref="Q2:Q33" si="6">IF(OR($E2="",$F2=""),"",HYPERLINK("https://earth.google.com/web/@"&amp;$E2&amp;","&amp;$F2&amp;",500a,35y,0h,0t,0r","View"))</f>
        <v/>
      </c>
    </row>
    <row r="3" spans="1:24" ht="75" customHeight="1" x14ac:dyDescent="0.25">
      <c r="E3" s="11"/>
      <c r="F3" s="11"/>
      <c r="J3" s="12" t="str">
        <f t="shared" si="0"/>
        <v/>
      </c>
      <c r="L3" t="str">
        <f t="shared" si="1"/>
        <v/>
      </c>
      <c r="M3" t="str">
        <f t="shared" si="2"/>
        <v/>
      </c>
      <c r="N3" t="str">
        <f t="shared" si="3"/>
        <v/>
      </c>
      <c r="O3" t="str">
        <f t="shared" si="4"/>
        <v/>
      </c>
      <c r="P3" t="str">
        <f t="shared" si="5"/>
        <v/>
      </c>
      <c r="Q3" t="str">
        <f t="shared" si="6"/>
        <v/>
      </c>
    </row>
    <row r="4" spans="1:24" ht="75" customHeight="1" x14ac:dyDescent="0.25">
      <c r="E4" s="11"/>
      <c r="F4" s="11"/>
      <c r="J4" s="12" t="str">
        <f t="shared" si="0"/>
        <v/>
      </c>
      <c r="L4" t="str">
        <f t="shared" si="1"/>
        <v/>
      </c>
      <c r="M4" t="str">
        <f t="shared" si="2"/>
        <v/>
      </c>
      <c r="N4" t="str">
        <f t="shared" si="3"/>
        <v/>
      </c>
      <c r="O4" t="str">
        <f t="shared" si="4"/>
        <v/>
      </c>
      <c r="P4" t="str">
        <f t="shared" si="5"/>
        <v/>
      </c>
      <c r="Q4" t="str">
        <f t="shared" si="6"/>
        <v/>
      </c>
    </row>
    <row r="5" spans="1:24" ht="75" customHeight="1" x14ac:dyDescent="0.25">
      <c r="E5" s="11"/>
      <c r="F5" s="11"/>
      <c r="J5" s="12" t="str">
        <f t="shared" si="0"/>
        <v/>
      </c>
      <c r="L5" t="str">
        <f t="shared" si="1"/>
        <v/>
      </c>
      <c r="M5" t="str">
        <f t="shared" si="2"/>
        <v/>
      </c>
      <c r="N5" t="str">
        <f t="shared" si="3"/>
        <v/>
      </c>
      <c r="O5" t="str">
        <f t="shared" si="4"/>
        <v/>
      </c>
      <c r="P5" t="str">
        <f t="shared" si="5"/>
        <v/>
      </c>
      <c r="Q5" t="str">
        <f t="shared" si="6"/>
        <v/>
      </c>
    </row>
    <row r="6" spans="1:24" ht="75" customHeight="1" x14ac:dyDescent="0.25">
      <c r="E6" s="11"/>
      <c r="F6" s="11"/>
      <c r="J6" s="12" t="str">
        <f t="shared" si="0"/>
        <v/>
      </c>
      <c r="L6" t="str">
        <f t="shared" si="1"/>
        <v/>
      </c>
      <c r="M6" t="str">
        <f t="shared" si="2"/>
        <v/>
      </c>
      <c r="N6" t="str">
        <f t="shared" si="3"/>
        <v/>
      </c>
      <c r="O6" t="str">
        <f t="shared" si="4"/>
        <v/>
      </c>
      <c r="P6" t="str">
        <f t="shared" si="5"/>
        <v/>
      </c>
      <c r="Q6" t="str">
        <f t="shared" si="6"/>
        <v/>
      </c>
    </row>
    <row r="7" spans="1:24" ht="75" customHeight="1" x14ac:dyDescent="0.25">
      <c r="E7" s="11"/>
      <c r="F7" s="11"/>
      <c r="J7" s="12" t="str">
        <f t="shared" si="0"/>
        <v/>
      </c>
      <c r="L7" t="str">
        <f t="shared" si="1"/>
        <v/>
      </c>
      <c r="M7" t="str">
        <f t="shared" si="2"/>
        <v/>
      </c>
      <c r="N7" t="str">
        <f t="shared" si="3"/>
        <v/>
      </c>
      <c r="O7" t="str">
        <f t="shared" si="4"/>
        <v/>
      </c>
      <c r="P7" t="str">
        <f t="shared" si="5"/>
        <v/>
      </c>
      <c r="Q7" t="str">
        <f t="shared" si="6"/>
        <v/>
      </c>
    </row>
    <row r="8" spans="1:24" ht="75" customHeight="1" x14ac:dyDescent="0.25">
      <c r="E8" s="11"/>
      <c r="F8" s="11"/>
      <c r="J8" s="12" t="str">
        <f t="shared" si="0"/>
        <v/>
      </c>
      <c r="L8" t="str">
        <f t="shared" si="1"/>
        <v/>
      </c>
      <c r="M8" t="str">
        <f t="shared" si="2"/>
        <v/>
      </c>
      <c r="N8" t="str">
        <f t="shared" si="3"/>
        <v/>
      </c>
      <c r="O8" t="str">
        <f t="shared" si="4"/>
        <v/>
      </c>
      <c r="P8" t="str">
        <f t="shared" si="5"/>
        <v/>
      </c>
      <c r="Q8" t="str">
        <f t="shared" si="6"/>
        <v/>
      </c>
    </row>
    <row r="9" spans="1:24" ht="75" customHeight="1" x14ac:dyDescent="0.25">
      <c r="E9" s="11"/>
      <c r="F9" s="11"/>
      <c r="J9" s="12" t="str">
        <f t="shared" si="0"/>
        <v/>
      </c>
      <c r="L9" t="str">
        <f t="shared" si="1"/>
        <v/>
      </c>
      <c r="M9" t="str">
        <f t="shared" si="2"/>
        <v/>
      </c>
      <c r="N9" t="str">
        <f t="shared" si="3"/>
        <v/>
      </c>
      <c r="O9" t="str">
        <f t="shared" si="4"/>
        <v/>
      </c>
      <c r="P9" t="str">
        <f t="shared" si="5"/>
        <v/>
      </c>
      <c r="Q9" t="str">
        <f t="shared" si="6"/>
        <v/>
      </c>
    </row>
    <row r="10" spans="1:24" ht="75" customHeight="1" x14ac:dyDescent="0.25">
      <c r="E10" s="11"/>
      <c r="F10" s="11"/>
      <c r="J10" s="12" t="str">
        <f t="shared" si="0"/>
        <v/>
      </c>
      <c r="L10" t="str">
        <f t="shared" si="1"/>
        <v/>
      </c>
      <c r="M10" t="str">
        <f t="shared" si="2"/>
        <v/>
      </c>
      <c r="N10" t="str">
        <f t="shared" si="3"/>
        <v/>
      </c>
      <c r="O10" t="str">
        <f t="shared" si="4"/>
        <v/>
      </c>
      <c r="P10" t="str">
        <f t="shared" si="5"/>
        <v/>
      </c>
      <c r="Q10" t="str">
        <f t="shared" si="6"/>
        <v/>
      </c>
    </row>
    <row r="11" spans="1:24" ht="75" customHeight="1" x14ac:dyDescent="0.25">
      <c r="E11" s="11"/>
      <c r="F11" s="11"/>
      <c r="J11" s="12" t="str">
        <f t="shared" si="0"/>
        <v/>
      </c>
      <c r="L11" t="str">
        <f t="shared" si="1"/>
        <v/>
      </c>
      <c r="M11" t="str">
        <f t="shared" si="2"/>
        <v/>
      </c>
      <c r="N11" t="str">
        <f t="shared" si="3"/>
        <v/>
      </c>
      <c r="O11" t="str">
        <f t="shared" si="4"/>
        <v/>
      </c>
      <c r="P11" t="str">
        <f t="shared" si="5"/>
        <v/>
      </c>
      <c r="Q11" t="str">
        <f t="shared" si="6"/>
        <v/>
      </c>
    </row>
    <row r="12" spans="1:24" ht="75" customHeight="1" x14ac:dyDescent="0.25">
      <c r="E12" s="11"/>
      <c r="F12" s="11"/>
      <c r="J12" s="12" t="str">
        <f t="shared" si="0"/>
        <v/>
      </c>
      <c r="L12" t="str">
        <f t="shared" si="1"/>
        <v/>
      </c>
      <c r="M12" t="str">
        <f t="shared" si="2"/>
        <v/>
      </c>
      <c r="N12" t="str">
        <f t="shared" si="3"/>
        <v/>
      </c>
      <c r="O12" t="str">
        <f t="shared" si="4"/>
        <v/>
      </c>
      <c r="P12" t="str">
        <f t="shared" si="5"/>
        <v/>
      </c>
      <c r="Q12" t="str">
        <f t="shared" si="6"/>
        <v/>
      </c>
    </row>
    <row r="13" spans="1:24" ht="75" customHeight="1" x14ac:dyDescent="0.25">
      <c r="E13" s="11"/>
      <c r="F13" s="11"/>
      <c r="J13" s="12" t="str">
        <f t="shared" si="0"/>
        <v/>
      </c>
      <c r="L13" t="str">
        <f t="shared" si="1"/>
        <v/>
      </c>
      <c r="M13" t="str">
        <f t="shared" si="2"/>
        <v/>
      </c>
      <c r="N13" t="str">
        <f t="shared" si="3"/>
        <v/>
      </c>
      <c r="O13" t="str">
        <f t="shared" si="4"/>
        <v/>
      </c>
      <c r="P13" t="str">
        <f t="shared" si="5"/>
        <v/>
      </c>
      <c r="Q13" t="str">
        <f t="shared" si="6"/>
        <v/>
      </c>
    </row>
    <row r="14" spans="1:24" ht="75" customHeight="1" x14ac:dyDescent="0.25">
      <c r="E14" s="11"/>
      <c r="F14" s="11"/>
      <c r="J14" s="12" t="str">
        <f t="shared" si="0"/>
        <v/>
      </c>
      <c r="L14" t="str">
        <f t="shared" si="1"/>
        <v/>
      </c>
      <c r="M14" t="str">
        <f t="shared" si="2"/>
        <v/>
      </c>
      <c r="N14" t="str">
        <f t="shared" si="3"/>
        <v/>
      </c>
      <c r="O14" t="str">
        <f t="shared" si="4"/>
        <v/>
      </c>
      <c r="P14" t="str">
        <f t="shared" si="5"/>
        <v/>
      </c>
      <c r="Q14" t="str">
        <f t="shared" si="6"/>
        <v/>
      </c>
    </row>
    <row r="15" spans="1:24" ht="75" customHeight="1" x14ac:dyDescent="0.25">
      <c r="E15" s="11"/>
      <c r="F15" s="11"/>
      <c r="J15" s="12" t="str">
        <f t="shared" si="0"/>
        <v/>
      </c>
      <c r="L15" t="str">
        <f t="shared" si="1"/>
        <v/>
      </c>
      <c r="M15" t="str">
        <f t="shared" si="2"/>
        <v/>
      </c>
      <c r="N15" t="str">
        <f t="shared" si="3"/>
        <v/>
      </c>
      <c r="O15" t="str">
        <f t="shared" si="4"/>
        <v/>
      </c>
      <c r="P15" t="str">
        <f t="shared" si="5"/>
        <v/>
      </c>
      <c r="Q15" t="str">
        <f t="shared" si="6"/>
        <v/>
      </c>
    </row>
    <row r="16" spans="1:24" ht="75" customHeight="1" x14ac:dyDescent="0.25">
      <c r="E16" s="11"/>
      <c r="F16" s="11"/>
      <c r="J16" s="12" t="str">
        <f t="shared" si="0"/>
        <v/>
      </c>
      <c r="L16" t="str">
        <f t="shared" si="1"/>
        <v/>
      </c>
      <c r="M16" t="str">
        <f t="shared" si="2"/>
        <v/>
      </c>
      <c r="N16" t="str">
        <f t="shared" si="3"/>
        <v/>
      </c>
      <c r="O16" t="str">
        <f t="shared" si="4"/>
        <v/>
      </c>
      <c r="P16" t="str">
        <f t="shared" si="5"/>
        <v/>
      </c>
      <c r="Q16" t="str">
        <f t="shared" si="6"/>
        <v/>
      </c>
    </row>
    <row r="17" spans="5:17" ht="75" customHeight="1" x14ac:dyDescent="0.25">
      <c r="E17" s="11"/>
      <c r="F17" s="11"/>
      <c r="J17" s="12" t="str">
        <f t="shared" si="0"/>
        <v/>
      </c>
      <c r="L17" t="str">
        <f t="shared" si="1"/>
        <v/>
      </c>
      <c r="M17" t="str">
        <f t="shared" si="2"/>
        <v/>
      </c>
      <c r="N17" t="str">
        <f t="shared" si="3"/>
        <v/>
      </c>
      <c r="O17" t="str">
        <f t="shared" si="4"/>
        <v/>
      </c>
      <c r="P17" t="str">
        <f t="shared" si="5"/>
        <v/>
      </c>
      <c r="Q17" t="str">
        <f t="shared" si="6"/>
        <v/>
      </c>
    </row>
    <row r="18" spans="5:17" ht="75" customHeight="1" x14ac:dyDescent="0.25">
      <c r="E18" s="11"/>
      <c r="F18" s="11"/>
      <c r="J18" s="12" t="str">
        <f t="shared" si="0"/>
        <v/>
      </c>
      <c r="L18" t="str">
        <f t="shared" si="1"/>
        <v/>
      </c>
      <c r="M18" t="str">
        <f t="shared" si="2"/>
        <v/>
      </c>
      <c r="N18" t="str">
        <f t="shared" si="3"/>
        <v/>
      </c>
      <c r="O18" t="str">
        <f t="shared" si="4"/>
        <v/>
      </c>
      <c r="P18" t="str">
        <f t="shared" si="5"/>
        <v/>
      </c>
      <c r="Q18" t="str">
        <f t="shared" si="6"/>
        <v/>
      </c>
    </row>
    <row r="19" spans="5:17" ht="75" customHeight="1" x14ac:dyDescent="0.25">
      <c r="E19" s="11"/>
      <c r="F19" s="11"/>
      <c r="J19" s="12" t="str">
        <f t="shared" si="0"/>
        <v/>
      </c>
      <c r="L19" t="str">
        <f t="shared" si="1"/>
        <v/>
      </c>
      <c r="M19" t="str">
        <f t="shared" si="2"/>
        <v/>
      </c>
      <c r="N19" t="str">
        <f t="shared" si="3"/>
        <v/>
      </c>
      <c r="O19" t="str">
        <f t="shared" si="4"/>
        <v/>
      </c>
      <c r="P19" t="str">
        <f t="shared" si="5"/>
        <v/>
      </c>
      <c r="Q19" t="str">
        <f t="shared" si="6"/>
        <v/>
      </c>
    </row>
    <row r="20" spans="5:17" ht="75" customHeight="1" x14ac:dyDescent="0.25">
      <c r="E20" s="11"/>
      <c r="F20" s="11"/>
      <c r="J20" s="12" t="str">
        <f t="shared" si="0"/>
        <v/>
      </c>
      <c r="L20" t="str">
        <f t="shared" si="1"/>
        <v/>
      </c>
      <c r="M20" t="str">
        <f t="shared" si="2"/>
        <v/>
      </c>
      <c r="N20" t="str">
        <f t="shared" si="3"/>
        <v/>
      </c>
      <c r="O20" t="str">
        <f t="shared" si="4"/>
        <v/>
      </c>
      <c r="P20" t="str">
        <f t="shared" si="5"/>
        <v/>
      </c>
      <c r="Q20" t="str">
        <f t="shared" si="6"/>
        <v/>
      </c>
    </row>
    <row r="21" spans="5:17" ht="75" customHeight="1" x14ac:dyDescent="0.25">
      <c r="E21" s="11"/>
      <c r="F21" s="11"/>
      <c r="J21" s="12" t="str">
        <f t="shared" si="0"/>
        <v/>
      </c>
      <c r="L21" t="str">
        <f t="shared" si="1"/>
        <v/>
      </c>
      <c r="M21" t="str">
        <f t="shared" si="2"/>
        <v/>
      </c>
      <c r="N21" t="str">
        <f t="shared" si="3"/>
        <v/>
      </c>
      <c r="O21" t="str">
        <f t="shared" si="4"/>
        <v/>
      </c>
      <c r="P21" t="str">
        <f t="shared" si="5"/>
        <v/>
      </c>
      <c r="Q21" t="str">
        <f t="shared" si="6"/>
        <v/>
      </c>
    </row>
    <row r="22" spans="5:17" ht="75" customHeight="1" x14ac:dyDescent="0.25">
      <c r="E22" s="11"/>
      <c r="F22" s="11"/>
      <c r="J22" s="12" t="str">
        <f t="shared" si="0"/>
        <v/>
      </c>
      <c r="L22" t="str">
        <f t="shared" si="1"/>
        <v/>
      </c>
      <c r="M22" t="str">
        <f t="shared" si="2"/>
        <v/>
      </c>
      <c r="N22" t="str">
        <f t="shared" si="3"/>
        <v/>
      </c>
      <c r="O22" t="str">
        <f t="shared" si="4"/>
        <v/>
      </c>
      <c r="P22" t="str">
        <f t="shared" si="5"/>
        <v/>
      </c>
      <c r="Q22" t="str">
        <f t="shared" si="6"/>
        <v/>
      </c>
    </row>
    <row r="23" spans="5:17" ht="75" customHeight="1" x14ac:dyDescent="0.25">
      <c r="E23" s="11"/>
      <c r="F23" s="11"/>
      <c r="J23" s="12" t="str">
        <f t="shared" si="0"/>
        <v/>
      </c>
      <c r="L23" t="str">
        <f t="shared" si="1"/>
        <v/>
      </c>
      <c r="M23" t="str">
        <f t="shared" si="2"/>
        <v/>
      </c>
      <c r="N23" t="str">
        <f t="shared" si="3"/>
        <v/>
      </c>
      <c r="O23" t="str">
        <f t="shared" si="4"/>
        <v/>
      </c>
      <c r="P23" t="str">
        <f t="shared" si="5"/>
        <v/>
      </c>
      <c r="Q23" t="str">
        <f t="shared" si="6"/>
        <v/>
      </c>
    </row>
    <row r="24" spans="5:17" ht="75" customHeight="1" x14ac:dyDescent="0.25">
      <c r="E24" s="11"/>
      <c r="F24" s="11"/>
      <c r="J24" s="12" t="str">
        <f t="shared" si="0"/>
        <v/>
      </c>
      <c r="L24" t="str">
        <f t="shared" si="1"/>
        <v/>
      </c>
      <c r="M24" t="str">
        <f t="shared" si="2"/>
        <v/>
      </c>
      <c r="N24" t="str">
        <f t="shared" si="3"/>
        <v/>
      </c>
      <c r="O24" t="str">
        <f t="shared" si="4"/>
        <v/>
      </c>
      <c r="P24" t="str">
        <f t="shared" si="5"/>
        <v/>
      </c>
      <c r="Q24" t="str">
        <f t="shared" si="6"/>
        <v/>
      </c>
    </row>
    <row r="25" spans="5:17" ht="75" customHeight="1" x14ac:dyDescent="0.25">
      <c r="E25" s="11"/>
      <c r="F25" s="11"/>
      <c r="J25" s="12" t="str">
        <f t="shared" si="0"/>
        <v/>
      </c>
      <c r="L25" t="str">
        <f t="shared" si="1"/>
        <v/>
      </c>
      <c r="M25" t="str">
        <f t="shared" si="2"/>
        <v/>
      </c>
      <c r="N25" t="str">
        <f t="shared" si="3"/>
        <v/>
      </c>
      <c r="O25" t="str">
        <f t="shared" si="4"/>
        <v/>
      </c>
      <c r="P25" t="str">
        <f t="shared" si="5"/>
        <v/>
      </c>
      <c r="Q25" t="str">
        <f t="shared" si="6"/>
        <v/>
      </c>
    </row>
    <row r="26" spans="5:17" ht="75" customHeight="1" x14ac:dyDescent="0.25">
      <c r="E26" s="11"/>
      <c r="F26" s="11"/>
      <c r="J26" s="12" t="str">
        <f t="shared" si="0"/>
        <v/>
      </c>
      <c r="L26" t="str">
        <f t="shared" si="1"/>
        <v/>
      </c>
      <c r="M26" t="str">
        <f t="shared" si="2"/>
        <v/>
      </c>
      <c r="N26" t="str">
        <f t="shared" si="3"/>
        <v/>
      </c>
      <c r="O26" t="str">
        <f t="shared" si="4"/>
        <v/>
      </c>
      <c r="P26" t="str">
        <f t="shared" si="5"/>
        <v/>
      </c>
      <c r="Q26" t="str">
        <f t="shared" si="6"/>
        <v/>
      </c>
    </row>
    <row r="27" spans="5:17" ht="75" customHeight="1" x14ac:dyDescent="0.25">
      <c r="E27" s="11"/>
      <c r="F27" s="11"/>
      <c r="J27" s="12" t="str">
        <f t="shared" si="0"/>
        <v/>
      </c>
      <c r="L27" t="str">
        <f t="shared" si="1"/>
        <v/>
      </c>
      <c r="M27" t="str">
        <f t="shared" si="2"/>
        <v/>
      </c>
      <c r="N27" t="str">
        <f t="shared" si="3"/>
        <v/>
      </c>
      <c r="O27" t="str">
        <f t="shared" si="4"/>
        <v/>
      </c>
      <c r="P27" t="str">
        <f t="shared" si="5"/>
        <v/>
      </c>
      <c r="Q27" t="str">
        <f t="shared" si="6"/>
        <v/>
      </c>
    </row>
    <row r="28" spans="5:17" ht="75" customHeight="1" x14ac:dyDescent="0.25">
      <c r="E28" s="11"/>
      <c r="F28" s="11"/>
      <c r="J28" s="12" t="str">
        <f t="shared" si="0"/>
        <v/>
      </c>
      <c r="L28" t="str">
        <f t="shared" si="1"/>
        <v/>
      </c>
      <c r="M28" t="str">
        <f t="shared" si="2"/>
        <v/>
      </c>
      <c r="N28" t="str">
        <f t="shared" si="3"/>
        <v/>
      </c>
      <c r="O28" t="str">
        <f t="shared" si="4"/>
        <v/>
      </c>
      <c r="P28" t="str">
        <f t="shared" si="5"/>
        <v/>
      </c>
      <c r="Q28" t="str">
        <f t="shared" si="6"/>
        <v/>
      </c>
    </row>
    <row r="29" spans="5:17" ht="75" customHeight="1" x14ac:dyDescent="0.25">
      <c r="E29" s="11"/>
      <c r="F29" s="11"/>
      <c r="J29" s="12" t="str">
        <f t="shared" si="0"/>
        <v/>
      </c>
      <c r="L29" t="str">
        <f t="shared" si="1"/>
        <v/>
      </c>
      <c r="M29" t="str">
        <f t="shared" si="2"/>
        <v/>
      </c>
      <c r="N29" t="str">
        <f t="shared" si="3"/>
        <v/>
      </c>
      <c r="O29" t="str">
        <f t="shared" si="4"/>
        <v/>
      </c>
      <c r="P29" t="str">
        <f t="shared" si="5"/>
        <v/>
      </c>
      <c r="Q29" t="str">
        <f t="shared" si="6"/>
        <v/>
      </c>
    </row>
    <row r="30" spans="5:17" ht="75" customHeight="1" x14ac:dyDescent="0.25">
      <c r="E30" s="11"/>
      <c r="F30" s="11"/>
      <c r="J30" s="12" t="str">
        <f t="shared" si="0"/>
        <v/>
      </c>
      <c r="L30" t="str">
        <f t="shared" si="1"/>
        <v/>
      </c>
      <c r="M30" t="str">
        <f t="shared" si="2"/>
        <v/>
      </c>
      <c r="N30" t="str">
        <f t="shared" si="3"/>
        <v/>
      </c>
      <c r="O30" t="str">
        <f t="shared" si="4"/>
        <v/>
      </c>
      <c r="P30" t="str">
        <f t="shared" si="5"/>
        <v/>
      </c>
      <c r="Q30" t="str">
        <f t="shared" si="6"/>
        <v/>
      </c>
    </row>
    <row r="31" spans="5:17" ht="75" customHeight="1" x14ac:dyDescent="0.25">
      <c r="E31" s="11"/>
      <c r="F31" s="11"/>
      <c r="J31" s="12" t="str">
        <f t="shared" si="0"/>
        <v/>
      </c>
      <c r="L31" t="str">
        <f t="shared" si="1"/>
        <v/>
      </c>
      <c r="M31" t="str">
        <f t="shared" si="2"/>
        <v/>
      </c>
      <c r="N31" t="str">
        <f t="shared" si="3"/>
        <v/>
      </c>
      <c r="O31" t="str">
        <f t="shared" si="4"/>
        <v/>
      </c>
      <c r="P31" t="str">
        <f t="shared" si="5"/>
        <v/>
      </c>
      <c r="Q31" t="str">
        <f t="shared" si="6"/>
        <v/>
      </c>
    </row>
    <row r="32" spans="5:17" ht="75" customHeight="1" x14ac:dyDescent="0.25">
      <c r="E32" s="11"/>
      <c r="F32" s="11"/>
      <c r="J32" s="12" t="str">
        <f t="shared" si="0"/>
        <v/>
      </c>
      <c r="L32" t="str">
        <f t="shared" si="1"/>
        <v/>
      </c>
      <c r="M32" t="str">
        <f t="shared" si="2"/>
        <v/>
      </c>
      <c r="N32" t="str">
        <f t="shared" si="3"/>
        <v/>
      </c>
      <c r="O32" t="str">
        <f t="shared" si="4"/>
        <v/>
      </c>
      <c r="P32" t="str">
        <f t="shared" si="5"/>
        <v/>
      </c>
      <c r="Q32" t="str">
        <f t="shared" si="6"/>
        <v/>
      </c>
    </row>
    <row r="33" spans="5:17" ht="75" customHeight="1" x14ac:dyDescent="0.25">
      <c r="E33" s="11"/>
      <c r="F33" s="11"/>
      <c r="J33" s="12" t="str">
        <f t="shared" si="0"/>
        <v/>
      </c>
      <c r="L33" t="str">
        <f t="shared" si="1"/>
        <v/>
      </c>
      <c r="M33" t="str">
        <f t="shared" si="2"/>
        <v/>
      </c>
      <c r="N33" t="str">
        <f t="shared" si="3"/>
        <v/>
      </c>
      <c r="O33" t="str">
        <f t="shared" si="4"/>
        <v/>
      </c>
      <c r="P33" t="str">
        <f t="shared" si="5"/>
        <v/>
      </c>
      <c r="Q33" t="str">
        <f t="shared" si="6"/>
        <v/>
      </c>
    </row>
    <row r="34" spans="5:17" ht="75" customHeight="1" x14ac:dyDescent="0.25">
      <c r="E34" s="11"/>
      <c r="F34" s="11"/>
      <c r="J34" s="12" t="str">
        <f t="shared" ref="J34:J50" si="7">IF(OR($E34="",$F34=""),"","WO #"&amp;IF(JobMode="Per-site (granular)",$A34,JobWO)&amp;" DI #"&amp;IF(JobMode="Per-site (granular)",$B34,JobDI)&amp;CHAR(10)&amp;JobApplicant&amp;CHAR(10)&amp;IF($C34&lt;&gt;"","Site "&amp;$C34&amp;" "&amp;$D34,$D34)&amp;CHAR(10)&amp;TEXT($E34,"0.00000")&amp;", "&amp;TEXT($F34,"0.00000")&amp;IF(OR($G34&lt;&gt;"",$H34&lt;&gt;""),CHAR(10)&amp;IF(AND($G34&lt;&gt;"",$H34&lt;&gt;""),"Cat "&amp;$G34&amp;", "&amp;$H34,IF($G34&lt;&gt;"","Cat "&amp;$G34,$H34)),""))</f>
        <v/>
      </c>
      <c r="L34" t="str">
        <f t="shared" ref="L34:L50" si="8">IF(OR($E34="",$F34=""),"",HYPERLINK("https://www.google.com/maps?q="&amp;$E34&amp;","&amp;$F34,"Open"))</f>
        <v/>
      </c>
      <c r="M34" t="str">
        <f t="shared" ref="M34:M50" si="9">IF(OR($E34="",$F34=""),"",HYPERLINK("https://www.bing.com/maps?cp="&amp;$E34&amp;"~"&amp;$F34&amp;"&amp;lvl=18","Open"))</f>
        <v/>
      </c>
      <c r="N34" t="str">
        <f t="shared" ref="N34:N50" si="10">IF(OR($E34="",$F34=""),"",HYPERLINK("https://fema.maps.arcgis.com/apps/mapviewer/index.html?find="&amp;$F34&amp;"%2C"&amp;$E34&amp;"&amp;marker="&amp;$F34&amp;","&amp;$E34&amp;",4326&amp;level=16","View"))</f>
        <v/>
      </c>
      <c r="O34" t="str">
        <f t="shared" ref="O34:O50" si="11">IF(OR($E34="",$F34=""),"",HYPERLINK("https://msc.fema.gov/portal/search?AddressQuery="&amp;$F34&amp;"%2C%20"&amp;$E34,"Search"))</f>
        <v/>
      </c>
      <c r="P34" t="str">
        <f t="shared" ref="P34:P50" si="12">IF(OR($E34="",$F34=""),"",HYPERLINK("https://msc.fema.gov/portal/firmette?latitude="&amp;$E34&amp;"&amp;longitude="&amp;$F34,"Download"))</f>
        <v/>
      </c>
      <c r="Q34" t="str">
        <f t="shared" ref="Q34:Q50" si="13">IF(OR($E34="",$F34=""),"",HYPERLINK("https://earth.google.com/web/@"&amp;$E34&amp;","&amp;$F34&amp;",500a,35y,0h,0t,0r","View"))</f>
        <v/>
      </c>
    </row>
    <row r="35" spans="5:17" ht="75" customHeight="1" x14ac:dyDescent="0.25">
      <c r="E35" s="11"/>
      <c r="F35" s="11"/>
      <c r="J35" s="12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  <c r="O35" t="str">
        <f t="shared" si="11"/>
        <v/>
      </c>
      <c r="P35" t="str">
        <f t="shared" si="12"/>
        <v/>
      </c>
      <c r="Q35" t="str">
        <f t="shared" si="13"/>
        <v/>
      </c>
    </row>
    <row r="36" spans="5:17" ht="75" customHeight="1" x14ac:dyDescent="0.25">
      <c r="E36" s="11"/>
      <c r="F36" s="11"/>
      <c r="J36" s="12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  <c r="O36" t="str">
        <f t="shared" si="11"/>
        <v/>
      </c>
      <c r="P36" t="str">
        <f t="shared" si="12"/>
        <v/>
      </c>
      <c r="Q36" t="str">
        <f t="shared" si="13"/>
        <v/>
      </c>
    </row>
    <row r="37" spans="5:17" ht="75" customHeight="1" x14ac:dyDescent="0.25">
      <c r="E37" s="11"/>
      <c r="F37" s="11"/>
      <c r="J37" s="12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  <c r="O37" t="str">
        <f t="shared" si="11"/>
        <v/>
      </c>
      <c r="P37" t="str">
        <f t="shared" si="12"/>
        <v/>
      </c>
      <c r="Q37" t="str">
        <f t="shared" si="13"/>
        <v/>
      </c>
    </row>
    <row r="38" spans="5:17" ht="75" customHeight="1" x14ac:dyDescent="0.25">
      <c r="E38" s="11"/>
      <c r="F38" s="11"/>
      <c r="J38" s="12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  <c r="O38" t="str">
        <f t="shared" si="11"/>
        <v/>
      </c>
      <c r="P38" t="str">
        <f t="shared" si="12"/>
        <v/>
      </c>
      <c r="Q38" t="str">
        <f t="shared" si="13"/>
        <v/>
      </c>
    </row>
    <row r="39" spans="5:17" ht="75" customHeight="1" x14ac:dyDescent="0.25">
      <c r="E39" s="11"/>
      <c r="F39" s="11"/>
      <c r="J39" s="12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  <c r="O39" t="str">
        <f t="shared" si="11"/>
        <v/>
      </c>
      <c r="P39" t="str">
        <f t="shared" si="12"/>
        <v/>
      </c>
      <c r="Q39" t="str">
        <f t="shared" si="13"/>
        <v/>
      </c>
    </row>
    <row r="40" spans="5:17" ht="75" customHeight="1" x14ac:dyDescent="0.25">
      <c r="E40" s="11"/>
      <c r="F40" s="11"/>
      <c r="J40" s="12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  <c r="O40" t="str">
        <f t="shared" si="11"/>
        <v/>
      </c>
      <c r="P40" t="str">
        <f t="shared" si="12"/>
        <v/>
      </c>
      <c r="Q40" t="str">
        <f t="shared" si="13"/>
        <v/>
      </c>
    </row>
    <row r="41" spans="5:17" ht="75" customHeight="1" x14ac:dyDescent="0.25">
      <c r="E41" s="11"/>
      <c r="F41" s="11"/>
      <c r="J41" s="12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  <c r="O41" t="str">
        <f t="shared" si="11"/>
        <v/>
      </c>
      <c r="P41" t="str">
        <f t="shared" si="12"/>
        <v/>
      </c>
      <c r="Q41" t="str">
        <f t="shared" si="13"/>
        <v/>
      </c>
    </row>
    <row r="42" spans="5:17" ht="75" customHeight="1" x14ac:dyDescent="0.25">
      <c r="E42" s="11"/>
      <c r="F42" s="11"/>
      <c r="J42" s="1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  <c r="O42" t="str">
        <f t="shared" si="11"/>
        <v/>
      </c>
      <c r="P42" t="str">
        <f t="shared" si="12"/>
        <v/>
      </c>
      <c r="Q42" t="str">
        <f t="shared" si="13"/>
        <v/>
      </c>
    </row>
    <row r="43" spans="5:17" ht="75" customHeight="1" x14ac:dyDescent="0.25">
      <c r="E43" s="11"/>
      <c r="F43" s="11"/>
      <c r="J43" s="12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  <c r="O43" t="str">
        <f t="shared" si="11"/>
        <v/>
      </c>
      <c r="P43" t="str">
        <f t="shared" si="12"/>
        <v/>
      </c>
      <c r="Q43" t="str">
        <f t="shared" si="13"/>
        <v/>
      </c>
    </row>
    <row r="44" spans="5:17" ht="75" customHeight="1" x14ac:dyDescent="0.25">
      <c r="E44" s="11"/>
      <c r="F44" s="11"/>
      <c r="J44" s="12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  <c r="O44" t="str">
        <f t="shared" si="11"/>
        <v/>
      </c>
      <c r="P44" t="str">
        <f t="shared" si="12"/>
        <v/>
      </c>
      <c r="Q44" t="str">
        <f t="shared" si="13"/>
        <v/>
      </c>
    </row>
    <row r="45" spans="5:17" ht="75" customHeight="1" x14ac:dyDescent="0.25">
      <c r="E45" s="11"/>
      <c r="F45" s="11"/>
      <c r="J45" s="12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  <c r="O45" t="str">
        <f t="shared" si="11"/>
        <v/>
      </c>
      <c r="P45" t="str">
        <f t="shared" si="12"/>
        <v/>
      </c>
      <c r="Q45" t="str">
        <f t="shared" si="13"/>
        <v/>
      </c>
    </row>
    <row r="46" spans="5:17" ht="75" customHeight="1" x14ac:dyDescent="0.25">
      <c r="E46" s="11"/>
      <c r="F46" s="11"/>
      <c r="J46" s="12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  <c r="O46" t="str">
        <f t="shared" si="11"/>
        <v/>
      </c>
      <c r="P46" t="str">
        <f t="shared" si="12"/>
        <v/>
      </c>
      <c r="Q46" t="str">
        <f t="shared" si="13"/>
        <v/>
      </c>
    </row>
    <row r="47" spans="5:17" ht="75" customHeight="1" x14ac:dyDescent="0.25">
      <c r="E47" s="11"/>
      <c r="F47" s="11"/>
      <c r="J47" s="12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  <c r="O47" t="str">
        <f t="shared" si="11"/>
        <v/>
      </c>
      <c r="P47" t="str">
        <f t="shared" si="12"/>
        <v/>
      </c>
      <c r="Q47" t="str">
        <f t="shared" si="13"/>
        <v/>
      </c>
    </row>
    <row r="48" spans="5:17" ht="75" customHeight="1" x14ac:dyDescent="0.25">
      <c r="E48" s="11"/>
      <c r="F48" s="11"/>
      <c r="J48" s="12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  <c r="O48" t="str">
        <f t="shared" si="11"/>
        <v/>
      </c>
      <c r="P48" t="str">
        <f t="shared" si="12"/>
        <v/>
      </c>
      <c r="Q48" t="str">
        <f t="shared" si="13"/>
        <v/>
      </c>
    </row>
    <row r="49" spans="5:17" ht="75" customHeight="1" x14ac:dyDescent="0.25">
      <c r="E49" s="11"/>
      <c r="F49" s="11"/>
      <c r="J49" s="12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  <c r="O49" t="str">
        <f t="shared" si="11"/>
        <v/>
      </c>
      <c r="P49" t="str">
        <f t="shared" si="12"/>
        <v/>
      </c>
      <c r="Q49" t="str">
        <f t="shared" si="13"/>
        <v/>
      </c>
    </row>
    <row r="50" spans="5:17" ht="75" customHeight="1" x14ac:dyDescent="0.25">
      <c r="E50" s="11"/>
      <c r="F50" s="11"/>
      <c r="J50" s="12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  <c r="O50" t="str">
        <f t="shared" si="11"/>
        <v/>
      </c>
      <c r="P50" t="str">
        <f t="shared" si="12"/>
        <v/>
      </c>
      <c r="Q50" t="str">
        <f t="shared" si="13"/>
        <v/>
      </c>
    </row>
  </sheetData>
  <dataValidations count="3">
    <dataValidation type="decimal" allowBlank="1" errorTitle="Invalid Latitude" error="Latitude must be between -90 and 90." sqref="E2:E50" xr:uid="{00000000-0002-0000-0300-000000000000}">
      <formula1>-90</formula1>
      <formula2>90</formula2>
    </dataValidation>
    <dataValidation type="decimal" allowBlank="1" errorTitle="Invalid Longitude" error="Longitude must be between -180 and 180." sqref="F2:F50" xr:uid="{00000000-0002-0000-0300-000001000000}">
      <formula1>-180</formula1>
      <formula2>180</formula2>
    </dataValidation>
    <dataValidation type="list" allowBlank="1" sqref="G2:G50" xr:uid="{00000000-0002-0000-0300-000002000000}">
      <formula1>"A,B,C,D,E,F,G"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BD544-BF13-48BB-AC9D-47018B46B866}">
  <dimension ref="A1:M36"/>
  <sheetViews>
    <sheetView workbookViewId="0">
      <selection sqref="A1:M4"/>
    </sheetView>
  </sheetViews>
  <sheetFormatPr defaultRowHeight="15" x14ac:dyDescent="0.25"/>
  <cols>
    <col min="1" max="13" width="11.28515625" customWidth="1"/>
  </cols>
  <sheetData>
    <row r="1" spans="1:13" ht="153" customHeight="1" x14ac:dyDescent="0.25">
      <c r="A1" s="17" t="s">
        <v>64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</row>
    <row r="2" spans="1:13" ht="153" customHeight="1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</row>
    <row r="3" spans="1:13" ht="153" customHeight="1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</row>
    <row r="4" spans="1:13" ht="153" customHeight="1" x14ac:dyDescent="0.25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</row>
    <row r="5" spans="1:13" ht="153" customHeight="1" x14ac:dyDescent="0.25">
      <c r="A5" s="17" t="s">
        <v>66</v>
      </c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</row>
    <row r="6" spans="1:13" ht="153" customHeight="1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</row>
    <row r="7" spans="1:13" ht="153" customHeight="1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</row>
    <row r="8" spans="1:13" ht="153" customHeight="1" x14ac:dyDescent="0.2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</row>
    <row r="9" spans="1:13" ht="153" customHeight="1" x14ac:dyDescent="0.25">
      <c r="A9" s="17" t="s">
        <v>67</v>
      </c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</row>
    <row r="10" spans="1:13" ht="153" customHeight="1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</row>
    <row r="11" spans="1:13" ht="153" customHeight="1" x14ac:dyDescent="0.2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</row>
    <row r="12" spans="1:13" ht="153" customHeight="1" x14ac:dyDescent="0.2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</row>
    <row r="13" spans="1:13" ht="153" customHeight="1" x14ac:dyDescent="0.25">
      <c r="A13" s="17" t="s">
        <v>68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</row>
    <row r="14" spans="1:13" ht="153" customHeight="1" x14ac:dyDescent="0.2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</row>
    <row r="15" spans="1:13" ht="153" customHeight="1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</row>
    <row r="16" spans="1:13" ht="153" customHeight="1" x14ac:dyDescent="0.25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</row>
    <row r="17" spans="1:13" ht="153" customHeight="1" x14ac:dyDescent="0.25">
      <c r="A17" s="17" t="s">
        <v>69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</row>
    <row r="18" spans="1:13" ht="153" customHeight="1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</row>
    <row r="19" spans="1:13" ht="153" customHeight="1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</row>
    <row r="20" spans="1:13" ht="153" customHeight="1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</row>
    <row r="21" spans="1:13" ht="153" customHeight="1" x14ac:dyDescent="0.25">
      <c r="A21" s="17" t="s">
        <v>70</v>
      </c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</row>
    <row r="22" spans="1:13" ht="153" customHeight="1" x14ac:dyDescent="0.2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</row>
    <row r="23" spans="1:13" ht="153" customHeight="1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</row>
    <row r="24" spans="1:13" ht="153" customHeight="1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</row>
    <row r="25" spans="1:13" ht="153" customHeight="1" x14ac:dyDescent="0.25">
      <c r="A25" s="17" t="s">
        <v>71</v>
      </c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</row>
    <row r="26" spans="1:13" ht="153" customHeight="1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</row>
    <row r="27" spans="1:13" ht="153" customHeight="1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</row>
    <row r="28" spans="1:13" ht="153" customHeight="1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</row>
    <row r="29" spans="1:13" ht="153" customHeight="1" x14ac:dyDescent="0.25">
      <c r="A29" s="17" t="s">
        <v>72</v>
      </c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</row>
    <row r="30" spans="1:13" ht="153" customHeight="1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</row>
    <row r="31" spans="1:13" ht="153" customHeight="1" x14ac:dyDescent="0.2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</row>
    <row r="32" spans="1:13" ht="153" customHeight="1" x14ac:dyDescent="0.25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</row>
    <row r="33" spans="1:13" ht="153" customHeight="1" x14ac:dyDescent="0.25">
      <c r="A33" s="17" t="s">
        <v>73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</row>
    <row r="34" spans="1:13" ht="153" customHeight="1" x14ac:dyDescent="0.25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</row>
    <row r="35" spans="1:13" ht="153" customHeight="1" x14ac:dyDescent="0.2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</row>
    <row r="36" spans="1:13" ht="153" customHeight="1" x14ac:dyDescent="0.2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</row>
  </sheetData>
  <mergeCells count="9">
    <mergeCell ref="A25:M28"/>
    <mergeCell ref="A29:M32"/>
    <mergeCell ref="A33:M36"/>
    <mergeCell ref="A1:M4"/>
    <mergeCell ref="A5:M8"/>
    <mergeCell ref="A9:M12"/>
    <mergeCell ref="A13:M16"/>
    <mergeCell ref="A17:M20"/>
    <mergeCell ref="A21:M24"/>
  </mergeCells>
  <printOptions horizontalCentered="1" verticalCentered="1"/>
  <pageMargins left="0" right="0" top="0" bottom="0" header="0" footer="0"/>
  <pageSetup fitToHeight="0" orientation="landscape" r:id="rId1"/>
  <rowBreaks count="8" manualBreakCount="8">
    <brk id="4" max="16383" man="1"/>
    <brk id="8" max="16383" man="1"/>
    <brk id="12" max="16383" man="1"/>
    <brk id="16" max="16383" man="1"/>
    <brk id="20" max="16383" man="1"/>
    <brk id="24" max="16383" man="1"/>
    <brk id="28" max="16383" man="1"/>
    <brk id="32" max="16383" man="1"/>
  </rowBreaks>
  <drawing r:id="rId2"/>
</worksheet>
</file>

<file path=docMetadata/LabelInfo.xml><?xml version="1.0" encoding="utf-8"?>
<clbl:labelList xmlns:clbl="http://schemas.microsoft.com/office/2020/mipLabelMetadata">
  <clbl:label id="{2863bcaf-4433-4a95-89dd-302e4b0159a1}" enabled="0" method="" siteId="{2863bcaf-4433-4a95-89dd-302e4b0159a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Start Here</vt:lpstr>
      <vt:lpstr>Setup</vt:lpstr>
      <vt:lpstr>Sites</vt:lpstr>
      <vt:lpstr>TEMPLATE</vt:lpstr>
      <vt:lpstr>MapPages</vt:lpstr>
      <vt:lpstr>JobApplicant</vt:lpstr>
      <vt:lpstr>JobDI</vt:lpstr>
      <vt:lpstr>JobDisaster</vt:lpstr>
      <vt:lpstr>JobMode</vt:lpstr>
      <vt:lpstr>JobOutputFolder</vt:lpstr>
      <vt:lpstr>JobWO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Smith, Caleb</cp:lastModifiedBy>
  <dcterms:created xsi:type="dcterms:W3CDTF">2026-03-10T02:24:06Z</dcterms:created>
  <dcterms:modified xsi:type="dcterms:W3CDTF">2026-04-23T14:02:50Z</dcterms:modified>
</cp:coreProperties>
</file>