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E04078E0-4923-4F90-B306-7AE1C18E8307}" xr6:coauthVersionLast="47" xr6:coauthVersionMax="47" xr10:uidLastSave="{AB25A9FA-82F9-4F9A-8F67-DFEA21919A46}"/>
  <bookViews>
    <workbookView xWindow="-98" yWindow="-98" windowWidth="21795" windowHeight="12975" xr2:uid="{5D925A41-3764-4737-B69C-194FAA2D4DFA}"/>
  </bookViews>
  <sheets>
    <sheet name="Start Here" sheetId="4" r:id="rId1"/>
    <sheet name="Sites" sheetId="2" r:id="rId2"/>
    <sheet name="Sources" sheetId="3" r:id="rId3"/>
  </sheets>
  <functionGroups builtInGroupCount="19"/>
  <definedNames>
    <definedName name="_xlnm._FilterDatabase" localSheetId="1" hidden="1">Sites!$A$1:$AD$1</definedName>
    <definedName name="JobAgolMap">'Start Here'!$C$19</definedName>
    <definedName name="JobBufferFeet">'Start Here'!$C$20</definedName>
    <definedName name="JobOutputFolder">'Start Here'!$C$18</definedName>
    <definedName name="JobState">'Start Here'!$C$17</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18" i="4"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<sst xmlns="http://schemas.openxmlformats.org/spreadsheetml/2006/main" count="109" uniqueCount="108">
  <si>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</si>
  <si>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</si>
  <si>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</si>
  <si>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</si>
  <si>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</si>
  <si>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</si>
  <si>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</si>
  <si>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</si>
  <si>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</si>
  <si>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</si>
  <si>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</si>
  <si>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</si>
  <si>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</si>
  <si>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</si>
  <si>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</si>
  <si>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</si>
  <si>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</si>
  <si>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</si>
  <si>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</si>
  <si>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</si>
  <si>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</si>
  <si>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</si>
  <si>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</si>
  <si>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</si>
  <si>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</si>
  <si>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</si>
  <si>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</si>
  <si>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</si>
  <si>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</si>
  <si>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</si>
  <si>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</si>
  <si>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</si>
  <si>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</si>
  <si>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</si>
  <si>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</si>
  <si>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</si>
  <si>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</si>
  <si>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</si>
  <si>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</si>
  <si>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</si>
  <si>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</si>
  <si>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</si>
  <si>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</si>
  <si>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</si>
  <si>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</si>
  <si>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</si>
  <si>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</si>
  <si>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</si>
  <si>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</si>
  <si>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</si>
  <si>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</si>
  <si>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</si>
  <si>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</si>
  <si>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</si>
  <si>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</si>
  <si>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</si>
  <si>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</si>
  <si>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</si>
  <si>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</si>
  <si>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</si>
  <si>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</si>
  <si>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</si>
  <si>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</si>
  <si>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</si>
  <si>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</si>
  <si>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</si>
  <si>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</si>
  <si>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</si>
  <si>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</si>
  <si>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</si>
  <si>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</si>
  <si>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</si>
  <si>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</si>
  <si>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</si>
  <si>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</si>
  <si>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</si>
  <si>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</si>
  <si>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</si>
  <si>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</si>
  <si>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</si>
  <si>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</si>
  <si>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</si>
  <si>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</si>
  <si>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</si>
  <si>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</si>
  <si>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</si>
  <si>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</si>
  <si>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</si>
  <si>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#33.</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</si>
  <si>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</si>
  <si>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</si>
  <si>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</si>
  <si>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</si>
  <si>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</si>
  <si>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</si>
  <si>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</si>
  <si>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Come back here and click Check Roads. Rows tint red (federal aid), green (non-federal aid) or yellow (review).</t>
  </si>
  <si>
    <t>State</t>
  </si>
  <si>
    <t>MI</t>
  </si>
  <si>
    <t>Output Folder</t>
  </si>
  <si>
    <t>Road/boundary search buffer (feet)</t>
  </si>
  <si>
    <t>Search buffer is how far to look for a road / urban boundary when the exact point misses.</t>
  </si>
  <si>
    <t>Actions</t>
  </si>
  <si>
    <t>Exports</t>
  </si>
  <si>
    <t>Pick an export, then click Go. FIRMettes and map PDFs save to the Output Folder above.</t>
  </si>
  <si>
    <t>Repair / reset</t>
  </si>
  <si>
    <t>Repair Layout rebuilds the sheets, buttons and formulas and KEEPS your typed Sites data. Reset Everything deletes every point and rebuilds a blank Sites table - it asks you to confirm first.</t>
  </si>
  <si>
    <t>RoadReviewer  -  PR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</si>
</sst>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i/>
      <sz val="11"/>
      <color rgb="FF5A5A5A"/>
      <name val="Aptos Narrow"/>
      <family val="2"/>
      <scheme val="minor"/>
    </font>
    <font>
      <sz val="11"/>
      <color rgb="FF960000"/>
      <name val="Aptos Narrow"/>
      <family val="2"/>
      <scheme val="minor"/>
    </font>
    <font>
      <b/>
      <sz val="11"/>
      <color rgb="FF960000"/>
      <name val="Aptos Narrow"/>
      <family val="2"/>
      <scheme val="minor"/>
    </font>
    <font>
      <sz val="11"/>
      <color rgb="FF464646"/>
      <name val="Aptos Narrow"/>
      <family val="2"/>
      <scheme val="minor"/>
    </font>
    <font>
      <sz val="9"/>
      <color rgb="FF828282"/>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4">
    <border>
      <left/>
      <right/>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6">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3" fillId="5" borderId="0" xfId="0" applyFont="1" applyFill="1"/>
    <xf numFmtId="0" fontId="1" fillId="5" borderId="0" xfId="0" applyFont="1" applyFill="1"/>
    <xf numFmtId="0" fontId="16" fillId="5" borderId="0" xfId="0" applyFont="1" applyFill="1"/>
    <xf numFmtId="0" fontId="0" fillId="3" borderId="3" xfId="0" applyFill="1" applyBorder="1"/>
    <xf numFmtId="0" fontId="13" fillId="3" borderId="3" xfId="0" applyFont="1" applyFill="1" applyBorder="1"/>
    <xf numFmtId="0" fontId="7" fillId="5" borderId="0" xfId="0" applyFont="1" applyFill="1"/>
    <xf numFmtId="0" fontId="17" fillId="5" borderId="0" xfId="0" applyFont="1" applyFill="1"/>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Style="combo" dx="39" noThreeD="1" sel="1" val="0">
  <itemLst>
    <item val="Sites Table (CSV)"/>
    <item val="Sites to KML"/>
    <item val="Sites to GeoJSON"/>
    <item val="Combined Map PDF"/>
    <item val="Download FIRMettes"/>
    <item val="Re-run Failed FIRMettes"/>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xdr:from>
      <xdr:col>3</xdr:col>
      <xdr:colOff>76200</xdr:colOff>
      <xdr:row>16</xdr:row>
      <xdr:rowOff>155575</xdr:rowOff>
    </xdr:from>
    <xdr:to>
      <xdr:col>5</xdr:col>
      <xdr:colOff>558800</xdr:colOff>
      <xdr:row>18</xdr:row>
      <xdr:rowOff>73025</xdr:rowOff>
    </xdr:to>
    <xdr:sp macro="SelectOutputFolder" textlink="">
      <xdr:nvSpPr>
        <xdr:cNvPr id="2" name="Rectangle: Rounded Corners 1">
          <a:extLst>
            <a:ext uri="{FF2B5EF4-FFF2-40B4-BE49-F238E27FC236}">
              <a16:creationId xmlns:a16="http://schemas.microsoft.com/office/drawing/2014/main" id="{F69F8221-A876-D891-A3C5-EE9AA8977D31}"/>
            </a:ext>
          </a:extLst>
        </xdr:cNvPr>
        <xdr:cNvSpPr/>
      </xdr:nvSpPr>
      <xdr:spPr>
        <a:xfrm>
          <a:off x="6634163" y="3556000"/>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42862</xdr:colOff>
      <xdr:row>25</xdr:row>
      <xdr:rowOff>0</xdr:rowOff>
    </xdr:from>
    <xdr:to>
      <xdr:col>2</xdr:col>
      <xdr:colOff>682625</xdr:colOff>
      <xdr:row>27</xdr:row>
      <xdr:rowOff>19050</xdr:rowOff>
    </xdr:to>
    <xdr:sp macro="CheckRoads" textlink="">
      <xdr:nvSpPr>
        <xdr:cNvPr id="3" name="Rectangle: Rounded Corners 2">
          <a:extLst>
            <a:ext uri="{FF2B5EF4-FFF2-40B4-BE49-F238E27FC236}">
              <a16:creationId xmlns:a16="http://schemas.microsoft.com/office/drawing/2014/main" id="{CAB69C63-F14A-7A63-CBDB-1CB14279988C}"/>
            </a:ext>
          </a:extLst>
        </xdr:cNvPr>
        <xdr:cNvSpPr/>
      </xdr:nvSpPr>
      <xdr:spPr>
        <a:xfrm>
          <a:off x="228600" y="5048250"/>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xdr:from>
      <xdr:col>2</xdr:col>
      <xdr:colOff>809625</xdr:colOff>
      <xdr:row>25</xdr:row>
      <xdr:rowOff>0</xdr:rowOff>
    </xdr:from>
    <xdr:to>
      <xdr:col>2</xdr:col>
      <xdr:colOff>2968625</xdr:colOff>
      <xdr:row>27</xdr:row>
      <xdr:rowOff>19050</xdr:rowOff>
    </xdr:to>
    <xdr:sp macro="ReRunFailedRows" textlink="">
      <xdr:nvSpPr>
        <xdr:cNvPr id="4" name="Rectangle: Rounded Corners 3">
          <a:extLst>
            <a:ext uri="{FF2B5EF4-FFF2-40B4-BE49-F238E27FC236}">
              <a16:creationId xmlns:a16="http://schemas.microsoft.com/office/drawing/2014/main" id="{E502CCA5-C6DD-8D0C-164C-B27C8A6D40A5}"/>
            </a:ext>
          </a:extLst>
        </xdr:cNvPr>
        <xdr:cNvSpPr/>
      </xdr:nvSpPr>
      <xdr:spPr>
        <a:xfrm>
          <a:off x="2895600" y="5048250"/>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42863</xdr:colOff>
          <xdr:row>29</xdr:row>
          <xdr:rowOff>38100</xdr:rowOff>
        </xdr:from>
        <xdr:to>
          <xdr:col>2</xdr:col>
          <xdr:colOff>1952625</xdr:colOff>
          <xdr:row>30</xdr:row>
          <xdr:rowOff>133350</xdr:rowOff>
        </xdr:to>
        <xdr:sp macro="" textlink="">
          <xdr:nvSpPr>
            <xdr:cNvPr id="2049" name="RR_Export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xdr:col>
      <xdr:colOff>2054225</xdr:colOff>
      <xdr:row>29</xdr:row>
      <xdr:rowOff>0</xdr:rowOff>
    </xdr:from>
    <xdr:to>
      <xdr:col>2</xdr:col>
      <xdr:colOff>2943225</xdr:colOff>
      <xdr:row>30</xdr:row>
      <xdr:rowOff>123825</xdr:rowOff>
    </xdr:to>
    <xdr:sp macro="RunSelectedExport" textlink="">
      <xdr:nvSpPr>
        <xdr:cNvPr id="5" name="Rectangle: Rounded Corners 4">
          <a:extLst>
            <a:ext uri="{FF2B5EF4-FFF2-40B4-BE49-F238E27FC236}">
              <a16:creationId xmlns:a16="http://schemas.microsoft.com/office/drawing/2014/main" id="{9D239045-859E-2770-073B-B4D62795A0D4}"/>
            </a:ext>
          </a:extLst>
        </xdr:cNvPr>
        <xdr:cNvSpPr/>
      </xdr:nvSpPr>
      <xdr:spPr>
        <a:xfrm>
          <a:off x="4140200" y="579120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xdr:from>
      <xdr:col>1</xdr:col>
      <xdr:colOff>42862</xdr:colOff>
      <xdr:row>34</xdr:row>
      <xdr:rowOff>0</xdr:rowOff>
    </xdr:from>
    <xdr:to>
      <xdr:col>2</xdr:col>
      <xdr:colOff>809625</xdr:colOff>
      <xdr:row>35</xdr:row>
      <xdr:rowOff>123825</xdr:rowOff>
    </xdr:to>
    <xdr:sp macro="BuildWorkbook" textlink="">
      <xdr:nvSpPr>
        <xdr:cNvPr id="6" name="Rectangle: Rounded Corners 5">
          <a:extLst>
            <a:ext uri="{FF2B5EF4-FFF2-40B4-BE49-F238E27FC236}">
              <a16:creationId xmlns:a16="http://schemas.microsoft.com/office/drawing/2014/main" id="{372D3E6E-29D0-F74F-5B2B-2366B7824886}"/>
            </a:ext>
          </a:extLst>
        </xdr:cNvPr>
        <xdr:cNvSpPr/>
      </xdr:nvSpPr>
      <xdr:spPr>
        <a:xfrm>
          <a:off x="228600" y="6715125"/>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xdr:from>
      <xdr:col>2</xdr:col>
      <xdr:colOff>936625</xdr:colOff>
      <xdr:row>34</xdr:row>
      <xdr:rowOff>0</xdr:rowOff>
    </xdr:from>
    <xdr:to>
      <xdr:col>2</xdr:col>
      <xdr:colOff>3730625</xdr:colOff>
      <xdr:row>35</xdr:row>
      <xdr:rowOff>123825</xdr:rowOff>
    </xdr:to>
    <xdr:sp macro="ResetWorkbookFull" textlink="">
      <xdr:nvSpPr>
        <xdr:cNvPr id="7" name="Rectangle: Rounded Corners 6">
          <a:extLst>
            <a:ext uri="{FF2B5EF4-FFF2-40B4-BE49-F238E27FC236}">
              <a16:creationId xmlns:a16="http://schemas.microsoft.com/office/drawing/2014/main" id="{55B8085E-E012-5D45-6E56-83BF42552C86}"/>
            </a:ext>
          </a:extLst>
        </xdr:cNvPr>
        <xdr:cNvSpPr/>
      </xdr:nvSpPr>
      <xdr:spPr>
        <a:xfrm>
          <a:off x="3022600" y="6715125"/>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0BB8B-96F2-43CB-9BC3-37E784131DD0}">
  <sheetPr>
    <tabColor rgb="FF2F4F4F"/>
  </sheetPr>
  <dimension ref="B2:C39"/>
  <sheetViews>
    <sheetView showGridLines="0" tabSelected="1" workbookViewId="0"/>
  </sheetViews>
  <sheetFormatPr defaultRowHeight="14.25" x14ac:dyDescent="0.45"/>
  <cols>
    <col min="1" max="1" width="2.59765625" style="15" customWidth="1"/>
    <col min="2" max="2" width="26.59765625" style="15" customWidth="1"/>
    <col min="3" max="3" width="62.59765625" style="15" customWidth="1"/>
    <col min="4" max="16384" width="9.06640625" style="15"/>
  </cols>
  <sheetData>
    <row r="2" spans="2:3" ht="26.65" x14ac:dyDescent="0.85">
      <c r="B2" s="16" t="s">
        <v>90</v>
      </c>
    </row>
    <row r="3" spans="2:3" x14ac:dyDescent="0.45">
      <c r="B3" s="17" t="s">
        <v>91</v>
      </c>
    </row>
    <row r="4" spans="2:3" ht="14.65" thickBot="1" x14ac:dyDescent="0.5"/>
    <row r="5" spans="2:3" ht="21" customHeight="1" thickBot="1" x14ac:dyDescent="0.5">
      <c r="B5" s="24" t="s">
        <v>92</v>
      </c>
      <c r="C5" s="25"/>
    </row>
    <row r="6" spans="2:3" ht="21" customHeight="1" thickBot="1" x14ac:dyDescent="0.5">
      <c r="B6" s="25"/>
      <c r="C6" s="25"/>
    </row>
    <row r="7" spans="2:3" ht="21" customHeight="1" thickBot="1" x14ac:dyDescent="0.5">
      <c r="B7" s="25"/>
      <c r="C7" s="25"/>
    </row>
    <row r="8" spans="2:3" ht="21" customHeight="1" thickBot="1" x14ac:dyDescent="0.5">
      <c r="B8" s="25"/>
      <c r="C8" s="25"/>
    </row>
    <row r="12" spans="2:3" x14ac:dyDescent="0.45">
      <c r="B12" s="18" t="s">
        <v>93</v>
      </c>
    </row>
    <row r="13" spans="2:3" x14ac:dyDescent="0.45">
      <c r="B13" s="19" t="s">
        <v>94</v>
      </c>
    </row>
    <row r="14" spans="2:3" x14ac:dyDescent="0.45">
      <c r="B14" s="19" t="s">
        <v>95</v>
      </c>
    </row>
    <row r="15" spans="2:3" x14ac:dyDescent="0.45">
      <c r="B15" s="19" t="s">
        <v>96</v>
      </c>
    </row>
    <row r="17" spans="2:3" x14ac:dyDescent="0.45">
      <c r="B17" s="18" t="s">
        <v>97</v>
      </c>
      <c r="C17" s="20" t="s">
        <v>98</v>
      </c>
    </row>
    <row r="18" spans="2:3" x14ac:dyDescent="0.45">
      <c r="B18" s="18" t="s">
        <v>99</v>
      </c>
      <c r="C18" s="21" t="str">
        <f ca="1">IF(OR(CELL("filename",$A$1)="",LEFT(CELL("filename",$A$1),4)="http"),"",LEFT(CELL("filename",$A$1),FIND("[",CELL("filename",$A$1))-1))</f>
        <v/>
      </c>
    </row>
    <row r="19" spans="2:3" x14ac:dyDescent="0.45">
      <c r="B19" s="18" t="s">
        <v>13</v>
      </c>
      <c r="C19" s="20"/>
    </row>
    <row r="20" spans="2:3" x14ac:dyDescent="0.45">
      <c r="B20" s="18" t="s">
        <v>100</v>
      </c>
      <c r="C20" s="20">
        <v>250</v>
      </c>
    </row>
    <row r="23" spans="2:3" x14ac:dyDescent="0.45">
      <c r="B23" s="17" t="s">
        <v>101</v>
      </c>
    </row>
    <row r="25" spans="2:3" ht="15.75" x14ac:dyDescent="0.5">
      <c r="B25" s="22" t="s">
        <v>102</v>
      </c>
    </row>
    <row r="29" spans="2:3" ht="15.75" x14ac:dyDescent="0.5">
      <c r="B29" s="22" t="s">
        <v>103</v>
      </c>
    </row>
    <row r="32" spans="2:3" x14ac:dyDescent="0.45">
      <c r="B32" s="17" t="s">
        <v>104</v>
      </c>
    </row>
    <row r="34" spans="2:2" ht="15.75" x14ac:dyDescent="0.5">
      <c r="B34" s="22" t="s">
        <v>105</v>
      </c>
    </row>
    <row r="37" spans="2:2" x14ac:dyDescent="0.45">
      <c r="B37" s="17" t="s">
        <v>106</v>
      </c>
    </row>
    <row r="39" spans="2:2" x14ac:dyDescent="0.45">
      <c r="B39" s="23" t="s">
        <v>107</v>
      </c>
    </row>
  </sheetData>
  <mergeCells count="1">
    <mergeCell ref="B5:C8"/>
  </mergeCells>
  <dataValidations count="2">
    <dataValidation type="list" allowBlank="1" showInputMessage="1" showErrorMessage="1" sqref="C17" xr:uid="{A5EF5AFB-08BD-4164-95DB-6D13ADCB1F44}">
      <formula1>"WI,IN,MI,MN (not wired),IL (not wired),OH (not wired)"</formula1>
    </dataValidation>
    <dataValidation type="whole" allowBlank="1" showInputMessage="1" showErrorMessage="1" error="Enter a whole number between 1 and 1000 ft." sqref="C20" xr:uid="{46A29409-3287-46A2-8B2F-33A2FAE9CB72}">
      <formula1>1</formula1>
      <formula2>1000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RR_ExportPicker">
              <controlPr defaultSize="0" autoFill="0" autoPict="0">
                <anchor>
                  <from>
                    <xdr:col>1</xdr:col>
                    <xdr:colOff>42863</xdr:colOff>
                    <xdr:row>29</xdr:row>
                    <xdr:rowOff>38100</xdr:rowOff>
                  </from>
                  <to>
                    <xdr:col>2</xdr:col>
                    <xdr:colOff>1952625</xdr:colOff>
                    <xdr:row>30</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40B9A-5AEB-4959-AFF7-2400C9D75207}">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63D40B9A-5AEB-4959-AFF7-2400C9D75207}"/>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22E0223A-65F3-4737-8D47-05AD56CC8E2E}">
      <formula1>-90</formula1>
      <formula2>90</formula2>
    </dataValidation>
    <dataValidation type="decimal" allowBlank="1" showInputMessage="1" showErrorMessage="1" error="Longitude must be between -180 and 180." sqref="F2:F501" xr:uid="{97F7D5A2-62F6-4A34-AB77-24572E21B0CC}">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49AD9-EA09-4525-ADD6-35E29B4F42A0}">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D5CB4567-3EF9-4653-898F-C958F8CB5297}"/>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E1E393AB-B1AB-4683-9904-767ECA2BB276}"/>
    <hyperlink ref="B9" r:id="rId3" xr:uid="{A196BA39-CAED-4A5B-82E5-E14996AF02CC}"/>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F5343860-0F53-45E1-ABF8-1FA4CD4D9BA1}"/>
    <hyperlink ref="B12" r:id="rId5" display="    Wisconsin Department of Transportation, Functional Classification (official page; static county and urban-area PDF maps - WisDOT publishes no statewide interactive map), available at: https://wisconsindot.gov/Pages/projects/data-plan/plan-res/function.aspx" xr:uid="{D215031B-43C9-49D0-A1BE-18A2ADCFFA1D}"/>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12933B97-5574-4064-B07D-E8D5E550EE7A}"/>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402CF5D6-5744-4985-B3FB-AD618D956B47}"/>
    <hyperlink ref="B16" r:id="rId8" xr:uid="{341FE193-8FEB-484B-8B79-26EDFED2C7C1}"/>
    <hyperlink ref="B17" r:id="rId9" xr:uid="{6B801260-5D10-4986-AD35-EFABCB444E6C}"/>
    <hyperlink ref="B19" r:id="rId10" xr:uid="{DDBF9F34-5E8C-43D0-A700-002FD5A4FD97}"/>
    <hyperlink ref="B20" r:id="rId11" xr:uid="{95E0EE1F-0D59-4A3F-B765-DC979A520D65}"/>
    <hyperlink ref="B22" r:id="rId12" xr:uid="{E814EE5A-35DD-4293-B14C-1377FB4B684A}"/>
    <hyperlink ref="B23" r:id="rId13" xr:uid="{E5293DD6-DE80-4934-82ED-BAA551936960}"/>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D2D28FDD-59BF-465F-A8CE-323464D8291D}"/>
    <hyperlink ref="B26" r:id="rId15" xr:uid="{B37842D2-A9E6-468E-AC76-40B634601DA0}"/>
    <hyperlink ref="B27" r:id="rId16" xr:uid="{309FC07B-A162-4233-9EEB-9003AB9A58FB}"/>
    <hyperlink ref="B28" r:id="rId17" xr:uid="{3D40B4D4-BE9D-40BD-8A74-7E0473E5AE52}"/>
    <hyperlink ref="B66" r:id="rId18" xr:uid="{6A460F5C-D7DC-46BB-8503-110ECE8D353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vt:i4>
      </vt:variant>
    </vt:vector>
  </HeadingPairs>
  <TitlesOfParts>
    <vt:vector size="18" baseType="lpstr">
      <vt:lpstr>Start Here</vt:lpstr>
      <vt:lpstr>Sites</vt:lpstr>
      <vt:lpstr>Sources</vt:lpstr>
      <vt:lpstr>JobAgolMap</vt:lpstr>
      <vt:lpstr>JobBufferFeet</vt:lpstr>
      <vt:lpstr>JobOutputFolder</vt:lpstr>
      <vt:lpstr>JobState</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2026-07-14T13:51:16Z</dcterms:created>
  <dcterms:modified xsi:type="dcterms:W3CDTF">2026-07-14T13:52:24Z</dcterms:modified>
</cp:coreProperties>
</file>