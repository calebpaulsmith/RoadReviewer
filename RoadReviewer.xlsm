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0C177EB1-34FB-47FA-8235-B50C60C5AB69}" xr6:coauthVersionLast="47" xr6:coauthVersionMax="47" xr10:uidLastSave="{81843D3B-BE68-4C54-A3D9-98490AD101A5}"/>
  <bookViews>
    <workbookView xWindow="-98" yWindow="-98" windowWidth="21795" windowHeight="12975" xr2:uid="{0ACE3C61-3ADF-4809-997D-B71BCB5E89FF}"/>
  </bookViews>
  <sheets>
    <sheet name="Start Here" sheetId="4" r:id="rId1"/>
    <sheet name="Sites" sheetId="2" r:id="rId2"/>
    <sheet name="Sources" sheetId="3" r:id="rId3"/>
  </sheets>
  <functionGroups builtInGroupCount="19"/>
  <definedNames>
    <definedName name="_xlnm._FilterDatabase" localSheetId="1" hidden="1">Sites!$A$1:$AD$1</definedName>
    <definedName name="JobAgolMap">'Start Here'!$C$19</definedName>
    <definedName name="JobBufferFeet">'Start Here'!$C$20</definedName>
    <definedName name="JobOutputFolder">'Start Here'!$C$18</definedName>
    <definedName name="JobState">'Start Here'!$C$17</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18" i="4"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<sst xmlns="http://schemas.openxmlformats.org/spreadsheetml/2006/main" count="109" uniqueCount="108">
  <si>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</si>
  <si>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</si>
  <si>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</si>
  <si>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</si>
  <si>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</si>
  <si>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</si>
  <si>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</si>
  <si>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</si>
  <si>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</si>
  <si>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</si>
  <si>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</si>
  <si>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</si>
  <si>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</si>
  <si>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</si>
  <si>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</si>
  <si>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</si>
  <si>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</si>
  <si>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</si>
  <si>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</si>
  <si>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</si>
  <si>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</si>
  <si>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</si>
  <si>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</si>
  <si>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</si>
  <si>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</si>
  <si>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</si>
  <si>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</si>
  <si>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</si>
  <si>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</si>
  <si>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</si>
  <si>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</si>
  <si>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</si>
  <si>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</si>
  <si>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</si>
  <si>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</si>
  <si>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</si>
  <si>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</si>
  <si>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</si>
  <si>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</si>
  <si>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</si>
  <si>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</si>
  <si>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</si>
  <si>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</si>
  <si>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</si>
  <si>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</si>
  <si>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</si>
  <si>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</si>
  <si>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</si>
  <si>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</si>
  <si>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</si>
  <si>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</si>
  <si>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</si>
  <si>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</si>
  <si>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</si>
  <si>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</si>
  <si>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</si>
  <si>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</si>
  <si>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</si>
  <si>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</si>
  <si>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</si>
  <si>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</si>
  <si>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</si>
  <si>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</si>
  <si>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</si>
  <si>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</si>
  <si>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</si>
  <si>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</si>
  <si>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</si>
  <si>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</si>
  <si>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</si>
  <si>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</si>
  <si>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</si>
  <si>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</si>
  <si>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</si>
  <si>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</si>
  <si>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</si>
  <si>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</si>
  <si>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</si>
  <si>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</si>
  <si>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</si>
  <si>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</si>
  <si>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</si>
  <si>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</si>
  <si>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</si>
  <si>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</si>
  <si>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</si>
  <si>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</si>
  <si>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</si>
  <si>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#33.</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</si>
  <si>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</si>
  <si>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</si>
  <si>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</si>
  <si>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</si>
  <si>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</si>
  <si>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</si>
  <si>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</si>
  <si>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Come back here and click Check Roads. Rows tint red (federal aid), green (non-federal aid) or yellow (review).</t>
  </si>
  <si>
    <t>State</t>
  </si>
  <si>
    <t>MI</t>
  </si>
  <si>
    <t>Output Folder</t>
  </si>
  <si>
    <t>FHWA search buffer (feet)</t>
  </si>
  <si>
    <t>Search buffer is how far to look for a road / urban boundary when the exact point misses.</t>
  </si>
  <si>
    <t>Check FHWA Status</t>
  </si>
  <si>
    <t>Exports &amp; Handoff</t>
  </si>
  <si>
    <t>Pick an export, then click Go. FIRMettes and map PDFs save to the Output Folder above.</t>
  </si>
  <si>
    <t>Repair / Reset</t>
  </si>
  <si>
    <t>Repair Layout rebuilds the sheets, buttons and formulas and KEEPS your typed Sites data. Reset Everything deletes every point and rebuilds a blank Sites table - it asks you to confirm first.</t>
  </si>
  <si>
    <t>RoadReviewer  -  PR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</si>
</sst>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i/>
      <sz val="11"/>
      <color rgb="FF5A5A5A"/>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
      <sz val="9"/>
      <color rgb="FF828282"/>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5">
    <border>
      <left/>
      <right/>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8">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3" fillId="5" borderId="0" xfId="0" applyFont="1" applyFill="1"/>
    <xf numFmtId="0" fontId="1" fillId="5" borderId="0" xfId="0" applyFont="1" applyFill="1"/>
    <xf numFmtId="0" fontId="16" fillId="5" borderId="3" xfId="0" applyFont="1" applyFill="1" applyBorder="1"/>
    <xf numFmtId="0" fontId="0" fillId="5" borderId="3" xfId="0" applyFill="1" applyBorder="1"/>
    <xf numFmtId="0" fontId="17" fillId="5" borderId="0" xfId="0" applyFont="1" applyFill="1" applyAlignment="1">
      <alignment horizontal="left" indent="1"/>
    </xf>
    <xf numFmtId="0" fontId="0" fillId="3" borderId="4" xfId="0" applyFill="1" applyBorder="1" applyAlignment="1">
      <alignment horizontal="right"/>
    </xf>
    <xf numFmtId="0" fontId="13" fillId="3" borderId="4" xfId="0" applyFont="1" applyFill="1" applyBorder="1" applyAlignment="1">
      <alignment horizontal="right"/>
    </xf>
    <xf numFmtId="0" fontId="13" fillId="5" borderId="0" xfId="0" applyFont="1" applyFill="1" applyAlignment="1">
      <alignment horizontal="left" indent="1"/>
    </xf>
    <xf numFmtId="0" fontId="18" fillId="5" borderId="0" xfId="0" applyFont="1" applyFill="1"/>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Style="combo" dx="39" noThreeD="1" sel="1" val="0">
  <itemLst>
    <item val="Sites Table (CSV)"/>
    <item val="Sites to KML"/>
    <item val="Sites to GeoJSON"/>
    <item val="Combined Map PDF"/>
    <item val="Download FIRMettes"/>
    <item val="Re-run Failed FIRMettes"/>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xdr:from>
      <xdr:col>3</xdr:col>
      <xdr:colOff>76200</xdr:colOff>
      <xdr:row>16</xdr:row>
      <xdr:rowOff>155575</xdr:rowOff>
    </xdr:from>
    <xdr:to>
      <xdr:col>5</xdr:col>
      <xdr:colOff>558800</xdr:colOff>
      <xdr:row>18</xdr:row>
      <xdr:rowOff>73025</xdr:rowOff>
    </xdr:to>
    <xdr:sp macro="SelectOutputFolder" textlink="">
      <xdr:nvSpPr>
        <xdr:cNvPr id="2" name="Rectangle: Rounded Corners 1">
          <a:extLst>
            <a:ext uri="{FF2B5EF4-FFF2-40B4-BE49-F238E27FC236}">
              <a16:creationId xmlns:a16="http://schemas.microsoft.com/office/drawing/2014/main" id="{D7015834-969D-F55C-ACED-2C194A09E2AA}"/>
            </a:ext>
          </a:extLst>
        </xdr:cNvPr>
        <xdr:cNvSpPr/>
      </xdr:nvSpPr>
      <xdr:spPr>
        <a:xfrm>
          <a:off x="6634163" y="3651250"/>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195262</xdr:colOff>
      <xdr:row>25</xdr:row>
      <xdr:rowOff>0</xdr:rowOff>
    </xdr:from>
    <xdr:to>
      <xdr:col>2</xdr:col>
      <xdr:colOff>835025</xdr:colOff>
      <xdr:row>27</xdr:row>
      <xdr:rowOff>19050</xdr:rowOff>
    </xdr:to>
    <xdr:sp macro="CheckRoads" textlink="">
      <xdr:nvSpPr>
        <xdr:cNvPr id="3" name="Rectangle: Rounded Corners 2">
          <a:extLst>
            <a:ext uri="{FF2B5EF4-FFF2-40B4-BE49-F238E27FC236}">
              <a16:creationId xmlns:a16="http://schemas.microsoft.com/office/drawing/2014/main" id="{893D3C5D-8CA5-076E-B74C-7E33E84837A8}"/>
            </a:ext>
          </a:extLst>
        </xdr:cNvPr>
        <xdr:cNvSpPr/>
      </xdr:nvSpPr>
      <xdr:spPr>
        <a:xfrm>
          <a:off x="381000" y="5219700"/>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xdr:from>
      <xdr:col>2</xdr:col>
      <xdr:colOff>962025</xdr:colOff>
      <xdr:row>25</xdr:row>
      <xdr:rowOff>0</xdr:rowOff>
    </xdr:from>
    <xdr:to>
      <xdr:col>2</xdr:col>
      <xdr:colOff>3121025</xdr:colOff>
      <xdr:row>27</xdr:row>
      <xdr:rowOff>19050</xdr:rowOff>
    </xdr:to>
    <xdr:sp macro="ReRunFailedRows" textlink="">
      <xdr:nvSpPr>
        <xdr:cNvPr id="4" name="Rectangle: Rounded Corners 3">
          <a:extLst>
            <a:ext uri="{FF2B5EF4-FFF2-40B4-BE49-F238E27FC236}">
              <a16:creationId xmlns:a16="http://schemas.microsoft.com/office/drawing/2014/main" id="{C52F82DB-22F6-A7B8-AF40-39D7A3F928DE}"/>
            </a:ext>
          </a:extLst>
        </xdr:cNvPr>
        <xdr:cNvSpPr/>
      </xdr:nvSpPr>
      <xdr:spPr>
        <a:xfrm>
          <a:off x="3048000" y="5219700"/>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195263</xdr:colOff>
          <xdr:row>29</xdr:row>
          <xdr:rowOff>28575</xdr:rowOff>
        </xdr:from>
        <xdr:to>
          <xdr:col>2</xdr:col>
          <xdr:colOff>2105025</xdr:colOff>
          <xdr:row>30</xdr:row>
          <xdr:rowOff>128588</xdr:rowOff>
        </xdr:to>
        <xdr:sp macro="" textlink="">
          <xdr:nvSpPr>
            <xdr:cNvPr id="2049" name="RR_Export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xdr:col>
      <xdr:colOff>2206625</xdr:colOff>
      <xdr:row>29</xdr:row>
      <xdr:rowOff>0</xdr:rowOff>
    </xdr:from>
    <xdr:to>
      <xdr:col>2</xdr:col>
      <xdr:colOff>3095625</xdr:colOff>
      <xdr:row>30</xdr:row>
      <xdr:rowOff>123825</xdr:rowOff>
    </xdr:to>
    <xdr:sp macro="RunSelectedExport" textlink="">
      <xdr:nvSpPr>
        <xdr:cNvPr id="5" name="Rectangle: Rounded Corners 4">
          <a:extLst>
            <a:ext uri="{FF2B5EF4-FFF2-40B4-BE49-F238E27FC236}">
              <a16:creationId xmlns:a16="http://schemas.microsoft.com/office/drawing/2014/main" id="{E03EBEA5-61E9-2D3D-BF48-696D7782AEFC}"/>
            </a:ext>
          </a:extLst>
        </xdr:cNvPr>
        <xdr:cNvSpPr/>
      </xdr:nvSpPr>
      <xdr:spPr>
        <a:xfrm>
          <a:off x="4292600" y="60388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xdr:from>
      <xdr:col>1</xdr:col>
      <xdr:colOff>195262</xdr:colOff>
      <xdr:row>34</xdr:row>
      <xdr:rowOff>0</xdr:rowOff>
    </xdr:from>
    <xdr:to>
      <xdr:col>2</xdr:col>
      <xdr:colOff>962025</xdr:colOff>
      <xdr:row>35</xdr:row>
      <xdr:rowOff>123825</xdr:rowOff>
    </xdr:to>
    <xdr:sp macro="BuildWorkbook" textlink="">
      <xdr:nvSpPr>
        <xdr:cNvPr id="6" name="Rectangle: Rounded Corners 5">
          <a:extLst>
            <a:ext uri="{FF2B5EF4-FFF2-40B4-BE49-F238E27FC236}">
              <a16:creationId xmlns:a16="http://schemas.microsoft.com/office/drawing/2014/main" id="{E2474FC5-44BD-C420-41E4-DED950049BCC}"/>
            </a:ext>
          </a:extLst>
        </xdr:cNvPr>
        <xdr:cNvSpPr/>
      </xdr:nvSpPr>
      <xdr:spPr>
        <a:xfrm>
          <a:off x="381000" y="7038975"/>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xdr:from>
      <xdr:col>2</xdr:col>
      <xdr:colOff>1089025</xdr:colOff>
      <xdr:row>34</xdr:row>
      <xdr:rowOff>0</xdr:rowOff>
    </xdr:from>
    <xdr:to>
      <xdr:col>2</xdr:col>
      <xdr:colOff>3883025</xdr:colOff>
      <xdr:row>35</xdr:row>
      <xdr:rowOff>123825</xdr:rowOff>
    </xdr:to>
    <xdr:sp macro="ResetWorkbookFull" textlink="">
      <xdr:nvSpPr>
        <xdr:cNvPr id="7" name="Rectangle: Rounded Corners 6">
          <a:extLst>
            <a:ext uri="{FF2B5EF4-FFF2-40B4-BE49-F238E27FC236}">
              <a16:creationId xmlns:a16="http://schemas.microsoft.com/office/drawing/2014/main" id="{74A2B653-5FDA-45F6-A0A2-34B6528E7DF5}"/>
            </a:ext>
          </a:extLst>
        </xdr:cNvPr>
        <xdr:cNvSpPr/>
      </xdr:nvSpPr>
      <xdr:spPr>
        <a:xfrm>
          <a:off x="3175000" y="7038975"/>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046F8-30EA-4283-B53F-2571AC07AE71}">
  <sheetPr>
    <tabColor rgb="FF2F4F4F"/>
  </sheetPr>
  <dimension ref="B2:C39"/>
  <sheetViews>
    <sheetView showGridLines="0" tabSelected="1" workbookViewId="0"/>
  </sheetViews>
  <sheetFormatPr defaultRowHeight="14.25" x14ac:dyDescent="0.45"/>
  <cols>
    <col min="1" max="1" width="2.59765625" style="15" customWidth="1"/>
    <col min="2" max="2" width="26.59765625" style="15" customWidth="1"/>
    <col min="3" max="3" width="62.59765625" style="15" customWidth="1"/>
    <col min="4" max="16384" width="9.06640625" style="15"/>
  </cols>
  <sheetData>
    <row r="2" spans="2:3" ht="26.65" x14ac:dyDescent="0.85">
      <c r="B2" s="16" t="s">
        <v>90</v>
      </c>
    </row>
    <row r="3" spans="2:3" x14ac:dyDescent="0.45">
      <c r="B3" s="17" t="s">
        <v>91</v>
      </c>
    </row>
    <row r="4" spans="2:3" ht="14.65" thickBot="1" x14ac:dyDescent="0.5"/>
    <row r="5" spans="2:3" ht="21" customHeight="1" thickBot="1" x14ac:dyDescent="0.5">
      <c r="B5" s="26" t="s">
        <v>92</v>
      </c>
      <c r="C5" s="27"/>
    </row>
    <row r="6" spans="2:3" ht="21" customHeight="1" thickBot="1" x14ac:dyDescent="0.5">
      <c r="B6" s="27"/>
      <c r="C6" s="27"/>
    </row>
    <row r="7" spans="2:3" ht="21" customHeight="1" thickBot="1" x14ac:dyDescent="0.5">
      <c r="B7" s="27"/>
      <c r="C7" s="27"/>
    </row>
    <row r="8" spans="2:3" ht="21" customHeight="1" thickBot="1" x14ac:dyDescent="0.5">
      <c r="B8" s="27"/>
      <c r="C8" s="27"/>
    </row>
    <row r="12" spans="2:3" ht="22.05" customHeight="1" x14ac:dyDescent="0.55000000000000004">
      <c r="B12" s="19" t="s">
        <v>93</v>
      </c>
      <c r="C12" s="20"/>
    </row>
    <row r="13" spans="2:3" x14ac:dyDescent="0.45">
      <c r="B13" s="21" t="s">
        <v>94</v>
      </c>
    </row>
    <row r="14" spans="2:3" x14ac:dyDescent="0.45">
      <c r="B14" s="21" t="s">
        <v>95</v>
      </c>
    </row>
    <row r="15" spans="2:3" x14ac:dyDescent="0.45">
      <c r="B15" s="21" t="s">
        <v>96</v>
      </c>
    </row>
    <row r="17" spans="2:3" x14ac:dyDescent="0.45">
      <c r="B17" s="18" t="s">
        <v>97</v>
      </c>
      <c r="C17" s="22" t="s">
        <v>98</v>
      </c>
    </row>
    <row r="18" spans="2:3" x14ac:dyDescent="0.45">
      <c r="B18" s="18" t="s">
        <v>99</v>
      </c>
      <c r="C18" s="23" t="str">
        <f ca="1">IF(OR(CELL("filename",$A$1)="",LEFT(CELL("filename",$A$1),4)="http"),"",LEFT(CELL("filename",$A$1),FIND("[",CELL("filename",$A$1))-1))</f>
        <v/>
      </c>
    </row>
    <row r="19" spans="2:3" x14ac:dyDescent="0.45">
      <c r="B19" s="18" t="s">
        <v>13</v>
      </c>
      <c r="C19" s="22"/>
    </row>
    <row r="20" spans="2:3" x14ac:dyDescent="0.45">
      <c r="B20" s="18" t="s">
        <v>100</v>
      </c>
      <c r="C20" s="22">
        <v>250</v>
      </c>
    </row>
    <row r="23" spans="2:3" x14ac:dyDescent="0.45">
      <c r="B23" s="24" t="s">
        <v>101</v>
      </c>
    </row>
    <row r="25" spans="2:3" ht="22.05" customHeight="1" x14ac:dyDescent="0.55000000000000004">
      <c r="B25" s="19" t="s">
        <v>102</v>
      </c>
      <c r="C25" s="20"/>
    </row>
    <row r="29" spans="2:3" ht="22.05" customHeight="1" x14ac:dyDescent="0.55000000000000004">
      <c r="B29" s="19" t="s">
        <v>103</v>
      </c>
      <c r="C29" s="20"/>
    </row>
    <row r="32" spans="2:3" x14ac:dyDescent="0.45">
      <c r="B32" s="24" t="s">
        <v>104</v>
      </c>
    </row>
    <row r="34" spans="2:3" ht="22.05" customHeight="1" x14ac:dyDescent="0.55000000000000004">
      <c r="B34" s="19" t="s">
        <v>105</v>
      </c>
      <c r="C34" s="20"/>
    </row>
    <row r="37" spans="2:3" x14ac:dyDescent="0.45">
      <c r="B37" s="24" t="s">
        <v>106</v>
      </c>
    </row>
    <row r="39" spans="2:3" x14ac:dyDescent="0.45">
      <c r="B39" s="25" t="s">
        <v>107</v>
      </c>
    </row>
  </sheetData>
  <mergeCells count="1">
    <mergeCell ref="B5:C8"/>
  </mergeCells>
  <dataValidations count="2">
    <dataValidation type="list" allowBlank="1" showInputMessage="1" showErrorMessage="1" sqref="C17" xr:uid="{6A78AE44-63C6-4C17-AE3C-FE3F20249374}">
      <formula1>"WI,IN,MI,MN (not wired),IL (not wired),OH (not wired)"</formula1>
    </dataValidation>
    <dataValidation type="whole" allowBlank="1" showInputMessage="1" showErrorMessage="1" error="Enter a whole number between 1 and 1000 ft." sqref="C20" xr:uid="{10F5398A-9327-4271-A024-E2614D1CC201}">
      <formula1>1</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R_ExportPicker">
              <controlPr defaultSize="0" autoFill="0" autoPict="0">
                <anchor>
                  <from>
                    <xdr:col>1</xdr:col>
                    <xdr:colOff>195263</xdr:colOff>
                    <xdr:row>29</xdr:row>
                    <xdr:rowOff>28575</xdr:rowOff>
                  </from>
                  <to>
                    <xdr:col>2</xdr:col>
                    <xdr:colOff>2105025</xdr:colOff>
                    <xdr:row>30</xdr:row>
                    <xdr:rowOff>128588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160AB-6CDC-4F8C-8362-6B011A5F71FC}">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C5A160AB-6CDC-4F8C-8362-6B011A5F71FC}"/>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BA59F139-E8C3-4D0B-AAEA-CA274D4E92E3}">
      <formula1>-90</formula1>
      <formula2>90</formula2>
    </dataValidation>
    <dataValidation type="decimal" allowBlank="1" showInputMessage="1" showErrorMessage="1" error="Longitude must be between -180 and 180." sqref="F2:F501" xr:uid="{970806DB-0223-401C-8F39-DE1DDB4BC665}">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29583-5579-449B-8159-944F26BCB222}">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E3FB5917-CBDC-4BBC-96DD-5B80AC668F55}"/>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7363AB38-6A1C-46C4-987E-E7D595C33282}"/>
    <hyperlink ref="B9" r:id="rId3" xr:uid="{9964EDA4-1CB7-4378-9A82-38462C366D58}"/>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92225F81-2BBA-4D86-98CE-F85ABCCF6CDB}"/>
    <hyperlink ref="B12" r:id="rId5" display="    Wisconsin Department of Transportation, Functional Classification (official page; static county and urban-area PDF maps - WisDOT publishes no statewide interactive map), available at: https://wisconsindot.gov/Pages/projects/data-plan/plan-res/function.aspx" xr:uid="{57DEF2F5-EF1B-4684-BDCE-AB7CF7EED800}"/>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85FF155F-8548-4FC0-979C-D42ED419AF54}"/>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C33E3DBF-3B35-453C-9E42-7FAA93A1A8DE}"/>
    <hyperlink ref="B16" r:id="rId8" xr:uid="{3AC82FDF-3418-4C87-8057-1BEF6193A8E0}"/>
    <hyperlink ref="B17" r:id="rId9" xr:uid="{7F784B1B-9764-4445-B73E-A3AAF45DF2F2}"/>
    <hyperlink ref="B19" r:id="rId10" xr:uid="{B77083BF-FE5F-4DE7-9F44-83F5D480F2A0}"/>
    <hyperlink ref="B20" r:id="rId11" xr:uid="{C533B00C-C9F5-41A3-82F0-8B01C425138F}"/>
    <hyperlink ref="B22" r:id="rId12" xr:uid="{26D7B4DC-A3E7-4475-9649-F108F8E0CB5B}"/>
    <hyperlink ref="B23" r:id="rId13" xr:uid="{101B6759-4B70-4DC5-9EDD-80AD90C9D3C7}"/>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AB53C8C8-24F7-418D-A689-DA595EBDAEEF}"/>
    <hyperlink ref="B26" r:id="rId15" xr:uid="{3DCD72A8-26C0-468C-AE78-B8A2E399A4CB}"/>
    <hyperlink ref="B27" r:id="rId16" xr:uid="{F6F95117-0B45-432F-8726-96137640FD8A}"/>
    <hyperlink ref="B28" r:id="rId17" xr:uid="{09DB30AC-2CC9-45BD-8953-5A6E807A780E}"/>
    <hyperlink ref="B66" r:id="rId18" xr:uid="{5636BFDF-27AC-4D86-8439-3A472A1AA1D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vt:i4>
      </vt:variant>
    </vt:vector>
  </HeadingPairs>
  <TitlesOfParts>
    <vt:vector size="18" baseType="lpstr">
      <vt:lpstr>Start Here</vt:lpstr>
      <vt:lpstr>Sites</vt:lpstr>
      <vt:lpstr>Sources</vt:lpstr>
      <vt:lpstr>JobAgolMap</vt:lpstr>
      <vt:lpstr>JobBufferFeet</vt:lpstr>
      <vt:lpstr>JobOutputFolder</vt:lpstr>
      <vt:lpstr>JobState</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2026-07-14T14:54:20Z</dcterms:created>
  <dcterms:modified xsi:type="dcterms:W3CDTF">2026-07-14T14:54:44Z</dcterms:modified>
</cp:coreProperties>
</file>