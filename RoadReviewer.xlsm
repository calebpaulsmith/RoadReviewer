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207" documentId="8_{D5253B9B-A81B-464E-BA6B-59406763D973}" xr6:coauthVersionLast="47" xr6:coauthVersionMax="47" xr10:uidLastSave="{1D78121A-90CE-4B83-A563-4FD0BA487EFA}"/>
  <bookViews>
    <workbookView xWindow="-98" yWindow="-98" windowWidth="21795" windowHeight="12975" activeTab="1" xr2:uid="{507D8F14-F4E9-4185-BB2A-42E2A0D2631B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Sites!$A$2:$AB$2</definedName>
    <definedName name="JobAgolMap">'Start Here'!$C$19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C18" i="4"/>
</calcChain>
</file>

<file path=xl/sharedStrings.xml><?xml version="1.0" encoding="utf-8"?>
<sst xmlns="http://schemas.openxmlformats.org/spreadsheetml/2006/main" count="87" uniqueCount="87">
  <si>
    <t>Fill in the yellow columns - everything else fills itself. Select rows, then Photo Links to review imagery.</t>
  </si>
  <si>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</si>
  <si>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</si>
  <si>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</si>
  <si>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</si>
  <si>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</si>
  <si>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</si>
  <si>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</si>
  <si>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</si>
  <si>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</si>
  <si>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</si>
  <si>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</si>
  <si>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</si>
  <si>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Google Maps</t>
  </si>
  <si>
    <t>Street View</t>
  </si>
  <si>
    <t>Bing</t>
  </si>
  <si>
    <t>Google Earth</t>
  </si>
  <si>
    <t>FEMA Viewer</t>
  </si>
  <si>
    <t>FIRMette Portal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</si>
  <si>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</si>
  <si>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</si>
  <si>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</si>
  <si>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</si>
  <si>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</si>
  <si>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</si>
  <si>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</si>
  <si>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</si>
  <si>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</si>
  <si>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</si>
  <si>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Sources &amp; Quirks</t>
  </si>
  <si>
    <t>Where every result comes from. SOURCES (top) lists each state's official public map and the data service this tool reads; QUIRKS &amp; CAVEATS (bottom) explains, in plain language, the things about that data that shape the answer. This tool is a screening aid, not an authoritative source - read the disclaimer on Start Here and verify every point on the official map.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</si>
  <si>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</si>
  <si>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</si>
  <si>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</si>
  <si>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</si>
  <si>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</si>
  <si>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</si>
  <si>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</si>
  <si>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</si>
  <si>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</si>
  <si>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</si>
  <si>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</si>
  <si>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</si>
  <si>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</si>
  <si>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</si>
  <si>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</si>
  <si>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</si>
  <si>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</si>
  <si>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</si>
  <si>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</si>
  <si>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</si>
  <si>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</si>
  <si>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</si>
  <si>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</si>
  <si>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</si>
  <si>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</si>
  <si>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</si>
  <si>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</si>
  <si>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</si>
  <si>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</si>
  <si>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</si>
  <si>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</si>
  <si>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</si>
  <si>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</si>
  <si>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</si>
  <si>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</si>
  <si>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</si>
  <si>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</si>
  <si>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</si>
  <si>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</si>
  <si>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</si>
  <si>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</si>
  <si>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</si>
  <si>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#22.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</si>
  <si>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</si>
  <si>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</si>
  <si>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</si>
  <si>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</si>
  <si>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</si>
  <si>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points on the Sites tab - the yellow columns (Latitude, Longitude, Description).</t>
  </si>
  <si>
    <t>3.  Click Check Roads. Rows tint red (federal aid), green (non-federal aid) or yellow (review).</t>
  </si>
  <si>
    <t>State</t>
  </si>
  <si>
    <t>MI</t>
  </si>
  <si>
    <t>Output Folder</t>
  </si>
  <si>
    <t>AGOL Webmap URL (optional)</t>
  </si>
  <si>
    <t>Output Folder shows where exports save (this workbook's folder); Browse or type to change it. Build / Reset repairs the layout - your Sites data is preserved.</t>
  </si>
  <si>
    <t>RoadReviewer  -  PR #22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</si>
</sst>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theme="1"/>
      <name val="Calibri"/>
      <family val="2"/>
    </font>
    <font>
      <i/>
      <sz val="11"/>
      <color rgb="FF5A5A5A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5"/>
      <color rgb="FF2F4F4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6" fillId="0" borderId="0" xfId="0" applyFont="1"/>
    <xf numFmtId="0" fontId="7" fillId="0" borderId="0" xfId="0" applyFont="1" applyAlignment="1">
      <alignment vertical="top" wrapText="1"/>
    </xf>
    <xf numFmtId="0" fontId="8" fillId="0" borderId="0" xfId="0" applyFont="1"/>
    <xf numFmtId="0" fontId="9" fillId="0" borderId="0" xfId="0" applyFont="1"/>
    <xf numFmtId="0" fontId="11" fillId="0" borderId="0" xfId="1" applyFont="1" applyAlignment="1">
      <alignment vertical="top" wrapText="1"/>
    </xf>
    <xf numFmtId="0" fontId="0" fillId="5" borderId="0" xfId="0" applyFill="1"/>
    <xf numFmtId="0" fontId="6" fillId="5" borderId="0" xfId="0" applyFont="1" applyFill="1"/>
    <xf numFmtId="0" fontId="2" fillId="5" borderId="0" xfId="0" applyFont="1" applyFill="1"/>
    <xf numFmtId="0" fontId="1" fillId="5" borderId="0" xfId="0" applyFont="1" applyFill="1"/>
    <xf numFmtId="0" fontId="14" fillId="5" borderId="0" xfId="0" applyFont="1" applyFill="1"/>
    <xf numFmtId="0" fontId="0" fillId="3" borderId="2" xfId="0" applyFill="1" applyBorder="1"/>
    <xf numFmtId="0" fontId="2" fillId="3" borderId="2" xfId="0" applyFont="1" applyFill="1" applyBorder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2D69E9-9592-1923-7782-71DE10427E6A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20</xdr:row>
      <xdr:rowOff>0</xdr:rowOff>
    </xdr:from>
    <xdr:to>
      <xdr:col>2</xdr:col>
      <xdr:colOff>936625</xdr:colOff>
      <xdr:row>22</xdr:row>
      <xdr:rowOff>120650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8F6C35-3CFC-402E-0F83-21FF5B7E147E}"/>
            </a:ext>
          </a:extLst>
        </xdr:cNvPr>
        <xdr:cNvSpPr/>
      </xdr:nvSpPr>
      <xdr:spPr>
        <a:xfrm>
          <a:off x="228600" y="4295775"/>
          <a:ext cx="2794000" cy="4826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1089025</xdr:colOff>
      <xdr:row>20</xdr:row>
      <xdr:rowOff>0</xdr:rowOff>
    </xdr:from>
    <xdr:to>
      <xdr:col>2</xdr:col>
      <xdr:colOff>3248025</xdr:colOff>
      <xdr:row>22</xdr:row>
      <xdr:rowOff>120650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A478B6-6571-EA82-2D4F-85F68A25650D}"/>
            </a:ext>
          </a:extLst>
        </xdr:cNvPr>
        <xdr:cNvSpPr/>
      </xdr:nvSpPr>
      <xdr:spPr>
        <a:xfrm>
          <a:off x="3175000" y="4295775"/>
          <a:ext cx="2159000" cy="482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23</xdr:row>
      <xdr:rowOff>0</xdr:rowOff>
    </xdr:from>
    <xdr:to>
      <xdr:col>2</xdr:col>
      <xdr:colOff>1444625</xdr:colOff>
      <xdr:row>25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1FC3503-6323-5467-64B3-BB1FFA93B7E4}"/>
            </a:ext>
          </a:extLst>
        </xdr:cNvPr>
        <xdr:cNvSpPr/>
      </xdr:nvSpPr>
      <xdr:spPr>
        <a:xfrm>
          <a:off x="228600" y="4838700"/>
          <a:ext cx="3302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26</xdr:row>
      <xdr:rowOff>0</xdr:rowOff>
    </xdr:from>
    <xdr:to>
      <xdr:col>2</xdr:col>
      <xdr:colOff>492125</xdr:colOff>
      <xdr:row>27</xdr:row>
      <xdr:rowOff>174625</xdr:rowOff>
    </xdr:to>
    <xdr:sp macro="ExportSitesCsv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0840D0-2A6D-A0BD-C9FD-6D35EE4BB127}"/>
            </a:ext>
          </a:extLst>
        </xdr:cNvPr>
        <xdr:cNvSpPr/>
      </xdr:nvSpPr>
      <xdr:spPr>
        <a:xfrm>
          <a:off x="228600" y="5381625"/>
          <a:ext cx="23495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2</xdr:col>
      <xdr:colOff>644525</xdr:colOff>
      <xdr:row>26</xdr:row>
      <xdr:rowOff>0</xdr:rowOff>
    </xdr:from>
    <xdr:to>
      <xdr:col>2</xdr:col>
      <xdr:colOff>2994025</xdr:colOff>
      <xdr:row>27</xdr:row>
      <xdr:rowOff>174625</xdr:rowOff>
    </xdr:to>
    <xdr:sp macro="ExportSitesToKM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A93C50F-0C55-242C-B7B2-52D9548FA708}"/>
            </a:ext>
          </a:extLst>
        </xdr:cNvPr>
        <xdr:cNvSpPr/>
      </xdr:nvSpPr>
      <xdr:spPr>
        <a:xfrm>
          <a:off x="2730500" y="5381625"/>
          <a:ext cx="23495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1</xdr:col>
      <xdr:colOff>42862</xdr:colOff>
      <xdr:row>29</xdr:row>
      <xdr:rowOff>0</xdr:rowOff>
    </xdr:from>
    <xdr:to>
      <xdr:col>2</xdr:col>
      <xdr:colOff>2994025</xdr:colOff>
      <xdr:row>30</xdr:row>
      <xdr:rowOff>174625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7C494E9-2641-D11C-E697-5E02A9CCD6E7}"/>
            </a:ext>
          </a:extLst>
        </xdr:cNvPr>
        <xdr:cNvSpPr/>
      </xdr:nvSpPr>
      <xdr:spPr>
        <a:xfrm>
          <a:off x="228600" y="5924550"/>
          <a:ext cx="48514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1</xdr:col>
      <xdr:colOff>42862</xdr:colOff>
      <xdr:row>33</xdr:row>
      <xdr:rowOff>0</xdr:rowOff>
    </xdr:from>
    <xdr:to>
      <xdr:col>2</xdr:col>
      <xdr:colOff>301625</xdr:colOff>
      <xdr:row>34</xdr:row>
      <xdr:rowOff>98425</xdr:rowOff>
    </xdr:to>
    <xdr:sp macro="BuildWorkbook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C9E4CC-F531-F357-B5B4-AC0450FE3A48}"/>
            </a:ext>
          </a:extLst>
        </xdr:cNvPr>
        <xdr:cNvSpPr/>
      </xdr:nvSpPr>
      <xdr:spPr>
        <a:xfrm>
          <a:off x="228600" y="66484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774700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B5B25281-0B2D-296C-335C-5E6B41996AF5}"/>
            </a:ext>
          </a:extLst>
        </xdr:cNvPr>
        <xdr:cNvSpPr/>
      </xdr:nvSpPr>
      <xdr:spPr>
        <a:xfrm>
          <a:off x="25400" y="25400"/>
          <a:ext cx="13970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850900</xdr:colOff>
      <xdr:row>0</xdr:row>
      <xdr:rowOff>25400</xdr:rowOff>
    </xdr:from>
    <xdr:to>
      <xdr:col>6</xdr:col>
      <xdr:colOff>354012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5B15DF87-C43B-18B7-7809-1C862DE54EA9}"/>
            </a:ext>
          </a:extLst>
        </xdr:cNvPr>
        <xdr:cNvSpPr/>
      </xdr:nvSpPr>
      <xdr:spPr>
        <a:xfrm>
          <a:off x="14986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D742D-52D7-4139-8CE7-D7D8B52EFD8F}">
  <sheetPr>
    <tabColor rgb="FF2F4F4F"/>
  </sheetPr>
  <dimension ref="B2:C38"/>
  <sheetViews>
    <sheetView showGridLines="0" workbookViewId="0"/>
  </sheetViews>
  <sheetFormatPr defaultRowHeight="14.25" x14ac:dyDescent="0.45"/>
  <cols>
    <col min="1" max="1" width="2.59765625" style="11" customWidth="1"/>
    <col min="2" max="2" width="26.59765625" style="11" customWidth="1"/>
    <col min="3" max="3" width="62.59765625" style="11" customWidth="1"/>
    <col min="4" max="16384" width="9.06640625" style="11"/>
  </cols>
  <sheetData>
    <row r="2" spans="2:3" ht="26.65" x14ac:dyDescent="0.85">
      <c r="B2" s="12" t="s">
        <v>74</v>
      </c>
    </row>
    <row r="3" spans="2:3" x14ac:dyDescent="0.45">
      <c r="B3" s="13" t="s">
        <v>75</v>
      </c>
    </row>
    <row r="4" spans="2:3" ht="14.65" thickBot="1" x14ac:dyDescent="0.5"/>
    <row r="5" spans="2:3" ht="21" customHeight="1" thickBot="1" x14ac:dyDescent="0.5">
      <c r="B5" s="19" t="s">
        <v>76</v>
      </c>
      <c r="C5" s="20"/>
    </row>
    <row r="6" spans="2:3" ht="21" customHeight="1" thickBot="1" x14ac:dyDescent="0.5">
      <c r="B6" s="20"/>
      <c r="C6" s="20"/>
    </row>
    <row r="7" spans="2:3" ht="21" customHeight="1" thickBot="1" x14ac:dyDescent="0.5">
      <c r="B7" s="20"/>
      <c r="C7" s="20"/>
    </row>
    <row r="8" spans="2:3" ht="21" customHeight="1" thickBot="1" x14ac:dyDescent="0.5">
      <c r="B8" s="20"/>
      <c r="C8" s="20"/>
    </row>
    <row r="9" spans="2:3" ht="21" customHeight="1" thickBot="1" x14ac:dyDescent="0.5">
      <c r="B9" s="20"/>
      <c r="C9" s="20"/>
    </row>
    <row r="10" spans="2:3" ht="21" customHeight="1" thickBot="1" x14ac:dyDescent="0.5">
      <c r="B10" s="20"/>
      <c r="C10" s="20"/>
    </row>
    <row r="12" spans="2:3" x14ac:dyDescent="0.45">
      <c r="B12" s="14" t="s">
        <v>77</v>
      </c>
    </row>
    <row r="13" spans="2:3" x14ac:dyDescent="0.45">
      <c r="B13" s="15" t="s">
        <v>78</v>
      </c>
    </row>
    <row r="14" spans="2:3" x14ac:dyDescent="0.45">
      <c r="B14" s="15" t="s">
        <v>79</v>
      </c>
    </row>
    <row r="15" spans="2:3" x14ac:dyDescent="0.45">
      <c r="B15" s="15" t="s">
        <v>80</v>
      </c>
    </row>
    <row r="17" spans="2:3" x14ac:dyDescent="0.45">
      <c r="B17" s="14" t="s">
        <v>81</v>
      </c>
      <c r="C17" s="16" t="s">
        <v>82</v>
      </c>
    </row>
    <row r="18" spans="2:3" x14ac:dyDescent="0.45">
      <c r="B18" s="14" t="s">
        <v>83</v>
      </c>
      <c r="C18" s="17" t="str">
        <f ca="1">IF(OR(CELL("filename",$A$1)="",LEFT(CELL("filename",$A$1),4)="http"),"",LEFT(CELL("filename",$A$1),FIND("[",CELL("filename",$A$1))-1))</f>
        <v/>
      </c>
    </row>
    <row r="19" spans="2:3" x14ac:dyDescent="0.45">
      <c r="B19" s="14" t="s">
        <v>84</v>
      </c>
      <c r="C19" s="16"/>
    </row>
    <row r="36" spans="2:2" x14ac:dyDescent="0.45">
      <c r="B36" s="13" t="s">
        <v>85</v>
      </c>
    </row>
    <row r="38" spans="2:2" x14ac:dyDescent="0.45">
      <c r="B38" s="18" t="s">
        <v>86</v>
      </c>
    </row>
  </sheetData>
  <mergeCells count="1">
    <mergeCell ref="B5:C10"/>
  </mergeCells>
  <dataValidations count="1">
    <dataValidation type="list" allowBlank="1" showInputMessage="1" showErrorMessage="1" sqref="C17" xr:uid="{0E40A431-55FE-48D6-B5C5-24A3AC31AE31}">
      <formula1>"WI,IN,MI,MN (not wired),IL (not wired),OH (not wired)"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1010E-913B-4C2E-B947-46B937470D2E}">
  <sheetPr>
    <tabColor rgb="FF3C3C3C"/>
  </sheetPr>
  <dimension ref="A1:AB502"/>
  <sheetViews>
    <sheetView tabSelected="1" topLeftCell="C1" workbookViewId="0">
      <pane ySplit="2" topLeftCell="A3" activePane="bottomLeft" state="frozen"/>
      <selection activeCell="C1" sqref="C1"/>
      <selection pane="bottomLeft" activeCell="D12" sqref="D12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customWidth="1"/>
    <col min="8" max="8" width="28.59765625" style="1" customWidth="1"/>
    <col min="9" max="9" width="12.59765625" style="1" customWidth="1"/>
    <col min="10" max="10" width="14.59765625" style="1" customWidth="1"/>
    <col min="11" max="12" width="16.59765625" style="1" customWidth="1"/>
    <col min="13" max="19" width="9.06640625" style="1"/>
    <col min="20" max="20" width="16.59765625" style="1" customWidth="1"/>
    <col min="21" max="21" width="9.06640625" style="1"/>
    <col min="22" max="23" width="16.59765625" style="1" customWidth="1"/>
    <col min="24" max="24" width="22.59765625" style="1" customWidth="1"/>
    <col min="25" max="25" width="24.59765625" style="1" customWidth="1"/>
    <col min="26" max="26" width="18.59765625" style="1" hidden="1" customWidth="1"/>
    <col min="27" max="27" width="16.59765625" style="1" hidden="1" customWidth="1"/>
    <col min="28" max="28" width="10.59765625" style="1" customWidth="1"/>
    <col min="29" max="16384" width="9.06640625" style="1"/>
  </cols>
  <sheetData>
    <row r="1" spans="1:28" ht="26" customHeight="1" x14ac:dyDescent="0.45">
      <c r="I1" s="2" t="s">
        <v>0</v>
      </c>
    </row>
    <row r="2" spans="1:28" s="3" customFormat="1" x14ac:dyDescent="0.4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</row>
    <row r="3" spans="1:28" x14ac:dyDescent="0.4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1" t="str">
        <f t="shared" ref="M3:M66" si="0">IF(OR($E3="",$F3=""),"",HYPERLINK("https://www.google.com/maps?q="&amp;$E3&amp;","&amp;$F3&amp;"","Map"))</f>
        <v/>
      </c>
      <c r="N3" s="1" t="str">
        <f t="shared" ref="N3:N66" si="1">IF(OR($E3="",$F3=""),"",HYPERLINK("https://www.google.com/maps?q&amp;layer=c&amp;cbll="&amp;$E3&amp;","&amp;$F3&amp;"","Street"))</f>
        <v/>
      </c>
      <c r="O3" s="1" t="str">
        <f t="shared" ref="O3:O66" si="2">IF(OR($E3="",$F3=""),"",HYPERLINK("https://www.bing.com/maps?cp="&amp;$E3&amp;"~"&amp;$F3&amp;"&amp;lvl=18&amp;style=h","Bing"))</f>
        <v/>
      </c>
      <c r="P3" s="1" t="str">
        <f t="shared" ref="P3:P66" si="3">IF(OR($E3="",$F3=""),"",HYPERLINK("https://earth.google.com/web/search/"&amp;$E3&amp;","&amp;$F3&amp;"","Earth"))</f>
        <v/>
      </c>
      <c r="Q3" s="1" t="str">
        <f t="shared" ref="Q3:Q66" si="4">IF(OR($E3="",$F3=""),"",HYPERLINK("https://fema.maps.arcgis.com/apps/mapviewer/index.html?find="&amp;$F3&amp;"%2C"&amp;$E3&amp;"&amp;marker="&amp;$F3&amp;","&amp;$E3&amp;",4326&amp;level=16","FEMA"))</f>
        <v/>
      </c>
      <c r="R3" s="1" t="str">
        <f t="shared" ref="R3:R66" si="5">IF(OR($E3="",$F3=""),"",HYPERLINK("https://msc.fema.gov/portal/firmette?latitude="&amp;$E3&amp;"&amp;longitude="&amp;$F3&amp;"","FIRMette"))</f>
        <v/>
      </c>
      <c r="S3" s="1" t="str">
        <f>IF(OR($E3="",$F3=""),"",HYPERLINK(IF(OR(JobState="MI",JobState=""),"https://fema.maps.arcgis.com/apps/mapviewer/index.html?webmap=6a1702b9147243d1a5ee62cd614bc681&amp;center="&amp;$F3&amp;","&amp;$E3&amp;"&amp;level=16&amp;marker="&amp;$F3&amp;","&amp;$E3&amp;"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T3" s="5"/>
      <c r="U3" s="5"/>
      <c r="V3" s="5"/>
      <c r="W3" s="5"/>
      <c r="X3" s="5"/>
      <c r="Y3" s="5"/>
      <c r="Z3" s="5"/>
      <c r="AA3" s="5"/>
      <c r="AB3" s="1" t="str">
        <f>IF(OR(JobAgolMap="", $E3="", $F3=""),"",HYPERLINK(JobAgolMap&amp;IF(ISNUMBER(FIND("?",JobAgolMap)),"&amp;","?")&amp;"center="&amp;$F3&amp;","&amp;$E3&amp;"&amp;level=16&amp;marker="&amp;$F3&amp;","&amp;$E3,"Open"))</f>
        <v/>
      </c>
    </row>
    <row r="4" spans="1:28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5"/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S4" s="1" t="str">
        <f>IF(OR($E4="",$F4=""),"",HYPERLINK(IF(OR(JobState="MI",JobState=""),"https://fema.maps.arcgis.com/apps/mapviewer/index.html?webmap=6a1702b9147243d1a5ee62cd614bc681&amp;center="&amp;$F4&amp;","&amp;$E4&amp;"&amp;level=16&amp;marker="&amp;$F4&amp;","&amp;$E4&amp;"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T4" s="5"/>
      <c r="U4" s="5"/>
      <c r="V4" s="5"/>
      <c r="W4" s="5"/>
      <c r="X4" s="5"/>
      <c r="Y4" s="5"/>
      <c r="Z4" s="5"/>
      <c r="AA4" s="5"/>
      <c r="AB4" s="1" t="str">
        <f>IF(OR(JobAgolMap="", $E4="", $F4=""),"",HYPERLINK(JobAgolMap&amp;IF(ISNUMBER(FIND("?",JobAgolMap)),"&amp;","?")&amp;"center="&amp;$F4&amp;","&amp;$E4&amp;"&amp;level=16&amp;marker="&amp;$F4&amp;","&amp;$E4,"Open"))</f>
        <v/>
      </c>
    </row>
    <row r="5" spans="1:28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5"/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S5" s="1" t="str">
        <f>IF(OR($E5="",$F5=""),"",HYPERLINK(IF(OR(JobState="MI",JobState=""),"https://fema.maps.arcgis.com/apps/mapviewer/index.html?webmap=6a1702b9147243d1a5ee62cd614bc681&amp;center="&amp;$F5&amp;","&amp;$E5&amp;"&amp;level=16&amp;marker="&amp;$F5&amp;","&amp;$E5&amp;"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T5" s="5"/>
      <c r="U5" s="5"/>
      <c r="V5" s="5"/>
      <c r="W5" s="5"/>
      <c r="X5" s="5"/>
      <c r="Y5" s="5"/>
      <c r="Z5" s="5"/>
      <c r="AA5" s="5"/>
      <c r="AB5" s="1" t="str">
        <f>IF(OR(JobAgolMap="", $E5="", $F5=""),"",HYPERLINK(JobAgolMap&amp;IF(ISNUMBER(FIND("?",JobAgolMap)),"&amp;","?")&amp;"center="&amp;$F5&amp;","&amp;$E5&amp;"&amp;level=16&amp;marker="&amp;$F5&amp;","&amp;$E5,"Open"))</f>
        <v/>
      </c>
    </row>
    <row r="6" spans="1:28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5"/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S6" s="1" t="str">
        <f>IF(OR($E6="",$F6=""),"",HYPERLINK(IF(OR(JobState="MI",JobState=""),"https://fema.maps.arcgis.com/apps/mapviewer/index.html?webmap=6a1702b9147243d1a5ee62cd614bc681&amp;center="&amp;$F6&amp;","&amp;$E6&amp;"&amp;level=16&amp;marker="&amp;$F6&amp;","&amp;$E6&amp;"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T6" s="5"/>
      <c r="U6" s="5"/>
      <c r="V6" s="5"/>
      <c r="W6" s="5"/>
      <c r="X6" s="5"/>
      <c r="Y6" s="5"/>
      <c r="Z6" s="5"/>
      <c r="AA6" s="5"/>
      <c r="AB6" s="1" t="str">
        <f>IF(OR(JobAgolMap="", $E6="", $F6=""),"",HYPERLINK(JobAgolMap&amp;IF(ISNUMBER(FIND("?",JobAgolMap)),"&amp;","?")&amp;"center="&amp;$F6&amp;","&amp;$E6&amp;"&amp;level=16&amp;marker="&amp;$F6&amp;","&amp;$E6,"Open"))</f>
        <v/>
      </c>
    </row>
    <row r="7" spans="1:28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5"/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S7" s="1" t="str">
        <f>IF(OR($E7="",$F7=""),"",HYPERLINK(IF(OR(JobState="MI",JobState=""),"https://fema.maps.arcgis.com/apps/mapviewer/index.html?webmap=6a1702b9147243d1a5ee62cd614bc681&amp;center="&amp;$F7&amp;","&amp;$E7&amp;"&amp;level=16&amp;marker="&amp;$F7&amp;","&amp;$E7&amp;"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T7" s="5"/>
      <c r="U7" s="5"/>
      <c r="V7" s="5"/>
      <c r="W7" s="5"/>
      <c r="X7" s="5"/>
      <c r="Y7" s="5"/>
      <c r="Z7" s="5"/>
      <c r="AA7" s="5"/>
      <c r="AB7" s="1" t="str">
        <f>IF(OR(JobAgolMap="", $E7="", $F7=""),"",HYPERLINK(JobAgolMap&amp;IF(ISNUMBER(FIND("?",JobAgolMap)),"&amp;","?")&amp;"center="&amp;$F7&amp;","&amp;$E7&amp;"&amp;level=16&amp;marker="&amp;$F7&amp;","&amp;$E7,"Open"))</f>
        <v/>
      </c>
    </row>
    <row r="8" spans="1:28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5"/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S8" s="1" t="str">
        <f>IF(OR($E8="",$F8=""),"",HYPERLINK(IF(OR(JobState="MI",JobState=""),"https://fema.maps.arcgis.com/apps/mapviewer/index.html?webmap=6a1702b9147243d1a5ee62cd614bc681&amp;center="&amp;$F8&amp;","&amp;$E8&amp;"&amp;level=16&amp;marker="&amp;$F8&amp;","&amp;$E8&amp;"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T8" s="5"/>
      <c r="U8" s="5"/>
      <c r="V8" s="5"/>
      <c r="W8" s="5"/>
      <c r="X8" s="5"/>
      <c r="Y8" s="5"/>
      <c r="Z8" s="5"/>
      <c r="AA8" s="5"/>
      <c r="AB8" s="1" t="str">
        <f>IF(OR(JobAgolMap="", $E8="", $F8=""),"",HYPERLINK(JobAgolMap&amp;IF(ISNUMBER(FIND("?",JobAgolMap)),"&amp;","?")&amp;"center="&amp;$F8&amp;","&amp;$E8&amp;"&amp;level=16&amp;marker="&amp;$F8&amp;","&amp;$E8,"Open"))</f>
        <v/>
      </c>
    </row>
    <row r="9" spans="1:28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5"/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S9" s="1" t="str">
        <f>IF(OR($E9="",$F9=""),"",HYPERLINK(IF(OR(JobState="MI",JobState=""),"https://fema.maps.arcgis.com/apps/mapviewer/index.html?webmap=6a1702b9147243d1a5ee62cd614bc681&amp;center="&amp;$F9&amp;","&amp;$E9&amp;"&amp;level=16&amp;marker="&amp;$F9&amp;","&amp;$E9&amp;"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T9" s="5"/>
      <c r="U9" s="5"/>
      <c r="V9" s="5"/>
      <c r="W9" s="5"/>
      <c r="X9" s="5"/>
      <c r="Y9" s="5"/>
      <c r="Z9" s="5"/>
      <c r="AA9" s="5"/>
      <c r="AB9" s="1" t="str">
        <f>IF(OR(JobAgolMap="", $E9="", $F9=""),"",HYPERLINK(JobAgolMap&amp;IF(ISNUMBER(FIND("?",JobAgolMap)),"&amp;","?")&amp;"center="&amp;$F9&amp;","&amp;$E9&amp;"&amp;level=16&amp;marker="&amp;$F9&amp;","&amp;$E9,"Open"))</f>
        <v/>
      </c>
    </row>
    <row r="10" spans="1:28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5"/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S10" s="1" t="str">
        <f>IF(OR($E10="",$F10=""),"",HYPERLINK(IF(OR(JobState="MI",JobState=""),"https://fema.maps.arcgis.com/apps/mapviewer/index.html?webmap=6a1702b9147243d1a5ee62cd614bc681&amp;center="&amp;$F10&amp;","&amp;$E10&amp;"&amp;level=16&amp;marker="&amp;$F10&amp;","&amp;$E10&amp;"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T10" s="5"/>
      <c r="U10" s="5"/>
      <c r="V10" s="5"/>
      <c r="W10" s="5"/>
      <c r="X10" s="5"/>
      <c r="Y10" s="5"/>
      <c r="Z10" s="5"/>
      <c r="AA10" s="5"/>
      <c r="AB10" s="1" t="str">
        <f>IF(OR(JobAgolMap="", $E10="", $F10=""),"",HYPERLINK(JobAgolMap&amp;IF(ISNUMBER(FIND("?",JobAgolMap)),"&amp;","?")&amp;"center="&amp;$F10&amp;","&amp;$E10&amp;"&amp;level=16&amp;marker="&amp;$F10&amp;","&amp;$E10,"Open"))</f>
        <v/>
      </c>
    </row>
    <row r="11" spans="1:28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5"/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S11" s="1" t="str">
        <f>IF(OR($E11="",$F11=""),"",HYPERLINK(IF(OR(JobState="MI",JobState=""),"https://fema.maps.arcgis.com/apps/mapviewer/index.html?webmap=6a1702b9147243d1a5ee62cd614bc681&amp;center="&amp;$F11&amp;","&amp;$E11&amp;"&amp;level=16&amp;marker="&amp;$F11&amp;","&amp;$E11&amp;"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T11" s="5"/>
      <c r="U11" s="5"/>
      <c r="V11" s="5"/>
      <c r="W11" s="5"/>
      <c r="X11" s="5"/>
      <c r="Y11" s="5"/>
      <c r="Z11" s="5"/>
      <c r="AA11" s="5"/>
      <c r="AB11" s="1" t="str">
        <f>IF(OR(JobAgolMap="", $E11="", $F11=""),"",HYPERLINK(JobAgolMap&amp;IF(ISNUMBER(FIND("?",JobAgolMap)),"&amp;","?")&amp;"center="&amp;$F11&amp;","&amp;$E11&amp;"&amp;level=16&amp;marker="&amp;$F11&amp;","&amp;$E11,"Open"))</f>
        <v/>
      </c>
    </row>
    <row r="12" spans="1:28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5"/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S12" s="1" t="str">
        <f>IF(OR($E12="",$F12=""),"",HYPERLINK(IF(OR(JobState="MI",JobState=""),"https://fema.maps.arcgis.com/apps/mapviewer/index.html?webmap=6a1702b9147243d1a5ee62cd614bc681&amp;center="&amp;$F12&amp;","&amp;$E12&amp;"&amp;level=16&amp;marker="&amp;$F12&amp;","&amp;$E12&amp;"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T12" s="5"/>
      <c r="U12" s="5"/>
      <c r="V12" s="5"/>
      <c r="W12" s="5"/>
      <c r="X12" s="5"/>
      <c r="Y12" s="5"/>
      <c r="Z12" s="5"/>
      <c r="AA12" s="5"/>
      <c r="AB12" s="1" t="str">
        <f>IF(OR(JobAgolMap="", $E12="", $F12=""),"",HYPERLINK(JobAgolMap&amp;IF(ISNUMBER(FIND("?",JobAgolMap)),"&amp;","?")&amp;"center="&amp;$F12&amp;","&amp;$E12&amp;"&amp;level=16&amp;marker="&amp;$F12&amp;","&amp;$E12,"Open"))</f>
        <v/>
      </c>
    </row>
    <row r="13" spans="1:28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5"/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S13" s="1" t="str">
        <f>IF(OR($E13="",$F13=""),"",HYPERLINK(IF(OR(JobState="MI",JobState=""),"https://fema.maps.arcgis.com/apps/mapviewer/index.html?webmap=6a1702b9147243d1a5ee62cd614bc681&amp;center="&amp;$F13&amp;","&amp;$E13&amp;"&amp;level=16&amp;marker="&amp;$F13&amp;","&amp;$E13&amp;"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T13" s="5"/>
      <c r="U13" s="5"/>
      <c r="V13" s="5"/>
      <c r="W13" s="5"/>
      <c r="X13" s="5"/>
      <c r="Y13" s="5"/>
      <c r="Z13" s="5"/>
      <c r="AA13" s="5"/>
      <c r="AB13" s="1" t="str">
        <f>IF(OR(JobAgolMap="", $E13="", $F13=""),"",HYPERLINK(JobAgolMap&amp;IF(ISNUMBER(FIND("?",JobAgolMap)),"&amp;","?")&amp;"center="&amp;$F13&amp;","&amp;$E13&amp;"&amp;level=16&amp;marker="&amp;$F13&amp;","&amp;$E13,"Open"))</f>
        <v/>
      </c>
    </row>
    <row r="14" spans="1:28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5"/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S14" s="1" t="str">
        <f>IF(OR($E14="",$F14=""),"",HYPERLINK(IF(OR(JobState="MI",JobState=""),"https://fema.maps.arcgis.com/apps/mapviewer/index.html?webmap=6a1702b9147243d1a5ee62cd614bc681&amp;center="&amp;$F14&amp;","&amp;$E14&amp;"&amp;level=16&amp;marker="&amp;$F14&amp;","&amp;$E14&amp;"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T14" s="5"/>
      <c r="U14" s="5"/>
      <c r="V14" s="5"/>
      <c r="W14" s="5"/>
      <c r="X14" s="5"/>
      <c r="Y14" s="5"/>
      <c r="Z14" s="5"/>
      <c r="AA14" s="5"/>
      <c r="AB14" s="1" t="str">
        <f>IF(OR(JobAgolMap="", $E14="", $F14=""),"",HYPERLINK(JobAgolMap&amp;IF(ISNUMBER(FIND("?",JobAgolMap)),"&amp;","?")&amp;"center="&amp;$F14&amp;","&amp;$E14&amp;"&amp;level=16&amp;marker="&amp;$F14&amp;","&amp;$E14,"Open"))</f>
        <v/>
      </c>
    </row>
    <row r="15" spans="1:28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5"/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S15" s="1" t="str">
        <f>IF(OR($E15="",$F15=""),"",HYPERLINK(IF(OR(JobState="MI",JobState=""),"https://fema.maps.arcgis.com/apps/mapviewer/index.html?webmap=6a1702b9147243d1a5ee62cd614bc681&amp;center="&amp;$F15&amp;","&amp;$E15&amp;"&amp;level=16&amp;marker="&amp;$F15&amp;","&amp;$E15&amp;"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T15" s="5"/>
      <c r="U15" s="5"/>
      <c r="V15" s="5"/>
      <c r="W15" s="5"/>
      <c r="X15" s="5"/>
      <c r="Y15" s="5"/>
      <c r="Z15" s="5"/>
      <c r="AA15" s="5"/>
      <c r="AB15" s="1" t="str">
        <f>IF(OR(JobAgolMap="", $E15="", $F15=""),"",HYPERLINK(JobAgolMap&amp;IF(ISNUMBER(FIND("?",JobAgolMap)),"&amp;","?")&amp;"center="&amp;$F15&amp;","&amp;$E15&amp;"&amp;level=16&amp;marker="&amp;$F15&amp;","&amp;$E15,"Open"))</f>
        <v/>
      </c>
    </row>
    <row r="16" spans="1:28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5"/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S16" s="1" t="str">
        <f>IF(OR($E16="",$F16=""),"",HYPERLINK(IF(OR(JobState="MI",JobState=""),"https://fema.maps.arcgis.com/apps/mapviewer/index.html?webmap=6a1702b9147243d1a5ee62cd614bc681&amp;center="&amp;$F16&amp;","&amp;$E16&amp;"&amp;level=16&amp;marker="&amp;$F16&amp;","&amp;$E16&amp;"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T16" s="5"/>
      <c r="U16" s="5"/>
      <c r="V16" s="5"/>
      <c r="W16" s="5"/>
      <c r="X16" s="5"/>
      <c r="Y16" s="5"/>
      <c r="Z16" s="5"/>
      <c r="AA16" s="5"/>
      <c r="AB16" s="1" t="str">
        <f>IF(OR(JobAgolMap="", $E16="", $F16=""),"",HYPERLINK(JobAgolMap&amp;IF(ISNUMBER(FIND("?",JobAgolMap)),"&amp;","?")&amp;"center="&amp;$F16&amp;","&amp;$E16&amp;"&amp;level=16&amp;marker="&amp;$F16&amp;","&amp;$E16,"Open"))</f>
        <v/>
      </c>
    </row>
    <row r="17" spans="1:28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5"/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S17" s="1" t="str">
        <f>IF(OR($E17="",$F17=""),"",HYPERLINK(IF(OR(JobState="MI",JobState=""),"https://fema.maps.arcgis.com/apps/mapviewer/index.html?webmap=6a1702b9147243d1a5ee62cd614bc681&amp;center="&amp;$F17&amp;","&amp;$E17&amp;"&amp;level=16&amp;marker="&amp;$F17&amp;","&amp;$E17&amp;"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T17" s="5"/>
      <c r="U17" s="5"/>
      <c r="V17" s="5"/>
      <c r="W17" s="5"/>
      <c r="X17" s="5"/>
      <c r="Y17" s="5"/>
      <c r="Z17" s="5"/>
      <c r="AA17" s="5"/>
      <c r="AB17" s="1" t="str">
        <f>IF(OR(JobAgolMap="", $E17="", $F17=""),"",HYPERLINK(JobAgolMap&amp;IF(ISNUMBER(FIND("?",JobAgolMap)),"&amp;","?")&amp;"center="&amp;$F17&amp;","&amp;$E17&amp;"&amp;level=16&amp;marker="&amp;$F17&amp;","&amp;$E17,"Open"))</f>
        <v/>
      </c>
    </row>
    <row r="18" spans="1:28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5"/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S18" s="1" t="str">
        <f>IF(OR($E18="",$F18=""),"",HYPERLINK(IF(OR(JobState="MI",JobState=""),"https://fema.maps.arcgis.com/apps/mapviewer/index.html?webmap=6a1702b9147243d1a5ee62cd614bc681&amp;center="&amp;$F18&amp;","&amp;$E18&amp;"&amp;level=16&amp;marker="&amp;$F18&amp;","&amp;$E18&amp;"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T18" s="5"/>
      <c r="U18" s="5"/>
      <c r="V18" s="5"/>
      <c r="W18" s="5"/>
      <c r="X18" s="5"/>
      <c r="Y18" s="5"/>
      <c r="Z18" s="5"/>
      <c r="AA18" s="5"/>
      <c r="AB18" s="1" t="str">
        <f>IF(OR(JobAgolMap="", $E18="", $F18=""),"",HYPERLINK(JobAgolMap&amp;IF(ISNUMBER(FIND("?",JobAgolMap)),"&amp;","?")&amp;"center="&amp;$F18&amp;","&amp;$E18&amp;"&amp;level=16&amp;marker="&amp;$F18&amp;","&amp;$E18,"Open"))</f>
        <v/>
      </c>
    </row>
    <row r="19" spans="1:28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5"/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S19" s="1" t="str">
        <f>IF(OR($E19="",$F19=""),"",HYPERLINK(IF(OR(JobState="MI",JobState=""),"https://fema.maps.arcgis.com/apps/mapviewer/index.html?webmap=6a1702b9147243d1a5ee62cd614bc681&amp;center="&amp;$F19&amp;","&amp;$E19&amp;"&amp;level=16&amp;marker="&amp;$F19&amp;","&amp;$E19&amp;"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T19" s="5"/>
      <c r="U19" s="5"/>
      <c r="V19" s="5"/>
      <c r="W19" s="5"/>
      <c r="X19" s="5"/>
      <c r="Y19" s="5"/>
      <c r="Z19" s="5"/>
      <c r="AA19" s="5"/>
      <c r="AB19" s="1" t="str">
        <f>IF(OR(JobAgolMap="", $E19="", $F19=""),"",HYPERLINK(JobAgolMap&amp;IF(ISNUMBER(FIND("?",JobAgolMap)),"&amp;","?")&amp;"center="&amp;$F19&amp;","&amp;$E19&amp;"&amp;level=16&amp;marker="&amp;$F19&amp;","&amp;$E19,"Open"))</f>
        <v/>
      </c>
    </row>
    <row r="20" spans="1:28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5"/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S20" s="1" t="str">
        <f>IF(OR($E20="",$F20=""),"",HYPERLINK(IF(OR(JobState="MI",JobState=""),"https://fema.maps.arcgis.com/apps/mapviewer/index.html?webmap=6a1702b9147243d1a5ee62cd614bc681&amp;center="&amp;$F20&amp;","&amp;$E20&amp;"&amp;level=16&amp;marker="&amp;$F20&amp;","&amp;$E20&amp;"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T20" s="5"/>
      <c r="U20" s="5"/>
      <c r="V20" s="5"/>
      <c r="W20" s="5"/>
      <c r="X20" s="5"/>
      <c r="Y20" s="5"/>
      <c r="Z20" s="5"/>
      <c r="AA20" s="5"/>
      <c r="AB20" s="1" t="str">
        <f>IF(OR(JobAgolMap="", $E20="", $F20=""),"",HYPERLINK(JobAgolMap&amp;IF(ISNUMBER(FIND("?",JobAgolMap)),"&amp;","?")&amp;"center="&amp;$F20&amp;","&amp;$E20&amp;"&amp;level=16&amp;marker="&amp;$F20&amp;","&amp;$E20,"Open"))</f>
        <v/>
      </c>
    </row>
    <row r="21" spans="1:28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5"/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S21" s="1" t="str">
        <f>IF(OR($E21="",$F21=""),"",HYPERLINK(IF(OR(JobState="MI",JobState=""),"https://fema.maps.arcgis.com/apps/mapviewer/index.html?webmap=6a1702b9147243d1a5ee62cd614bc681&amp;center="&amp;$F21&amp;","&amp;$E21&amp;"&amp;level=16&amp;marker="&amp;$F21&amp;","&amp;$E21&amp;"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T21" s="5"/>
      <c r="U21" s="5"/>
      <c r="V21" s="5"/>
      <c r="W21" s="5"/>
      <c r="X21" s="5"/>
      <c r="Y21" s="5"/>
      <c r="Z21" s="5"/>
      <c r="AA21" s="5"/>
      <c r="AB21" s="1" t="str">
        <f>IF(OR(JobAgolMap="", $E21="", $F21=""),"",HYPERLINK(JobAgolMap&amp;IF(ISNUMBER(FIND("?",JobAgolMap)),"&amp;","?")&amp;"center="&amp;$F21&amp;","&amp;$E21&amp;"&amp;level=16&amp;marker="&amp;$F21&amp;","&amp;$E21,"Open"))</f>
        <v/>
      </c>
    </row>
    <row r="22" spans="1:28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5"/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S22" s="1" t="str">
        <f>IF(OR($E22="",$F22=""),"",HYPERLINK(IF(OR(JobState="MI",JobState=""),"https://fema.maps.arcgis.com/apps/mapviewer/index.html?webmap=6a1702b9147243d1a5ee62cd614bc681&amp;center="&amp;$F22&amp;","&amp;$E22&amp;"&amp;level=16&amp;marker="&amp;$F22&amp;","&amp;$E22&amp;"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T22" s="5"/>
      <c r="U22" s="5"/>
      <c r="V22" s="5"/>
      <c r="W22" s="5"/>
      <c r="X22" s="5"/>
      <c r="Y22" s="5"/>
      <c r="Z22" s="5"/>
      <c r="AA22" s="5"/>
      <c r="AB22" s="1" t="str">
        <f>IF(OR(JobAgolMap="", $E22="", $F22=""),"",HYPERLINK(JobAgolMap&amp;IF(ISNUMBER(FIND("?",JobAgolMap)),"&amp;","?")&amp;"center="&amp;$F22&amp;","&amp;$E22&amp;"&amp;level=16&amp;marker="&amp;$F22&amp;","&amp;$E22,"Open"))</f>
        <v/>
      </c>
    </row>
    <row r="23" spans="1:28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5"/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S23" s="1" t="str">
        <f>IF(OR($E23="",$F23=""),"",HYPERLINK(IF(OR(JobState="MI",JobState=""),"https://fema.maps.arcgis.com/apps/mapviewer/index.html?webmap=6a1702b9147243d1a5ee62cd614bc681&amp;center="&amp;$F23&amp;","&amp;$E23&amp;"&amp;level=16&amp;marker="&amp;$F23&amp;","&amp;$E23&amp;"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T23" s="5"/>
      <c r="U23" s="5"/>
      <c r="V23" s="5"/>
      <c r="W23" s="5"/>
      <c r="X23" s="5"/>
      <c r="Y23" s="5"/>
      <c r="Z23" s="5"/>
      <c r="AA23" s="5"/>
      <c r="AB23" s="1" t="str">
        <f>IF(OR(JobAgolMap="", $E23="", $F23=""),"",HYPERLINK(JobAgolMap&amp;IF(ISNUMBER(FIND("?",JobAgolMap)),"&amp;","?")&amp;"center="&amp;$F23&amp;","&amp;$E23&amp;"&amp;level=16&amp;marker="&amp;$F23&amp;","&amp;$E23,"Open"))</f>
        <v/>
      </c>
    </row>
    <row r="24" spans="1:28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5"/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S24" s="1" t="str">
        <f>IF(OR($E24="",$F24=""),"",HYPERLINK(IF(OR(JobState="MI",JobState=""),"https://fema.maps.arcgis.com/apps/mapviewer/index.html?webmap=6a1702b9147243d1a5ee62cd614bc681&amp;center="&amp;$F24&amp;","&amp;$E24&amp;"&amp;level=16&amp;marker="&amp;$F24&amp;","&amp;$E24&amp;"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T24" s="5"/>
      <c r="U24" s="5"/>
      <c r="V24" s="5"/>
      <c r="W24" s="5"/>
      <c r="X24" s="5"/>
      <c r="Y24" s="5"/>
      <c r="Z24" s="5"/>
      <c r="AA24" s="5"/>
      <c r="AB24" s="1" t="str">
        <f>IF(OR(JobAgolMap="", $E24="", $F24=""),"",HYPERLINK(JobAgolMap&amp;IF(ISNUMBER(FIND("?",JobAgolMap)),"&amp;","?")&amp;"center="&amp;$F24&amp;","&amp;$E24&amp;"&amp;level=16&amp;marker="&amp;$F24&amp;","&amp;$E24,"Open"))</f>
        <v/>
      </c>
    </row>
    <row r="25" spans="1:28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5"/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S25" s="1" t="str">
        <f>IF(OR($E25="",$F25=""),"",HYPERLINK(IF(OR(JobState="MI",JobState=""),"https://fema.maps.arcgis.com/apps/mapviewer/index.html?webmap=6a1702b9147243d1a5ee62cd614bc681&amp;center="&amp;$F25&amp;","&amp;$E25&amp;"&amp;level=16&amp;marker="&amp;$F25&amp;","&amp;$E25&amp;"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T25" s="5"/>
      <c r="U25" s="5"/>
      <c r="V25" s="5"/>
      <c r="W25" s="5"/>
      <c r="X25" s="5"/>
      <c r="Y25" s="5"/>
      <c r="Z25" s="5"/>
      <c r="AA25" s="5"/>
      <c r="AB25" s="1" t="str">
        <f>IF(OR(JobAgolMap="", $E25="", $F25=""),"",HYPERLINK(JobAgolMap&amp;IF(ISNUMBER(FIND("?",JobAgolMap)),"&amp;","?")&amp;"center="&amp;$F25&amp;","&amp;$E25&amp;"&amp;level=16&amp;marker="&amp;$F25&amp;","&amp;$E25,"Open"))</f>
        <v/>
      </c>
    </row>
    <row r="26" spans="1:28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5"/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S26" s="1" t="str">
        <f>IF(OR($E26="",$F26=""),"",HYPERLINK(IF(OR(JobState="MI",JobState=""),"https://fema.maps.arcgis.com/apps/mapviewer/index.html?webmap=6a1702b9147243d1a5ee62cd614bc681&amp;center="&amp;$F26&amp;","&amp;$E26&amp;"&amp;level=16&amp;marker="&amp;$F26&amp;","&amp;$E26&amp;"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T26" s="5"/>
      <c r="U26" s="5"/>
      <c r="V26" s="5"/>
      <c r="W26" s="5"/>
      <c r="X26" s="5"/>
      <c r="Y26" s="5"/>
      <c r="Z26" s="5"/>
      <c r="AA26" s="5"/>
      <c r="AB26" s="1" t="str">
        <f>IF(OR(JobAgolMap="", $E26="", $F26=""),"",HYPERLINK(JobAgolMap&amp;IF(ISNUMBER(FIND("?",JobAgolMap)),"&amp;","?")&amp;"center="&amp;$F26&amp;","&amp;$E26&amp;"&amp;level=16&amp;marker="&amp;$F26&amp;","&amp;$E26,"Open"))</f>
        <v/>
      </c>
    </row>
    <row r="27" spans="1:28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5"/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S27" s="1" t="str">
        <f>IF(OR($E27="",$F27=""),"",HYPERLINK(IF(OR(JobState="MI",JobState=""),"https://fema.maps.arcgis.com/apps/mapviewer/index.html?webmap=6a1702b9147243d1a5ee62cd614bc681&amp;center="&amp;$F27&amp;","&amp;$E27&amp;"&amp;level=16&amp;marker="&amp;$F27&amp;","&amp;$E27&amp;"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T27" s="5"/>
      <c r="U27" s="5"/>
      <c r="V27" s="5"/>
      <c r="W27" s="5"/>
      <c r="X27" s="5"/>
      <c r="Y27" s="5"/>
      <c r="Z27" s="5"/>
      <c r="AA27" s="5"/>
      <c r="AB27" s="1" t="str">
        <f>IF(OR(JobAgolMap="", $E27="", $F27=""),"",HYPERLINK(JobAgolMap&amp;IF(ISNUMBER(FIND("?",JobAgolMap)),"&amp;","?")&amp;"center="&amp;$F27&amp;","&amp;$E27&amp;"&amp;level=16&amp;marker="&amp;$F27&amp;","&amp;$E27,"Open"))</f>
        <v/>
      </c>
    </row>
    <row r="28" spans="1:28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5"/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S28" s="1" t="str">
        <f>IF(OR($E28="",$F28=""),"",HYPERLINK(IF(OR(JobState="MI",JobState=""),"https://fema.maps.arcgis.com/apps/mapviewer/index.html?webmap=6a1702b9147243d1a5ee62cd614bc681&amp;center="&amp;$F28&amp;","&amp;$E28&amp;"&amp;level=16&amp;marker="&amp;$F28&amp;","&amp;$E28&amp;"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T28" s="5"/>
      <c r="U28" s="5"/>
      <c r="V28" s="5"/>
      <c r="W28" s="5"/>
      <c r="X28" s="5"/>
      <c r="Y28" s="5"/>
      <c r="Z28" s="5"/>
      <c r="AA28" s="5"/>
      <c r="AB28" s="1" t="str">
        <f>IF(OR(JobAgolMap="", $E28="", $F28=""),"",HYPERLINK(JobAgolMap&amp;IF(ISNUMBER(FIND("?",JobAgolMap)),"&amp;","?")&amp;"center="&amp;$F28&amp;","&amp;$E28&amp;"&amp;level=16&amp;marker="&amp;$F28&amp;","&amp;$E28,"Open"))</f>
        <v/>
      </c>
    </row>
    <row r="29" spans="1:28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5"/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S29" s="1" t="str">
        <f>IF(OR($E29="",$F29=""),"",HYPERLINK(IF(OR(JobState="MI",JobState=""),"https://fema.maps.arcgis.com/apps/mapviewer/index.html?webmap=6a1702b9147243d1a5ee62cd614bc681&amp;center="&amp;$F29&amp;","&amp;$E29&amp;"&amp;level=16&amp;marker="&amp;$F29&amp;","&amp;$E29&amp;"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T29" s="5"/>
      <c r="U29" s="5"/>
      <c r="V29" s="5"/>
      <c r="W29" s="5"/>
      <c r="X29" s="5"/>
      <c r="Y29" s="5"/>
      <c r="Z29" s="5"/>
      <c r="AA29" s="5"/>
      <c r="AB29" s="1" t="str">
        <f>IF(OR(JobAgolMap="", $E29="", $F29=""),"",HYPERLINK(JobAgolMap&amp;IF(ISNUMBER(FIND("?",JobAgolMap)),"&amp;","?")&amp;"center="&amp;$F29&amp;","&amp;$E29&amp;"&amp;level=16&amp;marker="&amp;$F29&amp;","&amp;$E29,"Open"))</f>
        <v/>
      </c>
    </row>
    <row r="30" spans="1:28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5"/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S30" s="1" t="str">
        <f>IF(OR($E30="",$F30=""),"",HYPERLINK(IF(OR(JobState="MI",JobState=""),"https://fema.maps.arcgis.com/apps/mapviewer/index.html?webmap=6a1702b9147243d1a5ee62cd614bc681&amp;center="&amp;$F30&amp;","&amp;$E30&amp;"&amp;level=16&amp;marker="&amp;$F30&amp;","&amp;$E30&amp;"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T30" s="5"/>
      <c r="U30" s="5"/>
      <c r="V30" s="5"/>
      <c r="W30" s="5"/>
      <c r="X30" s="5"/>
      <c r="Y30" s="5"/>
      <c r="Z30" s="5"/>
      <c r="AA30" s="5"/>
      <c r="AB30" s="1" t="str">
        <f>IF(OR(JobAgolMap="", $E30="", $F30=""),"",HYPERLINK(JobAgolMap&amp;IF(ISNUMBER(FIND("?",JobAgolMap)),"&amp;","?")&amp;"center="&amp;$F30&amp;","&amp;$E30&amp;"&amp;level=16&amp;marker="&amp;$F30&amp;","&amp;$E30,"Open"))</f>
        <v/>
      </c>
    </row>
    <row r="31" spans="1:28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5"/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S31" s="1" t="str">
        <f>IF(OR($E31="",$F31=""),"",HYPERLINK(IF(OR(JobState="MI",JobState=""),"https://fema.maps.arcgis.com/apps/mapviewer/index.html?webmap=6a1702b9147243d1a5ee62cd614bc681&amp;center="&amp;$F31&amp;","&amp;$E31&amp;"&amp;level=16&amp;marker="&amp;$F31&amp;","&amp;$E31&amp;"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T31" s="5"/>
      <c r="U31" s="5"/>
      <c r="V31" s="5"/>
      <c r="W31" s="5"/>
      <c r="X31" s="5"/>
      <c r="Y31" s="5"/>
      <c r="Z31" s="5"/>
      <c r="AA31" s="5"/>
      <c r="AB31" s="1" t="str">
        <f>IF(OR(JobAgolMap="", $E31="", $F31=""),"",HYPERLINK(JobAgolMap&amp;IF(ISNUMBER(FIND("?",JobAgolMap)),"&amp;","?")&amp;"center="&amp;$F31&amp;","&amp;$E31&amp;"&amp;level=16&amp;marker="&amp;$F31&amp;","&amp;$E31,"Open"))</f>
        <v/>
      </c>
    </row>
    <row r="32" spans="1:28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5"/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S32" s="1" t="str">
        <f>IF(OR($E32="",$F32=""),"",HYPERLINK(IF(OR(JobState="MI",JobState=""),"https://fema.maps.arcgis.com/apps/mapviewer/index.html?webmap=6a1702b9147243d1a5ee62cd614bc681&amp;center="&amp;$F32&amp;","&amp;$E32&amp;"&amp;level=16&amp;marker="&amp;$F32&amp;","&amp;$E32&amp;"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T32" s="5"/>
      <c r="U32" s="5"/>
      <c r="V32" s="5"/>
      <c r="W32" s="5"/>
      <c r="X32" s="5"/>
      <c r="Y32" s="5"/>
      <c r="Z32" s="5"/>
      <c r="AA32" s="5"/>
      <c r="AB32" s="1" t="str">
        <f>IF(OR(JobAgolMap="", $E32="", $F32=""),"",HYPERLINK(JobAgolMap&amp;IF(ISNUMBER(FIND("?",JobAgolMap)),"&amp;","?")&amp;"center="&amp;$F32&amp;","&amp;$E32&amp;"&amp;level=16&amp;marker="&amp;$F32&amp;","&amp;$E32,"Open"))</f>
        <v/>
      </c>
    </row>
    <row r="33" spans="1:28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5"/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S33" s="1" t="str">
        <f>IF(OR($E33="",$F33=""),"",HYPERLINK(IF(OR(JobState="MI",JobState=""),"https://fema.maps.arcgis.com/apps/mapviewer/index.html?webmap=6a1702b9147243d1a5ee62cd614bc681&amp;center="&amp;$F33&amp;","&amp;$E33&amp;"&amp;level=16&amp;marker="&amp;$F33&amp;","&amp;$E33&amp;"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T33" s="5"/>
      <c r="U33" s="5"/>
      <c r="V33" s="5"/>
      <c r="W33" s="5"/>
      <c r="X33" s="5"/>
      <c r="Y33" s="5"/>
      <c r="Z33" s="5"/>
      <c r="AA33" s="5"/>
      <c r="AB33" s="1" t="str">
        <f>IF(OR(JobAgolMap="", $E33="", $F33=""),"",HYPERLINK(JobAgolMap&amp;IF(ISNUMBER(FIND("?",JobAgolMap)),"&amp;","?")&amp;"center="&amp;$F33&amp;","&amp;$E33&amp;"&amp;level=16&amp;marker="&amp;$F33&amp;","&amp;$E33,"Open"))</f>
        <v/>
      </c>
    </row>
    <row r="34" spans="1:28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5"/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S34" s="1" t="str">
        <f>IF(OR($E34="",$F34=""),"",HYPERLINK(IF(OR(JobState="MI",JobState=""),"https://fema.maps.arcgis.com/apps/mapviewer/index.html?webmap=6a1702b9147243d1a5ee62cd614bc681&amp;center="&amp;$F34&amp;","&amp;$E34&amp;"&amp;level=16&amp;marker="&amp;$F34&amp;","&amp;$E34&amp;"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T34" s="5"/>
      <c r="U34" s="5"/>
      <c r="V34" s="5"/>
      <c r="W34" s="5"/>
      <c r="X34" s="5"/>
      <c r="Y34" s="5"/>
      <c r="Z34" s="5"/>
      <c r="AA34" s="5"/>
      <c r="AB34" s="1" t="str">
        <f>IF(OR(JobAgolMap="", $E34="", $F34=""),"",HYPERLINK(JobAgolMap&amp;IF(ISNUMBER(FIND("?",JobAgolMap)),"&amp;","?")&amp;"center="&amp;$F34&amp;","&amp;$E34&amp;"&amp;level=16&amp;marker="&amp;$F34&amp;","&amp;$E34,"Open"))</f>
        <v/>
      </c>
    </row>
    <row r="35" spans="1:28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5"/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S35" s="1" t="str">
        <f>IF(OR($E35="",$F35=""),"",HYPERLINK(IF(OR(JobState="MI",JobState=""),"https://fema.maps.arcgis.com/apps/mapviewer/index.html?webmap=6a1702b9147243d1a5ee62cd614bc681&amp;center="&amp;$F35&amp;","&amp;$E35&amp;"&amp;level=16&amp;marker="&amp;$F35&amp;","&amp;$E35&amp;"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T35" s="5"/>
      <c r="U35" s="5"/>
      <c r="V35" s="5"/>
      <c r="W35" s="5"/>
      <c r="X35" s="5"/>
      <c r="Y35" s="5"/>
      <c r="Z35" s="5"/>
      <c r="AA35" s="5"/>
      <c r="AB35" s="1" t="str">
        <f>IF(OR(JobAgolMap="", $E35="", $F35=""),"",HYPERLINK(JobAgolMap&amp;IF(ISNUMBER(FIND("?",JobAgolMap)),"&amp;","?")&amp;"center="&amp;$F35&amp;","&amp;$E35&amp;"&amp;level=16&amp;marker="&amp;$F35&amp;","&amp;$E35,"Open"))</f>
        <v/>
      </c>
    </row>
    <row r="36" spans="1:28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5"/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S36" s="1" t="str">
        <f>IF(OR($E36="",$F36=""),"",HYPERLINK(IF(OR(JobState="MI",JobState=""),"https://fema.maps.arcgis.com/apps/mapviewer/index.html?webmap=6a1702b9147243d1a5ee62cd614bc681&amp;center="&amp;$F36&amp;","&amp;$E36&amp;"&amp;level=16&amp;marker="&amp;$F36&amp;","&amp;$E36&amp;"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T36" s="5"/>
      <c r="U36" s="5"/>
      <c r="V36" s="5"/>
      <c r="W36" s="5"/>
      <c r="X36" s="5"/>
      <c r="Y36" s="5"/>
      <c r="Z36" s="5"/>
      <c r="AA36" s="5"/>
      <c r="AB36" s="1" t="str">
        <f>IF(OR(JobAgolMap="", $E36="", $F36=""),"",HYPERLINK(JobAgolMap&amp;IF(ISNUMBER(FIND("?",JobAgolMap)),"&amp;","?")&amp;"center="&amp;$F36&amp;","&amp;$E36&amp;"&amp;level=16&amp;marker="&amp;$F36&amp;","&amp;$E36,"Open"))</f>
        <v/>
      </c>
    </row>
    <row r="37" spans="1:28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5"/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S37" s="1" t="str">
        <f>IF(OR($E37="",$F37=""),"",HYPERLINK(IF(OR(JobState="MI",JobState=""),"https://fema.maps.arcgis.com/apps/mapviewer/index.html?webmap=6a1702b9147243d1a5ee62cd614bc681&amp;center="&amp;$F37&amp;","&amp;$E37&amp;"&amp;level=16&amp;marker="&amp;$F37&amp;","&amp;$E37&amp;"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T37" s="5"/>
      <c r="U37" s="5"/>
      <c r="V37" s="5"/>
      <c r="W37" s="5"/>
      <c r="X37" s="5"/>
      <c r="Y37" s="5"/>
      <c r="Z37" s="5"/>
      <c r="AA37" s="5"/>
      <c r="AB37" s="1" t="str">
        <f>IF(OR(JobAgolMap="", $E37="", $F37=""),"",HYPERLINK(JobAgolMap&amp;IF(ISNUMBER(FIND("?",JobAgolMap)),"&amp;","?")&amp;"center="&amp;$F37&amp;","&amp;$E37&amp;"&amp;level=16&amp;marker="&amp;$F37&amp;","&amp;$E37,"Open"))</f>
        <v/>
      </c>
    </row>
    <row r="38" spans="1:28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5"/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S38" s="1" t="str">
        <f>IF(OR($E38="",$F38=""),"",HYPERLINK(IF(OR(JobState="MI",JobState=""),"https://fema.maps.arcgis.com/apps/mapviewer/index.html?webmap=6a1702b9147243d1a5ee62cd614bc681&amp;center="&amp;$F38&amp;","&amp;$E38&amp;"&amp;level=16&amp;marker="&amp;$F38&amp;","&amp;$E38&amp;"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T38" s="5"/>
      <c r="U38" s="5"/>
      <c r="V38" s="5"/>
      <c r="W38" s="5"/>
      <c r="X38" s="5"/>
      <c r="Y38" s="5"/>
      <c r="Z38" s="5"/>
      <c r="AA38" s="5"/>
      <c r="AB38" s="1" t="str">
        <f>IF(OR(JobAgolMap="", $E38="", $F38=""),"",HYPERLINK(JobAgolMap&amp;IF(ISNUMBER(FIND("?",JobAgolMap)),"&amp;","?")&amp;"center="&amp;$F38&amp;","&amp;$E38&amp;"&amp;level=16&amp;marker="&amp;$F38&amp;","&amp;$E38,"Open"))</f>
        <v/>
      </c>
    </row>
    <row r="39" spans="1:28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5"/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S39" s="1" t="str">
        <f>IF(OR($E39="",$F39=""),"",HYPERLINK(IF(OR(JobState="MI",JobState=""),"https://fema.maps.arcgis.com/apps/mapviewer/index.html?webmap=6a1702b9147243d1a5ee62cd614bc681&amp;center="&amp;$F39&amp;","&amp;$E39&amp;"&amp;level=16&amp;marker="&amp;$F39&amp;","&amp;$E39&amp;"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T39" s="5"/>
      <c r="U39" s="5"/>
      <c r="V39" s="5"/>
      <c r="W39" s="5"/>
      <c r="X39" s="5"/>
      <c r="Y39" s="5"/>
      <c r="Z39" s="5"/>
      <c r="AA39" s="5"/>
      <c r="AB39" s="1" t="str">
        <f>IF(OR(JobAgolMap="", $E39="", $F39=""),"",HYPERLINK(JobAgolMap&amp;IF(ISNUMBER(FIND("?",JobAgolMap)),"&amp;","?")&amp;"center="&amp;$F39&amp;","&amp;$E39&amp;"&amp;level=16&amp;marker="&amp;$F39&amp;","&amp;$E39,"Open"))</f>
        <v/>
      </c>
    </row>
    <row r="40" spans="1:28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5"/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S40" s="1" t="str">
        <f>IF(OR($E40="",$F40=""),"",HYPERLINK(IF(OR(JobState="MI",JobState=""),"https://fema.maps.arcgis.com/apps/mapviewer/index.html?webmap=6a1702b9147243d1a5ee62cd614bc681&amp;center="&amp;$F40&amp;","&amp;$E40&amp;"&amp;level=16&amp;marker="&amp;$F40&amp;","&amp;$E40&amp;"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T40" s="5"/>
      <c r="U40" s="5"/>
      <c r="V40" s="5"/>
      <c r="W40" s="5"/>
      <c r="X40" s="5"/>
      <c r="Y40" s="5"/>
      <c r="Z40" s="5"/>
      <c r="AA40" s="5"/>
      <c r="AB40" s="1" t="str">
        <f>IF(OR(JobAgolMap="", $E40="", $F40=""),"",HYPERLINK(JobAgolMap&amp;IF(ISNUMBER(FIND("?",JobAgolMap)),"&amp;","?")&amp;"center="&amp;$F40&amp;","&amp;$E40&amp;"&amp;level=16&amp;marker="&amp;$F40&amp;","&amp;$E40,"Open"))</f>
        <v/>
      </c>
    </row>
    <row r="41" spans="1:28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5"/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S41" s="1" t="str">
        <f>IF(OR($E41="",$F41=""),"",HYPERLINK(IF(OR(JobState="MI",JobState=""),"https://fema.maps.arcgis.com/apps/mapviewer/index.html?webmap=6a1702b9147243d1a5ee62cd614bc681&amp;center="&amp;$F41&amp;","&amp;$E41&amp;"&amp;level=16&amp;marker="&amp;$F41&amp;","&amp;$E41&amp;"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T41" s="5"/>
      <c r="U41" s="5"/>
      <c r="V41" s="5"/>
      <c r="W41" s="5"/>
      <c r="X41" s="5"/>
      <c r="Y41" s="5"/>
      <c r="Z41" s="5"/>
      <c r="AA41" s="5"/>
      <c r="AB41" s="1" t="str">
        <f>IF(OR(JobAgolMap="", $E41="", $F41=""),"",HYPERLINK(JobAgolMap&amp;IF(ISNUMBER(FIND("?",JobAgolMap)),"&amp;","?")&amp;"center="&amp;$F41&amp;","&amp;$E41&amp;"&amp;level=16&amp;marker="&amp;$F41&amp;","&amp;$E41,"Open"))</f>
        <v/>
      </c>
    </row>
    <row r="42" spans="1:28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5"/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S42" s="1" t="str">
        <f>IF(OR($E42="",$F42=""),"",HYPERLINK(IF(OR(JobState="MI",JobState=""),"https://fema.maps.arcgis.com/apps/mapviewer/index.html?webmap=6a1702b9147243d1a5ee62cd614bc681&amp;center="&amp;$F42&amp;","&amp;$E42&amp;"&amp;level=16&amp;marker="&amp;$F42&amp;","&amp;$E42&amp;"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T42" s="5"/>
      <c r="U42" s="5"/>
      <c r="V42" s="5"/>
      <c r="W42" s="5"/>
      <c r="X42" s="5"/>
      <c r="Y42" s="5"/>
      <c r="Z42" s="5"/>
      <c r="AA42" s="5"/>
      <c r="AB42" s="1" t="str">
        <f>IF(OR(JobAgolMap="", $E42="", $F42=""),"",HYPERLINK(JobAgolMap&amp;IF(ISNUMBER(FIND("?",JobAgolMap)),"&amp;","?")&amp;"center="&amp;$F42&amp;","&amp;$E42&amp;"&amp;level=16&amp;marker="&amp;$F42&amp;","&amp;$E42,"Open"))</f>
        <v/>
      </c>
    </row>
    <row r="43" spans="1:28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5"/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S43" s="1" t="str">
        <f>IF(OR($E43="",$F43=""),"",HYPERLINK(IF(OR(JobState="MI",JobState=""),"https://fema.maps.arcgis.com/apps/mapviewer/index.html?webmap=6a1702b9147243d1a5ee62cd614bc681&amp;center="&amp;$F43&amp;","&amp;$E43&amp;"&amp;level=16&amp;marker="&amp;$F43&amp;","&amp;$E43&amp;"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T43" s="5"/>
      <c r="U43" s="5"/>
      <c r="V43" s="5"/>
      <c r="W43" s="5"/>
      <c r="X43" s="5"/>
      <c r="Y43" s="5"/>
      <c r="Z43" s="5"/>
      <c r="AA43" s="5"/>
      <c r="AB43" s="1" t="str">
        <f>IF(OR(JobAgolMap="", $E43="", $F43=""),"",HYPERLINK(JobAgolMap&amp;IF(ISNUMBER(FIND("?",JobAgolMap)),"&amp;","?")&amp;"center="&amp;$F43&amp;","&amp;$E43&amp;"&amp;level=16&amp;marker="&amp;$F43&amp;","&amp;$E43,"Open"))</f>
        <v/>
      </c>
    </row>
    <row r="44" spans="1:28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5"/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S44" s="1" t="str">
        <f>IF(OR($E44="",$F44=""),"",HYPERLINK(IF(OR(JobState="MI",JobState=""),"https://fema.maps.arcgis.com/apps/mapviewer/index.html?webmap=6a1702b9147243d1a5ee62cd614bc681&amp;center="&amp;$F44&amp;","&amp;$E44&amp;"&amp;level=16&amp;marker="&amp;$F44&amp;","&amp;$E44&amp;"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T44" s="5"/>
      <c r="U44" s="5"/>
      <c r="V44" s="5"/>
      <c r="W44" s="5"/>
      <c r="X44" s="5"/>
      <c r="Y44" s="5"/>
      <c r="Z44" s="5"/>
      <c r="AA44" s="5"/>
      <c r="AB44" s="1" t="str">
        <f>IF(OR(JobAgolMap="", $E44="", $F44=""),"",HYPERLINK(JobAgolMap&amp;IF(ISNUMBER(FIND("?",JobAgolMap)),"&amp;","?")&amp;"center="&amp;$F44&amp;","&amp;$E44&amp;"&amp;level=16&amp;marker="&amp;$F44&amp;","&amp;$E44,"Open"))</f>
        <v/>
      </c>
    </row>
    <row r="45" spans="1:28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5"/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S45" s="1" t="str">
        <f>IF(OR($E45="",$F45=""),"",HYPERLINK(IF(OR(JobState="MI",JobState=""),"https://fema.maps.arcgis.com/apps/mapviewer/index.html?webmap=6a1702b9147243d1a5ee62cd614bc681&amp;center="&amp;$F45&amp;","&amp;$E45&amp;"&amp;level=16&amp;marker="&amp;$F45&amp;","&amp;$E45&amp;"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T45" s="5"/>
      <c r="U45" s="5"/>
      <c r="V45" s="5"/>
      <c r="W45" s="5"/>
      <c r="X45" s="5"/>
      <c r="Y45" s="5"/>
      <c r="Z45" s="5"/>
      <c r="AA45" s="5"/>
      <c r="AB45" s="1" t="str">
        <f>IF(OR(JobAgolMap="", $E45="", $F45=""),"",HYPERLINK(JobAgolMap&amp;IF(ISNUMBER(FIND("?",JobAgolMap)),"&amp;","?")&amp;"center="&amp;$F45&amp;","&amp;$E45&amp;"&amp;level=16&amp;marker="&amp;$F45&amp;","&amp;$E45,"Open"))</f>
        <v/>
      </c>
    </row>
    <row r="46" spans="1:28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5"/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S46" s="1" t="str">
        <f>IF(OR($E46="",$F46=""),"",HYPERLINK(IF(OR(JobState="MI",JobState=""),"https://fema.maps.arcgis.com/apps/mapviewer/index.html?webmap=6a1702b9147243d1a5ee62cd614bc681&amp;center="&amp;$F46&amp;","&amp;$E46&amp;"&amp;level=16&amp;marker="&amp;$F46&amp;","&amp;$E46&amp;"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T46" s="5"/>
      <c r="U46" s="5"/>
      <c r="V46" s="5"/>
      <c r="W46" s="5"/>
      <c r="X46" s="5"/>
      <c r="Y46" s="5"/>
      <c r="Z46" s="5"/>
      <c r="AA46" s="5"/>
      <c r="AB46" s="1" t="str">
        <f>IF(OR(JobAgolMap="", $E46="", $F46=""),"",HYPERLINK(JobAgolMap&amp;IF(ISNUMBER(FIND("?",JobAgolMap)),"&amp;","?")&amp;"center="&amp;$F46&amp;","&amp;$E46&amp;"&amp;level=16&amp;marker="&amp;$F46&amp;","&amp;$E46,"Open"))</f>
        <v/>
      </c>
    </row>
    <row r="47" spans="1:28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5"/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S47" s="1" t="str">
        <f>IF(OR($E47="",$F47=""),"",HYPERLINK(IF(OR(JobState="MI",JobState=""),"https://fema.maps.arcgis.com/apps/mapviewer/index.html?webmap=6a1702b9147243d1a5ee62cd614bc681&amp;center="&amp;$F47&amp;","&amp;$E47&amp;"&amp;level=16&amp;marker="&amp;$F47&amp;","&amp;$E47&amp;"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T47" s="5"/>
      <c r="U47" s="5"/>
      <c r="V47" s="5"/>
      <c r="W47" s="5"/>
      <c r="X47" s="5"/>
      <c r="Y47" s="5"/>
      <c r="Z47" s="5"/>
      <c r="AA47" s="5"/>
      <c r="AB47" s="1" t="str">
        <f>IF(OR(JobAgolMap="", $E47="", $F47=""),"",HYPERLINK(JobAgolMap&amp;IF(ISNUMBER(FIND("?",JobAgolMap)),"&amp;","?")&amp;"center="&amp;$F47&amp;","&amp;$E47&amp;"&amp;level=16&amp;marker="&amp;$F47&amp;","&amp;$E47,"Open"))</f>
        <v/>
      </c>
    </row>
    <row r="48" spans="1:28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5"/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S48" s="1" t="str">
        <f>IF(OR($E48="",$F48=""),"",HYPERLINK(IF(OR(JobState="MI",JobState=""),"https://fema.maps.arcgis.com/apps/mapviewer/index.html?webmap=6a1702b9147243d1a5ee62cd614bc681&amp;center="&amp;$F48&amp;","&amp;$E48&amp;"&amp;level=16&amp;marker="&amp;$F48&amp;","&amp;$E48&amp;"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T48" s="5"/>
      <c r="U48" s="5"/>
      <c r="V48" s="5"/>
      <c r="W48" s="5"/>
      <c r="X48" s="5"/>
      <c r="Y48" s="5"/>
      <c r="Z48" s="5"/>
      <c r="AA48" s="5"/>
      <c r="AB48" s="1" t="str">
        <f>IF(OR(JobAgolMap="", $E48="", $F48=""),"",HYPERLINK(JobAgolMap&amp;IF(ISNUMBER(FIND("?",JobAgolMap)),"&amp;","?")&amp;"center="&amp;$F48&amp;","&amp;$E48&amp;"&amp;level=16&amp;marker="&amp;$F48&amp;","&amp;$E48,"Open"))</f>
        <v/>
      </c>
    </row>
    <row r="49" spans="1:28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5"/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S49" s="1" t="str">
        <f>IF(OR($E49="",$F49=""),"",HYPERLINK(IF(OR(JobState="MI",JobState=""),"https://fema.maps.arcgis.com/apps/mapviewer/index.html?webmap=6a1702b9147243d1a5ee62cd614bc681&amp;center="&amp;$F49&amp;","&amp;$E49&amp;"&amp;level=16&amp;marker="&amp;$F49&amp;","&amp;$E49&amp;"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T49" s="5"/>
      <c r="U49" s="5"/>
      <c r="V49" s="5"/>
      <c r="W49" s="5"/>
      <c r="X49" s="5"/>
      <c r="Y49" s="5"/>
      <c r="Z49" s="5"/>
      <c r="AA49" s="5"/>
      <c r="AB49" s="1" t="str">
        <f>IF(OR(JobAgolMap="", $E49="", $F49=""),"",HYPERLINK(JobAgolMap&amp;IF(ISNUMBER(FIND("?",JobAgolMap)),"&amp;","?")&amp;"center="&amp;$F49&amp;","&amp;$E49&amp;"&amp;level=16&amp;marker="&amp;$F49&amp;","&amp;$E49,"Open"))</f>
        <v/>
      </c>
    </row>
    <row r="50" spans="1:28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5"/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S50" s="1" t="str">
        <f>IF(OR($E50="",$F50=""),"",HYPERLINK(IF(OR(JobState="MI",JobState=""),"https://fema.maps.arcgis.com/apps/mapviewer/index.html?webmap=6a1702b9147243d1a5ee62cd614bc681&amp;center="&amp;$F50&amp;","&amp;$E50&amp;"&amp;level=16&amp;marker="&amp;$F50&amp;","&amp;$E50&amp;"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T50" s="5"/>
      <c r="U50" s="5"/>
      <c r="V50" s="5"/>
      <c r="W50" s="5"/>
      <c r="X50" s="5"/>
      <c r="Y50" s="5"/>
      <c r="Z50" s="5"/>
      <c r="AA50" s="5"/>
      <c r="AB50" s="1" t="str">
        <f>IF(OR(JobAgolMap="", $E50="", $F50=""),"",HYPERLINK(JobAgolMap&amp;IF(ISNUMBER(FIND("?",JobAgolMap)),"&amp;","?")&amp;"center="&amp;$F50&amp;","&amp;$E50&amp;"&amp;level=16&amp;marker="&amp;$F50&amp;","&amp;$E50,"Open"))</f>
        <v/>
      </c>
    </row>
    <row r="51" spans="1:28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5"/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S51" s="1" t="str">
        <f>IF(OR($E51="",$F51=""),"",HYPERLINK(IF(OR(JobState="MI",JobState=""),"https://fema.maps.arcgis.com/apps/mapviewer/index.html?webmap=6a1702b9147243d1a5ee62cd614bc681&amp;center="&amp;$F51&amp;","&amp;$E51&amp;"&amp;level=16&amp;marker="&amp;$F51&amp;","&amp;$E51&amp;"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T51" s="5"/>
      <c r="U51" s="5"/>
      <c r="V51" s="5"/>
      <c r="W51" s="5"/>
      <c r="X51" s="5"/>
      <c r="Y51" s="5"/>
      <c r="Z51" s="5"/>
      <c r="AA51" s="5"/>
      <c r="AB51" s="1" t="str">
        <f>IF(OR(JobAgolMap="", $E51="", $F51=""),"",HYPERLINK(JobAgolMap&amp;IF(ISNUMBER(FIND("?",JobAgolMap)),"&amp;","?")&amp;"center="&amp;$F51&amp;","&amp;$E51&amp;"&amp;level=16&amp;marker="&amp;$F51&amp;","&amp;$E51,"Open"))</f>
        <v/>
      </c>
    </row>
    <row r="52" spans="1:28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5"/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S52" s="1" t="str">
        <f>IF(OR($E52="",$F52=""),"",HYPERLINK(IF(OR(JobState="MI",JobState=""),"https://fema.maps.arcgis.com/apps/mapviewer/index.html?webmap=6a1702b9147243d1a5ee62cd614bc681&amp;center="&amp;$F52&amp;","&amp;$E52&amp;"&amp;level=16&amp;marker="&amp;$F52&amp;","&amp;$E52&amp;"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T52" s="5"/>
      <c r="U52" s="5"/>
      <c r="V52" s="5"/>
      <c r="W52" s="5"/>
      <c r="X52" s="5"/>
      <c r="Y52" s="5"/>
      <c r="Z52" s="5"/>
      <c r="AA52" s="5"/>
      <c r="AB52" s="1" t="str">
        <f>IF(OR(JobAgolMap="", $E52="", $F52=""),"",HYPERLINK(JobAgolMap&amp;IF(ISNUMBER(FIND("?",JobAgolMap)),"&amp;","?")&amp;"center="&amp;$F52&amp;","&amp;$E52&amp;"&amp;level=16&amp;marker="&amp;$F52&amp;","&amp;$E52,"Open"))</f>
        <v/>
      </c>
    </row>
    <row r="53" spans="1:28" x14ac:dyDescent="0.4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5"/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S53" s="1" t="str">
        <f>IF(OR($E53="",$F53=""),"",HYPERLINK(IF(OR(JobState="MI",JobState=""),"https://fema.maps.arcgis.com/apps/mapviewer/index.html?webmap=6a1702b9147243d1a5ee62cd614bc681&amp;center="&amp;$F53&amp;","&amp;$E53&amp;"&amp;level=16&amp;marker="&amp;$F53&amp;","&amp;$E53&amp;"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T53" s="5"/>
      <c r="U53" s="5"/>
      <c r="V53" s="5"/>
      <c r="W53" s="5"/>
      <c r="X53" s="5"/>
      <c r="Y53" s="5"/>
      <c r="Z53" s="5"/>
      <c r="AA53" s="5"/>
      <c r="AB53" s="1" t="str">
        <f>IF(OR(JobAgolMap="", $E53="", $F53=""),"",HYPERLINK(JobAgolMap&amp;IF(ISNUMBER(FIND("?",JobAgolMap)),"&amp;","?")&amp;"center="&amp;$F53&amp;","&amp;$E53&amp;"&amp;level=16&amp;marker="&amp;$F53&amp;","&amp;$E53,"Open"))</f>
        <v/>
      </c>
    </row>
    <row r="54" spans="1:28" x14ac:dyDescent="0.4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5"/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S54" s="1" t="str">
        <f>IF(OR($E54="",$F54=""),"",HYPERLINK(IF(OR(JobState="MI",JobState=""),"https://fema.maps.arcgis.com/apps/mapviewer/index.html?webmap=6a1702b9147243d1a5ee62cd614bc681&amp;center="&amp;$F54&amp;","&amp;$E54&amp;"&amp;level=16&amp;marker="&amp;$F54&amp;","&amp;$E54&amp;"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T54" s="5"/>
      <c r="U54" s="5"/>
      <c r="V54" s="5"/>
      <c r="W54" s="5"/>
      <c r="X54" s="5"/>
      <c r="Y54" s="5"/>
      <c r="Z54" s="5"/>
      <c r="AA54" s="5"/>
      <c r="AB54" s="1" t="str">
        <f>IF(OR(JobAgolMap="", $E54="", $F54=""),"",HYPERLINK(JobAgolMap&amp;IF(ISNUMBER(FIND("?",JobAgolMap)),"&amp;","?")&amp;"center="&amp;$F54&amp;","&amp;$E54&amp;"&amp;level=16&amp;marker="&amp;$F54&amp;","&amp;$E54,"Open"))</f>
        <v/>
      </c>
    </row>
    <row r="55" spans="1:28" x14ac:dyDescent="0.4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5"/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S55" s="1" t="str">
        <f>IF(OR($E55="",$F55=""),"",HYPERLINK(IF(OR(JobState="MI",JobState=""),"https://fema.maps.arcgis.com/apps/mapviewer/index.html?webmap=6a1702b9147243d1a5ee62cd614bc681&amp;center="&amp;$F55&amp;","&amp;$E55&amp;"&amp;level=16&amp;marker="&amp;$F55&amp;","&amp;$E55&amp;"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T55" s="5"/>
      <c r="U55" s="5"/>
      <c r="V55" s="5"/>
      <c r="W55" s="5"/>
      <c r="X55" s="5"/>
      <c r="Y55" s="5"/>
      <c r="Z55" s="5"/>
      <c r="AA55" s="5"/>
      <c r="AB55" s="1" t="str">
        <f>IF(OR(JobAgolMap="", $E55="", $F55=""),"",HYPERLINK(JobAgolMap&amp;IF(ISNUMBER(FIND("?",JobAgolMap)),"&amp;","?")&amp;"center="&amp;$F55&amp;","&amp;$E55&amp;"&amp;level=16&amp;marker="&amp;$F55&amp;","&amp;$E55,"Open"))</f>
        <v/>
      </c>
    </row>
    <row r="56" spans="1:28" x14ac:dyDescent="0.4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5"/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S56" s="1" t="str">
        <f>IF(OR($E56="",$F56=""),"",HYPERLINK(IF(OR(JobState="MI",JobState=""),"https://fema.maps.arcgis.com/apps/mapviewer/index.html?webmap=6a1702b9147243d1a5ee62cd614bc681&amp;center="&amp;$F56&amp;","&amp;$E56&amp;"&amp;level=16&amp;marker="&amp;$F56&amp;","&amp;$E56&amp;"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T56" s="5"/>
      <c r="U56" s="5"/>
      <c r="V56" s="5"/>
      <c r="W56" s="5"/>
      <c r="X56" s="5"/>
      <c r="Y56" s="5"/>
      <c r="Z56" s="5"/>
      <c r="AA56" s="5"/>
      <c r="AB56" s="1" t="str">
        <f>IF(OR(JobAgolMap="", $E56="", $F56=""),"",HYPERLINK(JobAgolMap&amp;IF(ISNUMBER(FIND("?",JobAgolMap)),"&amp;","?")&amp;"center="&amp;$F56&amp;","&amp;$E56&amp;"&amp;level=16&amp;marker="&amp;$F56&amp;","&amp;$E56,"Open"))</f>
        <v/>
      </c>
    </row>
    <row r="57" spans="1:28" x14ac:dyDescent="0.4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5"/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S57" s="1" t="str">
        <f>IF(OR($E57="",$F57=""),"",HYPERLINK(IF(OR(JobState="MI",JobState=""),"https://fema.maps.arcgis.com/apps/mapviewer/index.html?webmap=6a1702b9147243d1a5ee62cd614bc681&amp;center="&amp;$F57&amp;","&amp;$E57&amp;"&amp;level=16&amp;marker="&amp;$F57&amp;","&amp;$E57&amp;"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T57" s="5"/>
      <c r="U57" s="5"/>
      <c r="V57" s="5"/>
      <c r="W57" s="5"/>
      <c r="X57" s="5"/>
      <c r="Y57" s="5"/>
      <c r="Z57" s="5"/>
      <c r="AA57" s="5"/>
      <c r="AB57" s="1" t="str">
        <f>IF(OR(JobAgolMap="", $E57="", $F57=""),"",HYPERLINK(JobAgolMap&amp;IF(ISNUMBER(FIND("?",JobAgolMap)),"&amp;","?")&amp;"center="&amp;$F57&amp;","&amp;$E57&amp;"&amp;level=16&amp;marker="&amp;$F57&amp;","&amp;$E57,"Open"))</f>
        <v/>
      </c>
    </row>
    <row r="58" spans="1:28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5"/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S58" s="1" t="str">
        <f>IF(OR($E58="",$F58=""),"",HYPERLINK(IF(OR(JobState="MI",JobState=""),"https://fema.maps.arcgis.com/apps/mapviewer/index.html?webmap=6a1702b9147243d1a5ee62cd614bc681&amp;center="&amp;$F58&amp;","&amp;$E58&amp;"&amp;level=16&amp;marker="&amp;$F58&amp;","&amp;$E58&amp;"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T58" s="5"/>
      <c r="U58" s="5"/>
      <c r="V58" s="5"/>
      <c r="W58" s="5"/>
      <c r="X58" s="5"/>
      <c r="Y58" s="5"/>
      <c r="Z58" s="5"/>
      <c r="AA58" s="5"/>
      <c r="AB58" s="1" t="str">
        <f>IF(OR(JobAgolMap="", $E58="", $F58=""),"",HYPERLINK(JobAgolMap&amp;IF(ISNUMBER(FIND("?",JobAgolMap)),"&amp;","?")&amp;"center="&amp;$F58&amp;","&amp;$E58&amp;"&amp;level=16&amp;marker="&amp;$F58&amp;","&amp;$E58,"Open"))</f>
        <v/>
      </c>
    </row>
    <row r="59" spans="1:28" x14ac:dyDescent="0.4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5"/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S59" s="1" t="str">
        <f>IF(OR($E59="",$F59=""),"",HYPERLINK(IF(OR(JobState="MI",JobState=""),"https://fema.maps.arcgis.com/apps/mapviewer/index.html?webmap=6a1702b9147243d1a5ee62cd614bc681&amp;center="&amp;$F59&amp;","&amp;$E59&amp;"&amp;level=16&amp;marker="&amp;$F59&amp;","&amp;$E59&amp;"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T59" s="5"/>
      <c r="U59" s="5"/>
      <c r="V59" s="5"/>
      <c r="W59" s="5"/>
      <c r="X59" s="5"/>
      <c r="Y59" s="5"/>
      <c r="Z59" s="5"/>
      <c r="AA59" s="5"/>
      <c r="AB59" s="1" t="str">
        <f>IF(OR(JobAgolMap="", $E59="", $F59=""),"",HYPERLINK(JobAgolMap&amp;IF(ISNUMBER(FIND("?",JobAgolMap)),"&amp;","?")&amp;"center="&amp;$F59&amp;","&amp;$E59&amp;"&amp;level=16&amp;marker="&amp;$F59&amp;","&amp;$E59,"Open"))</f>
        <v/>
      </c>
    </row>
    <row r="60" spans="1:28" x14ac:dyDescent="0.4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5"/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S60" s="1" t="str">
        <f>IF(OR($E60="",$F60=""),"",HYPERLINK(IF(OR(JobState="MI",JobState=""),"https://fema.maps.arcgis.com/apps/mapviewer/index.html?webmap=6a1702b9147243d1a5ee62cd614bc681&amp;center="&amp;$F60&amp;","&amp;$E60&amp;"&amp;level=16&amp;marker="&amp;$F60&amp;","&amp;$E60&amp;"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T60" s="5"/>
      <c r="U60" s="5"/>
      <c r="V60" s="5"/>
      <c r="W60" s="5"/>
      <c r="X60" s="5"/>
      <c r="Y60" s="5"/>
      <c r="Z60" s="5"/>
      <c r="AA60" s="5"/>
      <c r="AB60" s="1" t="str">
        <f>IF(OR(JobAgolMap="", $E60="", $F60=""),"",HYPERLINK(JobAgolMap&amp;IF(ISNUMBER(FIND("?",JobAgolMap)),"&amp;","?")&amp;"center="&amp;$F60&amp;","&amp;$E60&amp;"&amp;level=16&amp;marker="&amp;$F60&amp;","&amp;$E60,"Open"))</f>
        <v/>
      </c>
    </row>
    <row r="61" spans="1:28" x14ac:dyDescent="0.4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5"/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S61" s="1" t="str">
        <f>IF(OR($E61="",$F61=""),"",HYPERLINK(IF(OR(JobState="MI",JobState=""),"https://fema.maps.arcgis.com/apps/mapviewer/index.html?webmap=6a1702b9147243d1a5ee62cd614bc681&amp;center="&amp;$F61&amp;","&amp;$E61&amp;"&amp;level=16&amp;marker="&amp;$F61&amp;","&amp;$E61&amp;"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T61" s="5"/>
      <c r="U61" s="5"/>
      <c r="V61" s="5"/>
      <c r="W61" s="5"/>
      <c r="X61" s="5"/>
      <c r="Y61" s="5"/>
      <c r="Z61" s="5"/>
      <c r="AA61" s="5"/>
      <c r="AB61" s="1" t="str">
        <f>IF(OR(JobAgolMap="", $E61="", $F61=""),"",HYPERLINK(JobAgolMap&amp;IF(ISNUMBER(FIND("?",JobAgolMap)),"&amp;","?")&amp;"center="&amp;$F61&amp;","&amp;$E61&amp;"&amp;level=16&amp;marker="&amp;$F61&amp;","&amp;$E61,"Open"))</f>
        <v/>
      </c>
    </row>
    <row r="62" spans="1:28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5"/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S62" s="1" t="str">
        <f>IF(OR($E62="",$F62=""),"",HYPERLINK(IF(OR(JobState="MI",JobState=""),"https://fema.maps.arcgis.com/apps/mapviewer/index.html?webmap=6a1702b9147243d1a5ee62cd614bc681&amp;center="&amp;$F62&amp;","&amp;$E62&amp;"&amp;level=16&amp;marker="&amp;$F62&amp;","&amp;$E62&amp;"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T62" s="5"/>
      <c r="U62" s="5"/>
      <c r="V62" s="5"/>
      <c r="W62" s="5"/>
      <c r="X62" s="5"/>
      <c r="Y62" s="5"/>
      <c r="Z62" s="5"/>
      <c r="AA62" s="5"/>
      <c r="AB62" s="1" t="str">
        <f>IF(OR(JobAgolMap="", $E62="", $F62=""),"",HYPERLINK(JobAgolMap&amp;IF(ISNUMBER(FIND("?",JobAgolMap)),"&amp;","?")&amp;"center="&amp;$F62&amp;","&amp;$E62&amp;"&amp;level=16&amp;marker="&amp;$F62&amp;","&amp;$E62,"Open"))</f>
        <v/>
      </c>
    </row>
    <row r="63" spans="1:28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5"/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S63" s="1" t="str">
        <f>IF(OR($E63="",$F63=""),"",HYPERLINK(IF(OR(JobState="MI",JobState=""),"https://fema.maps.arcgis.com/apps/mapviewer/index.html?webmap=6a1702b9147243d1a5ee62cd614bc681&amp;center="&amp;$F63&amp;","&amp;$E63&amp;"&amp;level=16&amp;marker="&amp;$F63&amp;","&amp;$E63&amp;"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T63" s="5"/>
      <c r="U63" s="5"/>
      <c r="V63" s="5"/>
      <c r="W63" s="5"/>
      <c r="X63" s="5"/>
      <c r="Y63" s="5"/>
      <c r="Z63" s="5"/>
      <c r="AA63" s="5"/>
      <c r="AB63" s="1" t="str">
        <f>IF(OR(JobAgolMap="", $E63="", $F63=""),"",HYPERLINK(JobAgolMap&amp;IF(ISNUMBER(FIND("?",JobAgolMap)),"&amp;","?")&amp;"center="&amp;$F63&amp;","&amp;$E63&amp;"&amp;level=16&amp;marker="&amp;$F63&amp;","&amp;$E63,"Open"))</f>
        <v/>
      </c>
    </row>
    <row r="64" spans="1:28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5"/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S64" s="1" t="str">
        <f>IF(OR($E64="",$F64=""),"",HYPERLINK(IF(OR(JobState="MI",JobState=""),"https://fema.maps.arcgis.com/apps/mapviewer/index.html?webmap=6a1702b9147243d1a5ee62cd614bc681&amp;center="&amp;$F64&amp;","&amp;$E64&amp;"&amp;level=16&amp;marker="&amp;$F64&amp;","&amp;$E64&amp;"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T64" s="5"/>
      <c r="U64" s="5"/>
      <c r="V64" s="5"/>
      <c r="W64" s="5"/>
      <c r="X64" s="5"/>
      <c r="Y64" s="5"/>
      <c r="Z64" s="5"/>
      <c r="AA64" s="5"/>
      <c r="AB64" s="1" t="str">
        <f>IF(OR(JobAgolMap="", $E64="", $F64=""),"",HYPERLINK(JobAgolMap&amp;IF(ISNUMBER(FIND("?",JobAgolMap)),"&amp;","?")&amp;"center="&amp;$F64&amp;","&amp;$E64&amp;"&amp;level=16&amp;marker="&amp;$F64&amp;","&amp;$E64,"Open"))</f>
        <v/>
      </c>
    </row>
    <row r="65" spans="1:28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5"/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S65" s="1" t="str">
        <f>IF(OR($E65="",$F65=""),"",HYPERLINK(IF(OR(JobState="MI",JobState=""),"https://fema.maps.arcgis.com/apps/mapviewer/index.html?webmap=6a1702b9147243d1a5ee62cd614bc681&amp;center="&amp;$F65&amp;","&amp;$E65&amp;"&amp;level=16&amp;marker="&amp;$F65&amp;","&amp;$E65&amp;"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T65" s="5"/>
      <c r="U65" s="5"/>
      <c r="V65" s="5"/>
      <c r="W65" s="5"/>
      <c r="X65" s="5"/>
      <c r="Y65" s="5"/>
      <c r="Z65" s="5"/>
      <c r="AA65" s="5"/>
      <c r="AB65" s="1" t="str">
        <f>IF(OR(JobAgolMap="", $E65="", $F65=""),"",HYPERLINK(JobAgolMap&amp;IF(ISNUMBER(FIND("?",JobAgolMap)),"&amp;","?")&amp;"center="&amp;$F65&amp;","&amp;$E65&amp;"&amp;level=16&amp;marker="&amp;$F65&amp;","&amp;$E65,"Open"))</f>
        <v/>
      </c>
    </row>
    <row r="66" spans="1:28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5"/>
      <c r="M66" s="1" t="str">
        <f t="shared" si="0"/>
        <v/>
      </c>
      <c r="N66" s="1" t="str">
        <f t="shared" si="1"/>
        <v/>
      </c>
      <c r="O66" s="1" t="str">
        <f t="shared" si="2"/>
        <v/>
      </c>
      <c r="P66" s="1" t="str">
        <f t="shared" si="3"/>
        <v/>
      </c>
      <c r="Q66" s="1" t="str">
        <f t="shared" si="4"/>
        <v/>
      </c>
      <c r="R66" s="1" t="str">
        <f t="shared" si="5"/>
        <v/>
      </c>
      <c r="S66" s="1" t="str">
        <f>IF(OR($E66="",$F66=""),"",HYPERLINK(IF(OR(JobState="MI",JobState=""),"https://fema.maps.arcgis.com/apps/mapviewer/index.html?webmap=6a1702b9147243d1a5ee62cd614bc681&amp;center="&amp;$F66&amp;","&amp;$E66&amp;"&amp;level=16&amp;marker="&amp;$F66&amp;","&amp;$E66&amp;"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T66" s="5"/>
      <c r="U66" s="5"/>
      <c r="V66" s="5"/>
      <c r="W66" s="5"/>
      <c r="X66" s="5"/>
      <c r="Y66" s="5"/>
      <c r="Z66" s="5"/>
      <c r="AA66" s="5"/>
      <c r="AB66" s="1" t="str">
        <f>IF(OR(JobAgolMap="", $E66="", $F66=""),"",HYPERLINK(JobAgolMap&amp;IF(ISNUMBER(FIND("?",JobAgolMap)),"&amp;","?")&amp;"center="&amp;$F66&amp;","&amp;$E66&amp;"&amp;level=16&amp;marker="&amp;$F66&amp;","&amp;$E66,"Open"))</f>
        <v/>
      </c>
    </row>
    <row r="67" spans="1:28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5"/>
      <c r="M67" s="1" t="str">
        <f t="shared" ref="M67:M130" si="6">IF(OR($E67="",$F67=""),"",HYPERLINK("https://www.google.com/maps?q="&amp;$E67&amp;","&amp;$F67&amp;"","Map"))</f>
        <v/>
      </c>
      <c r="N67" s="1" t="str">
        <f t="shared" ref="N67:N130" si="7">IF(OR($E67="",$F67=""),"",HYPERLINK("https://www.google.com/maps?q&amp;layer=c&amp;cbll="&amp;$E67&amp;","&amp;$F67&amp;"","Street"))</f>
        <v/>
      </c>
      <c r="O67" s="1" t="str">
        <f t="shared" ref="O67:O130" si="8">IF(OR($E67="",$F67=""),"",HYPERLINK("https://www.bing.com/maps?cp="&amp;$E67&amp;"~"&amp;$F67&amp;"&amp;lvl=18&amp;style=h","Bing"))</f>
        <v/>
      </c>
      <c r="P67" s="1" t="str">
        <f t="shared" ref="P67:P130" si="9">IF(OR($E67="",$F67=""),"",HYPERLINK("https://earth.google.com/web/search/"&amp;$E67&amp;","&amp;$F67&amp;"","Earth"))</f>
        <v/>
      </c>
      <c r="Q67" s="1" t="str">
        <f t="shared" ref="Q67:Q130" si="10">IF(OR($E67="",$F67=""),"",HYPERLINK("https://fema.maps.arcgis.com/apps/mapviewer/index.html?find="&amp;$F67&amp;"%2C"&amp;$E67&amp;"&amp;marker="&amp;$F67&amp;","&amp;$E67&amp;",4326&amp;level=16","FEMA"))</f>
        <v/>
      </c>
      <c r="R67" s="1" t="str">
        <f t="shared" ref="R67:R130" si="11">IF(OR($E67="",$F67=""),"",HYPERLINK("https://msc.fema.gov/portal/firmette?latitude="&amp;$E67&amp;"&amp;longitude="&amp;$F67&amp;"","FIRMette"))</f>
        <v/>
      </c>
      <c r="S67" s="1" t="str">
        <f>IF(OR($E67="",$F67=""),"",HYPERLINK(IF(OR(JobState="MI",JobState=""),"https://fema.maps.arcgis.com/apps/mapviewer/index.html?webmap=6a1702b9147243d1a5ee62cd614bc681&amp;center="&amp;$F67&amp;","&amp;$E67&amp;"&amp;level=16&amp;marker="&amp;$F67&amp;","&amp;$E67&amp;"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T67" s="5"/>
      <c r="U67" s="5"/>
      <c r="V67" s="5"/>
      <c r="W67" s="5"/>
      <c r="X67" s="5"/>
      <c r="Y67" s="5"/>
      <c r="Z67" s="5"/>
      <c r="AA67" s="5"/>
      <c r="AB67" s="1" t="str">
        <f>IF(OR(JobAgolMap="", $E67="", $F67=""),"",HYPERLINK(JobAgolMap&amp;IF(ISNUMBER(FIND("?",JobAgolMap)),"&amp;","?")&amp;"center="&amp;$F67&amp;","&amp;$E67&amp;"&amp;level=16&amp;marker="&amp;$F67&amp;","&amp;$E67,"Open"))</f>
        <v/>
      </c>
    </row>
    <row r="68" spans="1:28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5"/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S68" s="1" t="str">
        <f>IF(OR($E68="",$F68=""),"",HYPERLINK(IF(OR(JobState="MI",JobState=""),"https://fema.maps.arcgis.com/apps/mapviewer/index.html?webmap=6a1702b9147243d1a5ee62cd614bc681&amp;center="&amp;$F68&amp;","&amp;$E68&amp;"&amp;level=16&amp;marker="&amp;$F68&amp;","&amp;$E68&amp;"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T68" s="5"/>
      <c r="U68" s="5"/>
      <c r="V68" s="5"/>
      <c r="W68" s="5"/>
      <c r="X68" s="5"/>
      <c r="Y68" s="5"/>
      <c r="Z68" s="5"/>
      <c r="AA68" s="5"/>
      <c r="AB68" s="1" t="str">
        <f>IF(OR(JobAgolMap="", $E68="", $F68=""),"",HYPERLINK(JobAgolMap&amp;IF(ISNUMBER(FIND("?",JobAgolMap)),"&amp;","?")&amp;"center="&amp;$F68&amp;","&amp;$E68&amp;"&amp;level=16&amp;marker="&amp;$F68&amp;","&amp;$E68,"Open"))</f>
        <v/>
      </c>
    </row>
    <row r="69" spans="1:28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5"/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S69" s="1" t="str">
        <f>IF(OR($E69="",$F69=""),"",HYPERLINK(IF(OR(JobState="MI",JobState=""),"https://fema.maps.arcgis.com/apps/mapviewer/index.html?webmap=6a1702b9147243d1a5ee62cd614bc681&amp;center="&amp;$F69&amp;","&amp;$E69&amp;"&amp;level=16&amp;marker="&amp;$F69&amp;","&amp;$E69&amp;"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T69" s="5"/>
      <c r="U69" s="5"/>
      <c r="V69" s="5"/>
      <c r="W69" s="5"/>
      <c r="X69" s="5"/>
      <c r="Y69" s="5"/>
      <c r="Z69" s="5"/>
      <c r="AA69" s="5"/>
      <c r="AB69" s="1" t="str">
        <f>IF(OR(JobAgolMap="", $E69="", $F69=""),"",HYPERLINK(JobAgolMap&amp;IF(ISNUMBER(FIND("?",JobAgolMap)),"&amp;","?")&amp;"center="&amp;$F69&amp;","&amp;$E69&amp;"&amp;level=16&amp;marker="&amp;$F69&amp;","&amp;$E69,"Open"))</f>
        <v/>
      </c>
    </row>
    <row r="70" spans="1:28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5"/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S70" s="1" t="str">
        <f>IF(OR($E70="",$F70=""),"",HYPERLINK(IF(OR(JobState="MI",JobState=""),"https://fema.maps.arcgis.com/apps/mapviewer/index.html?webmap=6a1702b9147243d1a5ee62cd614bc681&amp;center="&amp;$F70&amp;","&amp;$E70&amp;"&amp;level=16&amp;marker="&amp;$F70&amp;","&amp;$E70&amp;"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T70" s="5"/>
      <c r="U70" s="5"/>
      <c r="V70" s="5"/>
      <c r="W70" s="5"/>
      <c r="X70" s="5"/>
      <c r="Y70" s="5"/>
      <c r="Z70" s="5"/>
      <c r="AA70" s="5"/>
      <c r="AB70" s="1" t="str">
        <f>IF(OR(JobAgolMap="", $E70="", $F70=""),"",HYPERLINK(JobAgolMap&amp;IF(ISNUMBER(FIND("?",JobAgolMap)),"&amp;","?")&amp;"center="&amp;$F70&amp;","&amp;$E70&amp;"&amp;level=16&amp;marker="&amp;$F70&amp;","&amp;$E70,"Open"))</f>
        <v/>
      </c>
    </row>
    <row r="71" spans="1:28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5"/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S71" s="1" t="str">
        <f>IF(OR($E71="",$F71=""),"",HYPERLINK(IF(OR(JobState="MI",JobState=""),"https://fema.maps.arcgis.com/apps/mapviewer/index.html?webmap=6a1702b9147243d1a5ee62cd614bc681&amp;center="&amp;$F71&amp;","&amp;$E71&amp;"&amp;level=16&amp;marker="&amp;$F71&amp;","&amp;$E71&amp;"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T71" s="5"/>
      <c r="U71" s="5"/>
      <c r="V71" s="5"/>
      <c r="W71" s="5"/>
      <c r="X71" s="5"/>
      <c r="Y71" s="5"/>
      <c r="Z71" s="5"/>
      <c r="AA71" s="5"/>
      <c r="AB71" s="1" t="str">
        <f>IF(OR(JobAgolMap="", $E71="", $F71=""),"",HYPERLINK(JobAgolMap&amp;IF(ISNUMBER(FIND("?",JobAgolMap)),"&amp;","?")&amp;"center="&amp;$F71&amp;","&amp;$E71&amp;"&amp;level=16&amp;marker="&amp;$F71&amp;","&amp;$E71,"Open"))</f>
        <v/>
      </c>
    </row>
    <row r="72" spans="1:28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5"/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S72" s="1" t="str">
        <f>IF(OR($E72="",$F72=""),"",HYPERLINK(IF(OR(JobState="MI",JobState=""),"https://fema.maps.arcgis.com/apps/mapviewer/index.html?webmap=6a1702b9147243d1a5ee62cd614bc681&amp;center="&amp;$F72&amp;","&amp;$E72&amp;"&amp;level=16&amp;marker="&amp;$F72&amp;","&amp;$E72&amp;"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T72" s="5"/>
      <c r="U72" s="5"/>
      <c r="V72" s="5"/>
      <c r="W72" s="5"/>
      <c r="X72" s="5"/>
      <c r="Y72" s="5"/>
      <c r="Z72" s="5"/>
      <c r="AA72" s="5"/>
      <c r="AB72" s="1" t="str">
        <f>IF(OR(JobAgolMap="", $E72="", $F72=""),"",HYPERLINK(JobAgolMap&amp;IF(ISNUMBER(FIND("?",JobAgolMap)),"&amp;","?")&amp;"center="&amp;$F72&amp;","&amp;$E72&amp;"&amp;level=16&amp;marker="&amp;$F72&amp;","&amp;$E72,"Open"))</f>
        <v/>
      </c>
    </row>
    <row r="73" spans="1:28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5"/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S73" s="1" t="str">
        <f>IF(OR($E73="",$F73=""),"",HYPERLINK(IF(OR(JobState="MI",JobState=""),"https://fema.maps.arcgis.com/apps/mapviewer/index.html?webmap=6a1702b9147243d1a5ee62cd614bc681&amp;center="&amp;$F73&amp;","&amp;$E73&amp;"&amp;level=16&amp;marker="&amp;$F73&amp;","&amp;$E73&amp;"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T73" s="5"/>
      <c r="U73" s="5"/>
      <c r="V73" s="5"/>
      <c r="W73" s="5"/>
      <c r="X73" s="5"/>
      <c r="Y73" s="5"/>
      <c r="Z73" s="5"/>
      <c r="AA73" s="5"/>
      <c r="AB73" s="1" t="str">
        <f>IF(OR(JobAgolMap="", $E73="", $F73=""),"",HYPERLINK(JobAgolMap&amp;IF(ISNUMBER(FIND("?",JobAgolMap)),"&amp;","?")&amp;"center="&amp;$F73&amp;","&amp;$E73&amp;"&amp;level=16&amp;marker="&amp;$F73&amp;","&amp;$E73,"Open"))</f>
        <v/>
      </c>
    </row>
    <row r="74" spans="1:28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5"/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S74" s="1" t="str">
        <f>IF(OR($E74="",$F74=""),"",HYPERLINK(IF(OR(JobState="MI",JobState=""),"https://fema.maps.arcgis.com/apps/mapviewer/index.html?webmap=6a1702b9147243d1a5ee62cd614bc681&amp;center="&amp;$F74&amp;","&amp;$E74&amp;"&amp;level=16&amp;marker="&amp;$F74&amp;","&amp;$E74&amp;"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T74" s="5"/>
      <c r="U74" s="5"/>
      <c r="V74" s="5"/>
      <c r="W74" s="5"/>
      <c r="X74" s="5"/>
      <c r="Y74" s="5"/>
      <c r="Z74" s="5"/>
      <c r="AA74" s="5"/>
      <c r="AB74" s="1" t="str">
        <f>IF(OR(JobAgolMap="", $E74="", $F74=""),"",HYPERLINK(JobAgolMap&amp;IF(ISNUMBER(FIND("?",JobAgolMap)),"&amp;","?")&amp;"center="&amp;$F74&amp;","&amp;$E74&amp;"&amp;level=16&amp;marker="&amp;$F74&amp;","&amp;$E74,"Open"))</f>
        <v/>
      </c>
    </row>
    <row r="75" spans="1:28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5"/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S75" s="1" t="str">
        <f>IF(OR($E75="",$F75=""),"",HYPERLINK(IF(OR(JobState="MI",JobState=""),"https://fema.maps.arcgis.com/apps/mapviewer/index.html?webmap=6a1702b9147243d1a5ee62cd614bc681&amp;center="&amp;$F75&amp;","&amp;$E75&amp;"&amp;level=16&amp;marker="&amp;$F75&amp;","&amp;$E75&amp;"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T75" s="5"/>
      <c r="U75" s="5"/>
      <c r="V75" s="5"/>
      <c r="W75" s="5"/>
      <c r="X75" s="5"/>
      <c r="Y75" s="5"/>
      <c r="Z75" s="5"/>
      <c r="AA75" s="5"/>
      <c r="AB75" s="1" t="str">
        <f>IF(OR(JobAgolMap="", $E75="", $F75=""),"",HYPERLINK(JobAgolMap&amp;IF(ISNUMBER(FIND("?",JobAgolMap)),"&amp;","?")&amp;"center="&amp;$F75&amp;","&amp;$E75&amp;"&amp;level=16&amp;marker="&amp;$F75&amp;","&amp;$E75,"Open"))</f>
        <v/>
      </c>
    </row>
    <row r="76" spans="1:28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5"/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S76" s="1" t="str">
        <f>IF(OR($E76="",$F76=""),"",HYPERLINK(IF(OR(JobState="MI",JobState=""),"https://fema.maps.arcgis.com/apps/mapviewer/index.html?webmap=6a1702b9147243d1a5ee62cd614bc681&amp;center="&amp;$F76&amp;","&amp;$E76&amp;"&amp;level=16&amp;marker="&amp;$F76&amp;","&amp;$E76&amp;"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T76" s="5"/>
      <c r="U76" s="5"/>
      <c r="V76" s="5"/>
      <c r="W76" s="5"/>
      <c r="X76" s="5"/>
      <c r="Y76" s="5"/>
      <c r="Z76" s="5"/>
      <c r="AA76" s="5"/>
      <c r="AB76" s="1" t="str">
        <f>IF(OR(JobAgolMap="", $E76="", $F76=""),"",HYPERLINK(JobAgolMap&amp;IF(ISNUMBER(FIND("?",JobAgolMap)),"&amp;","?")&amp;"center="&amp;$F76&amp;","&amp;$E76&amp;"&amp;level=16&amp;marker="&amp;$F76&amp;","&amp;$E76,"Open"))</f>
        <v/>
      </c>
    </row>
    <row r="77" spans="1:28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5"/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S77" s="1" t="str">
        <f>IF(OR($E77="",$F77=""),"",HYPERLINK(IF(OR(JobState="MI",JobState=""),"https://fema.maps.arcgis.com/apps/mapviewer/index.html?webmap=6a1702b9147243d1a5ee62cd614bc681&amp;center="&amp;$F77&amp;","&amp;$E77&amp;"&amp;level=16&amp;marker="&amp;$F77&amp;","&amp;$E77&amp;"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T77" s="5"/>
      <c r="U77" s="5"/>
      <c r="V77" s="5"/>
      <c r="W77" s="5"/>
      <c r="X77" s="5"/>
      <c r="Y77" s="5"/>
      <c r="Z77" s="5"/>
      <c r="AA77" s="5"/>
      <c r="AB77" s="1" t="str">
        <f>IF(OR(JobAgolMap="", $E77="", $F77=""),"",HYPERLINK(JobAgolMap&amp;IF(ISNUMBER(FIND("?",JobAgolMap)),"&amp;","?")&amp;"center="&amp;$F77&amp;","&amp;$E77&amp;"&amp;level=16&amp;marker="&amp;$F77&amp;","&amp;$E77,"Open"))</f>
        <v/>
      </c>
    </row>
    <row r="78" spans="1:28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5"/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S78" s="1" t="str">
        <f>IF(OR($E78="",$F78=""),"",HYPERLINK(IF(OR(JobState="MI",JobState=""),"https://fema.maps.arcgis.com/apps/mapviewer/index.html?webmap=6a1702b9147243d1a5ee62cd614bc681&amp;center="&amp;$F78&amp;","&amp;$E78&amp;"&amp;level=16&amp;marker="&amp;$F78&amp;","&amp;$E78&amp;"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T78" s="5"/>
      <c r="U78" s="5"/>
      <c r="V78" s="5"/>
      <c r="W78" s="5"/>
      <c r="X78" s="5"/>
      <c r="Y78" s="5"/>
      <c r="Z78" s="5"/>
      <c r="AA78" s="5"/>
      <c r="AB78" s="1" t="str">
        <f>IF(OR(JobAgolMap="", $E78="", $F78=""),"",HYPERLINK(JobAgolMap&amp;IF(ISNUMBER(FIND("?",JobAgolMap)),"&amp;","?")&amp;"center="&amp;$F78&amp;","&amp;$E78&amp;"&amp;level=16&amp;marker="&amp;$F78&amp;","&amp;$E78,"Open"))</f>
        <v/>
      </c>
    </row>
    <row r="79" spans="1:28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5"/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S79" s="1" t="str">
        <f>IF(OR($E79="",$F79=""),"",HYPERLINK(IF(OR(JobState="MI",JobState=""),"https://fema.maps.arcgis.com/apps/mapviewer/index.html?webmap=6a1702b9147243d1a5ee62cd614bc681&amp;center="&amp;$F79&amp;","&amp;$E79&amp;"&amp;level=16&amp;marker="&amp;$F79&amp;","&amp;$E79&amp;"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T79" s="5"/>
      <c r="U79" s="5"/>
      <c r="V79" s="5"/>
      <c r="W79" s="5"/>
      <c r="X79" s="5"/>
      <c r="Y79" s="5"/>
      <c r="Z79" s="5"/>
      <c r="AA79" s="5"/>
      <c r="AB79" s="1" t="str">
        <f>IF(OR(JobAgolMap="", $E79="", $F79=""),"",HYPERLINK(JobAgolMap&amp;IF(ISNUMBER(FIND("?",JobAgolMap)),"&amp;","?")&amp;"center="&amp;$F79&amp;","&amp;$E79&amp;"&amp;level=16&amp;marker="&amp;$F79&amp;","&amp;$E79,"Open"))</f>
        <v/>
      </c>
    </row>
    <row r="80" spans="1:28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5"/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S80" s="1" t="str">
        <f>IF(OR($E80="",$F80=""),"",HYPERLINK(IF(OR(JobState="MI",JobState=""),"https://fema.maps.arcgis.com/apps/mapviewer/index.html?webmap=6a1702b9147243d1a5ee62cd614bc681&amp;center="&amp;$F80&amp;","&amp;$E80&amp;"&amp;level=16&amp;marker="&amp;$F80&amp;","&amp;$E80&amp;"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T80" s="5"/>
      <c r="U80" s="5"/>
      <c r="V80" s="5"/>
      <c r="W80" s="5"/>
      <c r="X80" s="5"/>
      <c r="Y80" s="5"/>
      <c r="Z80" s="5"/>
      <c r="AA80" s="5"/>
      <c r="AB80" s="1" t="str">
        <f>IF(OR(JobAgolMap="", $E80="", $F80=""),"",HYPERLINK(JobAgolMap&amp;IF(ISNUMBER(FIND("?",JobAgolMap)),"&amp;","?")&amp;"center="&amp;$F80&amp;","&amp;$E80&amp;"&amp;level=16&amp;marker="&amp;$F80&amp;","&amp;$E80,"Open"))</f>
        <v/>
      </c>
    </row>
    <row r="81" spans="1:28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5"/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S81" s="1" t="str">
        <f>IF(OR($E81="",$F81=""),"",HYPERLINK(IF(OR(JobState="MI",JobState=""),"https://fema.maps.arcgis.com/apps/mapviewer/index.html?webmap=6a1702b9147243d1a5ee62cd614bc681&amp;center="&amp;$F81&amp;","&amp;$E81&amp;"&amp;level=16&amp;marker="&amp;$F81&amp;","&amp;$E81&amp;"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T81" s="5"/>
      <c r="U81" s="5"/>
      <c r="V81" s="5"/>
      <c r="W81" s="5"/>
      <c r="X81" s="5"/>
      <c r="Y81" s="5"/>
      <c r="Z81" s="5"/>
      <c r="AA81" s="5"/>
      <c r="AB81" s="1" t="str">
        <f>IF(OR(JobAgolMap="", $E81="", $F81=""),"",HYPERLINK(JobAgolMap&amp;IF(ISNUMBER(FIND("?",JobAgolMap)),"&amp;","?")&amp;"center="&amp;$F81&amp;","&amp;$E81&amp;"&amp;level=16&amp;marker="&amp;$F81&amp;","&amp;$E81,"Open"))</f>
        <v/>
      </c>
    </row>
    <row r="82" spans="1:28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5"/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S82" s="1" t="str">
        <f>IF(OR($E82="",$F82=""),"",HYPERLINK(IF(OR(JobState="MI",JobState=""),"https://fema.maps.arcgis.com/apps/mapviewer/index.html?webmap=6a1702b9147243d1a5ee62cd614bc681&amp;center="&amp;$F82&amp;","&amp;$E82&amp;"&amp;level=16&amp;marker="&amp;$F82&amp;","&amp;$E82&amp;"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T82" s="5"/>
      <c r="U82" s="5"/>
      <c r="V82" s="5"/>
      <c r="W82" s="5"/>
      <c r="X82" s="5"/>
      <c r="Y82" s="5"/>
      <c r="Z82" s="5"/>
      <c r="AA82" s="5"/>
      <c r="AB82" s="1" t="str">
        <f>IF(OR(JobAgolMap="", $E82="", $F82=""),"",HYPERLINK(JobAgolMap&amp;IF(ISNUMBER(FIND("?",JobAgolMap)),"&amp;","?")&amp;"center="&amp;$F82&amp;","&amp;$E82&amp;"&amp;level=16&amp;marker="&amp;$F82&amp;","&amp;$E82,"Open"))</f>
        <v/>
      </c>
    </row>
    <row r="83" spans="1:28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5"/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S83" s="1" t="str">
        <f>IF(OR($E83="",$F83=""),"",HYPERLINK(IF(OR(JobState="MI",JobState=""),"https://fema.maps.arcgis.com/apps/mapviewer/index.html?webmap=6a1702b9147243d1a5ee62cd614bc681&amp;center="&amp;$F83&amp;","&amp;$E83&amp;"&amp;level=16&amp;marker="&amp;$F83&amp;","&amp;$E83&amp;"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T83" s="5"/>
      <c r="U83" s="5"/>
      <c r="V83" s="5"/>
      <c r="W83" s="5"/>
      <c r="X83" s="5"/>
      <c r="Y83" s="5"/>
      <c r="Z83" s="5"/>
      <c r="AA83" s="5"/>
      <c r="AB83" s="1" t="str">
        <f>IF(OR(JobAgolMap="", $E83="", $F83=""),"",HYPERLINK(JobAgolMap&amp;IF(ISNUMBER(FIND("?",JobAgolMap)),"&amp;","?")&amp;"center="&amp;$F83&amp;","&amp;$E83&amp;"&amp;level=16&amp;marker="&amp;$F83&amp;","&amp;$E83,"Open"))</f>
        <v/>
      </c>
    </row>
    <row r="84" spans="1:28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5"/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S84" s="1" t="str">
        <f>IF(OR($E84="",$F84=""),"",HYPERLINK(IF(OR(JobState="MI",JobState=""),"https://fema.maps.arcgis.com/apps/mapviewer/index.html?webmap=6a1702b9147243d1a5ee62cd614bc681&amp;center="&amp;$F84&amp;","&amp;$E84&amp;"&amp;level=16&amp;marker="&amp;$F84&amp;","&amp;$E84&amp;"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T84" s="5"/>
      <c r="U84" s="5"/>
      <c r="V84" s="5"/>
      <c r="W84" s="5"/>
      <c r="X84" s="5"/>
      <c r="Y84" s="5"/>
      <c r="Z84" s="5"/>
      <c r="AA84" s="5"/>
      <c r="AB84" s="1" t="str">
        <f>IF(OR(JobAgolMap="", $E84="", $F84=""),"",HYPERLINK(JobAgolMap&amp;IF(ISNUMBER(FIND("?",JobAgolMap)),"&amp;","?")&amp;"center="&amp;$F84&amp;","&amp;$E84&amp;"&amp;level=16&amp;marker="&amp;$F84&amp;","&amp;$E84,"Open"))</f>
        <v/>
      </c>
    </row>
    <row r="85" spans="1:28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5"/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S85" s="1" t="str">
        <f>IF(OR($E85="",$F85=""),"",HYPERLINK(IF(OR(JobState="MI",JobState=""),"https://fema.maps.arcgis.com/apps/mapviewer/index.html?webmap=6a1702b9147243d1a5ee62cd614bc681&amp;center="&amp;$F85&amp;","&amp;$E85&amp;"&amp;level=16&amp;marker="&amp;$F85&amp;","&amp;$E85&amp;"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T85" s="5"/>
      <c r="U85" s="5"/>
      <c r="V85" s="5"/>
      <c r="W85" s="5"/>
      <c r="X85" s="5"/>
      <c r="Y85" s="5"/>
      <c r="Z85" s="5"/>
      <c r="AA85" s="5"/>
      <c r="AB85" s="1" t="str">
        <f>IF(OR(JobAgolMap="", $E85="", $F85=""),"",HYPERLINK(JobAgolMap&amp;IF(ISNUMBER(FIND("?",JobAgolMap)),"&amp;","?")&amp;"center="&amp;$F85&amp;","&amp;$E85&amp;"&amp;level=16&amp;marker="&amp;$F85&amp;","&amp;$E85,"Open"))</f>
        <v/>
      </c>
    </row>
    <row r="86" spans="1:28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5"/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S86" s="1" t="str">
        <f>IF(OR($E86="",$F86=""),"",HYPERLINK(IF(OR(JobState="MI",JobState=""),"https://fema.maps.arcgis.com/apps/mapviewer/index.html?webmap=6a1702b9147243d1a5ee62cd614bc681&amp;center="&amp;$F86&amp;","&amp;$E86&amp;"&amp;level=16&amp;marker="&amp;$F86&amp;","&amp;$E86&amp;"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T86" s="5"/>
      <c r="U86" s="5"/>
      <c r="V86" s="5"/>
      <c r="W86" s="5"/>
      <c r="X86" s="5"/>
      <c r="Y86" s="5"/>
      <c r="Z86" s="5"/>
      <c r="AA86" s="5"/>
      <c r="AB86" s="1" t="str">
        <f>IF(OR(JobAgolMap="", $E86="", $F86=""),"",HYPERLINK(JobAgolMap&amp;IF(ISNUMBER(FIND("?",JobAgolMap)),"&amp;","?")&amp;"center="&amp;$F86&amp;","&amp;$E86&amp;"&amp;level=16&amp;marker="&amp;$F86&amp;","&amp;$E86,"Open"))</f>
        <v/>
      </c>
    </row>
    <row r="87" spans="1:28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5"/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S87" s="1" t="str">
        <f>IF(OR($E87="",$F87=""),"",HYPERLINK(IF(OR(JobState="MI",JobState=""),"https://fema.maps.arcgis.com/apps/mapviewer/index.html?webmap=6a1702b9147243d1a5ee62cd614bc681&amp;center="&amp;$F87&amp;","&amp;$E87&amp;"&amp;level=16&amp;marker="&amp;$F87&amp;","&amp;$E87&amp;"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T87" s="5"/>
      <c r="U87" s="5"/>
      <c r="V87" s="5"/>
      <c r="W87" s="5"/>
      <c r="X87" s="5"/>
      <c r="Y87" s="5"/>
      <c r="Z87" s="5"/>
      <c r="AA87" s="5"/>
      <c r="AB87" s="1" t="str">
        <f>IF(OR(JobAgolMap="", $E87="", $F87=""),"",HYPERLINK(JobAgolMap&amp;IF(ISNUMBER(FIND("?",JobAgolMap)),"&amp;","?")&amp;"center="&amp;$F87&amp;","&amp;$E87&amp;"&amp;level=16&amp;marker="&amp;$F87&amp;","&amp;$E87,"Open"))</f>
        <v/>
      </c>
    </row>
    <row r="88" spans="1:28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5"/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S88" s="1" t="str">
        <f>IF(OR($E88="",$F88=""),"",HYPERLINK(IF(OR(JobState="MI",JobState=""),"https://fema.maps.arcgis.com/apps/mapviewer/index.html?webmap=6a1702b9147243d1a5ee62cd614bc681&amp;center="&amp;$F88&amp;","&amp;$E88&amp;"&amp;level=16&amp;marker="&amp;$F88&amp;","&amp;$E88&amp;"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T88" s="5"/>
      <c r="U88" s="5"/>
      <c r="V88" s="5"/>
      <c r="W88" s="5"/>
      <c r="X88" s="5"/>
      <c r="Y88" s="5"/>
      <c r="Z88" s="5"/>
      <c r="AA88" s="5"/>
      <c r="AB88" s="1" t="str">
        <f>IF(OR(JobAgolMap="", $E88="", $F88=""),"",HYPERLINK(JobAgolMap&amp;IF(ISNUMBER(FIND("?",JobAgolMap)),"&amp;","?")&amp;"center="&amp;$F88&amp;","&amp;$E88&amp;"&amp;level=16&amp;marker="&amp;$F88&amp;","&amp;$E88,"Open"))</f>
        <v/>
      </c>
    </row>
    <row r="89" spans="1:28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5"/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S89" s="1" t="str">
        <f>IF(OR($E89="",$F89=""),"",HYPERLINK(IF(OR(JobState="MI",JobState=""),"https://fema.maps.arcgis.com/apps/mapviewer/index.html?webmap=6a1702b9147243d1a5ee62cd614bc681&amp;center="&amp;$F89&amp;","&amp;$E89&amp;"&amp;level=16&amp;marker="&amp;$F89&amp;","&amp;$E89&amp;"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T89" s="5"/>
      <c r="U89" s="5"/>
      <c r="V89" s="5"/>
      <c r="W89" s="5"/>
      <c r="X89" s="5"/>
      <c r="Y89" s="5"/>
      <c r="Z89" s="5"/>
      <c r="AA89" s="5"/>
      <c r="AB89" s="1" t="str">
        <f>IF(OR(JobAgolMap="", $E89="", $F89=""),"",HYPERLINK(JobAgolMap&amp;IF(ISNUMBER(FIND("?",JobAgolMap)),"&amp;","?")&amp;"center="&amp;$F89&amp;","&amp;$E89&amp;"&amp;level=16&amp;marker="&amp;$F89&amp;","&amp;$E89,"Open"))</f>
        <v/>
      </c>
    </row>
    <row r="90" spans="1:28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5"/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S90" s="1" t="str">
        <f>IF(OR($E90="",$F90=""),"",HYPERLINK(IF(OR(JobState="MI",JobState=""),"https://fema.maps.arcgis.com/apps/mapviewer/index.html?webmap=6a1702b9147243d1a5ee62cd614bc681&amp;center="&amp;$F90&amp;","&amp;$E90&amp;"&amp;level=16&amp;marker="&amp;$F90&amp;","&amp;$E90&amp;"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T90" s="5"/>
      <c r="U90" s="5"/>
      <c r="V90" s="5"/>
      <c r="W90" s="5"/>
      <c r="X90" s="5"/>
      <c r="Y90" s="5"/>
      <c r="Z90" s="5"/>
      <c r="AA90" s="5"/>
      <c r="AB90" s="1" t="str">
        <f>IF(OR(JobAgolMap="", $E90="", $F90=""),"",HYPERLINK(JobAgolMap&amp;IF(ISNUMBER(FIND("?",JobAgolMap)),"&amp;","?")&amp;"center="&amp;$F90&amp;","&amp;$E90&amp;"&amp;level=16&amp;marker="&amp;$F90&amp;","&amp;$E90,"Open"))</f>
        <v/>
      </c>
    </row>
    <row r="91" spans="1:28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5"/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S91" s="1" t="str">
        <f>IF(OR($E91="",$F91=""),"",HYPERLINK(IF(OR(JobState="MI",JobState=""),"https://fema.maps.arcgis.com/apps/mapviewer/index.html?webmap=6a1702b9147243d1a5ee62cd614bc681&amp;center="&amp;$F91&amp;","&amp;$E91&amp;"&amp;level=16&amp;marker="&amp;$F91&amp;","&amp;$E91&amp;"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T91" s="5"/>
      <c r="U91" s="5"/>
      <c r="V91" s="5"/>
      <c r="W91" s="5"/>
      <c r="X91" s="5"/>
      <c r="Y91" s="5"/>
      <c r="Z91" s="5"/>
      <c r="AA91" s="5"/>
      <c r="AB91" s="1" t="str">
        <f>IF(OR(JobAgolMap="", $E91="", $F91=""),"",HYPERLINK(JobAgolMap&amp;IF(ISNUMBER(FIND("?",JobAgolMap)),"&amp;","?")&amp;"center="&amp;$F91&amp;","&amp;$E91&amp;"&amp;level=16&amp;marker="&amp;$F91&amp;","&amp;$E91,"Open"))</f>
        <v/>
      </c>
    </row>
    <row r="92" spans="1:28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5"/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S92" s="1" t="str">
        <f>IF(OR($E92="",$F92=""),"",HYPERLINK(IF(OR(JobState="MI",JobState=""),"https://fema.maps.arcgis.com/apps/mapviewer/index.html?webmap=6a1702b9147243d1a5ee62cd614bc681&amp;center="&amp;$F92&amp;","&amp;$E92&amp;"&amp;level=16&amp;marker="&amp;$F92&amp;","&amp;$E92&amp;"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T92" s="5"/>
      <c r="U92" s="5"/>
      <c r="V92" s="5"/>
      <c r="W92" s="5"/>
      <c r="X92" s="5"/>
      <c r="Y92" s="5"/>
      <c r="Z92" s="5"/>
      <c r="AA92" s="5"/>
      <c r="AB92" s="1" t="str">
        <f>IF(OR(JobAgolMap="", $E92="", $F92=""),"",HYPERLINK(JobAgolMap&amp;IF(ISNUMBER(FIND("?",JobAgolMap)),"&amp;","?")&amp;"center="&amp;$F92&amp;","&amp;$E92&amp;"&amp;level=16&amp;marker="&amp;$F92&amp;","&amp;$E92,"Open"))</f>
        <v/>
      </c>
    </row>
    <row r="93" spans="1:28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5"/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S93" s="1" t="str">
        <f>IF(OR($E93="",$F93=""),"",HYPERLINK(IF(OR(JobState="MI",JobState=""),"https://fema.maps.arcgis.com/apps/mapviewer/index.html?webmap=6a1702b9147243d1a5ee62cd614bc681&amp;center="&amp;$F93&amp;","&amp;$E93&amp;"&amp;level=16&amp;marker="&amp;$F93&amp;","&amp;$E93&amp;"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T93" s="5"/>
      <c r="U93" s="5"/>
      <c r="V93" s="5"/>
      <c r="W93" s="5"/>
      <c r="X93" s="5"/>
      <c r="Y93" s="5"/>
      <c r="Z93" s="5"/>
      <c r="AA93" s="5"/>
      <c r="AB93" s="1" t="str">
        <f>IF(OR(JobAgolMap="", $E93="", $F93=""),"",HYPERLINK(JobAgolMap&amp;IF(ISNUMBER(FIND("?",JobAgolMap)),"&amp;","?")&amp;"center="&amp;$F93&amp;","&amp;$E93&amp;"&amp;level=16&amp;marker="&amp;$F93&amp;","&amp;$E93,"Open"))</f>
        <v/>
      </c>
    </row>
    <row r="94" spans="1:28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5"/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S94" s="1" t="str">
        <f>IF(OR($E94="",$F94=""),"",HYPERLINK(IF(OR(JobState="MI",JobState=""),"https://fema.maps.arcgis.com/apps/mapviewer/index.html?webmap=6a1702b9147243d1a5ee62cd614bc681&amp;center="&amp;$F94&amp;","&amp;$E94&amp;"&amp;level=16&amp;marker="&amp;$F94&amp;","&amp;$E94&amp;"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T94" s="5"/>
      <c r="U94" s="5"/>
      <c r="V94" s="5"/>
      <c r="W94" s="5"/>
      <c r="X94" s="5"/>
      <c r="Y94" s="5"/>
      <c r="Z94" s="5"/>
      <c r="AA94" s="5"/>
      <c r="AB94" s="1" t="str">
        <f>IF(OR(JobAgolMap="", $E94="", $F94=""),"",HYPERLINK(JobAgolMap&amp;IF(ISNUMBER(FIND("?",JobAgolMap)),"&amp;","?")&amp;"center="&amp;$F94&amp;","&amp;$E94&amp;"&amp;level=16&amp;marker="&amp;$F94&amp;","&amp;$E94,"Open"))</f>
        <v/>
      </c>
    </row>
    <row r="95" spans="1:28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5"/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S95" s="1" t="str">
        <f>IF(OR($E95="",$F95=""),"",HYPERLINK(IF(OR(JobState="MI",JobState=""),"https://fema.maps.arcgis.com/apps/mapviewer/index.html?webmap=6a1702b9147243d1a5ee62cd614bc681&amp;center="&amp;$F95&amp;","&amp;$E95&amp;"&amp;level=16&amp;marker="&amp;$F95&amp;","&amp;$E95&amp;"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T95" s="5"/>
      <c r="U95" s="5"/>
      <c r="V95" s="5"/>
      <c r="W95" s="5"/>
      <c r="X95" s="5"/>
      <c r="Y95" s="5"/>
      <c r="Z95" s="5"/>
      <c r="AA95" s="5"/>
      <c r="AB95" s="1" t="str">
        <f>IF(OR(JobAgolMap="", $E95="", $F95=""),"",HYPERLINK(JobAgolMap&amp;IF(ISNUMBER(FIND("?",JobAgolMap)),"&amp;","?")&amp;"center="&amp;$F95&amp;","&amp;$E95&amp;"&amp;level=16&amp;marker="&amp;$F95&amp;","&amp;$E95,"Open"))</f>
        <v/>
      </c>
    </row>
    <row r="96" spans="1:28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5"/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S96" s="1" t="str">
        <f>IF(OR($E96="",$F96=""),"",HYPERLINK(IF(OR(JobState="MI",JobState=""),"https://fema.maps.arcgis.com/apps/mapviewer/index.html?webmap=6a1702b9147243d1a5ee62cd614bc681&amp;center="&amp;$F96&amp;","&amp;$E96&amp;"&amp;level=16&amp;marker="&amp;$F96&amp;","&amp;$E96&amp;"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T96" s="5"/>
      <c r="U96" s="5"/>
      <c r="V96" s="5"/>
      <c r="W96" s="5"/>
      <c r="X96" s="5"/>
      <c r="Y96" s="5"/>
      <c r="Z96" s="5"/>
      <c r="AA96" s="5"/>
      <c r="AB96" s="1" t="str">
        <f>IF(OR(JobAgolMap="", $E96="", $F96=""),"",HYPERLINK(JobAgolMap&amp;IF(ISNUMBER(FIND("?",JobAgolMap)),"&amp;","?")&amp;"center="&amp;$F96&amp;","&amp;$E96&amp;"&amp;level=16&amp;marker="&amp;$F96&amp;","&amp;$E96,"Open"))</f>
        <v/>
      </c>
    </row>
    <row r="97" spans="1:28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5"/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S97" s="1" t="str">
        <f>IF(OR($E97="",$F97=""),"",HYPERLINK(IF(OR(JobState="MI",JobState=""),"https://fema.maps.arcgis.com/apps/mapviewer/index.html?webmap=6a1702b9147243d1a5ee62cd614bc681&amp;center="&amp;$F97&amp;","&amp;$E97&amp;"&amp;level=16&amp;marker="&amp;$F97&amp;","&amp;$E97&amp;"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T97" s="5"/>
      <c r="U97" s="5"/>
      <c r="V97" s="5"/>
      <c r="W97" s="5"/>
      <c r="X97" s="5"/>
      <c r="Y97" s="5"/>
      <c r="Z97" s="5"/>
      <c r="AA97" s="5"/>
      <c r="AB97" s="1" t="str">
        <f>IF(OR(JobAgolMap="", $E97="", $F97=""),"",HYPERLINK(JobAgolMap&amp;IF(ISNUMBER(FIND("?",JobAgolMap)),"&amp;","?")&amp;"center="&amp;$F97&amp;","&amp;$E97&amp;"&amp;level=16&amp;marker="&amp;$F97&amp;","&amp;$E97,"Open"))</f>
        <v/>
      </c>
    </row>
    <row r="98" spans="1:28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5"/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S98" s="1" t="str">
        <f>IF(OR($E98="",$F98=""),"",HYPERLINK(IF(OR(JobState="MI",JobState=""),"https://fema.maps.arcgis.com/apps/mapviewer/index.html?webmap=6a1702b9147243d1a5ee62cd614bc681&amp;center="&amp;$F98&amp;","&amp;$E98&amp;"&amp;level=16&amp;marker="&amp;$F98&amp;","&amp;$E98&amp;"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T98" s="5"/>
      <c r="U98" s="5"/>
      <c r="V98" s="5"/>
      <c r="W98" s="5"/>
      <c r="X98" s="5"/>
      <c r="Y98" s="5"/>
      <c r="Z98" s="5"/>
      <c r="AA98" s="5"/>
      <c r="AB98" s="1" t="str">
        <f>IF(OR(JobAgolMap="", $E98="", $F98=""),"",HYPERLINK(JobAgolMap&amp;IF(ISNUMBER(FIND("?",JobAgolMap)),"&amp;","?")&amp;"center="&amp;$F98&amp;","&amp;$E98&amp;"&amp;level=16&amp;marker="&amp;$F98&amp;","&amp;$E98,"Open"))</f>
        <v/>
      </c>
    </row>
    <row r="99" spans="1:28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5"/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S99" s="1" t="str">
        <f>IF(OR($E99="",$F99=""),"",HYPERLINK(IF(OR(JobState="MI",JobState=""),"https://fema.maps.arcgis.com/apps/mapviewer/index.html?webmap=6a1702b9147243d1a5ee62cd614bc681&amp;center="&amp;$F99&amp;","&amp;$E99&amp;"&amp;level=16&amp;marker="&amp;$F99&amp;","&amp;$E99&amp;"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T99" s="5"/>
      <c r="U99" s="5"/>
      <c r="V99" s="5"/>
      <c r="W99" s="5"/>
      <c r="X99" s="5"/>
      <c r="Y99" s="5"/>
      <c r="Z99" s="5"/>
      <c r="AA99" s="5"/>
      <c r="AB99" s="1" t="str">
        <f>IF(OR(JobAgolMap="", $E99="", $F99=""),"",HYPERLINK(JobAgolMap&amp;IF(ISNUMBER(FIND("?",JobAgolMap)),"&amp;","?")&amp;"center="&amp;$F99&amp;","&amp;$E99&amp;"&amp;level=16&amp;marker="&amp;$F99&amp;","&amp;$E99,"Open"))</f>
        <v/>
      </c>
    </row>
    <row r="100" spans="1:28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5"/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S100" s="1" t="str">
        <f>IF(OR($E100="",$F100=""),"",HYPERLINK(IF(OR(JobState="MI",JobState=""),"https://fema.maps.arcgis.com/apps/mapviewer/index.html?webmap=6a1702b9147243d1a5ee62cd614bc681&amp;center="&amp;$F100&amp;","&amp;$E100&amp;"&amp;level=16&amp;marker="&amp;$F100&amp;","&amp;$E100&amp;"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T100" s="5"/>
      <c r="U100" s="5"/>
      <c r="V100" s="5"/>
      <c r="W100" s="5"/>
      <c r="X100" s="5"/>
      <c r="Y100" s="5"/>
      <c r="Z100" s="5"/>
      <c r="AA100" s="5"/>
      <c r="AB100" s="1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</row>
    <row r="101" spans="1:28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5"/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S101" s="1" t="str">
        <f>IF(OR($E101="",$F101=""),"",HYPERLINK(IF(OR(JobState="MI",JobState=""),"https://fema.maps.arcgis.com/apps/mapviewer/index.html?webmap=6a1702b9147243d1a5ee62cd614bc681&amp;center="&amp;$F101&amp;","&amp;$E101&amp;"&amp;level=16&amp;marker="&amp;$F101&amp;","&amp;$E101&amp;"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T101" s="5"/>
      <c r="U101" s="5"/>
      <c r="V101" s="5"/>
      <c r="W101" s="5"/>
      <c r="X101" s="5"/>
      <c r="Y101" s="5"/>
      <c r="Z101" s="5"/>
      <c r="AA101" s="5"/>
      <c r="AB101" s="1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</row>
    <row r="102" spans="1:28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5"/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S102" s="1" t="str">
        <f>IF(OR($E102="",$F102=""),"",HYPERLINK(IF(OR(JobState="MI",JobState=""),"https://fema.maps.arcgis.com/apps/mapviewer/index.html?webmap=6a1702b9147243d1a5ee62cd614bc681&amp;center="&amp;$F102&amp;","&amp;$E102&amp;"&amp;level=16&amp;marker="&amp;$F102&amp;","&amp;$E102&amp;"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T102" s="5"/>
      <c r="U102" s="5"/>
      <c r="V102" s="5"/>
      <c r="W102" s="5"/>
      <c r="X102" s="5"/>
      <c r="Y102" s="5"/>
      <c r="Z102" s="5"/>
      <c r="AA102" s="5"/>
      <c r="AB102" s="1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</row>
    <row r="103" spans="1:28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5"/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S103" s="1" t="str">
        <f>IF(OR($E103="",$F103=""),"",HYPERLINK(IF(OR(JobState="MI",JobState=""),"https://fema.maps.arcgis.com/apps/mapviewer/index.html?webmap=6a1702b9147243d1a5ee62cd614bc681&amp;center="&amp;$F103&amp;","&amp;$E103&amp;"&amp;level=16&amp;marker="&amp;$F103&amp;","&amp;$E103&amp;"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T103" s="5"/>
      <c r="U103" s="5"/>
      <c r="V103" s="5"/>
      <c r="W103" s="5"/>
      <c r="X103" s="5"/>
      <c r="Y103" s="5"/>
      <c r="Z103" s="5"/>
      <c r="AA103" s="5"/>
      <c r="AB103" s="1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</row>
    <row r="104" spans="1:28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5"/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S104" s="1" t="str">
        <f>IF(OR($E104="",$F104=""),"",HYPERLINK(IF(OR(JobState="MI",JobState=""),"https://fema.maps.arcgis.com/apps/mapviewer/index.html?webmap=6a1702b9147243d1a5ee62cd614bc681&amp;center="&amp;$F104&amp;","&amp;$E104&amp;"&amp;level=16&amp;marker="&amp;$F104&amp;","&amp;$E104&amp;"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T104" s="5"/>
      <c r="U104" s="5"/>
      <c r="V104" s="5"/>
      <c r="W104" s="5"/>
      <c r="X104" s="5"/>
      <c r="Y104" s="5"/>
      <c r="Z104" s="5"/>
      <c r="AA104" s="5"/>
      <c r="AB104" s="1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</row>
    <row r="105" spans="1:28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5"/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S105" s="1" t="str">
        <f>IF(OR($E105="",$F105=""),"",HYPERLINK(IF(OR(JobState="MI",JobState=""),"https://fema.maps.arcgis.com/apps/mapviewer/index.html?webmap=6a1702b9147243d1a5ee62cd614bc681&amp;center="&amp;$F105&amp;","&amp;$E105&amp;"&amp;level=16&amp;marker="&amp;$F105&amp;","&amp;$E105&amp;"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T105" s="5"/>
      <c r="U105" s="5"/>
      <c r="V105" s="5"/>
      <c r="W105" s="5"/>
      <c r="X105" s="5"/>
      <c r="Y105" s="5"/>
      <c r="Z105" s="5"/>
      <c r="AA105" s="5"/>
      <c r="AB105" s="1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</row>
    <row r="106" spans="1:28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5"/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S106" s="1" t="str">
        <f>IF(OR($E106="",$F106=""),"",HYPERLINK(IF(OR(JobState="MI",JobState=""),"https://fema.maps.arcgis.com/apps/mapviewer/index.html?webmap=6a1702b9147243d1a5ee62cd614bc681&amp;center="&amp;$F106&amp;","&amp;$E106&amp;"&amp;level=16&amp;marker="&amp;$F106&amp;","&amp;$E106&amp;"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T106" s="5"/>
      <c r="U106" s="5"/>
      <c r="V106" s="5"/>
      <c r="W106" s="5"/>
      <c r="X106" s="5"/>
      <c r="Y106" s="5"/>
      <c r="Z106" s="5"/>
      <c r="AA106" s="5"/>
      <c r="AB106" s="1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</row>
    <row r="107" spans="1:28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5"/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S107" s="1" t="str">
        <f>IF(OR($E107="",$F107=""),"",HYPERLINK(IF(OR(JobState="MI",JobState=""),"https://fema.maps.arcgis.com/apps/mapviewer/index.html?webmap=6a1702b9147243d1a5ee62cd614bc681&amp;center="&amp;$F107&amp;","&amp;$E107&amp;"&amp;level=16&amp;marker="&amp;$F107&amp;","&amp;$E107&amp;"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T107" s="5"/>
      <c r="U107" s="5"/>
      <c r="V107" s="5"/>
      <c r="W107" s="5"/>
      <c r="X107" s="5"/>
      <c r="Y107" s="5"/>
      <c r="Z107" s="5"/>
      <c r="AA107" s="5"/>
      <c r="AB107" s="1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</row>
    <row r="108" spans="1:28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5"/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S108" s="1" t="str">
        <f>IF(OR($E108="",$F108=""),"",HYPERLINK(IF(OR(JobState="MI",JobState=""),"https://fema.maps.arcgis.com/apps/mapviewer/index.html?webmap=6a1702b9147243d1a5ee62cd614bc681&amp;center="&amp;$F108&amp;","&amp;$E108&amp;"&amp;level=16&amp;marker="&amp;$F108&amp;","&amp;$E108&amp;"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T108" s="5"/>
      <c r="U108" s="5"/>
      <c r="V108" s="5"/>
      <c r="W108" s="5"/>
      <c r="X108" s="5"/>
      <c r="Y108" s="5"/>
      <c r="Z108" s="5"/>
      <c r="AA108" s="5"/>
      <c r="AB108" s="1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</row>
    <row r="109" spans="1:28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5"/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S109" s="1" t="str">
        <f>IF(OR($E109="",$F109=""),"",HYPERLINK(IF(OR(JobState="MI",JobState=""),"https://fema.maps.arcgis.com/apps/mapviewer/index.html?webmap=6a1702b9147243d1a5ee62cd614bc681&amp;center="&amp;$F109&amp;","&amp;$E109&amp;"&amp;level=16&amp;marker="&amp;$F109&amp;","&amp;$E109&amp;"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T109" s="5"/>
      <c r="U109" s="5"/>
      <c r="V109" s="5"/>
      <c r="W109" s="5"/>
      <c r="X109" s="5"/>
      <c r="Y109" s="5"/>
      <c r="Z109" s="5"/>
      <c r="AA109" s="5"/>
      <c r="AB109" s="1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</row>
    <row r="110" spans="1:28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5"/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S110" s="1" t="str">
        <f>IF(OR($E110="",$F110=""),"",HYPERLINK(IF(OR(JobState="MI",JobState=""),"https://fema.maps.arcgis.com/apps/mapviewer/index.html?webmap=6a1702b9147243d1a5ee62cd614bc681&amp;center="&amp;$F110&amp;","&amp;$E110&amp;"&amp;level=16&amp;marker="&amp;$F110&amp;","&amp;$E110&amp;"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T110" s="5"/>
      <c r="U110" s="5"/>
      <c r="V110" s="5"/>
      <c r="W110" s="5"/>
      <c r="X110" s="5"/>
      <c r="Y110" s="5"/>
      <c r="Z110" s="5"/>
      <c r="AA110" s="5"/>
      <c r="AB110" s="1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</row>
    <row r="111" spans="1:28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5"/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S111" s="1" t="str">
        <f>IF(OR($E111="",$F111=""),"",HYPERLINK(IF(OR(JobState="MI",JobState=""),"https://fema.maps.arcgis.com/apps/mapviewer/index.html?webmap=6a1702b9147243d1a5ee62cd614bc681&amp;center="&amp;$F111&amp;","&amp;$E111&amp;"&amp;level=16&amp;marker="&amp;$F111&amp;","&amp;$E111&amp;"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T111" s="5"/>
      <c r="U111" s="5"/>
      <c r="V111" s="5"/>
      <c r="W111" s="5"/>
      <c r="X111" s="5"/>
      <c r="Y111" s="5"/>
      <c r="Z111" s="5"/>
      <c r="AA111" s="5"/>
      <c r="AB111" s="1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</row>
    <row r="112" spans="1:28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5"/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S112" s="1" t="str">
        <f>IF(OR($E112="",$F112=""),"",HYPERLINK(IF(OR(JobState="MI",JobState=""),"https://fema.maps.arcgis.com/apps/mapviewer/index.html?webmap=6a1702b9147243d1a5ee62cd614bc681&amp;center="&amp;$F112&amp;","&amp;$E112&amp;"&amp;level=16&amp;marker="&amp;$F112&amp;","&amp;$E112&amp;"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T112" s="5"/>
      <c r="U112" s="5"/>
      <c r="V112" s="5"/>
      <c r="W112" s="5"/>
      <c r="X112" s="5"/>
      <c r="Y112" s="5"/>
      <c r="Z112" s="5"/>
      <c r="AA112" s="5"/>
      <c r="AB112" s="1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</row>
    <row r="113" spans="1:28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5"/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S113" s="1" t="str">
        <f>IF(OR($E113="",$F113=""),"",HYPERLINK(IF(OR(JobState="MI",JobState=""),"https://fema.maps.arcgis.com/apps/mapviewer/index.html?webmap=6a1702b9147243d1a5ee62cd614bc681&amp;center="&amp;$F113&amp;","&amp;$E113&amp;"&amp;level=16&amp;marker="&amp;$F113&amp;","&amp;$E113&amp;"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T113" s="5"/>
      <c r="U113" s="5"/>
      <c r="V113" s="5"/>
      <c r="W113" s="5"/>
      <c r="X113" s="5"/>
      <c r="Y113" s="5"/>
      <c r="Z113" s="5"/>
      <c r="AA113" s="5"/>
      <c r="AB113" s="1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</row>
    <row r="114" spans="1:28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5"/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S114" s="1" t="str">
        <f>IF(OR($E114="",$F114=""),"",HYPERLINK(IF(OR(JobState="MI",JobState=""),"https://fema.maps.arcgis.com/apps/mapviewer/index.html?webmap=6a1702b9147243d1a5ee62cd614bc681&amp;center="&amp;$F114&amp;","&amp;$E114&amp;"&amp;level=16&amp;marker="&amp;$F114&amp;","&amp;$E114&amp;"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T114" s="5"/>
      <c r="U114" s="5"/>
      <c r="V114" s="5"/>
      <c r="W114" s="5"/>
      <c r="X114" s="5"/>
      <c r="Y114" s="5"/>
      <c r="Z114" s="5"/>
      <c r="AA114" s="5"/>
      <c r="AB114" s="1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</row>
    <row r="115" spans="1:28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5"/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S115" s="1" t="str">
        <f>IF(OR($E115="",$F115=""),"",HYPERLINK(IF(OR(JobState="MI",JobState=""),"https://fema.maps.arcgis.com/apps/mapviewer/index.html?webmap=6a1702b9147243d1a5ee62cd614bc681&amp;center="&amp;$F115&amp;","&amp;$E115&amp;"&amp;level=16&amp;marker="&amp;$F115&amp;","&amp;$E115&amp;"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T115" s="5"/>
      <c r="U115" s="5"/>
      <c r="V115" s="5"/>
      <c r="W115" s="5"/>
      <c r="X115" s="5"/>
      <c r="Y115" s="5"/>
      <c r="Z115" s="5"/>
      <c r="AA115" s="5"/>
      <c r="AB115" s="1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</row>
    <row r="116" spans="1:28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5"/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S116" s="1" t="str">
        <f>IF(OR($E116="",$F116=""),"",HYPERLINK(IF(OR(JobState="MI",JobState=""),"https://fema.maps.arcgis.com/apps/mapviewer/index.html?webmap=6a1702b9147243d1a5ee62cd614bc681&amp;center="&amp;$F116&amp;","&amp;$E116&amp;"&amp;level=16&amp;marker="&amp;$F116&amp;","&amp;$E116&amp;"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T116" s="5"/>
      <c r="U116" s="5"/>
      <c r="V116" s="5"/>
      <c r="W116" s="5"/>
      <c r="X116" s="5"/>
      <c r="Y116" s="5"/>
      <c r="Z116" s="5"/>
      <c r="AA116" s="5"/>
      <c r="AB116" s="1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</row>
    <row r="117" spans="1:28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5"/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S117" s="1" t="str">
        <f>IF(OR($E117="",$F117=""),"",HYPERLINK(IF(OR(JobState="MI",JobState=""),"https://fema.maps.arcgis.com/apps/mapviewer/index.html?webmap=6a1702b9147243d1a5ee62cd614bc681&amp;center="&amp;$F117&amp;","&amp;$E117&amp;"&amp;level=16&amp;marker="&amp;$F117&amp;","&amp;$E117&amp;"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T117" s="5"/>
      <c r="U117" s="5"/>
      <c r="V117" s="5"/>
      <c r="W117" s="5"/>
      <c r="X117" s="5"/>
      <c r="Y117" s="5"/>
      <c r="Z117" s="5"/>
      <c r="AA117" s="5"/>
      <c r="AB117" s="1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</row>
    <row r="118" spans="1:28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5"/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S118" s="1" t="str">
        <f>IF(OR($E118="",$F118=""),"",HYPERLINK(IF(OR(JobState="MI",JobState=""),"https://fema.maps.arcgis.com/apps/mapviewer/index.html?webmap=6a1702b9147243d1a5ee62cd614bc681&amp;center="&amp;$F118&amp;","&amp;$E118&amp;"&amp;level=16&amp;marker="&amp;$F118&amp;","&amp;$E118&amp;"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T118" s="5"/>
      <c r="U118" s="5"/>
      <c r="V118" s="5"/>
      <c r="W118" s="5"/>
      <c r="X118" s="5"/>
      <c r="Y118" s="5"/>
      <c r="Z118" s="5"/>
      <c r="AA118" s="5"/>
      <c r="AB118" s="1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</row>
    <row r="119" spans="1:28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5"/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S119" s="1" t="str">
        <f>IF(OR($E119="",$F119=""),"",HYPERLINK(IF(OR(JobState="MI",JobState=""),"https://fema.maps.arcgis.com/apps/mapviewer/index.html?webmap=6a1702b9147243d1a5ee62cd614bc681&amp;center="&amp;$F119&amp;","&amp;$E119&amp;"&amp;level=16&amp;marker="&amp;$F119&amp;","&amp;$E119&amp;"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T119" s="5"/>
      <c r="U119" s="5"/>
      <c r="V119" s="5"/>
      <c r="W119" s="5"/>
      <c r="X119" s="5"/>
      <c r="Y119" s="5"/>
      <c r="Z119" s="5"/>
      <c r="AA119" s="5"/>
      <c r="AB119" s="1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</row>
    <row r="120" spans="1:28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5"/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S120" s="1" t="str">
        <f>IF(OR($E120="",$F120=""),"",HYPERLINK(IF(OR(JobState="MI",JobState=""),"https://fema.maps.arcgis.com/apps/mapviewer/index.html?webmap=6a1702b9147243d1a5ee62cd614bc681&amp;center="&amp;$F120&amp;","&amp;$E120&amp;"&amp;level=16&amp;marker="&amp;$F120&amp;","&amp;$E120&amp;"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T120" s="5"/>
      <c r="U120" s="5"/>
      <c r="V120" s="5"/>
      <c r="W120" s="5"/>
      <c r="X120" s="5"/>
      <c r="Y120" s="5"/>
      <c r="Z120" s="5"/>
      <c r="AA120" s="5"/>
      <c r="AB120" s="1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</row>
    <row r="121" spans="1:28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5"/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S121" s="1" t="str">
        <f>IF(OR($E121="",$F121=""),"",HYPERLINK(IF(OR(JobState="MI",JobState=""),"https://fema.maps.arcgis.com/apps/mapviewer/index.html?webmap=6a1702b9147243d1a5ee62cd614bc681&amp;center="&amp;$F121&amp;","&amp;$E121&amp;"&amp;level=16&amp;marker="&amp;$F121&amp;","&amp;$E121&amp;"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T121" s="5"/>
      <c r="U121" s="5"/>
      <c r="V121" s="5"/>
      <c r="W121" s="5"/>
      <c r="X121" s="5"/>
      <c r="Y121" s="5"/>
      <c r="Z121" s="5"/>
      <c r="AA121" s="5"/>
      <c r="AB121" s="1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</row>
    <row r="122" spans="1:28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5"/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S122" s="1" t="str">
        <f>IF(OR($E122="",$F122=""),"",HYPERLINK(IF(OR(JobState="MI",JobState=""),"https://fema.maps.arcgis.com/apps/mapviewer/index.html?webmap=6a1702b9147243d1a5ee62cd614bc681&amp;center="&amp;$F122&amp;","&amp;$E122&amp;"&amp;level=16&amp;marker="&amp;$F122&amp;","&amp;$E122&amp;"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T122" s="5"/>
      <c r="U122" s="5"/>
      <c r="V122" s="5"/>
      <c r="W122" s="5"/>
      <c r="X122" s="5"/>
      <c r="Y122" s="5"/>
      <c r="Z122" s="5"/>
      <c r="AA122" s="5"/>
      <c r="AB122" s="1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</row>
    <row r="123" spans="1:28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5"/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S123" s="1" t="str">
        <f>IF(OR($E123="",$F123=""),"",HYPERLINK(IF(OR(JobState="MI",JobState=""),"https://fema.maps.arcgis.com/apps/mapviewer/index.html?webmap=6a1702b9147243d1a5ee62cd614bc681&amp;center="&amp;$F123&amp;","&amp;$E123&amp;"&amp;level=16&amp;marker="&amp;$F123&amp;","&amp;$E123&amp;"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T123" s="5"/>
      <c r="U123" s="5"/>
      <c r="V123" s="5"/>
      <c r="W123" s="5"/>
      <c r="X123" s="5"/>
      <c r="Y123" s="5"/>
      <c r="Z123" s="5"/>
      <c r="AA123" s="5"/>
      <c r="AB123" s="1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</row>
    <row r="124" spans="1:28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5"/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S124" s="1" t="str">
        <f>IF(OR($E124="",$F124=""),"",HYPERLINK(IF(OR(JobState="MI",JobState=""),"https://fema.maps.arcgis.com/apps/mapviewer/index.html?webmap=6a1702b9147243d1a5ee62cd614bc681&amp;center="&amp;$F124&amp;","&amp;$E124&amp;"&amp;level=16&amp;marker="&amp;$F124&amp;","&amp;$E124&amp;"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T124" s="5"/>
      <c r="U124" s="5"/>
      <c r="V124" s="5"/>
      <c r="W124" s="5"/>
      <c r="X124" s="5"/>
      <c r="Y124" s="5"/>
      <c r="Z124" s="5"/>
      <c r="AA124" s="5"/>
      <c r="AB124" s="1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</row>
    <row r="125" spans="1:28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5"/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S125" s="1" t="str">
        <f>IF(OR($E125="",$F125=""),"",HYPERLINK(IF(OR(JobState="MI",JobState=""),"https://fema.maps.arcgis.com/apps/mapviewer/index.html?webmap=6a1702b9147243d1a5ee62cd614bc681&amp;center="&amp;$F125&amp;","&amp;$E125&amp;"&amp;level=16&amp;marker="&amp;$F125&amp;","&amp;$E125&amp;"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T125" s="5"/>
      <c r="U125" s="5"/>
      <c r="V125" s="5"/>
      <c r="W125" s="5"/>
      <c r="X125" s="5"/>
      <c r="Y125" s="5"/>
      <c r="Z125" s="5"/>
      <c r="AA125" s="5"/>
      <c r="AB125" s="1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</row>
    <row r="126" spans="1:28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5"/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S126" s="1" t="str">
        <f>IF(OR($E126="",$F126=""),"",HYPERLINK(IF(OR(JobState="MI",JobState=""),"https://fema.maps.arcgis.com/apps/mapviewer/index.html?webmap=6a1702b9147243d1a5ee62cd614bc681&amp;center="&amp;$F126&amp;","&amp;$E126&amp;"&amp;level=16&amp;marker="&amp;$F126&amp;","&amp;$E126&amp;"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T126" s="5"/>
      <c r="U126" s="5"/>
      <c r="V126" s="5"/>
      <c r="W126" s="5"/>
      <c r="X126" s="5"/>
      <c r="Y126" s="5"/>
      <c r="Z126" s="5"/>
      <c r="AA126" s="5"/>
      <c r="AB126" s="1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</row>
    <row r="127" spans="1:28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5"/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S127" s="1" t="str">
        <f>IF(OR($E127="",$F127=""),"",HYPERLINK(IF(OR(JobState="MI",JobState=""),"https://fema.maps.arcgis.com/apps/mapviewer/index.html?webmap=6a1702b9147243d1a5ee62cd614bc681&amp;center="&amp;$F127&amp;","&amp;$E127&amp;"&amp;level=16&amp;marker="&amp;$F127&amp;","&amp;$E127&amp;"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T127" s="5"/>
      <c r="U127" s="5"/>
      <c r="V127" s="5"/>
      <c r="W127" s="5"/>
      <c r="X127" s="5"/>
      <c r="Y127" s="5"/>
      <c r="Z127" s="5"/>
      <c r="AA127" s="5"/>
      <c r="AB127" s="1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</row>
    <row r="128" spans="1:28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5"/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S128" s="1" t="str">
        <f>IF(OR($E128="",$F128=""),"",HYPERLINK(IF(OR(JobState="MI",JobState=""),"https://fema.maps.arcgis.com/apps/mapviewer/index.html?webmap=6a1702b9147243d1a5ee62cd614bc681&amp;center="&amp;$F128&amp;","&amp;$E128&amp;"&amp;level=16&amp;marker="&amp;$F128&amp;","&amp;$E128&amp;"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T128" s="5"/>
      <c r="U128" s="5"/>
      <c r="V128" s="5"/>
      <c r="W128" s="5"/>
      <c r="X128" s="5"/>
      <c r="Y128" s="5"/>
      <c r="Z128" s="5"/>
      <c r="AA128" s="5"/>
      <c r="AB128" s="1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</row>
    <row r="129" spans="1:28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5"/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S129" s="1" t="str">
        <f>IF(OR($E129="",$F129=""),"",HYPERLINK(IF(OR(JobState="MI",JobState=""),"https://fema.maps.arcgis.com/apps/mapviewer/index.html?webmap=6a1702b9147243d1a5ee62cd614bc681&amp;center="&amp;$F129&amp;","&amp;$E129&amp;"&amp;level=16&amp;marker="&amp;$F129&amp;","&amp;$E129&amp;"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T129" s="5"/>
      <c r="U129" s="5"/>
      <c r="V129" s="5"/>
      <c r="W129" s="5"/>
      <c r="X129" s="5"/>
      <c r="Y129" s="5"/>
      <c r="Z129" s="5"/>
      <c r="AA129" s="5"/>
      <c r="AB129" s="1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</row>
    <row r="130" spans="1:28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5"/>
      <c r="M130" s="1" t="str">
        <f t="shared" si="6"/>
        <v/>
      </c>
      <c r="N130" s="1" t="str">
        <f t="shared" si="7"/>
        <v/>
      </c>
      <c r="O130" s="1" t="str">
        <f t="shared" si="8"/>
        <v/>
      </c>
      <c r="P130" s="1" t="str">
        <f t="shared" si="9"/>
        <v/>
      </c>
      <c r="Q130" s="1" t="str">
        <f t="shared" si="10"/>
        <v/>
      </c>
      <c r="R130" s="1" t="str">
        <f t="shared" si="11"/>
        <v/>
      </c>
      <c r="S130" s="1" t="str">
        <f>IF(OR($E130="",$F130=""),"",HYPERLINK(IF(OR(JobState="MI",JobState=""),"https://fema.maps.arcgis.com/apps/mapviewer/index.html?webmap=6a1702b9147243d1a5ee62cd614bc681&amp;center="&amp;$F130&amp;","&amp;$E130&amp;"&amp;level=16&amp;marker="&amp;$F130&amp;","&amp;$E130&amp;"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T130" s="5"/>
      <c r="U130" s="5"/>
      <c r="V130" s="5"/>
      <c r="W130" s="5"/>
      <c r="X130" s="5"/>
      <c r="Y130" s="5"/>
      <c r="Z130" s="5"/>
      <c r="AA130" s="5"/>
      <c r="AB130" s="1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</row>
    <row r="131" spans="1:28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5"/>
      <c r="M131" s="1" t="str">
        <f t="shared" ref="M131:M194" si="12">IF(OR($E131="",$F131=""),"",HYPERLINK("https://www.google.com/maps?q="&amp;$E131&amp;","&amp;$F131&amp;"","Map"))</f>
        <v/>
      </c>
      <c r="N131" s="1" t="str">
        <f t="shared" ref="N131:N194" si="13">IF(OR($E131="",$F131=""),"",HYPERLINK("https://www.google.com/maps?q&amp;layer=c&amp;cbll="&amp;$E131&amp;","&amp;$F131&amp;"","Street"))</f>
        <v/>
      </c>
      <c r="O131" s="1" t="str">
        <f t="shared" ref="O131:O194" si="14">IF(OR($E131="",$F131=""),"",HYPERLINK("https://www.bing.com/maps?cp="&amp;$E131&amp;"~"&amp;$F131&amp;"&amp;lvl=18&amp;style=h","Bing"))</f>
        <v/>
      </c>
      <c r="P131" s="1" t="str">
        <f t="shared" ref="P131:P194" si="15">IF(OR($E131="",$F131=""),"",HYPERLINK("https://earth.google.com/web/search/"&amp;$E131&amp;","&amp;$F131&amp;"","Earth"))</f>
        <v/>
      </c>
      <c r="Q131" s="1" t="str">
        <f t="shared" ref="Q131:Q194" si="16">IF(OR($E131="",$F131=""),"",HYPERLINK("https://fema.maps.arcgis.com/apps/mapviewer/index.html?find="&amp;$F131&amp;"%2C"&amp;$E131&amp;"&amp;marker="&amp;$F131&amp;","&amp;$E131&amp;",4326&amp;level=16","FEMA"))</f>
        <v/>
      </c>
      <c r="R131" s="1" t="str">
        <f t="shared" ref="R131:R194" si="17">IF(OR($E131="",$F131=""),"",HYPERLINK("https://msc.fema.gov/portal/firmette?latitude="&amp;$E131&amp;"&amp;longitude="&amp;$F131&amp;"","FIRMette"))</f>
        <v/>
      </c>
      <c r="S131" s="1" t="str">
        <f>IF(OR($E131="",$F131=""),"",HYPERLINK(IF(OR(JobState="MI",JobState=""),"https://fema.maps.arcgis.com/apps/mapviewer/index.html?webmap=6a1702b9147243d1a5ee62cd614bc681&amp;center="&amp;$F131&amp;","&amp;$E131&amp;"&amp;level=16&amp;marker="&amp;$F131&amp;","&amp;$E131&amp;"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T131" s="5"/>
      <c r="U131" s="5"/>
      <c r="V131" s="5"/>
      <c r="W131" s="5"/>
      <c r="X131" s="5"/>
      <c r="Y131" s="5"/>
      <c r="Z131" s="5"/>
      <c r="AA131" s="5"/>
      <c r="AB131" s="1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</row>
    <row r="132" spans="1:28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5"/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S132" s="1" t="str">
        <f>IF(OR($E132="",$F132=""),"",HYPERLINK(IF(OR(JobState="MI",JobState=""),"https://fema.maps.arcgis.com/apps/mapviewer/index.html?webmap=6a1702b9147243d1a5ee62cd614bc681&amp;center="&amp;$F132&amp;","&amp;$E132&amp;"&amp;level=16&amp;marker="&amp;$F132&amp;","&amp;$E132&amp;"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T132" s="5"/>
      <c r="U132" s="5"/>
      <c r="V132" s="5"/>
      <c r="W132" s="5"/>
      <c r="X132" s="5"/>
      <c r="Y132" s="5"/>
      <c r="Z132" s="5"/>
      <c r="AA132" s="5"/>
      <c r="AB132" s="1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</row>
    <row r="133" spans="1:28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5"/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S133" s="1" t="str">
        <f>IF(OR($E133="",$F133=""),"",HYPERLINK(IF(OR(JobState="MI",JobState=""),"https://fema.maps.arcgis.com/apps/mapviewer/index.html?webmap=6a1702b9147243d1a5ee62cd614bc681&amp;center="&amp;$F133&amp;","&amp;$E133&amp;"&amp;level=16&amp;marker="&amp;$F133&amp;","&amp;$E133&amp;"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T133" s="5"/>
      <c r="U133" s="5"/>
      <c r="V133" s="5"/>
      <c r="W133" s="5"/>
      <c r="X133" s="5"/>
      <c r="Y133" s="5"/>
      <c r="Z133" s="5"/>
      <c r="AA133" s="5"/>
      <c r="AB133" s="1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</row>
    <row r="134" spans="1:28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5"/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S134" s="1" t="str">
        <f>IF(OR($E134="",$F134=""),"",HYPERLINK(IF(OR(JobState="MI",JobState=""),"https://fema.maps.arcgis.com/apps/mapviewer/index.html?webmap=6a1702b9147243d1a5ee62cd614bc681&amp;center="&amp;$F134&amp;","&amp;$E134&amp;"&amp;level=16&amp;marker="&amp;$F134&amp;","&amp;$E134&amp;"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T134" s="5"/>
      <c r="U134" s="5"/>
      <c r="V134" s="5"/>
      <c r="W134" s="5"/>
      <c r="X134" s="5"/>
      <c r="Y134" s="5"/>
      <c r="Z134" s="5"/>
      <c r="AA134" s="5"/>
      <c r="AB134" s="1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</row>
    <row r="135" spans="1:28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5"/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S135" s="1" t="str">
        <f>IF(OR($E135="",$F135=""),"",HYPERLINK(IF(OR(JobState="MI",JobState=""),"https://fema.maps.arcgis.com/apps/mapviewer/index.html?webmap=6a1702b9147243d1a5ee62cd614bc681&amp;center="&amp;$F135&amp;","&amp;$E135&amp;"&amp;level=16&amp;marker="&amp;$F135&amp;","&amp;$E135&amp;"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T135" s="5"/>
      <c r="U135" s="5"/>
      <c r="V135" s="5"/>
      <c r="W135" s="5"/>
      <c r="X135" s="5"/>
      <c r="Y135" s="5"/>
      <c r="Z135" s="5"/>
      <c r="AA135" s="5"/>
      <c r="AB135" s="1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</row>
    <row r="136" spans="1:28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5"/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S136" s="1" t="str">
        <f>IF(OR($E136="",$F136=""),"",HYPERLINK(IF(OR(JobState="MI",JobState=""),"https://fema.maps.arcgis.com/apps/mapviewer/index.html?webmap=6a1702b9147243d1a5ee62cd614bc681&amp;center="&amp;$F136&amp;","&amp;$E136&amp;"&amp;level=16&amp;marker="&amp;$F136&amp;","&amp;$E136&amp;"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T136" s="5"/>
      <c r="U136" s="5"/>
      <c r="V136" s="5"/>
      <c r="W136" s="5"/>
      <c r="X136" s="5"/>
      <c r="Y136" s="5"/>
      <c r="Z136" s="5"/>
      <c r="AA136" s="5"/>
      <c r="AB136" s="1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</row>
    <row r="137" spans="1:28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5"/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S137" s="1" t="str">
        <f>IF(OR($E137="",$F137=""),"",HYPERLINK(IF(OR(JobState="MI",JobState=""),"https://fema.maps.arcgis.com/apps/mapviewer/index.html?webmap=6a1702b9147243d1a5ee62cd614bc681&amp;center="&amp;$F137&amp;","&amp;$E137&amp;"&amp;level=16&amp;marker="&amp;$F137&amp;","&amp;$E137&amp;"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T137" s="5"/>
      <c r="U137" s="5"/>
      <c r="V137" s="5"/>
      <c r="W137" s="5"/>
      <c r="X137" s="5"/>
      <c r="Y137" s="5"/>
      <c r="Z137" s="5"/>
      <c r="AA137" s="5"/>
      <c r="AB137" s="1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</row>
    <row r="138" spans="1:28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5"/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S138" s="1" t="str">
        <f>IF(OR($E138="",$F138=""),"",HYPERLINK(IF(OR(JobState="MI",JobState=""),"https://fema.maps.arcgis.com/apps/mapviewer/index.html?webmap=6a1702b9147243d1a5ee62cd614bc681&amp;center="&amp;$F138&amp;","&amp;$E138&amp;"&amp;level=16&amp;marker="&amp;$F138&amp;","&amp;$E138&amp;"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T138" s="5"/>
      <c r="U138" s="5"/>
      <c r="V138" s="5"/>
      <c r="W138" s="5"/>
      <c r="X138" s="5"/>
      <c r="Y138" s="5"/>
      <c r="Z138" s="5"/>
      <c r="AA138" s="5"/>
      <c r="AB138" s="1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</row>
    <row r="139" spans="1:28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5"/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S139" s="1" t="str">
        <f>IF(OR($E139="",$F139=""),"",HYPERLINK(IF(OR(JobState="MI",JobState=""),"https://fema.maps.arcgis.com/apps/mapviewer/index.html?webmap=6a1702b9147243d1a5ee62cd614bc681&amp;center="&amp;$F139&amp;","&amp;$E139&amp;"&amp;level=16&amp;marker="&amp;$F139&amp;","&amp;$E139&amp;"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T139" s="5"/>
      <c r="U139" s="5"/>
      <c r="V139" s="5"/>
      <c r="W139" s="5"/>
      <c r="X139" s="5"/>
      <c r="Y139" s="5"/>
      <c r="Z139" s="5"/>
      <c r="AA139" s="5"/>
      <c r="AB139" s="1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</row>
    <row r="140" spans="1:28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5"/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S140" s="1" t="str">
        <f>IF(OR($E140="",$F140=""),"",HYPERLINK(IF(OR(JobState="MI",JobState=""),"https://fema.maps.arcgis.com/apps/mapviewer/index.html?webmap=6a1702b9147243d1a5ee62cd614bc681&amp;center="&amp;$F140&amp;","&amp;$E140&amp;"&amp;level=16&amp;marker="&amp;$F140&amp;","&amp;$E140&amp;"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T140" s="5"/>
      <c r="U140" s="5"/>
      <c r="V140" s="5"/>
      <c r="W140" s="5"/>
      <c r="X140" s="5"/>
      <c r="Y140" s="5"/>
      <c r="Z140" s="5"/>
      <c r="AA140" s="5"/>
      <c r="AB140" s="1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</row>
    <row r="141" spans="1:28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5"/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S141" s="1" t="str">
        <f>IF(OR($E141="",$F141=""),"",HYPERLINK(IF(OR(JobState="MI",JobState=""),"https://fema.maps.arcgis.com/apps/mapviewer/index.html?webmap=6a1702b9147243d1a5ee62cd614bc681&amp;center="&amp;$F141&amp;","&amp;$E141&amp;"&amp;level=16&amp;marker="&amp;$F141&amp;","&amp;$E141&amp;"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T141" s="5"/>
      <c r="U141" s="5"/>
      <c r="V141" s="5"/>
      <c r="W141" s="5"/>
      <c r="X141" s="5"/>
      <c r="Y141" s="5"/>
      <c r="Z141" s="5"/>
      <c r="AA141" s="5"/>
      <c r="AB141" s="1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</row>
    <row r="142" spans="1:28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5"/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S142" s="1" t="str">
        <f>IF(OR($E142="",$F142=""),"",HYPERLINK(IF(OR(JobState="MI",JobState=""),"https://fema.maps.arcgis.com/apps/mapviewer/index.html?webmap=6a1702b9147243d1a5ee62cd614bc681&amp;center="&amp;$F142&amp;","&amp;$E142&amp;"&amp;level=16&amp;marker="&amp;$F142&amp;","&amp;$E142&amp;"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T142" s="5"/>
      <c r="U142" s="5"/>
      <c r="V142" s="5"/>
      <c r="W142" s="5"/>
      <c r="X142" s="5"/>
      <c r="Y142" s="5"/>
      <c r="Z142" s="5"/>
      <c r="AA142" s="5"/>
      <c r="AB142" s="1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</row>
    <row r="143" spans="1:28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5"/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S143" s="1" t="str">
        <f>IF(OR($E143="",$F143=""),"",HYPERLINK(IF(OR(JobState="MI",JobState=""),"https://fema.maps.arcgis.com/apps/mapviewer/index.html?webmap=6a1702b9147243d1a5ee62cd614bc681&amp;center="&amp;$F143&amp;","&amp;$E143&amp;"&amp;level=16&amp;marker="&amp;$F143&amp;","&amp;$E143&amp;"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T143" s="5"/>
      <c r="U143" s="5"/>
      <c r="V143" s="5"/>
      <c r="W143" s="5"/>
      <c r="X143" s="5"/>
      <c r="Y143" s="5"/>
      <c r="Z143" s="5"/>
      <c r="AA143" s="5"/>
      <c r="AB143" s="1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</row>
    <row r="144" spans="1:28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5"/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S144" s="1" t="str">
        <f>IF(OR($E144="",$F144=""),"",HYPERLINK(IF(OR(JobState="MI",JobState=""),"https://fema.maps.arcgis.com/apps/mapviewer/index.html?webmap=6a1702b9147243d1a5ee62cd614bc681&amp;center="&amp;$F144&amp;","&amp;$E144&amp;"&amp;level=16&amp;marker="&amp;$F144&amp;","&amp;$E144&amp;"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T144" s="5"/>
      <c r="U144" s="5"/>
      <c r="V144" s="5"/>
      <c r="W144" s="5"/>
      <c r="X144" s="5"/>
      <c r="Y144" s="5"/>
      <c r="Z144" s="5"/>
      <c r="AA144" s="5"/>
      <c r="AB144" s="1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</row>
    <row r="145" spans="1:28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5"/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S145" s="1" t="str">
        <f>IF(OR($E145="",$F145=""),"",HYPERLINK(IF(OR(JobState="MI",JobState=""),"https://fema.maps.arcgis.com/apps/mapviewer/index.html?webmap=6a1702b9147243d1a5ee62cd614bc681&amp;center="&amp;$F145&amp;","&amp;$E145&amp;"&amp;level=16&amp;marker="&amp;$F145&amp;","&amp;$E145&amp;"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T145" s="5"/>
      <c r="U145" s="5"/>
      <c r="V145" s="5"/>
      <c r="W145" s="5"/>
      <c r="X145" s="5"/>
      <c r="Y145" s="5"/>
      <c r="Z145" s="5"/>
      <c r="AA145" s="5"/>
      <c r="AB145" s="1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</row>
    <row r="146" spans="1:28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5"/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S146" s="1" t="str">
        <f>IF(OR($E146="",$F146=""),"",HYPERLINK(IF(OR(JobState="MI",JobState=""),"https://fema.maps.arcgis.com/apps/mapviewer/index.html?webmap=6a1702b9147243d1a5ee62cd614bc681&amp;center="&amp;$F146&amp;","&amp;$E146&amp;"&amp;level=16&amp;marker="&amp;$F146&amp;","&amp;$E146&amp;"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T146" s="5"/>
      <c r="U146" s="5"/>
      <c r="V146" s="5"/>
      <c r="W146" s="5"/>
      <c r="X146" s="5"/>
      <c r="Y146" s="5"/>
      <c r="Z146" s="5"/>
      <c r="AA146" s="5"/>
      <c r="AB146" s="1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</row>
    <row r="147" spans="1:28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5"/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S147" s="1" t="str">
        <f>IF(OR($E147="",$F147=""),"",HYPERLINK(IF(OR(JobState="MI",JobState=""),"https://fema.maps.arcgis.com/apps/mapviewer/index.html?webmap=6a1702b9147243d1a5ee62cd614bc681&amp;center="&amp;$F147&amp;","&amp;$E147&amp;"&amp;level=16&amp;marker="&amp;$F147&amp;","&amp;$E147&amp;"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T147" s="5"/>
      <c r="U147" s="5"/>
      <c r="V147" s="5"/>
      <c r="W147" s="5"/>
      <c r="X147" s="5"/>
      <c r="Y147" s="5"/>
      <c r="Z147" s="5"/>
      <c r="AA147" s="5"/>
      <c r="AB147" s="1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</row>
    <row r="148" spans="1:28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5"/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S148" s="1" t="str">
        <f>IF(OR($E148="",$F148=""),"",HYPERLINK(IF(OR(JobState="MI",JobState=""),"https://fema.maps.arcgis.com/apps/mapviewer/index.html?webmap=6a1702b9147243d1a5ee62cd614bc681&amp;center="&amp;$F148&amp;","&amp;$E148&amp;"&amp;level=16&amp;marker="&amp;$F148&amp;","&amp;$E148&amp;"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T148" s="5"/>
      <c r="U148" s="5"/>
      <c r="V148" s="5"/>
      <c r="W148" s="5"/>
      <c r="X148" s="5"/>
      <c r="Y148" s="5"/>
      <c r="Z148" s="5"/>
      <c r="AA148" s="5"/>
      <c r="AB148" s="1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</row>
    <row r="149" spans="1:28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5"/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S149" s="1" t="str">
        <f>IF(OR($E149="",$F149=""),"",HYPERLINK(IF(OR(JobState="MI",JobState=""),"https://fema.maps.arcgis.com/apps/mapviewer/index.html?webmap=6a1702b9147243d1a5ee62cd614bc681&amp;center="&amp;$F149&amp;","&amp;$E149&amp;"&amp;level=16&amp;marker="&amp;$F149&amp;","&amp;$E149&amp;"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T149" s="5"/>
      <c r="U149" s="5"/>
      <c r="V149" s="5"/>
      <c r="W149" s="5"/>
      <c r="X149" s="5"/>
      <c r="Y149" s="5"/>
      <c r="Z149" s="5"/>
      <c r="AA149" s="5"/>
      <c r="AB149" s="1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</row>
    <row r="150" spans="1:28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5"/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S150" s="1" t="str">
        <f>IF(OR($E150="",$F150=""),"",HYPERLINK(IF(OR(JobState="MI",JobState=""),"https://fema.maps.arcgis.com/apps/mapviewer/index.html?webmap=6a1702b9147243d1a5ee62cd614bc681&amp;center="&amp;$F150&amp;","&amp;$E150&amp;"&amp;level=16&amp;marker="&amp;$F150&amp;","&amp;$E150&amp;"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T150" s="5"/>
      <c r="U150" s="5"/>
      <c r="V150" s="5"/>
      <c r="W150" s="5"/>
      <c r="X150" s="5"/>
      <c r="Y150" s="5"/>
      <c r="Z150" s="5"/>
      <c r="AA150" s="5"/>
      <c r="AB150" s="1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</row>
    <row r="151" spans="1:28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5"/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S151" s="1" t="str">
        <f>IF(OR($E151="",$F151=""),"",HYPERLINK(IF(OR(JobState="MI",JobState=""),"https://fema.maps.arcgis.com/apps/mapviewer/index.html?webmap=6a1702b9147243d1a5ee62cd614bc681&amp;center="&amp;$F151&amp;","&amp;$E151&amp;"&amp;level=16&amp;marker="&amp;$F151&amp;","&amp;$E151&amp;"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T151" s="5"/>
      <c r="U151" s="5"/>
      <c r="V151" s="5"/>
      <c r="W151" s="5"/>
      <c r="X151" s="5"/>
      <c r="Y151" s="5"/>
      <c r="Z151" s="5"/>
      <c r="AA151" s="5"/>
      <c r="AB151" s="1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</row>
    <row r="152" spans="1:28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5"/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S152" s="1" t="str">
        <f>IF(OR($E152="",$F152=""),"",HYPERLINK(IF(OR(JobState="MI",JobState=""),"https://fema.maps.arcgis.com/apps/mapviewer/index.html?webmap=6a1702b9147243d1a5ee62cd614bc681&amp;center="&amp;$F152&amp;","&amp;$E152&amp;"&amp;level=16&amp;marker="&amp;$F152&amp;","&amp;$E152&amp;"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T152" s="5"/>
      <c r="U152" s="5"/>
      <c r="V152" s="5"/>
      <c r="W152" s="5"/>
      <c r="X152" s="5"/>
      <c r="Y152" s="5"/>
      <c r="Z152" s="5"/>
      <c r="AA152" s="5"/>
      <c r="AB152" s="1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</row>
    <row r="153" spans="1:28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5"/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S153" s="1" t="str">
        <f>IF(OR($E153="",$F153=""),"",HYPERLINK(IF(OR(JobState="MI",JobState=""),"https://fema.maps.arcgis.com/apps/mapviewer/index.html?webmap=6a1702b9147243d1a5ee62cd614bc681&amp;center="&amp;$F153&amp;","&amp;$E153&amp;"&amp;level=16&amp;marker="&amp;$F153&amp;","&amp;$E153&amp;"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T153" s="5"/>
      <c r="U153" s="5"/>
      <c r="V153" s="5"/>
      <c r="W153" s="5"/>
      <c r="X153" s="5"/>
      <c r="Y153" s="5"/>
      <c r="Z153" s="5"/>
      <c r="AA153" s="5"/>
      <c r="AB153" s="1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</row>
    <row r="154" spans="1:28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5"/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S154" s="1" t="str">
        <f>IF(OR($E154="",$F154=""),"",HYPERLINK(IF(OR(JobState="MI",JobState=""),"https://fema.maps.arcgis.com/apps/mapviewer/index.html?webmap=6a1702b9147243d1a5ee62cd614bc681&amp;center="&amp;$F154&amp;","&amp;$E154&amp;"&amp;level=16&amp;marker="&amp;$F154&amp;","&amp;$E154&amp;"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T154" s="5"/>
      <c r="U154" s="5"/>
      <c r="V154" s="5"/>
      <c r="W154" s="5"/>
      <c r="X154" s="5"/>
      <c r="Y154" s="5"/>
      <c r="Z154" s="5"/>
      <c r="AA154" s="5"/>
      <c r="AB154" s="1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</row>
    <row r="155" spans="1:28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5"/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S155" s="1" t="str">
        <f>IF(OR($E155="",$F155=""),"",HYPERLINK(IF(OR(JobState="MI",JobState=""),"https://fema.maps.arcgis.com/apps/mapviewer/index.html?webmap=6a1702b9147243d1a5ee62cd614bc681&amp;center="&amp;$F155&amp;","&amp;$E155&amp;"&amp;level=16&amp;marker="&amp;$F155&amp;","&amp;$E155&amp;"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T155" s="5"/>
      <c r="U155" s="5"/>
      <c r="V155" s="5"/>
      <c r="W155" s="5"/>
      <c r="X155" s="5"/>
      <c r="Y155" s="5"/>
      <c r="Z155" s="5"/>
      <c r="AA155" s="5"/>
      <c r="AB155" s="1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</row>
    <row r="156" spans="1:28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5"/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S156" s="1" t="str">
        <f>IF(OR($E156="",$F156=""),"",HYPERLINK(IF(OR(JobState="MI",JobState=""),"https://fema.maps.arcgis.com/apps/mapviewer/index.html?webmap=6a1702b9147243d1a5ee62cd614bc681&amp;center="&amp;$F156&amp;","&amp;$E156&amp;"&amp;level=16&amp;marker="&amp;$F156&amp;","&amp;$E156&amp;"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T156" s="5"/>
      <c r="U156" s="5"/>
      <c r="V156" s="5"/>
      <c r="W156" s="5"/>
      <c r="X156" s="5"/>
      <c r="Y156" s="5"/>
      <c r="Z156" s="5"/>
      <c r="AA156" s="5"/>
      <c r="AB156" s="1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</row>
    <row r="157" spans="1:28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5"/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S157" s="1" t="str">
        <f>IF(OR($E157="",$F157=""),"",HYPERLINK(IF(OR(JobState="MI",JobState=""),"https://fema.maps.arcgis.com/apps/mapviewer/index.html?webmap=6a1702b9147243d1a5ee62cd614bc681&amp;center="&amp;$F157&amp;","&amp;$E157&amp;"&amp;level=16&amp;marker="&amp;$F157&amp;","&amp;$E157&amp;"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T157" s="5"/>
      <c r="U157" s="5"/>
      <c r="V157" s="5"/>
      <c r="W157" s="5"/>
      <c r="X157" s="5"/>
      <c r="Y157" s="5"/>
      <c r="Z157" s="5"/>
      <c r="AA157" s="5"/>
      <c r="AB157" s="1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</row>
    <row r="158" spans="1:28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5"/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S158" s="1" t="str">
        <f>IF(OR($E158="",$F158=""),"",HYPERLINK(IF(OR(JobState="MI",JobState=""),"https://fema.maps.arcgis.com/apps/mapviewer/index.html?webmap=6a1702b9147243d1a5ee62cd614bc681&amp;center="&amp;$F158&amp;","&amp;$E158&amp;"&amp;level=16&amp;marker="&amp;$F158&amp;","&amp;$E158&amp;"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T158" s="5"/>
      <c r="U158" s="5"/>
      <c r="V158" s="5"/>
      <c r="W158" s="5"/>
      <c r="X158" s="5"/>
      <c r="Y158" s="5"/>
      <c r="Z158" s="5"/>
      <c r="AA158" s="5"/>
      <c r="AB158" s="1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</row>
    <row r="159" spans="1:28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5"/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S159" s="1" t="str">
        <f>IF(OR($E159="",$F159=""),"",HYPERLINK(IF(OR(JobState="MI",JobState=""),"https://fema.maps.arcgis.com/apps/mapviewer/index.html?webmap=6a1702b9147243d1a5ee62cd614bc681&amp;center="&amp;$F159&amp;","&amp;$E159&amp;"&amp;level=16&amp;marker="&amp;$F159&amp;","&amp;$E159&amp;"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T159" s="5"/>
      <c r="U159" s="5"/>
      <c r="V159" s="5"/>
      <c r="W159" s="5"/>
      <c r="X159" s="5"/>
      <c r="Y159" s="5"/>
      <c r="Z159" s="5"/>
      <c r="AA159" s="5"/>
      <c r="AB159" s="1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</row>
    <row r="160" spans="1:28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5"/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S160" s="1" t="str">
        <f>IF(OR($E160="",$F160=""),"",HYPERLINK(IF(OR(JobState="MI",JobState=""),"https://fema.maps.arcgis.com/apps/mapviewer/index.html?webmap=6a1702b9147243d1a5ee62cd614bc681&amp;center="&amp;$F160&amp;","&amp;$E160&amp;"&amp;level=16&amp;marker="&amp;$F160&amp;","&amp;$E160&amp;"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T160" s="5"/>
      <c r="U160" s="5"/>
      <c r="V160" s="5"/>
      <c r="W160" s="5"/>
      <c r="X160" s="5"/>
      <c r="Y160" s="5"/>
      <c r="Z160" s="5"/>
      <c r="AA160" s="5"/>
      <c r="AB160" s="1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</row>
    <row r="161" spans="1:28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5"/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S161" s="1" t="str">
        <f>IF(OR($E161="",$F161=""),"",HYPERLINK(IF(OR(JobState="MI",JobState=""),"https://fema.maps.arcgis.com/apps/mapviewer/index.html?webmap=6a1702b9147243d1a5ee62cd614bc681&amp;center="&amp;$F161&amp;","&amp;$E161&amp;"&amp;level=16&amp;marker="&amp;$F161&amp;","&amp;$E161&amp;"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T161" s="5"/>
      <c r="U161" s="5"/>
      <c r="V161" s="5"/>
      <c r="W161" s="5"/>
      <c r="X161" s="5"/>
      <c r="Y161" s="5"/>
      <c r="Z161" s="5"/>
      <c r="AA161" s="5"/>
      <c r="AB161" s="1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</row>
    <row r="162" spans="1:28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5"/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S162" s="1" t="str">
        <f>IF(OR($E162="",$F162=""),"",HYPERLINK(IF(OR(JobState="MI",JobState=""),"https://fema.maps.arcgis.com/apps/mapviewer/index.html?webmap=6a1702b9147243d1a5ee62cd614bc681&amp;center="&amp;$F162&amp;","&amp;$E162&amp;"&amp;level=16&amp;marker="&amp;$F162&amp;","&amp;$E162&amp;"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T162" s="5"/>
      <c r="U162" s="5"/>
      <c r="V162" s="5"/>
      <c r="W162" s="5"/>
      <c r="X162" s="5"/>
      <c r="Y162" s="5"/>
      <c r="Z162" s="5"/>
      <c r="AA162" s="5"/>
      <c r="AB162" s="1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</row>
    <row r="163" spans="1:28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5"/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S163" s="1" t="str">
        <f>IF(OR($E163="",$F163=""),"",HYPERLINK(IF(OR(JobState="MI",JobState=""),"https://fema.maps.arcgis.com/apps/mapviewer/index.html?webmap=6a1702b9147243d1a5ee62cd614bc681&amp;center="&amp;$F163&amp;","&amp;$E163&amp;"&amp;level=16&amp;marker="&amp;$F163&amp;","&amp;$E163&amp;"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T163" s="5"/>
      <c r="U163" s="5"/>
      <c r="V163" s="5"/>
      <c r="W163" s="5"/>
      <c r="X163" s="5"/>
      <c r="Y163" s="5"/>
      <c r="Z163" s="5"/>
      <c r="AA163" s="5"/>
      <c r="AB163" s="1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</row>
    <row r="164" spans="1:28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5"/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S164" s="1" t="str">
        <f>IF(OR($E164="",$F164=""),"",HYPERLINK(IF(OR(JobState="MI",JobState=""),"https://fema.maps.arcgis.com/apps/mapviewer/index.html?webmap=6a1702b9147243d1a5ee62cd614bc681&amp;center="&amp;$F164&amp;","&amp;$E164&amp;"&amp;level=16&amp;marker="&amp;$F164&amp;","&amp;$E164&amp;"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T164" s="5"/>
      <c r="U164" s="5"/>
      <c r="V164" s="5"/>
      <c r="W164" s="5"/>
      <c r="X164" s="5"/>
      <c r="Y164" s="5"/>
      <c r="Z164" s="5"/>
      <c r="AA164" s="5"/>
      <c r="AB164" s="1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</row>
    <row r="165" spans="1:28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5"/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S165" s="1" t="str">
        <f>IF(OR($E165="",$F165=""),"",HYPERLINK(IF(OR(JobState="MI",JobState=""),"https://fema.maps.arcgis.com/apps/mapviewer/index.html?webmap=6a1702b9147243d1a5ee62cd614bc681&amp;center="&amp;$F165&amp;","&amp;$E165&amp;"&amp;level=16&amp;marker="&amp;$F165&amp;","&amp;$E165&amp;"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T165" s="5"/>
      <c r="U165" s="5"/>
      <c r="V165" s="5"/>
      <c r="W165" s="5"/>
      <c r="X165" s="5"/>
      <c r="Y165" s="5"/>
      <c r="Z165" s="5"/>
      <c r="AA165" s="5"/>
      <c r="AB165" s="1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</row>
    <row r="166" spans="1:28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5"/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S166" s="1" t="str">
        <f>IF(OR($E166="",$F166=""),"",HYPERLINK(IF(OR(JobState="MI",JobState=""),"https://fema.maps.arcgis.com/apps/mapviewer/index.html?webmap=6a1702b9147243d1a5ee62cd614bc681&amp;center="&amp;$F166&amp;","&amp;$E166&amp;"&amp;level=16&amp;marker="&amp;$F166&amp;","&amp;$E166&amp;"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T166" s="5"/>
      <c r="U166" s="5"/>
      <c r="V166" s="5"/>
      <c r="W166" s="5"/>
      <c r="X166" s="5"/>
      <c r="Y166" s="5"/>
      <c r="Z166" s="5"/>
      <c r="AA166" s="5"/>
      <c r="AB166" s="1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</row>
    <row r="167" spans="1:28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5"/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S167" s="1" t="str">
        <f>IF(OR($E167="",$F167=""),"",HYPERLINK(IF(OR(JobState="MI",JobState=""),"https://fema.maps.arcgis.com/apps/mapviewer/index.html?webmap=6a1702b9147243d1a5ee62cd614bc681&amp;center="&amp;$F167&amp;","&amp;$E167&amp;"&amp;level=16&amp;marker="&amp;$F167&amp;","&amp;$E167&amp;"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T167" s="5"/>
      <c r="U167" s="5"/>
      <c r="V167" s="5"/>
      <c r="W167" s="5"/>
      <c r="X167" s="5"/>
      <c r="Y167" s="5"/>
      <c r="Z167" s="5"/>
      <c r="AA167" s="5"/>
      <c r="AB167" s="1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</row>
    <row r="168" spans="1:28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5"/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S168" s="1" t="str">
        <f>IF(OR($E168="",$F168=""),"",HYPERLINK(IF(OR(JobState="MI",JobState=""),"https://fema.maps.arcgis.com/apps/mapviewer/index.html?webmap=6a1702b9147243d1a5ee62cd614bc681&amp;center="&amp;$F168&amp;","&amp;$E168&amp;"&amp;level=16&amp;marker="&amp;$F168&amp;","&amp;$E168&amp;"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T168" s="5"/>
      <c r="U168" s="5"/>
      <c r="V168" s="5"/>
      <c r="W168" s="5"/>
      <c r="X168" s="5"/>
      <c r="Y168" s="5"/>
      <c r="Z168" s="5"/>
      <c r="AA168" s="5"/>
      <c r="AB168" s="1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</row>
    <row r="169" spans="1:28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5"/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S169" s="1" t="str">
        <f>IF(OR($E169="",$F169=""),"",HYPERLINK(IF(OR(JobState="MI",JobState=""),"https://fema.maps.arcgis.com/apps/mapviewer/index.html?webmap=6a1702b9147243d1a5ee62cd614bc681&amp;center="&amp;$F169&amp;","&amp;$E169&amp;"&amp;level=16&amp;marker="&amp;$F169&amp;","&amp;$E169&amp;"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T169" s="5"/>
      <c r="U169" s="5"/>
      <c r="V169" s="5"/>
      <c r="W169" s="5"/>
      <c r="X169" s="5"/>
      <c r="Y169" s="5"/>
      <c r="Z169" s="5"/>
      <c r="AA169" s="5"/>
      <c r="AB169" s="1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</row>
    <row r="170" spans="1:28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5"/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S170" s="1" t="str">
        <f>IF(OR($E170="",$F170=""),"",HYPERLINK(IF(OR(JobState="MI",JobState=""),"https://fema.maps.arcgis.com/apps/mapviewer/index.html?webmap=6a1702b9147243d1a5ee62cd614bc681&amp;center="&amp;$F170&amp;","&amp;$E170&amp;"&amp;level=16&amp;marker="&amp;$F170&amp;","&amp;$E170&amp;"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T170" s="5"/>
      <c r="U170" s="5"/>
      <c r="V170" s="5"/>
      <c r="W170" s="5"/>
      <c r="X170" s="5"/>
      <c r="Y170" s="5"/>
      <c r="Z170" s="5"/>
      <c r="AA170" s="5"/>
      <c r="AB170" s="1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</row>
    <row r="171" spans="1:28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5"/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S171" s="1" t="str">
        <f>IF(OR($E171="",$F171=""),"",HYPERLINK(IF(OR(JobState="MI",JobState=""),"https://fema.maps.arcgis.com/apps/mapviewer/index.html?webmap=6a1702b9147243d1a5ee62cd614bc681&amp;center="&amp;$F171&amp;","&amp;$E171&amp;"&amp;level=16&amp;marker="&amp;$F171&amp;","&amp;$E171&amp;"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T171" s="5"/>
      <c r="U171" s="5"/>
      <c r="V171" s="5"/>
      <c r="W171" s="5"/>
      <c r="X171" s="5"/>
      <c r="Y171" s="5"/>
      <c r="Z171" s="5"/>
      <c r="AA171" s="5"/>
      <c r="AB171" s="1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</row>
    <row r="172" spans="1:28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5"/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S172" s="1" t="str">
        <f>IF(OR($E172="",$F172=""),"",HYPERLINK(IF(OR(JobState="MI",JobState=""),"https://fema.maps.arcgis.com/apps/mapviewer/index.html?webmap=6a1702b9147243d1a5ee62cd614bc681&amp;center="&amp;$F172&amp;","&amp;$E172&amp;"&amp;level=16&amp;marker="&amp;$F172&amp;","&amp;$E172&amp;"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T172" s="5"/>
      <c r="U172" s="5"/>
      <c r="V172" s="5"/>
      <c r="W172" s="5"/>
      <c r="X172" s="5"/>
      <c r="Y172" s="5"/>
      <c r="Z172" s="5"/>
      <c r="AA172" s="5"/>
      <c r="AB172" s="1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</row>
    <row r="173" spans="1:28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5"/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S173" s="1" t="str">
        <f>IF(OR($E173="",$F173=""),"",HYPERLINK(IF(OR(JobState="MI",JobState=""),"https://fema.maps.arcgis.com/apps/mapviewer/index.html?webmap=6a1702b9147243d1a5ee62cd614bc681&amp;center="&amp;$F173&amp;","&amp;$E173&amp;"&amp;level=16&amp;marker="&amp;$F173&amp;","&amp;$E173&amp;"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T173" s="5"/>
      <c r="U173" s="5"/>
      <c r="V173" s="5"/>
      <c r="W173" s="5"/>
      <c r="X173" s="5"/>
      <c r="Y173" s="5"/>
      <c r="Z173" s="5"/>
      <c r="AA173" s="5"/>
      <c r="AB173" s="1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</row>
    <row r="174" spans="1:28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5"/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S174" s="1" t="str">
        <f>IF(OR($E174="",$F174=""),"",HYPERLINK(IF(OR(JobState="MI",JobState=""),"https://fema.maps.arcgis.com/apps/mapviewer/index.html?webmap=6a1702b9147243d1a5ee62cd614bc681&amp;center="&amp;$F174&amp;","&amp;$E174&amp;"&amp;level=16&amp;marker="&amp;$F174&amp;","&amp;$E174&amp;"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T174" s="5"/>
      <c r="U174" s="5"/>
      <c r="V174" s="5"/>
      <c r="W174" s="5"/>
      <c r="X174" s="5"/>
      <c r="Y174" s="5"/>
      <c r="Z174" s="5"/>
      <c r="AA174" s="5"/>
      <c r="AB174" s="1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</row>
    <row r="175" spans="1:28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5"/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S175" s="1" t="str">
        <f>IF(OR($E175="",$F175=""),"",HYPERLINK(IF(OR(JobState="MI",JobState=""),"https://fema.maps.arcgis.com/apps/mapviewer/index.html?webmap=6a1702b9147243d1a5ee62cd614bc681&amp;center="&amp;$F175&amp;","&amp;$E175&amp;"&amp;level=16&amp;marker="&amp;$F175&amp;","&amp;$E175&amp;"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T175" s="5"/>
      <c r="U175" s="5"/>
      <c r="V175" s="5"/>
      <c r="W175" s="5"/>
      <c r="X175" s="5"/>
      <c r="Y175" s="5"/>
      <c r="Z175" s="5"/>
      <c r="AA175" s="5"/>
      <c r="AB175" s="1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</row>
    <row r="176" spans="1:28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5"/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S176" s="1" t="str">
        <f>IF(OR($E176="",$F176=""),"",HYPERLINK(IF(OR(JobState="MI",JobState=""),"https://fema.maps.arcgis.com/apps/mapviewer/index.html?webmap=6a1702b9147243d1a5ee62cd614bc681&amp;center="&amp;$F176&amp;","&amp;$E176&amp;"&amp;level=16&amp;marker="&amp;$F176&amp;","&amp;$E176&amp;"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T176" s="5"/>
      <c r="U176" s="5"/>
      <c r="V176" s="5"/>
      <c r="W176" s="5"/>
      <c r="X176" s="5"/>
      <c r="Y176" s="5"/>
      <c r="Z176" s="5"/>
      <c r="AA176" s="5"/>
      <c r="AB176" s="1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</row>
    <row r="177" spans="1:28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5"/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S177" s="1" t="str">
        <f>IF(OR($E177="",$F177=""),"",HYPERLINK(IF(OR(JobState="MI",JobState=""),"https://fema.maps.arcgis.com/apps/mapviewer/index.html?webmap=6a1702b9147243d1a5ee62cd614bc681&amp;center="&amp;$F177&amp;","&amp;$E177&amp;"&amp;level=16&amp;marker="&amp;$F177&amp;","&amp;$E177&amp;"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T177" s="5"/>
      <c r="U177" s="5"/>
      <c r="V177" s="5"/>
      <c r="W177" s="5"/>
      <c r="X177" s="5"/>
      <c r="Y177" s="5"/>
      <c r="Z177" s="5"/>
      <c r="AA177" s="5"/>
      <c r="AB177" s="1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</row>
    <row r="178" spans="1:28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5"/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S178" s="1" t="str">
        <f>IF(OR($E178="",$F178=""),"",HYPERLINK(IF(OR(JobState="MI",JobState=""),"https://fema.maps.arcgis.com/apps/mapviewer/index.html?webmap=6a1702b9147243d1a5ee62cd614bc681&amp;center="&amp;$F178&amp;","&amp;$E178&amp;"&amp;level=16&amp;marker="&amp;$F178&amp;","&amp;$E178&amp;"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T178" s="5"/>
      <c r="U178" s="5"/>
      <c r="V178" s="5"/>
      <c r="W178" s="5"/>
      <c r="X178" s="5"/>
      <c r="Y178" s="5"/>
      <c r="Z178" s="5"/>
      <c r="AA178" s="5"/>
      <c r="AB178" s="1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</row>
    <row r="179" spans="1:28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5"/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S179" s="1" t="str">
        <f>IF(OR($E179="",$F179=""),"",HYPERLINK(IF(OR(JobState="MI",JobState=""),"https://fema.maps.arcgis.com/apps/mapviewer/index.html?webmap=6a1702b9147243d1a5ee62cd614bc681&amp;center="&amp;$F179&amp;","&amp;$E179&amp;"&amp;level=16&amp;marker="&amp;$F179&amp;","&amp;$E179&amp;"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T179" s="5"/>
      <c r="U179" s="5"/>
      <c r="V179" s="5"/>
      <c r="W179" s="5"/>
      <c r="X179" s="5"/>
      <c r="Y179" s="5"/>
      <c r="Z179" s="5"/>
      <c r="AA179" s="5"/>
      <c r="AB179" s="1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</row>
    <row r="180" spans="1:28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5"/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S180" s="1" t="str">
        <f>IF(OR($E180="",$F180=""),"",HYPERLINK(IF(OR(JobState="MI",JobState=""),"https://fema.maps.arcgis.com/apps/mapviewer/index.html?webmap=6a1702b9147243d1a5ee62cd614bc681&amp;center="&amp;$F180&amp;","&amp;$E180&amp;"&amp;level=16&amp;marker="&amp;$F180&amp;","&amp;$E180&amp;"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T180" s="5"/>
      <c r="U180" s="5"/>
      <c r="V180" s="5"/>
      <c r="W180" s="5"/>
      <c r="X180" s="5"/>
      <c r="Y180" s="5"/>
      <c r="Z180" s="5"/>
      <c r="AA180" s="5"/>
      <c r="AB180" s="1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</row>
    <row r="181" spans="1:28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5"/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S181" s="1" t="str">
        <f>IF(OR($E181="",$F181=""),"",HYPERLINK(IF(OR(JobState="MI",JobState=""),"https://fema.maps.arcgis.com/apps/mapviewer/index.html?webmap=6a1702b9147243d1a5ee62cd614bc681&amp;center="&amp;$F181&amp;","&amp;$E181&amp;"&amp;level=16&amp;marker="&amp;$F181&amp;","&amp;$E181&amp;"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T181" s="5"/>
      <c r="U181" s="5"/>
      <c r="V181" s="5"/>
      <c r="W181" s="5"/>
      <c r="X181" s="5"/>
      <c r="Y181" s="5"/>
      <c r="Z181" s="5"/>
      <c r="AA181" s="5"/>
      <c r="AB181" s="1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</row>
    <row r="182" spans="1:28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5"/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S182" s="1" t="str">
        <f>IF(OR($E182="",$F182=""),"",HYPERLINK(IF(OR(JobState="MI",JobState=""),"https://fema.maps.arcgis.com/apps/mapviewer/index.html?webmap=6a1702b9147243d1a5ee62cd614bc681&amp;center="&amp;$F182&amp;","&amp;$E182&amp;"&amp;level=16&amp;marker="&amp;$F182&amp;","&amp;$E182&amp;"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T182" s="5"/>
      <c r="U182" s="5"/>
      <c r="V182" s="5"/>
      <c r="W182" s="5"/>
      <c r="X182" s="5"/>
      <c r="Y182" s="5"/>
      <c r="Z182" s="5"/>
      <c r="AA182" s="5"/>
      <c r="AB182" s="1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</row>
    <row r="183" spans="1:28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5"/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S183" s="1" t="str">
        <f>IF(OR($E183="",$F183=""),"",HYPERLINK(IF(OR(JobState="MI",JobState=""),"https://fema.maps.arcgis.com/apps/mapviewer/index.html?webmap=6a1702b9147243d1a5ee62cd614bc681&amp;center="&amp;$F183&amp;","&amp;$E183&amp;"&amp;level=16&amp;marker="&amp;$F183&amp;","&amp;$E183&amp;"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T183" s="5"/>
      <c r="U183" s="5"/>
      <c r="V183" s="5"/>
      <c r="W183" s="5"/>
      <c r="X183" s="5"/>
      <c r="Y183" s="5"/>
      <c r="Z183" s="5"/>
      <c r="AA183" s="5"/>
      <c r="AB183" s="1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</row>
    <row r="184" spans="1:28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5"/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S184" s="1" t="str">
        <f>IF(OR($E184="",$F184=""),"",HYPERLINK(IF(OR(JobState="MI",JobState=""),"https://fema.maps.arcgis.com/apps/mapviewer/index.html?webmap=6a1702b9147243d1a5ee62cd614bc681&amp;center="&amp;$F184&amp;","&amp;$E184&amp;"&amp;level=16&amp;marker="&amp;$F184&amp;","&amp;$E184&amp;"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T184" s="5"/>
      <c r="U184" s="5"/>
      <c r="V184" s="5"/>
      <c r="W184" s="5"/>
      <c r="X184" s="5"/>
      <c r="Y184" s="5"/>
      <c r="Z184" s="5"/>
      <c r="AA184" s="5"/>
      <c r="AB184" s="1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</row>
    <row r="185" spans="1:28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5"/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S185" s="1" t="str">
        <f>IF(OR($E185="",$F185=""),"",HYPERLINK(IF(OR(JobState="MI",JobState=""),"https://fema.maps.arcgis.com/apps/mapviewer/index.html?webmap=6a1702b9147243d1a5ee62cd614bc681&amp;center="&amp;$F185&amp;","&amp;$E185&amp;"&amp;level=16&amp;marker="&amp;$F185&amp;","&amp;$E185&amp;"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T185" s="5"/>
      <c r="U185" s="5"/>
      <c r="V185" s="5"/>
      <c r="W185" s="5"/>
      <c r="X185" s="5"/>
      <c r="Y185" s="5"/>
      <c r="Z185" s="5"/>
      <c r="AA185" s="5"/>
      <c r="AB185" s="1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</row>
    <row r="186" spans="1:28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5"/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S186" s="1" t="str">
        <f>IF(OR($E186="",$F186=""),"",HYPERLINK(IF(OR(JobState="MI",JobState=""),"https://fema.maps.arcgis.com/apps/mapviewer/index.html?webmap=6a1702b9147243d1a5ee62cd614bc681&amp;center="&amp;$F186&amp;","&amp;$E186&amp;"&amp;level=16&amp;marker="&amp;$F186&amp;","&amp;$E186&amp;"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T186" s="5"/>
      <c r="U186" s="5"/>
      <c r="V186" s="5"/>
      <c r="W186" s="5"/>
      <c r="X186" s="5"/>
      <c r="Y186" s="5"/>
      <c r="Z186" s="5"/>
      <c r="AA186" s="5"/>
      <c r="AB186" s="1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</row>
    <row r="187" spans="1:28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5"/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S187" s="1" t="str">
        <f>IF(OR($E187="",$F187=""),"",HYPERLINK(IF(OR(JobState="MI",JobState=""),"https://fema.maps.arcgis.com/apps/mapviewer/index.html?webmap=6a1702b9147243d1a5ee62cd614bc681&amp;center="&amp;$F187&amp;","&amp;$E187&amp;"&amp;level=16&amp;marker="&amp;$F187&amp;","&amp;$E187&amp;"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T187" s="5"/>
      <c r="U187" s="5"/>
      <c r="V187" s="5"/>
      <c r="W187" s="5"/>
      <c r="X187" s="5"/>
      <c r="Y187" s="5"/>
      <c r="Z187" s="5"/>
      <c r="AA187" s="5"/>
      <c r="AB187" s="1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</row>
    <row r="188" spans="1:28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5"/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S188" s="1" t="str">
        <f>IF(OR($E188="",$F188=""),"",HYPERLINK(IF(OR(JobState="MI",JobState=""),"https://fema.maps.arcgis.com/apps/mapviewer/index.html?webmap=6a1702b9147243d1a5ee62cd614bc681&amp;center="&amp;$F188&amp;","&amp;$E188&amp;"&amp;level=16&amp;marker="&amp;$F188&amp;","&amp;$E188&amp;"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T188" s="5"/>
      <c r="U188" s="5"/>
      <c r="V188" s="5"/>
      <c r="W188" s="5"/>
      <c r="X188" s="5"/>
      <c r="Y188" s="5"/>
      <c r="Z188" s="5"/>
      <c r="AA188" s="5"/>
      <c r="AB188" s="1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</row>
    <row r="189" spans="1:28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5"/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S189" s="1" t="str">
        <f>IF(OR($E189="",$F189=""),"",HYPERLINK(IF(OR(JobState="MI",JobState=""),"https://fema.maps.arcgis.com/apps/mapviewer/index.html?webmap=6a1702b9147243d1a5ee62cd614bc681&amp;center="&amp;$F189&amp;","&amp;$E189&amp;"&amp;level=16&amp;marker="&amp;$F189&amp;","&amp;$E189&amp;"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T189" s="5"/>
      <c r="U189" s="5"/>
      <c r="V189" s="5"/>
      <c r="W189" s="5"/>
      <c r="X189" s="5"/>
      <c r="Y189" s="5"/>
      <c r="Z189" s="5"/>
      <c r="AA189" s="5"/>
      <c r="AB189" s="1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</row>
    <row r="190" spans="1:28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5"/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S190" s="1" t="str">
        <f>IF(OR($E190="",$F190=""),"",HYPERLINK(IF(OR(JobState="MI",JobState=""),"https://fema.maps.arcgis.com/apps/mapviewer/index.html?webmap=6a1702b9147243d1a5ee62cd614bc681&amp;center="&amp;$F190&amp;","&amp;$E190&amp;"&amp;level=16&amp;marker="&amp;$F190&amp;","&amp;$E190&amp;"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T190" s="5"/>
      <c r="U190" s="5"/>
      <c r="V190" s="5"/>
      <c r="W190" s="5"/>
      <c r="X190" s="5"/>
      <c r="Y190" s="5"/>
      <c r="Z190" s="5"/>
      <c r="AA190" s="5"/>
      <c r="AB190" s="1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</row>
    <row r="191" spans="1:28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5"/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S191" s="1" t="str">
        <f>IF(OR($E191="",$F191=""),"",HYPERLINK(IF(OR(JobState="MI",JobState=""),"https://fema.maps.arcgis.com/apps/mapviewer/index.html?webmap=6a1702b9147243d1a5ee62cd614bc681&amp;center="&amp;$F191&amp;","&amp;$E191&amp;"&amp;level=16&amp;marker="&amp;$F191&amp;","&amp;$E191&amp;"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T191" s="5"/>
      <c r="U191" s="5"/>
      <c r="V191" s="5"/>
      <c r="W191" s="5"/>
      <c r="X191" s="5"/>
      <c r="Y191" s="5"/>
      <c r="Z191" s="5"/>
      <c r="AA191" s="5"/>
      <c r="AB191" s="1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</row>
    <row r="192" spans="1:28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5"/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S192" s="1" t="str">
        <f>IF(OR($E192="",$F192=""),"",HYPERLINK(IF(OR(JobState="MI",JobState=""),"https://fema.maps.arcgis.com/apps/mapviewer/index.html?webmap=6a1702b9147243d1a5ee62cd614bc681&amp;center="&amp;$F192&amp;","&amp;$E192&amp;"&amp;level=16&amp;marker="&amp;$F192&amp;","&amp;$E192&amp;"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T192" s="5"/>
      <c r="U192" s="5"/>
      <c r="V192" s="5"/>
      <c r="W192" s="5"/>
      <c r="X192" s="5"/>
      <c r="Y192" s="5"/>
      <c r="Z192" s="5"/>
      <c r="AA192" s="5"/>
      <c r="AB192" s="1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</row>
    <row r="193" spans="1:28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5"/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S193" s="1" t="str">
        <f>IF(OR($E193="",$F193=""),"",HYPERLINK(IF(OR(JobState="MI",JobState=""),"https://fema.maps.arcgis.com/apps/mapviewer/index.html?webmap=6a1702b9147243d1a5ee62cd614bc681&amp;center="&amp;$F193&amp;","&amp;$E193&amp;"&amp;level=16&amp;marker="&amp;$F193&amp;","&amp;$E193&amp;"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T193" s="5"/>
      <c r="U193" s="5"/>
      <c r="V193" s="5"/>
      <c r="W193" s="5"/>
      <c r="X193" s="5"/>
      <c r="Y193" s="5"/>
      <c r="Z193" s="5"/>
      <c r="AA193" s="5"/>
      <c r="AB193" s="1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</row>
    <row r="194" spans="1:28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5"/>
      <c r="M194" s="1" t="str">
        <f t="shared" si="12"/>
        <v/>
      </c>
      <c r="N194" s="1" t="str">
        <f t="shared" si="13"/>
        <v/>
      </c>
      <c r="O194" s="1" t="str">
        <f t="shared" si="14"/>
        <v/>
      </c>
      <c r="P194" s="1" t="str">
        <f t="shared" si="15"/>
        <v/>
      </c>
      <c r="Q194" s="1" t="str">
        <f t="shared" si="16"/>
        <v/>
      </c>
      <c r="R194" s="1" t="str">
        <f t="shared" si="17"/>
        <v/>
      </c>
      <c r="S194" s="1" t="str">
        <f>IF(OR($E194="",$F194=""),"",HYPERLINK(IF(OR(JobState="MI",JobState=""),"https://fema.maps.arcgis.com/apps/mapviewer/index.html?webmap=6a1702b9147243d1a5ee62cd614bc681&amp;center="&amp;$F194&amp;","&amp;$E194&amp;"&amp;level=16&amp;marker="&amp;$F194&amp;","&amp;$E194&amp;"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T194" s="5"/>
      <c r="U194" s="5"/>
      <c r="V194" s="5"/>
      <c r="W194" s="5"/>
      <c r="X194" s="5"/>
      <c r="Y194" s="5"/>
      <c r="Z194" s="5"/>
      <c r="AA194" s="5"/>
      <c r="AB194" s="1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</row>
    <row r="195" spans="1:28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5"/>
      <c r="M195" s="1" t="str">
        <f t="shared" ref="M195:M258" si="18">IF(OR($E195="",$F195=""),"",HYPERLINK("https://www.google.com/maps?q="&amp;$E195&amp;","&amp;$F195&amp;"","Map"))</f>
        <v/>
      </c>
      <c r="N195" s="1" t="str">
        <f t="shared" ref="N195:N258" si="19">IF(OR($E195="",$F195=""),"",HYPERLINK("https://www.google.com/maps?q&amp;layer=c&amp;cbll="&amp;$E195&amp;","&amp;$F195&amp;"","Street"))</f>
        <v/>
      </c>
      <c r="O195" s="1" t="str">
        <f t="shared" ref="O195:O258" si="20">IF(OR($E195="",$F195=""),"",HYPERLINK("https://www.bing.com/maps?cp="&amp;$E195&amp;"~"&amp;$F195&amp;"&amp;lvl=18&amp;style=h","Bing"))</f>
        <v/>
      </c>
      <c r="P195" s="1" t="str">
        <f t="shared" ref="P195:P258" si="21">IF(OR($E195="",$F195=""),"",HYPERLINK("https://earth.google.com/web/search/"&amp;$E195&amp;","&amp;$F195&amp;"","Earth"))</f>
        <v/>
      </c>
      <c r="Q195" s="1" t="str">
        <f t="shared" ref="Q195:Q258" si="22">IF(OR($E195="",$F195=""),"",HYPERLINK("https://fema.maps.arcgis.com/apps/mapviewer/index.html?find="&amp;$F195&amp;"%2C"&amp;$E195&amp;"&amp;marker="&amp;$F195&amp;","&amp;$E195&amp;",4326&amp;level=16","FEMA"))</f>
        <v/>
      </c>
      <c r="R195" s="1" t="str">
        <f t="shared" ref="R195:R258" si="23">IF(OR($E195="",$F195=""),"",HYPERLINK("https://msc.fema.gov/portal/firmette?latitude="&amp;$E195&amp;"&amp;longitude="&amp;$F195&amp;"","FIRMette"))</f>
        <v/>
      </c>
      <c r="S195" s="1" t="str">
        <f>IF(OR($E195="",$F195=""),"",HYPERLINK(IF(OR(JobState="MI",JobState=""),"https://fema.maps.arcgis.com/apps/mapviewer/index.html?webmap=6a1702b9147243d1a5ee62cd614bc681&amp;center="&amp;$F195&amp;","&amp;$E195&amp;"&amp;level=16&amp;marker="&amp;$F195&amp;","&amp;$E195&amp;"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T195" s="5"/>
      <c r="U195" s="5"/>
      <c r="V195" s="5"/>
      <c r="W195" s="5"/>
      <c r="X195" s="5"/>
      <c r="Y195" s="5"/>
      <c r="Z195" s="5"/>
      <c r="AA195" s="5"/>
      <c r="AB195" s="1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</row>
    <row r="196" spans="1:28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5"/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S196" s="1" t="str">
        <f>IF(OR($E196="",$F196=""),"",HYPERLINK(IF(OR(JobState="MI",JobState=""),"https://fema.maps.arcgis.com/apps/mapviewer/index.html?webmap=6a1702b9147243d1a5ee62cd614bc681&amp;center="&amp;$F196&amp;","&amp;$E196&amp;"&amp;level=16&amp;marker="&amp;$F196&amp;","&amp;$E196&amp;"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T196" s="5"/>
      <c r="U196" s="5"/>
      <c r="V196" s="5"/>
      <c r="W196" s="5"/>
      <c r="X196" s="5"/>
      <c r="Y196" s="5"/>
      <c r="Z196" s="5"/>
      <c r="AA196" s="5"/>
      <c r="AB196" s="1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</row>
    <row r="197" spans="1:28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5"/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S197" s="1" t="str">
        <f>IF(OR($E197="",$F197=""),"",HYPERLINK(IF(OR(JobState="MI",JobState=""),"https://fema.maps.arcgis.com/apps/mapviewer/index.html?webmap=6a1702b9147243d1a5ee62cd614bc681&amp;center="&amp;$F197&amp;","&amp;$E197&amp;"&amp;level=16&amp;marker="&amp;$F197&amp;","&amp;$E197&amp;"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T197" s="5"/>
      <c r="U197" s="5"/>
      <c r="V197" s="5"/>
      <c r="W197" s="5"/>
      <c r="X197" s="5"/>
      <c r="Y197" s="5"/>
      <c r="Z197" s="5"/>
      <c r="AA197" s="5"/>
      <c r="AB197" s="1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</row>
    <row r="198" spans="1:28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5"/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S198" s="1" t="str">
        <f>IF(OR($E198="",$F198=""),"",HYPERLINK(IF(OR(JobState="MI",JobState=""),"https://fema.maps.arcgis.com/apps/mapviewer/index.html?webmap=6a1702b9147243d1a5ee62cd614bc681&amp;center="&amp;$F198&amp;","&amp;$E198&amp;"&amp;level=16&amp;marker="&amp;$F198&amp;","&amp;$E198&amp;"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T198" s="5"/>
      <c r="U198" s="5"/>
      <c r="V198" s="5"/>
      <c r="W198" s="5"/>
      <c r="X198" s="5"/>
      <c r="Y198" s="5"/>
      <c r="Z198" s="5"/>
      <c r="AA198" s="5"/>
      <c r="AB198" s="1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</row>
    <row r="199" spans="1:28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5"/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S199" s="1" t="str">
        <f>IF(OR($E199="",$F199=""),"",HYPERLINK(IF(OR(JobState="MI",JobState=""),"https://fema.maps.arcgis.com/apps/mapviewer/index.html?webmap=6a1702b9147243d1a5ee62cd614bc681&amp;center="&amp;$F199&amp;","&amp;$E199&amp;"&amp;level=16&amp;marker="&amp;$F199&amp;","&amp;$E199&amp;"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T199" s="5"/>
      <c r="U199" s="5"/>
      <c r="V199" s="5"/>
      <c r="W199" s="5"/>
      <c r="X199" s="5"/>
      <c r="Y199" s="5"/>
      <c r="Z199" s="5"/>
      <c r="AA199" s="5"/>
      <c r="AB199" s="1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</row>
    <row r="200" spans="1:28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5"/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S200" s="1" t="str">
        <f>IF(OR($E200="",$F200=""),"",HYPERLINK(IF(OR(JobState="MI",JobState=""),"https://fema.maps.arcgis.com/apps/mapviewer/index.html?webmap=6a1702b9147243d1a5ee62cd614bc681&amp;center="&amp;$F200&amp;","&amp;$E200&amp;"&amp;level=16&amp;marker="&amp;$F200&amp;","&amp;$E200&amp;"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T200" s="5"/>
      <c r="U200" s="5"/>
      <c r="V200" s="5"/>
      <c r="W200" s="5"/>
      <c r="X200" s="5"/>
      <c r="Y200" s="5"/>
      <c r="Z200" s="5"/>
      <c r="AA200" s="5"/>
      <c r="AB200" s="1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</row>
    <row r="201" spans="1:28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5"/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S201" s="1" t="str">
        <f>IF(OR($E201="",$F201=""),"",HYPERLINK(IF(OR(JobState="MI",JobState=""),"https://fema.maps.arcgis.com/apps/mapviewer/index.html?webmap=6a1702b9147243d1a5ee62cd614bc681&amp;center="&amp;$F201&amp;","&amp;$E201&amp;"&amp;level=16&amp;marker="&amp;$F201&amp;","&amp;$E201&amp;"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T201" s="5"/>
      <c r="U201" s="5"/>
      <c r="V201" s="5"/>
      <c r="W201" s="5"/>
      <c r="X201" s="5"/>
      <c r="Y201" s="5"/>
      <c r="Z201" s="5"/>
      <c r="AA201" s="5"/>
      <c r="AB201" s="1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</row>
    <row r="202" spans="1:28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5"/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S202" s="1" t="str">
        <f>IF(OR($E202="",$F202=""),"",HYPERLINK(IF(OR(JobState="MI",JobState=""),"https://fema.maps.arcgis.com/apps/mapviewer/index.html?webmap=6a1702b9147243d1a5ee62cd614bc681&amp;center="&amp;$F202&amp;","&amp;$E202&amp;"&amp;level=16&amp;marker="&amp;$F202&amp;","&amp;$E202&amp;"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T202" s="5"/>
      <c r="U202" s="5"/>
      <c r="V202" s="5"/>
      <c r="W202" s="5"/>
      <c r="X202" s="5"/>
      <c r="Y202" s="5"/>
      <c r="Z202" s="5"/>
      <c r="AA202" s="5"/>
      <c r="AB202" s="1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</row>
    <row r="203" spans="1:28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5"/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S203" s="1" t="str">
        <f>IF(OR($E203="",$F203=""),"",HYPERLINK(IF(OR(JobState="MI",JobState=""),"https://fema.maps.arcgis.com/apps/mapviewer/index.html?webmap=6a1702b9147243d1a5ee62cd614bc681&amp;center="&amp;$F203&amp;","&amp;$E203&amp;"&amp;level=16&amp;marker="&amp;$F203&amp;","&amp;$E203&amp;"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T203" s="5"/>
      <c r="U203" s="5"/>
      <c r="V203" s="5"/>
      <c r="W203" s="5"/>
      <c r="X203" s="5"/>
      <c r="Y203" s="5"/>
      <c r="Z203" s="5"/>
      <c r="AA203" s="5"/>
      <c r="AB203" s="1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</row>
    <row r="204" spans="1:28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5"/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S204" s="1" t="str">
        <f>IF(OR($E204="",$F204=""),"",HYPERLINK(IF(OR(JobState="MI",JobState=""),"https://fema.maps.arcgis.com/apps/mapviewer/index.html?webmap=6a1702b9147243d1a5ee62cd614bc681&amp;center="&amp;$F204&amp;","&amp;$E204&amp;"&amp;level=16&amp;marker="&amp;$F204&amp;","&amp;$E204&amp;"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T204" s="5"/>
      <c r="U204" s="5"/>
      <c r="V204" s="5"/>
      <c r="W204" s="5"/>
      <c r="X204" s="5"/>
      <c r="Y204" s="5"/>
      <c r="Z204" s="5"/>
      <c r="AA204" s="5"/>
      <c r="AB204" s="1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</row>
    <row r="205" spans="1:28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5"/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S205" s="1" t="str">
        <f>IF(OR($E205="",$F205=""),"",HYPERLINK(IF(OR(JobState="MI",JobState=""),"https://fema.maps.arcgis.com/apps/mapviewer/index.html?webmap=6a1702b9147243d1a5ee62cd614bc681&amp;center="&amp;$F205&amp;","&amp;$E205&amp;"&amp;level=16&amp;marker="&amp;$F205&amp;","&amp;$E205&amp;"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T205" s="5"/>
      <c r="U205" s="5"/>
      <c r="V205" s="5"/>
      <c r="W205" s="5"/>
      <c r="X205" s="5"/>
      <c r="Y205" s="5"/>
      <c r="Z205" s="5"/>
      <c r="AA205" s="5"/>
      <c r="AB205" s="1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</row>
    <row r="206" spans="1:28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5"/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S206" s="1" t="str">
        <f>IF(OR($E206="",$F206=""),"",HYPERLINK(IF(OR(JobState="MI",JobState=""),"https://fema.maps.arcgis.com/apps/mapviewer/index.html?webmap=6a1702b9147243d1a5ee62cd614bc681&amp;center="&amp;$F206&amp;","&amp;$E206&amp;"&amp;level=16&amp;marker="&amp;$F206&amp;","&amp;$E206&amp;"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T206" s="5"/>
      <c r="U206" s="5"/>
      <c r="V206" s="5"/>
      <c r="W206" s="5"/>
      <c r="X206" s="5"/>
      <c r="Y206" s="5"/>
      <c r="Z206" s="5"/>
      <c r="AA206" s="5"/>
      <c r="AB206" s="1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</row>
    <row r="207" spans="1:28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5"/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S207" s="1" t="str">
        <f>IF(OR($E207="",$F207=""),"",HYPERLINK(IF(OR(JobState="MI",JobState=""),"https://fema.maps.arcgis.com/apps/mapviewer/index.html?webmap=6a1702b9147243d1a5ee62cd614bc681&amp;center="&amp;$F207&amp;","&amp;$E207&amp;"&amp;level=16&amp;marker="&amp;$F207&amp;","&amp;$E207&amp;"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T207" s="5"/>
      <c r="U207" s="5"/>
      <c r="V207" s="5"/>
      <c r="W207" s="5"/>
      <c r="X207" s="5"/>
      <c r="Y207" s="5"/>
      <c r="Z207" s="5"/>
      <c r="AA207" s="5"/>
      <c r="AB207" s="1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</row>
    <row r="208" spans="1:28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5"/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S208" s="1" t="str">
        <f>IF(OR($E208="",$F208=""),"",HYPERLINK(IF(OR(JobState="MI",JobState=""),"https://fema.maps.arcgis.com/apps/mapviewer/index.html?webmap=6a1702b9147243d1a5ee62cd614bc681&amp;center="&amp;$F208&amp;","&amp;$E208&amp;"&amp;level=16&amp;marker="&amp;$F208&amp;","&amp;$E208&amp;"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T208" s="5"/>
      <c r="U208" s="5"/>
      <c r="V208" s="5"/>
      <c r="W208" s="5"/>
      <c r="X208" s="5"/>
      <c r="Y208" s="5"/>
      <c r="Z208" s="5"/>
      <c r="AA208" s="5"/>
      <c r="AB208" s="1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</row>
    <row r="209" spans="1:28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5"/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S209" s="1" t="str">
        <f>IF(OR($E209="",$F209=""),"",HYPERLINK(IF(OR(JobState="MI",JobState=""),"https://fema.maps.arcgis.com/apps/mapviewer/index.html?webmap=6a1702b9147243d1a5ee62cd614bc681&amp;center="&amp;$F209&amp;","&amp;$E209&amp;"&amp;level=16&amp;marker="&amp;$F209&amp;","&amp;$E209&amp;"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T209" s="5"/>
      <c r="U209" s="5"/>
      <c r="V209" s="5"/>
      <c r="W209" s="5"/>
      <c r="X209" s="5"/>
      <c r="Y209" s="5"/>
      <c r="Z209" s="5"/>
      <c r="AA209" s="5"/>
      <c r="AB209" s="1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</row>
    <row r="210" spans="1:28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5"/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S210" s="1" t="str">
        <f>IF(OR($E210="",$F210=""),"",HYPERLINK(IF(OR(JobState="MI",JobState=""),"https://fema.maps.arcgis.com/apps/mapviewer/index.html?webmap=6a1702b9147243d1a5ee62cd614bc681&amp;center="&amp;$F210&amp;","&amp;$E210&amp;"&amp;level=16&amp;marker="&amp;$F210&amp;","&amp;$E210&amp;"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T210" s="5"/>
      <c r="U210" s="5"/>
      <c r="V210" s="5"/>
      <c r="W210" s="5"/>
      <c r="X210" s="5"/>
      <c r="Y210" s="5"/>
      <c r="Z210" s="5"/>
      <c r="AA210" s="5"/>
      <c r="AB210" s="1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</row>
    <row r="211" spans="1:28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5"/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S211" s="1" t="str">
        <f>IF(OR($E211="",$F211=""),"",HYPERLINK(IF(OR(JobState="MI",JobState=""),"https://fema.maps.arcgis.com/apps/mapviewer/index.html?webmap=6a1702b9147243d1a5ee62cd614bc681&amp;center="&amp;$F211&amp;","&amp;$E211&amp;"&amp;level=16&amp;marker="&amp;$F211&amp;","&amp;$E211&amp;"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T211" s="5"/>
      <c r="U211" s="5"/>
      <c r="V211" s="5"/>
      <c r="W211" s="5"/>
      <c r="X211" s="5"/>
      <c r="Y211" s="5"/>
      <c r="Z211" s="5"/>
      <c r="AA211" s="5"/>
      <c r="AB211" s="1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</row>
    <row r="212" spans="1:28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5"/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S212" s="1" t="str">
        <f>IF(OR($E212="",$F212=""),"",HYPERLINK(IF(OR(JobState="MI",JobState=""),"https://fema.maps.arcgis.com/apps/mapviewer/index.html?webmap=6a1702b9147243d1a5ee62cd614bc681&amp;center="&amp;$F212&amp;","&amp;$E212&amp;"&amp;level=16&amp;marker="&amp;$F212&amp;","&amp;$E212&amp;"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T212" s="5"/>
      <c r="U212" s="5"/>
      <c r="V212" s="5"/>
      <c r="W212" s="5"/>
      <c r="X212" s="5"/>
      <c r="Y212" s="5"/>
      <c r="Z212" s="5"/>
      <c r="AA212" s="5"/>
      <c r="AB212" s="1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</row>
    <row r="213" spans="1:28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5"/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S213" s="1" t="str">
        <f>IF(OR($E213="",$F213=""),"",HYPERLINK(IF(OR(JobState="MI",JobState=""),"https://fema.maps.arcgis.com/apps/mapviewer/index.html?webmap=6a1702b9147243d1a5ee62cd614bc681&amp;center="&amp;$F213&amp;","&amp;$E213&amp;"&amp;level=16&amp;marker="&amp;$F213&amp;","&amp;$E213&amp;"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T213" s="5"/>
      <c r="U213" s="5"/>
      <c r="V213" s="5"/>
      <c r="W213" s="5"/>
      <c r="X213" s="5"/>
      <c r="Y213" s="5"/>
      <c r="Z213" s="5"/>
      <c r="AA213" s="5"/>
      <c r="AB213" s="1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</row>
    <row r="214" spans="1:28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5"/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S214" s="1" t="str">
        <f>IF(OR($E214="",$F214=""),"",HYPERLINK(IF(OR(JobState="MI",JobState=""),"https://fema.maps.arcgis.com/apps/mapviewer/index.html?webmap=6a1702b9147243d1a5ee62cd614bc681&amp;center="&amp;$F214&amp;","&amp;$E214&amp;"&amp;level=16&amp;marker="&amp;$F214&amp;","&amp;$E214&amp;"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T214" s="5"/>
      <c r="U214" s="5"/>
      <c r="V214" s="5"/>
      <c r="W214" s="5"/>
      <c r="X214" s="5"/>
      <c r="Y214" s="5"/>
      <c r="Z214" s="5"/>
      <c r="AA214" s="5"/>
      <c r="AB214" s="1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</row>
    <row r="215" spans="1:28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5"/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S215" s="1" t="str">
        <f>IF(OR($E215="",$F215=""),"",HYPERLINK(IF(OR(JobState="MI",JobState=""),"https://fema.maps.arcgis.com/apps/mapviewer/index.html?webmap=6a1702b9147243d1a5ee62cd614bc681&amp;center="&amp;$F215&amp;","&amp;$E215&amp;"&amp;level=16&amp;marker="&amp;$F215&amp;","&amp;$E215&amp;"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T215" s="5"/>
      <c r="U215" s="5"/>
      <c r="V215" s="5"/>
      <c r="W215" s="5"/>
      <c r="X215" s="5"/>
      <c r="Y215" s="5"/>
      <c r="Z215" s="5"/>
      <c r="AA215" s="5"/>
      <c r="AB215" s="1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</row>
    <row r="216" spans="1:28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5"/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S216" s="1" t="str">
        <f>IF(OR($E216="",$F216=""),"",HYPERLINK(IF(OR(JobState="MI",JobState=""),"https://fema.maps.arcgis.com/apps/mapviewer/index.html?webmap=6a1702b9147243d1a5ee62cd614bc681&amp;center="&amp;$F216&amp;","&amp;$E216&amp;"&amp;level=16&amp;marker="&amp;$F216&amp;","&amp;$E216&amp;"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T216" s="5"/>
      <c r="U216" s="5"/>
      <c r="V216" s="5"/>
      <c r="W216" s="5"/>
      <c r="X216" s="5"/>
      <c r="Y216" s="5"/>
      <c r="Z216" s="5"/>
      <c r="AA216" s="5"/>
      <c r="AB216" s="1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</row>
    <row r="217" spans="1:28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5"/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S217" s="1" t="str">
        <f>IF(OR($E217="",$F217=""),"",HYPERLINK(IF(OR(JobState="MI",JobState=""),"https://fema.maps.arcgis.com/apps/mapviewer/index.html?webmap=6a1702b9147243d1a5ee62cd614bc681&amp;center="&amp;$F217&amp;","&amp;$E217&amp;"&amp;level=16&amp;marker="&amp;$F217&amp;","&amp;$E217&amp;"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T217" s="5"/>
      <c r="U217" s="5"/>
      <c r="V217" s="5"/>
      <c r="W217" s="5"/>
      <c r="X217" s="5"/>
      <c r="Y217" s="5"/>
      <c r="Z217" s="5"/>
      <c r="AA217" s="5"/>
      <c r="AB217" s="1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</row>
    <row r="218" spans="1:28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5"/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S218" s="1" t="str">
        <f>IF(OR($E218="",$F218=""),"",HYPERLINK(IF(OR(JobState="MI",JobState=""),"https://fema.maps.arcgis.com/apps/mapviewer/index.html?webmap=6a1702b9147243d1a5ee62cd614bc681&amp;center="&amp;$F218&amp;","&amp;$E218&amp;"&amp;level=16&amp;marker="&amp;$F218&amp;","&amp;$E218&amp;"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T218" s="5"/>
      <c r="U218" s="5"/>
      <c r="V218" s="5"/>
      <c r="W218" s="5"/>
      <c r="X218" s="5"/>
      <c r="Y218" s="5"/>
      <c r="Z218" s="5"/>
      <c r="AA218" s="5"/>
      <c r="AB218" s="1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</row>
    <row r="219" spans="1:28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5"/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S219" s="1" t="str">
        <f>IF(OR($E219="",$F219=""),"",HYPERLINK(IF(OR(JobState="MI",JobState=""),"https://fema.maps.arcgis.com/apps/mapviewer/index.html?webmap=6a1702b9147243d1a5ee62cd614bc681&amp;center="&amp;$F219&amp;","&amp;$E219&amp;"&amp;level=16&amp;marker="&amp;$F219&amp;","&amp;$E219&amp;"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T219" s="5"/>
      <c r="U219" s="5"/>
      <c r="V219" s="5"/>
      <c r="W219" s="5"/>
      <c r="X219" s="5"/>
      <c r="Y219" s="5"/>
      <c r="Z219" s="5"/>
      <c r="AA219" s="5"/>
      <c r="AB219" s="1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</row>
    <row r="220" spans="1:28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5"/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S220" s="1" t="str">
        <f>IF(OR($E220="",$F220=""),"",HYPERLINK(IF(OR(JobState="MI",JobState=""),"https://fema.maps.arcgis.com/apps/mapviewer/index.html?webmap=6a1702b9147243d1a5ee62cd614bc681&amp;center="&amp;$F220&amp;","&amp;$E220&amp;"&amp;level=16&amp;marker="&amp;$F220&amp;","&amp;$E220&amp;"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T220" s="5"/>
      <c r="U220" s="5"/>
      <c r="V220" s="5"/>
      <c r="W220" s="5"/>
      <c r="X220" s="5"/>
      <c r="Y220" s="5"/>
      <c r="Z220" s="5"/>
      <c r="AA220" s="5"/>
      <c r="AB220" s="1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</row>
    <row r="221" spans="1:28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5"/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S221" s="1" t="str">
        <f>IF(OR($E221="",$F221=""),"",HYPERLINK(IF(OR(JobState="MI",JobState=""),"https://fema.maps.arcgis.com/apps/mapviewer/index.html?webmap=6a1702b9147243d1a5ee62cd614bc681&amp;center="&amp;$F221&amp;","&amp;$E221&amp;"&amp;level=16&amp;marker="&amp;$F221&amp;","&amp;$E221&amp;"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T221" s="5"/>
      <c r="U221" s="5"/>
      <c r="V221" s="5"/>
      <c r="W221" s="5"/>
      <c r="X221" s="5"/>
      <c r="Y221" s="5"/>
      <c r="Z221" s="5"/>
      <c r="AA221" s="5"/>
      <c r="AB221" s="1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</row>
    <row r="222" spans="1:28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5"/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S222" s="1" t="str">
        <f>IF(OR($E222="",$F222=""),"",HYPERLINK(IF(OR(JobState="MI",JobState=""),"https://fema.maps.arcgis.com/apps/mapviewer/index.html?webmap=6a1702b9147243d1a5ee62cd614bc681&amp;center="&amp;$F222&amp;","&amp;$E222&amp;"&amp;level=16&amp;marker="&amp;$F222&amp;","&amp;$E222&amp;"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T222" s="5"/>
      <c r="U222" s="5"/>
      <c r="V222" s="5"/>
      <c r="W222" s="5"/>
      <c r="X222" s="5"/>
      <c r="Y222" s="5"/>
      <c r="Z222" s="5"/>
      <c r="AA222" s="5"/>
      <c r="AB222" s="1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</row>
    <row r="223" spans="1:28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5"/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S223" s="1" t="str">
        <f>IF(OR($E223="",$F223=""),"",HYPERLINK(IF(OR(JobState="MI",JobState=""),"https://fema.maps.arcgis.com/apps/mapviewer/index.html?webmap=6a1702b9147243d1a5ee62cd614bc681&amp;center="&amp;$F223&amp;","&amp;$E223&amp;"&amp;level=16&amp;marker="&amp;$F223&amp;","&amp;$E223&amp;"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T223" s="5"/>
      <c r="U223" s="5"/>
      <c r="V223" s="5"/>
      <c r="W223" s="5"/>
      <c r="X223" s="5"/>
      <c r="Y223" s="5"/>
      <c r="Z223" s="5"/>
      <c r="AA223" s="5"/>
      <c r="AB223" s="1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</row>
    <row r="224" spans="1:28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5"/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S224" s="1" t="str">
        <f>IF(OR($E224="",$F224=""),"",HYPERLINK(IF(OR(JobState="MI",JobState=""),"https://fema.maps.arcgis.com/apps/mapviewer/index.html?webmap=6a1702b9147243d1a5ee62cd614bc681&amp;center="&amp;$F224&amp;","&amp;$E224&amp;"&amp;level=16&amp;marker="&amp;$F224&amp;","&amp;$E224&amp;"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T224" s="5"/>
      <c r="U224" s="5"/>
      <c r="V224" s="5"/>
      <c r="W224" s="5"/>
      <c r="X224" s="5"/>
      <c r="Y224" s="5"/>
      <c r="Z224" s="5"/>
      <c r="AA224" s="5"/>
      <c r="AB224" s="1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</row>
    <row r="225" spans="1:28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5"/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S225" s="1" t="str">
        <f>IF(OR($E225="",$F225=""),"",HYPERLINK(IF(OR(JobState="MI",JobState=""),"https://fema.maps.arcgis.com/apps/mapviewer/index.html?webmap=6a1702b9147243d1a5ee62cd614bc681&amp;center="&amp;$F225&amp;","&amp;$E225&amp;"&amp;level=16&amp;marker="&amp;$F225&amp;","&amp;$E225&amp;"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T225" s="5"/>
      <c r="U225" s="5"/>
      <c r="V225" s="5"/>
      <c r="W225" s="5"/>
      <c r="X225" s="5"/>
      <c r="Y225" s="5"/>
      <c r="Z225" s="5"/>
      <c r="AA225" s="5"/>
      <c r="AB225" s="1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</row>
    <row r="226" spans="1:28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5"/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S226" s="1" t="str">
        <f>IF(OR($E226="",$F226=""),"",HYPERLINK(IF(OR(JobState="MI",JobState=""),"https://fema.maps.arcgis.com/apps/mapviewer/index.html?webmap=6a1702b9147243d1a5ee62cd614bc681&amp;center="&amp;$F226&amp;","&amp;$E226&amp;"&amp;level=16&amp;marker="&amp;$F226&amp;","&amp;$E226&amp;"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T226" s="5"/>
      <c r="U226" s="5"/>
      <c r="V226" s="5"/>
      <c r="W226" s="5"/>
      <c r="X226" s="5"/>
      <c r="Y226" s="5"/>
      <c r="Z226" s="5"/>
      <c r="AA226" s="5"/>
      <c r="AB226" s="1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</row>
    <row r="227" spans="1:28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5"/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S227" s="1" t="str">
        <f>IF(OR($E227="",$F227=""),"",HYPERLINK(IF(OR(JobState="MI",JobState=""),"https://fema.maps.arcgis.com/apps/mapviewer/index.html?webmap=6a1702b9147243d1a5ee62cd614bc681&amp;center="&amp;$F227&amp;","&amp;$E227&amp;"&amp;level=16&amp;marker="&amp;$F227&amp;","&amp;$E227&amp;"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T227" s="5"/>
      <c r="U227" s="5"/>
      <c r="V227" s="5"/>
      <c r="W227" s="5"/>
      <c r="X227" s="5"/>
      <c r="Y227" s="5"/>
      <c r="Z227" s="5"/>
      <c r="AA227" s="5"/>
      <c r="AB227" s="1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</row>
    <row r="228" spans="1:28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5"/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S228" s="1" t="str">
        <f>IF(OR($E228="",$F228=""),"",HYPERLINK(IF(OR(JobState="MI",JobState=""),"https://fema.maps.arcgis.com/apps/mapviewer/index.html?webmap=6a1702b9147243d1a5ee62cd614bc681&amp;center="&amp;$F228&amp;","&amp;$E228&amp;"&amp;level=16&amp;marker="&amp;$F228&amp;","&amp;$E228&amp;"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T228" s="5"/>
      <c r="U228" s="5"/>
      <c r="V228" s="5"/>
      <c r="W228" s="5"/>
      <c r="X228" s="5"/>
      <c r="Y228" s="5"/>
      <c r="Z228" s="5"/>
      <c r="AA228" s="5"/>
      <c r="AB228" s="1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</row>
    <row r="229" spans="1:28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5"/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S229" s="1" t="str">
        <f>IF(OR($E229="",$F229=""),"",HYPERLINK(IF(OR(JobState="MI",JobState=""),"https://fema.maps.arcgis.com/apps/mapviewer/index.html?webmap=6a1702b9147243d1a5ee62cd614bc681&amp;center="&amp;$F229&amp;","&amp;$E229&amp;"&amp;level=16&amp;marker="&amp;$F229&amp;","&amp;$E229&amp;"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T229" s="5"/>
      <c r="U229" s="5"/>
      <c r="V229" s="5"/>
      <c r="W229" s="5"/>
      <c r="X229" s="5"/>
      <c r="Y229" s="5"/>
      <c r="Z229" s="5"/>
      <c r="AA229" s="5"/>
      <c r="AB229" s="1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</row>
    <row r="230" spans="1:28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5"/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S230" s="1" t="str">
        <f>IF(OR($E230="",$F230=""),"",HYPERLINK(IF(OR(JobState="MI",JobState=""),"https://fema.maps.arcgis.com/apps/mapviewer/index.html?webmap=6a1702b9147243d1a5ee62cd614bc681&amp;center="&amp;$F230&amp;","&amp;$E230&amp;"&amp;level=16&amp;marker="&amp;$F230&amp;","&amp;$E230&amp;"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T230" s="5"/>
      <c r="U230" s="5"/>
      <c r="V230" s="5"/>
      <c r="W230" s="5"/>
      <c r="X230" s="5"/>
      <c r="Y230" s="5"/>
      <c r="Z230" s="5"/>
      <c r="AA230" s="5"/>
      <c r="AB230" s="1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</row>
    <row r="231" spans="1:28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5"/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S231" s="1" t="str">
        <f>IF(OR($E231="",$F231=""),"",HYPERLINK(IF(OR(JobState="MI",JobState=""),"https://fema.maps.arcgis.com/apps/mapviewer/index.html?webmap=6a1702b9147243d1a5ee62cd614bc681&amp;center="&amp;$F231&amp;","&amp;$E231&amp;"&amp;level=16&amp;marker="&amp;$F231&amp;","&amp;$E231&amp;"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T231" s="5"/>
      <c r="U231" s="5"/>
      <c r="V231" s="5"/>
      <c r="W231" s="5"/>
      <c r="X231" s="5"/>
      <c r="Y231" s="5"/>
      <c r="Z231" s="5"/>
      <c r="AA231" s="5"/>
      <c r="AB231" s="1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</row>
    <row r="232" spans="1:28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5"/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S232" s="1" t="str">
        <f>IF(OR($E232="",$F232=""),"",HYPERLINK(IF(OR(JobState="MI",JobState=""),"https://fema.maps.arcgis.com/apps/mapviewer/index.html?webmap=6a1702b9147243d1a5ee62cd614bc681&amp;center="&amp;$F232&amp;","&amp;$E232&amp;"&amp;level=16&amp;marker="&amp;$F232&amp;","&amp;$E232&amp;"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T232" s="5"/>
      <c r="U232" s="5"/>
      <c r="V232" s="5"/>
      <c r="W232" s="5"/>
      <c r="X232" s="5"/>
      <c r="Y232" s="5"/>
      <c r="Z232" s="5"/>
      <c r="AA232" s="5"/>
      <c r="AB232" s="1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</row>
    <row r="233" spans="1:28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5"/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S233" s="1" t="str">
        <f>IF(OR($E233="",$F233=""),"",HYPERLINK(IF(OR(JobState="MI",JobState=""),"https://fema.maps.arcgis.com/apps/mapviewer/index.html?webmap=6a1702b9147243d1a5ee62cd614bc681&amp;center="&amp;$F233&amp;","&amp;$E233&amp;"&amp;level=16&amp;marker="&amp;$F233&amp;","&amp;$E233&amp;"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T233" s="5"/>
      <c r="U233" s="5"/>
      <c r="V233" s="5"/>
      <c r="W233" s="5"/>
      <c r="X233" s="5"/>
      <c r="Y233" s="5"/>
      <c r="Z233" s="5"/>
      <c r="AA233" s="5"/>
      <c r="AB233" s="1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</row>
    <row r="234" spans="1:28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5"/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S234" s="1" t="str">
        <f>IF(OR($E234="",$F234=""),"",HYPERLINK(IF(OR(JobState="MI",JobState=""),"https://fema.maps.arcgis.com/apps/mapviewer/index.html?webmap=6a1702b9147243d1a5ee62cd614bc681&amp;center="&amp;$F234&amp;","&amp;$E234&amp;"&amp;level=16&amp;marker="&amp;$F234&amp;","&amp;$E234&amp;"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T234" s="5"/>
      <c r="U234" s="5"/>
      <c r="V234" s="5"/>
      <c r="W234" s="5"/>
      <c r="X234" s="5"/>
      <c r="Y234" s="5"/>
      <c r="Z234" s="5"/>
      <c r="AA234" s="5"/>
      <c r="AB234" s="1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</row>
    <row r="235" spans="1:28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5"/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S235" s="1" t="str">
        <f>IF(OR($E235="",$F235=""),"",HYPERLINK(IF(OR(JobState="MI",JobState=""),"https://fema.maps.arcgis.com/apps/mapviewer/index.html?webmap=6a1702b9147243d1a5ee62cd614bc681&amp;center="&amp;$F235&amp;","&amp;$E235&amp;"&amp;level=16&amp;marker="&amp;$F235&amp;","&amp;$E235&amp;"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T235" s="5"/>
      <c r="U235" s="5"/>
      <c r="V235" s="5"/>
      <c r="W235" s="5"/>
      <c r="X235" s="5"/>
      <c r="Y235" s="5"/>
      <c r="Z235" s="5"/>
      <c r="AA235" s="5"/>
      <c r="AB235" s="1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</row>
    <row r="236" spans="1:28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5"/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S236" s="1" t="str">
        <f>IF(OR($E236="",$F236=""),"",HYPERLINK(IF(OR(JobState="MI",JobState=""),"https://fema.maps.arcgis.com/apps/mapviewer/index.html?webmap=6a1702b9147243d1a5ee62cd614bc681&amp;center="&amp;$F236&amp;","&amp;$E236&amp;"&amp;level=16&amp;marker="&amp;$F236&amp;","&amp;$E236&amp;"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T236" s="5"/>
      <c r="U236" s="5"/>
      <c r="V236" s="5"/>
      <c r="W236" s="5"/>
      <c r="X236" s="5"/>
      <c r="Y236" s="5"/>
      <c r="Z236" s="5"/>
      <c r="AA236" s="5"/>
      <c r="AB236" s="1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</row>
    <row r="237" spans="1:28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5"/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S237" s="1" t="str">
        <f>IF(OR($E237="",$F237=""),"",HYPERLINK(IF(OR(JobState="MI",JobState=""),"https://fema.maps.arcgis.com/apps/mapviewer/index.html?webmap=6a1702b9147243d1a5ee62cd614bc681&amp;center="&amp;$F237&amp;","&amp;$E237&amp;"&amp;level=16&amp;marker="&amp;$F237&amp;","&amp;$E237&amp;"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T237" s="5"/>
      <c r="U237" s="5"/>
      <c r="V237" s="5"/>
      <c r="W237" s="5"/>
      <c r="X237" s="5"/>
      <c r="Y237" s="5"/>
      <c r="Z237" s="5"/>
      <c r="AA237" s="5"/>
      <c r="AB237" s="1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</row>
    <row r="238" spans="1:28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5"/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S238" s="1" t="str">
        <f>IF(OR($E238="",$F238=""),"",HYPERLINK(IF(OR(JobState="MI",JobState=""),"https://fema.maps.arcgis.com/apps/mapviewer/index.html?webmap=6a1702b9147243d1a5ee62cd614bc681&amp;center="&amp;$F238&amp;","&amp;$E238&amp;"&amp;level=16&amp;marker="&amp;$F238&amp;","&amp;$E238&amp;"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T238" s="5"/>
      <c r="U238" s="5"/>
      <c r="V238" s="5"/>
      <c r="W238" s="5"/>
      <c r="X238" s="5"/>
      <c r="Y238" s="5"/>
      <c r="Z238" s="5"/>
      <c r="AA238" s="5"/>
      <c r="AB238" s="1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</row>
    <row r="239" spans="1:28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5"/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S239" s="1" t="str">
        <f>IF(OR($E239="",$F239=""),"",HYPERLINK(IF(OR(JobState="MI",JobState=""),"https://fema.maps.arcgis.com/apps/mapviewer/index.html?webmap=6a1702b9147243d1a5ee62cd614bc681&amp;center="&amp;$F239&amp;","&amp;$E239&amp;"&amp;level=16&amp;marker="&amp;$F239&amp;","&amp;$E239&amp;"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T239" s="5"/>
      <c r="U239" s="5"/>
      <c r="V239" s="5"/>
      <c r="W239" s="5"/>
      <c r="X239" s="5"/>
      <c r="Y239" s="5"/>
      <c r="Z239" s="5"/>
      <c r="AA239" s="5"/>
      <c r="AB239" s="1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</row>
    <row r="240" spans="1:28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5"/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S240" s="1" t="str">
        <f>IF(OR($E240="",$F240=""),"",HYPERLINK(IF(OR(JobState="MI",JobState=""),"https://fema.maps.arcgis.com/apps/mapviewer/index.html?webmap=6a1702b9147243d1a5ee62cd614bc681&amp;center="&amp;$F240&amp;","&amp;$E240&amp;"&amp;level=16&amp;marker="&amp;$F240&amp;","&amp;$E240&amp;"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T240" s="5"/>
      <c r="U240" s="5"/>
      <c r="V240" s="5"/>
      <c r="W240" s="5"/>
      <c r="X240" s="5"/>
      <c r="Y240" s="5"/>
      <c r="Z240" s="5"/>
      <c r="AA240" s="5"/>
      <c r="AB240" s="1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</row>
    <row r="241" spans="1:28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5"/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S241" s="1" t="str">
        <f>IF(OR($E241="",$F241=""),"",HYPERLINK(IF(OR(JobState="MI",JobState=""),"https://fema.maps.arcgis.com/apps/mapviewer/index.html?webmap=6a1702b9147243d1a5ee62cd614bc681&amp;center="&amp;$F241&amp;","&amp;$E241&amp;"&amp;level=16&amp;marker="&amp;$F241&amp;","&amp;$E241&amp;"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T241" s="5"/>
      <c r="U241" s="5"/>
      <c r="V241" s="5"/>
      <c r="W241" s="5"/>
      <c r="X241" s="5"/>
      <c r="Y241" s="5"/>
      <c r="Z241" s="5"/>
      <c r="AA241" s="5"/>
      <c r="AB241" s="1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</row>
    <row r="242" spans="1:28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5"/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S242" s="1" t="str">
        <f>IF(OR($E242="",$F242=""),"",HYPERLINK(IF(OR(JobState="MI",JobState=""),"https://fema.maps.arcgis.com/apps/mapviewer/index.html?webmap=6a1702b9147243d1a5ee62cd614bc681&amp;center="&amp;$F242&amp;","&amp;$E242&amp;"&amp;level=16&amp;marker="&amp;$F242&amp;","&amp;$E242&amp;"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T242" s="5"/>
      <c r="U242" s="5"/>
      <c r="V242" s="5"/>
      <c r="W242" s="5"/>
      <c r="X242" s="5"/>
      <c r="Y242" s="5"/>
      <c r="Z242" s="5"/>
      <c r="AA242" s="5"/>
      <c r="AB242" s="1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</row>
    <row r="243" spans="1:28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5"/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S243" s="1" t="str">
        <f>IF(OR($E243="",$F243=""),"",HYPERLINK(IF(OR(JobState="MI",JobState=""),"https://fema.maps.arcgis.com/apps/mapviewer/index.html?webmap=6a1702b9147243d1a5ee62cd614bc681&amp;center="&amp;$F243&amp;","&amp;$E243&amp;"&amp;level=16&amp;marker="&amp;$F243&amp;","&amp;$E243&amp;"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T243" s="5"/>
      <c r="U243" s="5"/>
      <c r="V243" s="5"/>
      <c r="W243" s="5"/>
      <c r="X243" s="5"/>
      <c r="Y243" s="5"/>
      <c r="Z243" s="5"/>
      <c r="AA243" s="5"/>
      <c r="AB243" s="1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</row>
    <row r="244" spans="1:28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5"/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S244" s="1" t="str">
        <f>IF(OR($E244="",$F244=""),"",HYPERLINK(IF(OR(JobState="MI",JobState=""),"https://fema.maps.arcgis.com/apps/mapviewer/index.html?webmap=6a1702b9147243d1a5ee62cd614bc681&amp;center="&amp;$F244&amp;","&amp;$E244&amp;"&amp;level=16&amp;marker="&amp;$F244&amp;","&amp;$E244&amp;"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T244" s="5"/>
      <c r="U244" s="5"/>
      <c r="V244" s="5"/>
      <c r="W244" s="5"/>
      <c r="X244" s="5"/>
      <c r="Y244" s="5"/>
      <c r="Z244" s="5"/>
      <c r="AA244" s="5"/>
      <c r="AB244" s="1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</row>
    <row r="245" spans="1:28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5"/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S245" s="1" t="str">
        <f>IF(OR($E245="",$F245=""),"",HYPERLINK(IF(OR(JobState="MI",JobState=""),"https://fema.maps.arcgis.com/apps/mapviewer/index.html?webmap=6a1702b9147243d1a5ee62cd614bc681&amp;center="&amp;$F245&amp;","&amp;$E245&amp;"&amp;level=16&amp;marker="&amp;$F245&amp;","&amp;$E245&amp;"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T245" s="5"/>
      <c r="U245" s="5"/>
      <c r="V245" s="5"/>
      <c r="W245" s="5"/>
      <c r="X245" s="5"/>
      <c r="Y245" s="5"/>
      <c r="Z245" s="5"/>
      <c r="AA245" s="5"/>
      <c r="AB245" s="1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</row>
    <row r="246" spans="1:28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5"/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S246" s="1" t="str">
        <f>IF(OR($E246="",$F246=""),"",HYPERLINK(IF(OR(JobState="MI",JobState=""),"https://fema.maps.arcgis.com/apps/mapviewer/index.html?webmap=6a1702b9147243d1a5ee62cd614bc681&amp;center="&amp;$F246&amp;","&amp;$E246&amp;"&amp;level=16&amp;marker="&amp;$F246&amp;","&amp;$E246&amp;"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T246" s="5"/>
      <c r="U246" s="5"/>
      <c r="V246" s="5"/>
      <c r="W246" s="5"/>
      <c r="X246" s="5"/>
      <c r="Y246" s="5"/>
      <c r="Z246" s="5"/>
      <c r="AA246" s="5"/>
      <c r="AB246" s="1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</row>
    <row r="247" spans="1:28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5"/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S247" s="1" t="str">
        <f>IF(OR($E247="",$F247=""),"",HYPERLINK(IF(OR(JobState="MI",JobState=""),"https://fema.maps.arcgis.com/apps/mapviewer/index.html?webmap=6a1702b9147243d1a5ee62cd614bc681&amp;center="&amp;$F247&amp;","&amp;$E247&amp;"&amp;level=16&amp;marker="&amp;$F247&amp;","&amp;$E247&amp;"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T247" s="5"/>
      <c r="U247" s="5"/>
      <c r="V247" s="5"/>
      <c r="W247" s="5"/>
      <c r="X247" s="5"/>
      <c r="Y247" s="5"/>
      <c r="Z247" s="5"/>
      <c r="AA247" s="5"/>
      <c r="AB247" s="1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</row>
    <row r="248" spans="1:28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5"/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S248" s="1" t="str">
        <f>IF(OR($E248="",$F248=""),"",HYPERLINK(IF(OR(JobState="MI",JobState=""),"https://fema.maps.arcgis.com/apps/mapviewer/index.html?webmap=6a1702b9147243d1a5ee62cd614bc681&amp;center="&amp;$F248&amp;","&amp;$E248&amp;"&amp;level=16&amp;marker="&amp;$F248&amp;","&amp;$E248&amp;"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T248" s="5"/>
      <c r="U248" s="5"/>
      <c r="V248" s="5"/>
      <c r="W248" s="5"/>
      <c r="X248" s="5"/>
      <c r="Y248" s="5"/>
      <c r="Z248" s="5"/>
      <c r="AA248" s="5"/>
      <c r="AB248" s="1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</row>
    <row r="249" spans="1:28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5"/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S249" s="1" t="str">
        <f>IF(OR($E249="",$F249=""),"",HYPERLINK(IF(OR(JobState="MI",JobState=""),"https://fema.maps.arcgis.com/apps/mapviewer/index.html?webmap=6a1702b9147243d1a5ee62cd614bc681&amp;center="&amp;$F249&amp;","&amp;$E249&amp;"&amp;level=16&amp;marker="&amp;$F249&amp;","&amp;$E249&amp;"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T249" s="5"/>
      <c r="U249" s="5"/>
      <c r="V249" s="5"/>
      <c r="W249" s="5"/>
      <c r="X249" s="5"/>
      <c r="Y249" s="5"/>
      <c r="Z249" s="5"/>
      <c r="AA249" s="5"/>
      <c r="AB249" s="1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</row>
    <row r="250" spans="1:28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5"/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S250" s="1" t="str">
        <f>IF(OR($E250="",$F250=""),"",HYPERLINK(IF(OR(JobState="MI",JobState=""),"https://fema.maps.arcgis.com/apps/mapviewer/index.html?webmap=6a1702b9147243d1a5ee62cd614bc681&amp;center="&amp;$F250&amp;","&amp;$E250&amp;"&amp;level=16&amp;marker="&amp;$F250&amp;","&amp;$E250&amp;"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T250" s="5"/>
      <c r="U250" s="5"/>
      <c r="V250" s="5"/>
      <c r="W250" s="5"/>
      <c r="X250" s="5"/>
      <c r="Y250" s="5"/>
      <c r="Z250" s="5"/>
      <c r="AA250" s="5"/>
      <c r="AB250" s="1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</row>
    <row r="251" spans="1:28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5"/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S251" s="1" t="str">
        <f>IF(OR($E251="",$F251=""),"",HYPERLINK(IF(OR(JobState="MI",JobState=""),"https://fema.maps.arcgis.com/apps/mapviewer/index.html?webmap=6a1702b9147243d1a5ee62cd614bc681&amp;center="&amp;$F251&amp;","&amp;$E251&amp;"&amp;level=16&amp;marker="&amp;$F251&amp;","&amp;$E251&amp;"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T251" s="5"/>
      <c r="U251" s="5"/>
      <c r="V251" s="5"/>
      <c r="W251" s="5"/>
      <c r="X251" s="5"/>
      <c r="Y251" s="5"/>
      <c r="Z251" s="5"/>
      <c r="AA251" s="5"/>
      <c r="AB251" s="1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</row>
    <row r="252" spans="1:28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5"/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S252" s="1" t="str">
        <f>IF(OR($E252="",$F252=""),"",HYPERLINK(IF(OR(JobState="MI",JobState=""),"https://fema.maps.arcgis.com/apps/mapviewer/index.html?webmap=6a1702b9147243d1a5ee62cd614bc681&amp;center="&amp;$F252&amp;","&amp;$E252&amp;"&amp;level=16&amp;marker="&amp;$F252&amp;","&amp;$E252&amp;"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T252" s="5"/>
      <c r="U252" s="5"/>
      <c r="V252" s="5"/>
      <c r="W252" s="5"/>
      <c r="X252" s="5"/>
      <c r="Y252" s="5"/>
      <c r="Z252" s="5"/>
      <c r="AA252" s="5"/>
      <c r="AB252" s="1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</row>
    <row r="253" spans="1:28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5"/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S253" s="1" t="str">
        <f>IF(OR($E253="",$F253=""),"",HYPERLINK(IF(OR(JobState="MI",JobState=""),"https://fema.maps.arcgis.com/apps/mapviewer/index.html?webmap=6a1702b9147243d1a5ee62cd614bc681&amp;center="&amp;$F253&amp;","&amp;$E253&amp;"&amp;level=16&amp;marker="&amp;$F253&amp;","&amp;$E253&amp;"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T253" s="5"/>
      <c r="U253" s="5"/>
      <c r="V253" s="5"/>
      <c r="W253" s="5"/>
      <c r="X253" s="5"/>
      <c r="Y253" s="5"/>
      <c r="Z253" s="5"/>
      <c r="AA253" s="5"/>
      <c r="AB253" s="1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</row>
    <row r="254" spans="1:28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5"/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S254" s="1" t="str">
        <f>IF(OR($E254="",$F254=""),"",HYPERLINK(IF(OR(JobState="MI",JobState=""),"https://fema.maps.arcgis.com/apps/mapviewer/index.html?webmap=6a1702b9147243d1a5ee62cd614bc681&amp;center="&amp;$F254&amp;","&amp;$E254&amp;"&amp;level=16&amp;marker="&amp;$F254&amp;","&amp;$E254&amp;"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T254" s="5"/>
      <c r="U254" s="5"/>
      <c r="V254" s="5"/>
      <c r="W254" s="5"/>
      <c r="X254" s="5"/>
      <c r="Y254" s="5"/>
      <c r="Z254" s="5"/>
      <c r="AA254" s="5"/>
      <c r="AB254" s="1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</row>
    <row r="255" spans="1:28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5"/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S255" s="1" t="str">
        <f>IF(OR($E255="",$F255=""),"",HYPERLINK(IF(OR(JobState="MI",JobState=""),"https://fema.maps.arcgis.com/apps/mapviewer/index.html?webmap=6a1702b9147243d1a5ee62cd614bc681&amp;center="&amp;$F255&amp;","&amp;$E255&amp;"&amp;level=16&amp;marker="&amp;$F255&amp;","&amp;$E255&amp;"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T255" s="5"/>
      <c r="U255" s="5"/>
      <c r="V255" s="5"/>
      <c r="W255" s="5"/>
      <c r="X255" s="5"/>
      <c r="Y255" s="5"/>
      <c r="Z255" s="5"/>
      <c r="AA255" s="5"/>
      <c r="AB255" s="1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</row>
    <row r="256" spans="1:28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5"/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S256" s="1" t="str">
        <f>IF(OR($E256="",$F256=""),"",HYPERLINK(IF(OR(JobState="MI",JobState=""),"https://fema.maps.arcgis.com/apps/mapviewer/index.html?webmap=6a1702b9147243d1a5ee62cd614bc681&amp;center="&amp;$F256&amp;","&amp;$E256&amp;"&amp;level=16&amp;marker="&amp;$F256&amp;","&amp;$E256&amp;"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T256" s="5"/>
      <c r="U256" s="5"/>
      <c r="V256" s="5"/>
      <c r="W256" s="5"/>
      <c r="X256" s="5"/>
      <c r="Y256" s="5"/>
      <c r="Z256" s="5"/>
      <c r="AA256" s="5"/>
      <c r="AB256" s="1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</row>
    <row r="257" spans="1:28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5"/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S257" s="1" t="str">
        <f>IF(OR($E257="",$F257=""),"",HYPERLINK(IF(OR(JobState="MI",JobState=""),"https://fema.maps.arcgis.com/apps/mapviewer/index.html?webmap=6a1702b9147243d1a5ee62cd614bc681&amp;center="&amp;$F257&amp;","&amp;$E257&amp;"&amp;level=16&amp;marker="&amp;$F257&amp;","&amp;$E257&amp;"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T257" s="5"/>
      <c r="U257" s="5"/>
      <c r="V257" s="5"/>
      <c r="W257" s="5"/>
      <c r="X257" s="5"/>
      <c r="Y257" s="5"/>
      <c r="Z257" s="5"/>
      <c r="AA257" s="5"/>
      <c r="AB257" s="1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</row>
    <row r="258" spans="1:28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5"/>
      <c r="M258" s="1" t="str">
        <f t="shared" si="18"/>
        <v/>
      </c>
      <c r="N258" s="1" t="str">
        <f t="shared" si="19"/>
        <v/>
      </c>
      <c r="O258" s="1" t="str">
        <f t="shared" si="20"/>
        <v/>
      </c>
      <c r="P258" s="1" t="str">
        <f t="shared" si="21"/>
        <v/>
      </c>
      <c r="Q258" s="1" t="str">
        <f t="shared" si="22"/>
        <v/>
      </c>
      <c r="R258" s="1" t="str">
        <f t="shared" si="23"/>
        <v/>
      </c>
      <c r="S258" s="1" t="str">
        <f>IF(OR($E258="",$F258=""),"",HYPERLINK(IF(OR(JobState="MI",JobState=""),"https://fema.maps.arcgis.com/apps/mapviewer/index.html?webmap=6a1702b9147243d1a5ee62cd614bc681&amp;center="&amp;$F258&amp;","&amp;$E258&amp;"&amp;level=16&amp;marker="&amp;$F258&amp;","&amp;$E258&amp;"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T258" s="5"/>
      <c r="U258" s="5"/>
      <c r="V258" s="5"/>
      <c r="W258" s="5"/>
      <c r="X258" s="5"/>
      <c r="Y258" s="5"/>
      <c r="Z258" s="5"/>
      <c r="AA258" s="5"/>
      <c r="AB258" s="1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</row>
    <row r="259" spans="1:28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5"/>
      <c r="M259" s="1" t="str">
        <f t="shared" ref="M259:M322" si="24">IF(OR($E259="",$F259=""),"",HYPERLINK("https://www.google.com/maps?q="&amp;$E259&amp;","&amp;$F259&amp;"","Map"))</f>
        <v/>
      </c>
      <c r="N259" s="1" t="str">
        <f t="shared" ref="N259:N322" si="25">IF(OR($E259="",$F259=""),"",HYPERLINK("https://www.google.com/maps?q&amp;layer=c&amp;cbll="&amp;$E259&amp;","&amp;$F259&amp;"","Street"))</f>
        <v/>
      </c>
      <c r="O259" s="1" t="str">
        <f t="shared" ref="O259:O322" si="26">IF(OR($E259="",$F259=""),"",HYPERLINK("https://www.bing.com/maps?cp="&amp;$E259&amp;"~"&amp;$F259&amp;"&amp;lvl=18&amp;style=h","Bing"))</f>
        <v/>
      </c>
      <c r="P259" s="1" t="str">
        <f t="shared" ref="P259:P322" si="27">IF(OR($E259="",$F259=""),"",HYPERLINK("https://earth.google.com/web/search/"&amp;$E259&amp;","&amp;$F259&amp;"","Earth"))</f>
        <v/>
      </c>
      <c r="Q259" s="1" t="str">
        <f t="shared" ref="Q259:Q322" si="28">IF(OR($E259="",$F259=""),"",HYPERLINK("https://fema.maps.arcgis.com/apps/mapviewer/index.html?find="&amp;$F259&amp;"%2C"&amp;$E259&amp;"&amp;marker="&amp;$F259&amp;","&amp;$E259&amp;",4326&amp;level=16","FEMA"))</f>
        <v/>
      </c>
      <c r="R259" s="1" t="str">
        <f t="shared" ref="R259:R322" si="29">IF(OR($E259="",$F259=""),"",HYPERLINK("https://msc.fema.gov/portal/firmette?latitude="&amp;$E259&amp;"&amp;longitude="&amp;$F259&amp;"","FIRMette"))</f>
        <v/>
      </c>
      <c r="S259" s="1" t="str">
        <f>IF(OR($E259="",$F259=""),"",HYPERLINK(IF(OR(JobState="MI",JobState=""),"https://fema.maps.arcgis.com/apps/mapviewer/index.html?webmap=6a1702b9147243d1a5ee62cd614bc681&amp;center="&amp;$F259&amp;","&amp;$E259&amp;"&amp;level=16&amp;marker="&amp;$F259&amp;","&amp;$E259&amp;"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T259" s="5"/>
      <c r="U259" s="5"/>
      <c r="V259" s="5"/>
      <c r="W259" s="5"/>
      <c r="X259" s="5"/>
      <c r="Y259" s="5"/>
      <c r="Z259" s="5"/>
      <c r="AA259" s="5"/>
      <c r="AB259" s="1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</row>
    <row r="260" spans="1:28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5"/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S260" s="1" t="str">
        <f>IF(OR($E260="",$F260=""),"",HYPERLINK(IF(OR(JobState="MI",JobState=""),"https://fema.maps.arcgis.com/apps/mapviewer/index.html?webmap=6a1702b9147243d1a5ee62cd614bc681&amp;center="&amp;$F260&amp;","&amp;$E260&amp;"&amp;level=16&amp;marker="&amp;$F260&amp;","&amp;$E260&amp;"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T260" s="5"/>
      <c r="U260" s="5"/>
      <c r="V260" s="5"/>
      <c r="W260" s="5"/>
      <c r="X260" s="5"/>
      <c r="Y260" s="5"/>
      <c r="Z260" s="5"/>
      <c r="AA260" s="5"/>
      <c r="AB260" s="1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</row>
    <row r="261" spans="1:28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5"/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S261" s="1" t="str">
        <f>IF(OR($E261="",$F261=""),"",HYPERLINK(IF(OR(JobState="MI",JobState=""),"https://fema.maps.arcgis.com/apps/mapviewer/index.html?webmap=6a1702b9147243d1a5ee62cd614bc681&amp;center="&amp;$F261&amp;","&amp;$E261&amp;"&amp;level=16&amp;marker="&amp;$F261&amp;","&amp;$E261&amp;"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T261" s="5"/>
      <c r="U261" s="5"/>
      <c r="V261" s="5"/>
      <c r="W261" s="5"/>
      <c r="X261" s="5"/>
      <c r="Y261" s="5"/>
      <c r="Z261" s="5"/>
      <c r="AA261" s="5"/>
      <c r="AB261" s="1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</row>
    <row r="262" spans="1:28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5"/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S262" s="1" t="str">
        <f>IF(OR($E262="",$F262=""),"",HYPERLINK(IF(OR(JobState="MI",JobState=""),"https://fema.maps.arcgis.com/apps/mapviewer/index.html?webmap=6a1702b9147243d1a5ee62cd614bc681&amp;center="&amp;$F262&amp;","&amp;$E262&amp;"&amp;level=16&amp;marker="&amp;$F262&amp;","&amp;$E262&amp;"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T262" s="5"/>
      <c r="U262" s="5"/>
      <c r="V262" s="5"/>
      <c r="W262" s="5"/>
      <c r="X262" s="5"/>
      <c r="Y262" s="5"/>
      <c r="Z262" s="5"/>
      <c r="AA262" s="5"/>
      <c r="AB262" s="1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</row>
    <row r="263" spans="1:28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5"/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S263" s="1" t="str">
        <f>IF(OR($E263="",$F263=""),"",HYPERLINK(IF(OR(JobState="MI",JobState=""),"https://fema.maps.arcgis.com/apps/mapviewer/index.html?webmap=6a1702b9147243d1a5ee62cd614bc681&amp;center="&amp;$F263&amp;","&amp;$E263&amp;"&amp;level=16&amp;marker="&amp;$F263&amp;","&amp;$E263&amp;"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T263" s="5"/>
      <c r="U263" s="5"/>
      <c r="V263" s="5"/>
      <c r="W263" s="5"/>
      <c r="X263" s="5"/>
      <c r="Y263" s="5"/>
      <c r="Z263" s="5"/>
      <c r="AA263" s="5"/>
      <c r="AB263" s="1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</row>
    <row r="264" spans="1:28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5"/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S264" s="1" t="str">
        <f>IF(OR($E264="",$F264=""),"",HYPERLINK(IF(OR(JobState="MI",JobState=""),"https://fema.maps.arcgis.com/apps/mapviewer/index.html?webmap=6a1702b9147243d1a5ee62cd614bc681&amp;center="&amp;$F264&amp;","&amp;$E264&amp;"&amp;level=16&amp;marker="&amp;$F264&amp;","&amp;$E264&amp;"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T264" s="5"/>
      <c r="U264" s="5"/>
      <c r="V264" s="5"/>
      <c r="W264" s="5"/>
      <c r="X264" s="5"/>
      <c r="Y264" s="5"/>
      <c r="Z264" s="5"/>
      <c r="AA264" s="5"/>
      <c r="AB264" s="1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</row>
    <row r="265" spans="1:28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5"/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S265" s="1" t="str">
        <f>IF(OR($E265="",$F265=""),"",HYPERLINK(IF(OR(JobState="MI",JobState=""),"https://fema.maps.arcgis.com/apps/mapviewer/index.html?webmap=6a1702b9147243d1a5ee62cd614bc681&amp;center="&amp;$F265&amp;","&amp;$E265&amp;"&amp;level=16&amp;marker="&amp;$F265&amp;","&amp;$E265&amp;"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T265" s="5"/>
      <c r="U265" s="5"/>
      <c r="V265" s="5"/>
      <c r="W265" s="5"/>
      <c r="X265" s="5"/>
      <c r="Y265" s="5"/>
      <c r="Z265" s="5"/>
      <c r="AA265" s="5"/>
      <c r="AB265" s="1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</row>
    <row r="266" spans="1:28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5"/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S266" s="1" t="str">
        <f>IF(OR($E266="",$F266=""),"",HYPERLINK(IF(OR(JobState="MI",JobState=""),"https://fema.maps.arcgis.com/apps/mapviewer/index.html?webmap=6a1702b9147243d1a5ee62cd614bc681&amp;center="&amp;$F266&amp;","&amp;$E266&amp;"&amp;level=16&amp;marker="&amp;$F266&amp;","&amp;$E266&amp;"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T266" s="5"/>
      <c r="U266" s="5"/>
      <c r="V266" s="5"/>
      <c r="W266" s="5"/>
      <c r="X266" s="5"/>
      <c r="Y266" s="5"/>
      <c r="Z266" s="5"/>
      <c r="AA266" s="5"/>
      <c r="AB266" s="1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</row>
    <row r="267" spans="1:28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5"/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S267" s="1" t="str">
        <f>IF(OR($E267="",$F267=""),"",HYPERLINK(IF(OR(JobState="MI",JobState=""),"https://fema.maps.arcgis.com/apps/mapviewer/index.html?webmap=6a1702b9147243d1a5ee62cd614bc681&amp;center="&amp;$F267&amp;","&amp;$E267&amp;"&amp;level=16&amp;marker="&amp;$F267&amp;","&amp;$E267&amp;"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T267" s="5"/>
      <c r="U267" s="5"/>
      <c r="V267" s="5"/>
      <c r="W267" s="5"/>
      <c r="X267" s="5"/>
      <c r="Y267" s="5"/>
      <c r="Z267" s="5"/>
      <c r="AA267" s="5"/>
      <c r="AB267" s="1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</row>
    <row r="268" spans="1:28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5"/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S268" s="1" t="str">
        <f>IF(OR($E268="",$F268=""),"",HYPERLINK(IF(OR(JobState="MI",JobState=""),"https://fema.maps.arcgis.com/apps/mapviewer/index.html?webmap=6a1702b9147243d1a5ee62cd614bc681&amp;center="&amp;$F268&amp;","&amp;$E268&amp;"&amp;level=16&amp;marker="&amp;$F268&amp;","&amp;$E268&amp;"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T268" s="5"/>
      <c r="U268" s="5"/>
      <c r="V268" s="5"/>
      <c r="W268" s="5"/>
      <c r="X268" s="5"/>
      <c r="Y268" s="5"/>
      <c r="Z268" s="5"/>
      <c r="AA268" s="5"/>
      <c r="AB268" s="1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</row>
    <row r="269" spans="1:28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5"/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S269" s="1" t="str">
        <f>IF(OR($E269="",$F269=""),"",HYPERLINK(IF(OR(JobState="MI",JobState=""),"https://fema.maps.arcgis.com/apps/mapviewer/index.html?webmap=6a1702b9147243d1a5ee62cd614bc681&amp;center="&amp;$F269&amp;","&amp;$E269&amp;"&amp;level=16&amp;marker="&amp;$F269&amp;","&amp;$E269&amp;"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T269" s="5"/>
      <c r="U269" s="5"/>
      <c r="V269" s="5"/>
      <c r="W269" s="5"/>
      <c r="X269" s="5"/>
      <c r="Y269" s="5"/>
      <c r="Z269" s="5"/>
      <c r="AA269" s="5"/>
      <c r="AB269" s="1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</row>
    <row r="270" spans="1:28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5"/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S270" s="1" t="str">
        <f>IF(OR($E270="",$F270=""),"",HYPERLINK(IF(OR(JobState="MI",JobState=""),"https://fema.maps.arcgis.com/apps/mapviewer/index.html?webmap=6a1702b9147243d1a5ee62cd614bc681&amp;center="&amp;$F270&amp;","&amp;$E270&amp;"&amp;level=16&amp;marker="&amp;$F270&amp;","&amp;$E270&amp;"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T270" s="5"/>
      <c r="U270" s="5"/>
      <c r="V270" s="5"/>
      <c r="W270" s="5"/>
      <c r="X270" s="5"/>
      <c r="Y270" s="5"/>
      <c r="Z270" s="5"/>
      <c r="AA270" s="5"/>
      <c r="AB270" s="1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</row>
    <row r="271" spans="1:28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5"/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S271" s="1" t="str">
        <f>IF(OR($E271="",$F271=""),"",HYPERLINK(IF(OR(JobState="MI",JobState=""),"https://fema.maps.arcgis.com/apps/mapviewer/index.html?webmap=6a1702b9147243d1a5ee62cd614bc681&amp;center="&amp;$F271&amp;","&amp;$E271&amp;"&amp;level=16&amp;marker="&amp;$F271&amp;","&amp;$E271&amp;"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T271" s="5"/>
      <c r="U271" s="5"/>
      <c r="V271" s="5"/>
      <c r="W271" s="5"/>
      <c r="X271" s="5"/>
      <c r="Y271" s="5"/>
      <c r="Z271" s="5"/>
      <c r="AA271" s="5"/>
      <c r="AB271" s="1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</row>
    <row r="272" spans="1:28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5"/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S272" s="1" t="str">
        <f>IF(OR($E272="",$F272=""),"",HYPERLINK(IF(OR(JobState="MI",JobState=""),"https://fema.maps.arcgis.com/apps/mapviewer/index.html?webmap=6a1702b9147243d1a5ee62cd614bc681&amp;center="&amp;$F272&amp;","&amp;$E272&amp;"&amp;level=16&amp;marker="&amp;$F272&amp;","&amp;$E272&amp;"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T272" s="5"/>
      <c r="U272" s="5"/>
      <c r="V272" s="5"/>
      <c r="W272" s="5"/>
      <c r="X272" s="5"/>
      <c r="Y272" s="5"/>
      <c r="Z272" s="5"/>
      <c r="AA272" s="5"/>
      <c r="AB272" s="1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</row>
    <row r="273" spans="1:28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5"/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S273" s="1" t="str">
        <f>IF(OR($E273="",$F273=""),"",HYPERLINK(IF(OR(JobState="MI",JobState=""),"https://fema.maps.arcgis.com/apps/mapviewer/index.html?webmap=6a1702b9147243d1a5ee62cd614bc681&amp;center="&amp;$F273&amp;","&amp;$E273&amp;"&amp;level=16&amp;marker="&amp;$F273&amp;","&amp;$E273&amp;"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T273" s="5"/>
      <c r="U273" s="5"/>
      <c r="V273" s="5"/>
      <c r="W273" s="5"/>
      <c r="X273" s="5"/>
      <c r="Y273" s="5"/>
      <c r="Z273" s="5"/>
      <c r="AA273" s="5"/>
      <c r="AB273" s="1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</row>
    <row r="274" spans="1:28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5"/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S274" s="1" t="str">
        <f>IF(OR($E274="",$F274=""),"",HYPERLINK(IF(OR(JobState="MI",JobState=""),"https://fema.maps.arcgis.com/apps/mapviewer/index.html?webmap=6a1702b9147243d1a5ee62cd614bc681&amp;center="&amp;$F274&amp;","&amp;$E274&amp;"&amp;level=16&amp;marker="&amp;$F274&amp;","&amp;$E274&amp;"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T274" s="5"/>
      <c r="U274" s="5"/>
      <c r="V274" s="5"/>
      <c r="W274" s="5"/>
      <c r="X274" s="5"/>
      <c r="Y274" s="5"/>
      <c r="Z274" s="5"/>
      <c r="AA274" s="5"/>
      <c r="AB274" s="1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</row>
    <row r="275" spans="1:28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5"/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S275" s="1" t="str">
        <f>IF(OR($E275="",$F275=""),"",HYPERLINK(IF(OR(JobState="MI",JobState=""),"https://fema.maps.arcgis.com/apps/mapviewer/index.html?webmap=6a1702b9147243d1a5ee62cd614bc681&amp;center="&amp;$F275&amp;","&amp;$E275&amp;"&amp;level=16&amp;marker="&amp;$F275&amp;","&amp;$E275&amp;"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T275" s="5"/>
      <c r="U275" s="5"/>
      <c r="V275" s="5"/>
      <c r="W275" s="5"/>
      <c r="X275" s="5"/>
      <c r="Y275" s="5"/>
      <c r="Z275" s="5"/>
      <c r="AA275" s="5"/>
      <c r="AB275" s="1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</row>
    <row r="276" spans="1:28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5"/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S276" s="1" t="str">
        <f>IF(OR($E276="",$F276=""),"",HYPERLINK(IF(OR(JobState="MI",JobState=""),"https://fema.maps.arcgis.com/apps/mapviewer/index.html?webmap=6a1702b9147243d1a5ee62cd614bc681&amp;center="&amp;$F276&amp;","&amp;$E276&amp;"&amp;level=16&amp;marker="&amp;$F276&amp;","&amp;$E276&amp;"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T276" s="5"/>
      <c r="U276" s="5"/>
      <c r="V276" s="5"/>
      <c r="W276" s="5"/>
      <c r="X276" s="5"/>
      <c r="Y276" s="5"/>
      <c r="Z276" s="5"/>
      <c r="AA276" s="5"/>
      <c r="AB276" s="1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</row>
    <row r="277" spans="1:28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5"/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S277" s="1" t="str">
        <f>IF(OR($E277="",$F277=""),"",HYPERLINK(IF(OR(JobState="MI",JobState=""),"https://fema.maps.arcgis.com/apps/mapviewer/index.html?webmap=6a1702b9147243d1a5ee62cd614bc681&amp;center="&amp;$F277&amp;","&amp;$E277&amp;"&amp;level=16&amp;marker="&amp;$F277&amp;","&amp;$E277&amp;"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T277" s="5"/>
      <c r="U277" s="5"/>
      <c r="V277" s="5"/>
      <c r="W277" s="5"/>
      <c r="X277" s="5"/>
      <c r="Y277" s="5"/>
      <c r="Z277" s="5"/>
      <c r="AA277" s="5"/>
      <c r="AB277" s="1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</row>
    <row r="278" spans="1:28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5"/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S278" s="1" t="str">
        <f>IF(OR($E278="",$F278=""),"",HYPERLINK(IF(OR(JobState="MI",JobState=""),"https://fema.maps.arcgis.com/apps/mapviewer/index.html?webmap=6a1702b9147243d1a5ee62cd614bc681&amp;center="&amp;$F278&amp;","&amp;$E278&amp;"&amp;level=16&amp;marker="&amp;$F278&amp;","&amp;$E278&amp;"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T278" s="5"/>
      <c r="U278" s="5"/>
      <c r="V278" s="5"/>
      <c r="W278" s="5"/>
      <c r="X278" s="5"/>
      <c r="Y278" s="5"/>
      <c r="Z278" s="5"/>
      <c r="AA278" s="5"/>
      <c r="AB278" s="1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</row>
    <row r="279" spans="1:28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5"/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S279" s="1" t="str">
        <f>IF(OR($E279="",$F279=""),"",HYPERLINK(IF(OR(JobState="MI",JobState=""),"https://fema.maps.arcgis.com/apps/mapviewer/index.html?webmap=6a1702b9147243d1a5ee62cd614bc681&amp;center="&amp;$F279&amp;","&amp;$E279&amp;"&amp;level=16&amp;marker="&amp;$F279&amp;","&amp;$E279&amp;"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T279" s="5"/>
      <c r="U279" s="5"/>
      <c r="V279" s="5"/>
      <c r="W279" s="5"/>
      <c r="X279" s="5"/>
      <c r="Y279" s="5"/>
      <c r="Z279" s="5"/>
      <c r="AA279" s="5"/>
      <c r="AB279" s="1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</row>
    <row r="280" spans="1:28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5"/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S280" s="1" t="str">
        <f>IF(OR($E280="",$F280=""),"",HYPERLINK(IF(OR(JobState="MI",JobState=""),"https://fema.maps.arcgis.com/apps/mapviewer/index.html?webmap=6a1702b9147243d1a5ee62cd614bc681&amp;center="&amp;$F280&amp;","&amp;$E280&amp;"&amp;level=16&amp;marker="&amp;$F280&amp;","&amp;$E280&amp;"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T280" s="5"/>
      <c r="U280" s="5"/>
      <c r="V280" s="5"/>
      <c r="W280" s="5"/>
      <c r="X280" s="5"/>
      <c r="Y280" s="5"/>
      <c r="Z280" s="5"/>
      <c r="AA280" s="5"/>
      <c r="AB280" s="1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</row>
    <row r="281" spans="1:28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5"/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S281" s="1" t="str">
        <f>IF(OR($E281="",$F281=""),"",HYPERLINK(IF(OR(JobState="MI",JobState=""),"https://fema.maps.arcgis.com/apps/mapviewer/index.html?webmap=6a1702b9147243d1a5ee62cd614bc681&amp;center="&amp;$F281&amp;","&amp;$E281&amp;"&amp;level=16&amp;marker="&amp;$F281&amp;","&amp;$E281&amp;"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T281" s="5"/>
      <c r="U281" s="5"/>
      <c r="V281" s="5"/>
      <c r="W281" s="5"/>
      <c r="X281" s="5"/>
      <c r="Y281" s="5"/>
      <c r="Z281" s="5"/>
      <c r="AA281" s="5"/>
      <c r="AB281" s="1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</row>
    <row r="282" spans="1:28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5"/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S282" s="1" t="str">
        <f>IF(OR($E282="",$F282=""),"",HYPERLINK(IF(OR(JobState="MI",JobState=""),"https://fema.maps.arcgis.com/apps/mapviewer/index.html?webmap=6a1702b9147243d1a5ee62cd614bc681&amp;center="&amp;$F282&amp;","&amp;$E282&amp;"&amp;level=16&amp;marker="&amp;$F282&amp;","&amp;$E282&amp;"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T282" s="5"/>
      <c r="U282" s="5"/>
      <c r="V282" s="5"/>
      <c r="W282" s="5"/>
      <c r="X282" s="5"/>
      <c r="Y282" s="5"/>
      <c r="Z282" s="5"/>
      <c r="AA282" s="5"/>
      <c r="AB282" s="1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</row>
    <row r="283" spans="1:28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5"/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S283" s="1" t="str">
        <f>IF(OR($E283="",$F283=""),"",HYPERLINK(IF(OR(JobState="MI",JobState=""),"https://fema.maps.arcgis.com/apps/mapviewer/index.html?webmap=6a1702b9147243d1a5ee62cd614bc681&amp;center="&amp;$F283&amp;","&amp;$E283&amp;"&amp;level=16&amp;marker="&amp;$F283&amp;","&amp;$E283&amp;"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T283" s="5"/>
      <c r="U283" s="5"/>
      <c r="V283" s="5"/>
      <c r="W283" s="5"/>
      <c r="X283" s="5"/>
      <c r="Y283" s="5"/>
      <c r="Z283" s="5"/>
      <c r="AA283" s="5"/>
      <c r="AB283" s="1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</row>
    <row r="284" spans="1:28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5"/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S284" s="1" t="str">
        <f>IF(OR($E284="",$F284=""),"",HYPERLINK(IF(OR(JobState="MI",JobState=""),"https://fema.maps.arcgis.com/apps/mapviewer/index.html?webmap=6a1702b9147243d1a5ee62cd614bc681&amp;center="&amp;$F284&amp;","&amp;$E284&amp;"&amp;level=16&amp;marker="&amp;$F284&amp;","&amp;$E284&amp;"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T284" s="5"/>
      <c r="U284" s="5"/>
      <c r="V284" s="5"/>
      <c r="W284" s="5"/>
      <c r="X284" s="5"/>
      <c r="Y284" s="5"/>
      <c r="Z284" s="5"/>
      <c r="AA284" s="5"/>
      <c r="AB284" s="1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</row>
    <row r="285" spans="1:28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5"/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S285" s="1" t="str">
        <f>IF(OR($E285="",$F285=""),"",HYPERLINK(IF(OR(JobState="MI",JobState=""),"https://fema.maps.arcgis.com/apps/mapviewer/index.html?webmap=6a1702b9147243d1a5ee62cd614bc681&amp;center="&amp;$F285&amp;","&amp;$E285&amp;"&amp;level=16&amp;marker="&amp;$F285&amp;","&amp;$E285&amp;"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T285" s="5"/>
      <c r="U285" s="5"/>
      <c r="V285" s="5"/>
      <c r="W285" s="5"/>
      <c r="X285" s="5"/>
      <c r="Y285" s="5"/>
      <c r="Z285" s="5"/>
      <c r="AA285" s="5"/>
      <c r="AB285" s="1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</row>
    <row r="286" spans="1:28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5"/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S286" s="1" t="str">
        <f>IF(OR($E286="",$F286=""),"",HYPERLINK(IF(OR(JobState="MI",JobState=""),"https://fema.maps.arcgis.com/apps/mapviewer/index.html?webmap=6a1702b9147243d1a5ee62cd614bc681&amp;center="&amp;$F286&amp;","&amp;$E286&amp;"&amp;level=16&amp;marker="&amp;$F286&amp;","&amp;$E286&amp;"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T286" s="5"/>
      <c r="U286" s="5"/>
      <c r="V286" s="5"/>
      <c r="W286" s="5"/>
      <c r="X286" s="5"/>
      <c r="Y286" s="5"/>
      <c r="Z286" s="5"/>
      <c r="AA286" s="5"/>
      <c r="AB286" s="1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</row>
    <row r="287" spans="1:28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5"/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S287" s="1" t="str">
        <f>IF(OR($E287="",$F287=""),"",HYPERLINK(IF(OR(JobState="MI",JobState=""),"https://fema.maps.arcgis.com/apps/mapviewer/index.html?webmap=6a1702b9147243d1a5ee62cd614bc681&amp;center="&amp;$F287&amp;","&amp;$E287&amp;"&amp;level=16&amp;marker="&amp;$F287&amp;","&amp;$E287&amp;"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T287" s="5"/>
      <c r="U287" s="5"/>
      <c r="V287" s="5"/>
      <c r="W287" s="5"/>
      <c r="X287" s="5"/>
      <c r="Y287" s="5"/>
      <c r="Z287" s="5"/>
      <c r="AA287" s="5"/>
      <c r="AB287" s="1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</row>
    <row r="288" spans="1:28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5"/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S288" s="1" t="str">
        <f>IF(OR($E288="",$F288=""),"",HYPERLINK(IF(OR(JobState="MI",JobState=""),"https://fema.maps.arcgis.com/apps/mapviewer/index.html?webmap=6a1702b9147243d1a5ee62cd614bc681&amp;center="&amp;$F288&amp;","&amp;$E288&amp;"&amp;level=16&amp;marker="&amp;$F288&amp;","&amp;$E288&amp;"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T288" s="5"/>
      <c r="U288" s="5"/>
      <c r="V288" s="5"/>
      <c r="W288" s="5"/>
      <c r="X288" s="5"/>
      <c r="Y288" s="5"/>
      <c r="Z288" s="5"/>
      <c r="AA288" s="5"/>
      <c r="AB288" s="1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</row>
    <row r="289" spans="1:28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5"/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S289" s="1" t="str">
        <f>IF(OR($E289="",$F289=""),"",HYPERLINK(IF(OR(JobState="MI",JobState=""),"https://fema.maps.arcgis.com/apps/mapviewer/index.html?webmap=6a1702b9147243d1a5ee62cd614bc681&amp;center="&amp;$F289&amp;","&amp;$E289&amp;"&amp;level=16&amp;marker="&amp;$F289&amp;","&amp;$E289&amp;"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T289" s="5"/>
      <c r="U289" s="5"/>
      <c r="V289" s="5"/>
      <c r="W289" s="5"/>
      <c r="X289" s="5"/>
      <c r="Y289" s="5"/>
      <c r="Z289" s="5"/>
      <c r="AA289" s="5"/>
      <c r="AB289" s="1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</row>
    <row r="290" spans="1:28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5"/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S290" s="1" t="str">
        <f>IF(OR($E290="",$F290=""),"",HYPERLINK(IF(OR(JobState="MI",JobState=""),"https://fema.maps.arcgis.com/apps/mapviewer/index.html?webmap=6a1702b9147243d1a5ee62cd614bc681&amp;center="&amp;$F290&amp;","&amp;$E290&amp;"&amp;level=16&amp;marker="&amp;$F290&amp;","&amp;$E290&amp;"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T290" s="5"/>
      <c r="U290" s="5"/>
      <c r="V290" s="5"/>
      <c r="W290" s="5"/>
      <c r="X290" s="5"/>
      <c r="Y290" s="5"/>
      <c r="Z290" s="5"/>
      <c r="AA290" s="5"/>
      <c r="AB290" s="1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</row>
    <row r="291" spans="1:28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5"/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S291" s="1" t="str">
        <f>IF(OR($E291="",$F291=""),"",HYPERLINK(IF(OR(JobState="MI",JobState=""),"https://fema.maps.arcgis.com/apps/mapviewer/index.html?webmap=6a1702b9147243d1a5ee62cd614bc681&amp;center="&amp;$F291&amp;","&amp;$E291&amp;"&amp;level=16&amp;marker="&amp;$F291&amp;","&amp;$E291&amp;"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T291" s="5"/>
      <c r="U291" s="5"/>
      <c r="V291" s="5"/>
      <c r="W291" s="5"/>
      <c r="X291" s="5"/>
      <c r="Y291" s="5"/>
      <c r="Z291" s="5"/>
      <c r="AA291" s="5"/>
      <c r="AB291" s="1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</row>
    <row r="292" spans="1:28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5"/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S292" s="1" t="str">
        <f>IF(OR($E292="",$F292=""),"",HYPERLINK(IF(OR(JobState="MI",JobState=""),"https://fema.maps.arcgis.com/apps/mapviewer/index.html?webmap=6a1702b9147243d1a5ee62cd614bc681&amp;center="&amp;$F292&amp;","&amp;$E292&amp;"&amp;level=16&amp;marker="&amp;$F292&amp;","&amp;$E292&amp;"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T292" s="5"/>
      <c r="U292" s="5"/>
      <c r="V292" s="5"/>
      <c r="W292" s="5"/>
      <c r="X292" s="5"/>
      <c r="Y292" s="5"/>
      <c r="Z292" s="5"/>
      <c r="AA292" s="5"/>
      <c r="AB292" s="1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</row>
    <row r="293" spans="1:28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5"/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S293" s="1" t="str">
        <f>IF(OR($E293="",$F293=""),"",HYPERLINK(IF(OR(JobState="MI",JobState=""),"https://fema.maps.arcgis.com/apps/mapviewer/index.html?webmap=6a1702b9147243d1a5ee62cd614bc681&amp;center="&amp;$F293&amp;","&amp;$E293&amp;"&amp;level=16&amp;marker="&amp;$F293&amp;","&amp;$E293&amp;"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T293" s="5"/>
      <c r="U293" s="5"/>
      <c r="V293" s="5"/>
      <c r="W293" s="5"/>
      <c r="X293" s="5"/>
      <c r="Y293" s="5"/>
      <c r="Z293" s="5"/>
      <c r="AA293" s="5"/>
      <c r="AB293" s="1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</row>
    <row r="294" spans="1:28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5"/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S294" s="1" t="str">
        <f>IF(OR($E294="",$F294=""),"",HYPERLINK(IF(OR(JobState="MI",JobState=""),"https://fema.maps.arcgis.com/apps/mapviewer/index.html?webmap=6a1702b9147243d1a5ee62cd614bc681&amp;center="&amp;$F294&amp;","&amp;$E294&amp;"&amp;level=16&amp;marker="&amp;$F294&amp;","&amp;$E294&amp;"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T294" s="5"/>
      <c r="U294" s="5"/>
      <c r="V294" s="5"/>
      <c r="W294" s="5"/>
      <c r="X294" s="5"/>
      <c r="Y294" s="5"/>
      <c r="Z294" s="5"/>
      <c r="AA294" s="5"/>
      <c r="AB294" s="1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</row>
    <row r="295" spans="1:28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5"/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S295" s="1" t="str">
        <f>IF(OR($E295="",$F295=""),"",HYPERLINK(IF(OR(JobState="MI",JobState=""),"https://fema.maps.arcgis.com/apps/mapviewer/index.html?webmap=6a1702b9147243d1a5ee62cd614bc681&amp;center="&amp;$F295&amp;","&amp;$E295&amp;"&amp;level=16&amp;marker="&amp;$F295&amp;","&amp;$E295&amp;"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T295" s="5"/>
      <c r="U295" s="5"/>
      <c r="V295" s="5"/>
      <c r="W295" s="5"/>
      <c r="X295" s="5"/>
      <c r="Y295" s="5"/>
      <c r="Z295" s="5"/>
      <c r="AA295" s="5"/>
      <c r="AB295" s="1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</row>
    <row r="296" spans="1:28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5"/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S296" s="1" t="str">
        <f>IF(OR($E296="",$F296=""),"",HYPERLINK(IF(OR(JobState="MI",JobState=""),"https://fema.maps.arcgis.com/apps/mapviewer/index.html?webmap=6a1702b9147243d1a5ee62cd614bc681&amp;center="&amp;$F296&amp;","&amp;$E296&amp;"&amp;level=16&amp;marker="&amp;$F296&amp;","&amp;$E296&amp;"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T296" s="5"/>
      <c r="U296" s="5"/>
      <c r="V296" s="5"/>
      <c r="W296" s="5"/>
      <c r="X296" s="5"/>
      <c r="Y296" s="5"/>
      <c r="Z296" s="5"/>
      <c r="AA296" s="5"/>
      <c r="AB296" s="1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</row>
    <row r="297" spans="1:28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5"/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S297" s="1" t="str">
        <f>IF(OR($E297="",$F297=""),"",HYPERLINK(IF(OR(JobState="MI",JobState=""),"https://fema.maps.arcgis.com/apps/mapviewer/index.html?webmap=6a1702b9147243d1a5ee62cd614bc681&amp;center="&amp;$F297&amp;","&amp;$E297&amp;"&amp;level=16&amp;marker="&amp;$F297&amp;","&amp;$E297&amp;"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T297" s="5"/>
      <c r="U297" s="5"/>
      <c r="V297" s="5"/>
      <c r="W297" s="5"/>
      <c r="X297" s="5"/>
      <c r="Y297" s="5"/>
      <c r="Z297" s="5"/>
      <c r="AA297" s="5"/>
      <c r="AB297" s="1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</row>
    <row r="298" spans="1:28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5"/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S298" s="1" t="str">
        <f>IF(OR($E298="",$F298=""),"",HYPERLINK(IF(OR(JobState="MI",JobState=""),"https://fema.maps.arcgis.com/apps/mapviewer/index.html?webmap=6a1702b9147243d1a5ee62cd614bc681&amp;center="&amp;$F298&amp;","&amp;$E298&amp;"&amp;level=16&amp;marker="&amp;$F298&amp;","&amp;$E298&amp;"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T298" s="5"/>
      <c r="U298" s="5"/>
      <c r="V298" s="5"/>
      <c r="W298" s="5"/>
      <c r="X298" s="5"/>
      <c r="Y298" s="5"/>
      <c r="Z298" s="5"/>
      <c r="AA298" s="5"/>
      <c r="AB298" s="1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</row>
    <row r="299" spans="1:28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5"/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S299" s="1" t="str">
        <f>IF(OR($E299="",$F299=""),"",HYPERLINK(IF(OR(JobState="MI",JobState=""),"https://fema.maps.arcgis.com/apps/mapviewer/index.html?webmap=6a1702b9147243d1a5ee62cd614bc681&amp;center="&amp;$F299&amp;","&amp;$E299&amp;"&amp;level=16&amp;marker="&amp;$F299&amp;","&amp;$E299&amp;"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T299" s="5"/>
      <c r="U299" s="5"/>
      <c r="V299" s="5"/>
      <c r="W299" s="5"/>
      <c r="X299" s="5"/>
      <c r="Y299" s="5"/>
      <c r="Z299" s="5"/>
      <c r="AA299" s="5"/>
      <c r="AB299" s="1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</row>
    <row r="300" spans="1:28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5"/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S300" s="1" t="str">
        <f>IF(OR($E300="",$F300=""),"",HYPERLINK(IF(OR(JobState="MI",JobState=""),"https://fema.maps.arcgis.com/apps/mapviewer/index.html?webmap=6a1702b9147243d1a5ee62cd614bc681&amp;center="&amp;$F300&amp;","&amp;$E300&amp;"&amp;level=16&amp;marker="&amp;$F300&amp;","&amp;$E300&amp;"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T300" s="5"/>
      <c r="U300" s="5"/>
      <c r="V300" s="5"/>
      <c r="W300" s="5"/>
      <c r="X300" s="5"/>
      <c r="Y300" s="5"/>
      <c r="Z300" s="5"/>
      <c r="AA300" s="5"/>
      <c r="AB300" s="1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</row>
    <row r="301" spans="1:28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5"/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S301" s="1" t="str">
        <f>IF(OR($E301="",$F301=""),"",HYPERLINK(IF(OR(JobState="MI",JobState=""),"https://fema.maps.arcgis.com/apps/mapviewer/index.html?webmap=6a1702b9147243d1a5ee62cd614bc681&amp;center="&amp;$F301&amp;","&amp;$E301&amp;"&amp;level=16&amp;marker="&amp;$F301&amp;","&amp;$E301&amp;"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T301" s="5"/>
      <c r="U301" s="5"/>
      <c r="V301" s="5"/>
      <c r="W301" s="5"/>
      <c r="X301" s="5"/>
      <c r="Y301" s="5"/>
      <c r="Z301" s="5"/>
      <c r="AA301" s="5"/>
      <c r="AB301" s="1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</row>
    <row r="302" spans="1:28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5"/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S302" s="1" t="str">
        <f>IF(OR($E302="",$F302=""),"",HYPERLINK(IF(OR(JobState="MI",JobState=""),"https://fema.maps.arcgis.com/apps/mapviewer/index.html?webmap=6a1702b9147243d1a5ee62cd614bc681&amp;center="&amp;$F302&amp;","&amp;$E302&amp;"&amp;level=16&amp;marker="&amp;$F302&amp;","&amp;$E302&amp;"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T302" s="5"/>
      <c r="U302" s="5"/>
      <c r="V302" s="5"/>
      <c r="W302" s="5"/>
      <c r="X302" s="5"/>
      <c r="Y302" s="5"/>
      <c r="Z302" s="5"/>
      <c r="AA302" s="5"/>
      <c r="AB302" s="1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</row>
    <row r="303" spans="1:28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5"/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S303" s="1" t="str">
        <f>IF(OR($E303="",$F303=""),"",HYPERLINK(IF(OR(JobState="MI",JobState=""),"https://fema.maps.arcgis.com/apps/mapviewer/index.html?webmap=6a1702b9147243d1a5ee62cd614bc681&amp;center="&amp;$F303&amp;","&amp;$E303&amp;"&amp;level=16&amp;marker="&amp;$F303&amp;","&amp;$E303&amp;"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T303" s="5"/>
      <c r="U303" s="5"/>
      <c r="V303" s="5"/>
      <c r="W303" s="5"/>
      <c r="X303" s="5"/>
      <c r="Y303" s="5"/>
      <c r="Z303" s="5"/>
      <c r="AA303" s="5"/>
      <c r="AB303" s="1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</row>
    <row r="304" spans="1:28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5"/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S304" s="1" t="str">
        <f>IF(OR($E304="",$F304=""),"",HYPERLINK(IF(OR(JobState="MI",JobState=""),"https://fema.maps.arcgis.com/apps/mapviewer/index.html?webmap=6a1702b9147243d1a5ee62cd614bc681&amp;center="&amp;$F304&amp;","&amp;$E304&amp;"&amp;level=16&amp;marker="&amp;$F304&amp;","&amp;$E304&amp;"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T304" s="5"/>
      <c r="U304" s="5"/>
      <c r="V304" s="5"/>
      <c r="W304" s="5"/>
      <c r="X304" s="5"/>
      <c r="Y304" s="5"/>
      <c r="Z304" s="5"/>
      <c r="AA304" s="5"/>
      <c r="AB304" s="1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</row>
    <row r="305" spans="1:28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5"/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S305" s="1" t="str">
        <f>IF(OR($E305="",$F305=""),"",HYPERLINK(IF(OR(JobState="MI",JobState=""),"https://fema.maps.arcgis.com/apps/mapviewer/index.html?webmap=6a1702b9147243d1a5ee62cd614bc681&amp;center="&amp;$F305&amp;","&amp;$E305&amp;"&amp;level=16&amp;marker="&amp;$F305&amp;","&amp;$E305&amp;"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T305" s="5"/>
      <c r="U305" s="5"/>
      <c r="V305" s="5"/>
      <c r="W305" s="5"/>
      <c r="X305" s="5"/>
      <c r="Y305" s="5"/>
      <c r="Z305" s="5"/>
      <c r="AA305" s="5"/>
      <c r="AB305" s="1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</row>
    <row r="306" spans="1:28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5"/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S306" s="1" t="str">
        <f>IF(OR($E306="",$F306=""),"",HYPERLINK(IF(OR(JobState="MI",JobState=""),"https://fema.maps.arcgis.com/apps/mapviewer/index.html?webmap=6a1702b9147243d1a5ee62cd614bc681&amp;center="&amp;$F306&amp;","&amp;$E306&amp;"&amp;level=16&amp;marker="&amp;$F306&amp;","&amp;$E306&amp;"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T306" s="5"/>
      <c r="U306" s="5"/>
      <c r="V306" s="5"/>
      <c r="W306" s="5"/>
      <c r="X306" s="5"/>
      <c r="Y306" s="5"/>
      <c r="Z306" s="5"/>
      <c r="AA306" s="5"/>
      <c r="AB306" s="1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</row>
    <row r="307" spans="1:28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5"/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S307" s="1" t="str">
        <f>IF(OR($E307="",$F307=""),"",HYPERLINK(IF(OR(JobState="MI",JobState=""),"https://fema.maps.arcgis.com/apps/mapviewer/index.html?webmap=6a1702b9147243d1a5ee62cd614bc681&amp;center="&amp;$F307&amp;","&amp;$E307&amp;"&amp;level=16&amp;marker="&amp;$F307&amp;","&amp;$E307&amp;"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T307" s="5"/>
      <c r="U307" s="5"/>
      <c r="V307" s="5"/>
      <c r="W307" s="5"/>
      <c r="X307" s="5"/>
      <c r="Y307" s="5"/>
      <c r="Z307" s="5"/>
      <c r="AA307" s="5"/>
      <c r="AB307" s="1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</row>
    <row r="308" spans="1:28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5"/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S308" s="1" t="str">
        <f>IF(OR($E308="",$F308=""),"",HYPERLINK(IF(OR(JobState="MI",JobState=""),"https://fema.maps.arcgis.com/apps/mapviewer/index.html?webmap=6a1702b9147243d1a5ee62cd614bc681&amp;center="&amp;$F308&amp;","&amp;$E308&amp;"&amp;level=16&amp;marker="&amp;$F308&amp;","&amp;$E308&amp;"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T308" s="5"/>
      <c r="U308" s="5"/>
      <c r="V308" s="5"/>
      <c r="W308" s="5"/>
      <c r="X308" s="5"/>
      <c r="Y308" s="5"/>
      <c r="Z308" s="5"/>
      <c r="AA308" s="5"/>
      <c r="AB308" s="1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</row>
    <row r="309" spans="1:28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5"/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S309" s="1" t="str">
        <f>IF(OR($E309="",$F309=""),"",HYPERLINK(IF(OR(JobState="MI",JobState=""),"https://fema.maps.arcgis.com/apps/mapviewer/index.html?webmap=6a1702b9147243d1a5ee62cd614bc681&amp;center="&amp;$F309&amp;","&amp;$E309&amp;"&amp;level=16&amp;marker="&amp;$F309&amp;","&amp;$E309&amp;"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T309" s="5"/>
      <c r="U309" s="5"/>
      <c r="V309" s="5"/>
      <c r="W309" s="5"/>
      <c r="X309" s="5"/>
      <c r="Y309" s="5"/>
      <c r="Z309" s="5"/>
      <c r="AA309" s="5"/>
      <c r="AB309" s="1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</row>
    <row r="310" spans="1:28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5"/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S310" s="1" t="str">
        <f>IF(OR($E310="",$F310=""),"",HYPERLINK(IF(OR(JobState="MI",JobState=""),"https://fema.maps.arcgis.com/apps/mapviewer/index.html?webmap=6a1702b9147243d1a5ee62cd614bc681&amp;center="&amp;$F310&amp;","&amp;$E310&amp;"&amp;level=16&amp;marker="&amp;$F310&amp;","&amp;$E310&amp;"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T310" s="5"/>
      <c r="U310" s="5"/>
      <c r="V310" s="5"/>
      <c r="W310" s="5"/>
      <c r="X310" s="5"/>
      <c r="Y310" s="5"/>
      <c r="Z310" s="5"/>
      <c r="AA310" s="5"/>
      <c r="AB310" s="1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</row>
    <row r="311" spans="1:28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5"/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S311" s="1" t="str">
        <f>IF(OR($E311="",$F311=""),"",HYPERLINK(IF(OR(JobState="MI",JobState=""),"https://fema.maps.arcgis.com/apps/mapviewer/index.html?webmap=6a1702b9147243d1a5ee62cd614bc681&amp;center="&amp;$F311&amp;","&amp;$E311&amp;"&amp;level=16&amp;marker="&amp;$F311&amp;","&amp;$E311&amp;"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T311" s="5"/>
      <c r="U311" s="5"/>
      <c r="V311" s="5"/>
      <c r="W311" s="5"/>
      <c r="X311" s="5"/>
      <c r="Y311" s="5"/>
      <c r="Z311" s="5"/>
      <c r="AA311" s="5"/>
      <c r="AB311" s="1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</row>
    <row r="312" spans="1:28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5"/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S312" s="1" t="str">
        <f>IF(OR($E312="",$F312=""),"",HYPERLINK(IF(OR(JobState="MI",JobState=""),"https://fema.maps.arcgis.com/apps/mapviewer/index.html?webmap=6a1702b9147243d1a5ee62cd614bc681&amp;center="&amp;$F312&amp;","&amp;$E312&amp;"&amp;level=16&amp;marker="&amp;$F312&amp;","&amp;$E312&amp;"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T312" s="5"/>
      <c r="U312" s="5"/>
      <c r="V312" s="5"/>
      <c r="W312" s="5"/>
      <c r="X312" s="5"/>
      <c r="Y312" s="5"/>
      <c r="Z312" s="5"/>
      <c r="AA312" s="5"/>
      <c r="AB312" s="1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</row>
    <row r="313" spans="1:28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5"/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S313" s="1" t="str">
        <f>IF(OR($E313="",$F313=""),"",HYPERLINK(IF(OR(JobState="MI",JobState=""),"https://fema.maps.arcgis.com/apps/mapviewer/index.html?webmap=6a1702b9147243d1a5ee62cd614bc681&amp;center="&amp;$F313&amp;","&amp;$E313&amp;"&amp;level=16&amp;marker="&amp;$F313&amp;","&amp;$E313&amp;"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T313" s="5"/>
      <c r="U313" s="5"/>
      <c r="V313" s="5"/>
      <c r="W313" s="5"/>
      <c r="X313" s="5"/>
      <c r="Y313" s="5"/>
      <c r="Z313" s="5"/>
      <c r="AA313" s="5"/>
      <c r="AB313" s="1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</row>
    <row r="314" spans="1:28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5"/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S314" s="1" t="str">
        <f>IF(OR($E314="",$F314=""),"",HYPERLINK(IF(OR(JobState="MI",JobState=""),"https://fema.maps.arcgis.com/apps/mapviewer/index.html?webmap=6a1702b9147243d1a5ee62cd614bc681&amp;center="&amp;$F314&amp;","&amp;$E314&amp;"&amp;level=16&amp;marker="&amp;$F314&amp;","&amp;$E314&amp;"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T314" s="5"/>
      <c r="U314" s="5"/>
      <c r="V314" s="5"/>
      <c r="W314" s="5"/>
      <c r="X314" s="5"/>
      <c r="Y314" s="5"/>
      <c r="Z314" s="5"/>
      <c r="AA314" s="5"/>
      <c r="AB314" s="1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</row>
    <row r="315" spans="1:28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5"/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S315" s="1" t="str">
        <f>IF(OR($E315="",$F315=""),"",HYPERLINK(IF(OR(JobState="MI",JobState=""),"https://fema.maps.arcgis.com/apps/mapviewer/index.html?webmap=6a1702b9147243d1a5ee62cd614bc681&amp;center="&amp;$F315&amp;","&amp;$E315&amp;"&amp;level=16&amp;marker="&amp;$F315&amp;","&amp;$E315&amp;"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T315" s="5"/>
      <c r="U315" s="5"/>
      <c r="V315" s="5"/>
      <c r="W315" s="5"/>
      <c r="X315" s="5"/>
      <c r="Y315" s="5"/>
      <c r="Z315" s="5"/>
      <c r="AA315" s="5"/>
      <c r="AB315" s="1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</row>
    <row r="316" spans="1:28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5"/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S316" s="1" t="str">
        <f>IF(OR($E316="",$F316=""),"",HYPERLINK(IF(OR(JobState="MI",JobState=""),"https://fema.maps.arcgis.com/apps/mapviewer/index.html?webmap=6a1702b9147243d1a5ee62cd614bc681&amp;center="&amp;$F316&amp;","&amp;$E316&amp;"&amp;level=16&amp;marker="&amp;$F316&amp;","&amp;$E316&amp;"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T316" s="5"/>
      <c r="U316" s="5"/>
      <c r="V316" s="5"/>
      <c r="W316" s="5"/>
      <c r="X316" s="5"/>
      <c r="Y316" s="5"/>
      <c r="Z316" s="5"/>
      <c r="AA316" s="5"/>
      <c r="AB316" s="1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</row>
    <row r="317" spans="1:28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5"/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S317" s="1" t="str">
        <f>IF(OR($E317="",$F317=""),"",HYPERLINK(IF(OR(JobState="MI",JobState=""),"https://fema.maps.arcgis.com/apps/mapviewer/index.html?webmap=6a1702b9147243d1a5ee62cd614bc681&amp;center="&amp;$F317&amp;","&amp;$E317&amp;"&amp;level=16&amp;marker="&amp;$F317&amp;","&amp;$E317&amp;"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T317" s="5"/>
      <c r="U317" s="5"/>
      <c r="V317" s="5"/>
      <c r="W317" s="5"/>
      <c r="X317" s="5"/>
      <c r="Y317" s="5"/>
      <c r="Z317" s="5"/>
      <c r="AA317" s="5"/>
      <c r="AB317" s="1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</row>
    <row r="318" spans="1:28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5"/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S318" s="1" t="str">
        <f>IF(OR($E318="",$F318=""),"",HYPERLINK(IF(OR(JobState="MI",JobState=""),"https://fema.maps.arcgis.com/apps/mapviewer/index.html?webmap=6a1702b9147243d1a5ee62cd614bc681&amp;center="&amp;$F318&amp;","&amp;$E318&amp;"&amp;level=16&amp;marker="&amp;$F318&amp;","&amp;$E318&amp;"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T318" s="5"/>
      <c r="U318" s="5"/>
      <c r="V318" s="5"/>
      <c r="W318" s="5"/>
      <c r="X318" s="5"/>
      <c r="Y318" s="5"/>
      <c r="Z318" s="5"/>
      <c r="AA318" s="5"/>
      <c r="AB318" s="1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</row>
    <row r="319" spans="1:28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5"/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S319" s="1" t="str">
        <f>IF(OR($E319="",$F319=""),"",HYPERLINK(IF(OR(JobState="MI",JobState=""),"https://fema.maps.arcgis.com/apps/mapviewer/index.html?webmap=6a1702b9147243d1a5ee62cd614bc681&amp;center="&amp;$F319&amp;","&amp;$E319&amp;"&amp;level=16&amp;marker="&amp;$F319&amp;","&amp;$E319&amp;"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T319" s="5"/>
      <c r="U319" s="5"/>
      <c r="V319" s="5"/>
      <c r="W319" s="5"/>
      <c r="X319" s="5"/>
      <c r="Y319" s="5"/>
      <c r="Z319" s="5"/>
      <c r="AA319" s="5"/>
      <c r="AB319" s="1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</row>
    <row r="320" spans="1:28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5"/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S320" s="1" t="str">
        <f>IF(OR($E320="",$F320=""),"",HYPERLINK(IF(OR(JobState="MI",JobState=""),"https://fema.maps.arcgis.com/apps/mapviewer/index.html?webmap=6a1702b9147243d1a5ee62cd614bc681&amp;center="&amp;$F320&amp;","&amp;$E320&amp;"&amp;level=16&amp;marker="&amp;$F320&amp;","&amp;$E320&amp;"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T320" s="5"/>
      <c r="U320" s="5"/>
      <c r="V320" s="5"/>
      <c r="W320" s="5"/>
      <c r="X320" s="5"/>
      <c r="Y320" s="5"/>
      <c r="Z320" s="5"/>
      <c r="AA320" s="5"/>
      <c r="AB320" s="1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</row>
    <row r="321" spans="1:28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5"/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S321" s="1" t="str">
        <f>IF(OR($E321="",$F321=""),"",HYPERLINK(IF(OR(JobState="MI",JobState=""),"https://fema.maps.arcgis.com/apps/mapviewer/index.html?webmap=6a1702b9147243d1a5ee62cd614bc681&amp;center="&amp;$F321&amp;","&amp;$E321&amp;"&amp;level=16&amp;marker="&amp;$F321&amp;","&amp;$E321&amp;"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T321" s="5"/>
      <c r="U321" s="5"/>
      <c r="V321" s="5"/>
      <c r="W321" s="5"/>
      <c r="X321" s="5"/>
      <c r="Y321" s="5"/>
      <c r="Z321" s="5"/>
      <c r="AA321" s="5"/>
      <c r="AB321" s="1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</row>
    <row r="322" spans="1:28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5"/>
      <c r="M322" s="1" t="str">
        <f t="shared" si="24"/>
        <v/>
      </c>
      <c r="N322" s="1" t="str">
        <f t="shared" si="25"/>
        <v/>
      </c>
      <c r="O322" s="1" t="str">
        <f t="shared" si="26"/>
        <v/>
      </c>
      <c r="P322" s="1" t="str">
        <f t="shared" si="27"/>
        <v/>
      </c>
      <c r="Q322" s="1" t="str">
        <f t="shared" si="28"/>
        <v/>
      </c>
      <c r="R322" s="1" t="str">
        <f t="shared" si="29"/>
        <v/>
      </c>
      <c r="S322" s="1" t="str">
        <f>IF(OR($E322="",$F322=""),"",HYPERLINK(IF(OR(JobState="MI",JobState=""),"https://fema.maps.arcgis.com/apps/mapviewer/index.html?webmap=6a1702b9147243d1a5ee62cd614bc681&amp;center="&amp;$F322&amp;","&amp;$E322&amp;"&amp;level=16&amp;marker="&amp;$F322&amp;","&amp;$E322&amp;"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T322" s="5"/>
      <c r="U322" s="5"/>
      <c r="V322" s="5"/>
      <c r="W322" s="5"/>
      <c r="X322" s="5"/>
      <c r="Y322" s="5"/>
      <c r="Z322" s="5"/>
      <c r="AA322" s="5"/>
      <c r="AB322" s="1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</row>
    <row r="323" spans="1:28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5"/>
      <c r="M323" s="1" t="str">
        <f t="shared" ref="M323:M386" si="30">IF(OR($E323="",$F323=""),"",HYPERLINK("https://www.google.com/maps?q="&amp;$E323&amp;","&amp;$F323&amp;"","Map"))</f>
        <v/>
      </c>
      <c r="N323" s="1" t="str">
        <f t="shared" ref="N323:N386" si="31">IF(OR($E323="",$F323=""),"",HYPERLINK("https://www.google.com/maps?q&amp;layer=c&amp;cbll="&amp;$E323&amp;","&amp;$F323&amp;"","Street"))</f>
        <v/>
      </c>
      <c r="O323" s="1" t="str">
        <f t="shared" ref="O323:O386" si="32">IF(OR($E323="",$F323=""),"",HYPERLINK("https://www.bing.com/maps?cp="&amp;$E323&amp;"~"&amp;$F323&amp;"&amp;lvl=18&amp;style=h","Bing"))</f>
        <v/>
      </c>
      <c r="P323" s="1" t="str">
        <f t="shared" ref="P323:P386" si="33">IF(OR($E323="",$F323=""),"",HYPERLINK("https://earth.google.com/web/search/"&amp;$E323&amp;","&amp;$F323&amp;"","Earth"))</f>
        <v/>
      </c>
      <c r="Q323" s="1" t="str">
        <f t="shared" ref="Q323:Q386" si="34">IF(OR($E323="",$F323=""),"",HYPERLINK("https://fema.maps.arcgis.com/apps/mapviewer/index.html?find="&amp;$F323&amp;"%2C"&amp;$E323&amp;"&amp;marker="&amp;$F323&amp;","&amp;$E323&amp;",4326&amp;level=16","FEMA"))</f>
        <v/>
      </c>
      <c r="R323" s="1" t="str">
        <f t="shared" ref="R323:R386" si="35">IF(OR($E323="",$F323=""),"",HYPERLINK("https://msc.fema.gov/portal/firmette?latitude="&amp;$E323&amp;"&amp;longitude="&amp;$F323&amp;"","FIRMette"))</f>
        <v/>
      </c>
      <c r="S323" s="1" t="str">
        <f>IF(OR($E323="",$F323=""),"",HYPERLINK(IF(OR(JobState="MI",JobState=""),"https://fema.maps.arcgis.com/apps/mapviewer/index.html?webmap=6a1702b9147243d1a5ee62cd614bc681&amp;center="&amp;$F323&amp;","&amp;$E323&amp;"&amp;level=16&amp;marker="&amp;$F323&amp;","&amp;$E323&amp;"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T323" s="5"/>
      <c r="U323" s="5"/>
      <c r="V323" s="5"/>
      <c r="W323" s="5"/>
      <c r="X323" s="5"/>
      <c r="Y323" s="5"/>
      <c r="Z323" s="5"/>
      <c r="AA323" s="5"/>
      <c r="AB323" s="1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</row>
    <row r="324" spans="1:28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5"/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S324" s="1" t="str">
        <f>IF(OR($E324="",$F324=""),"",HYPERLINK(IF(OR(JobState="MI",JobState=""),"https://fema.maps.arcgis.com/apps/mapviewer/index.html?webmap=6a1702b9147243d1a5ee62cd614bc681&amp;center="&amp;$F324&amp;","&amp;$E324&amp;"&amp;level=16&amp;marker="&amp;$F324&amp;","&amp;$E324&amp;"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T324" s="5"/>
      <c r="U324" s="5"/>
      <c r="V324" s="5"/>
      <c r="W324" s="5"/>
      <c r="X324" s="5"/>
      <c r="Y324" s="5"/>
      <c r="Z324" s="5"/>
      <c r="AA324" s="5"/>
      <c r="AB324" s="1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</row>
    <row r="325" spans="1:28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5"/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S325" s="1" t="str">
        <f>IF(OR($E325="",$F325=""),"",HYPERLINK(IF(OR(JobState="MI",JobState=""),"https://fema.maps.arcgis.com/apps/mapviewer/index.html?webmap=6a1702b9147243d1a5ee62cd614bc681&amp;center="&amp;$F325&amp;","&amp;$E325&amp;"&amp;level=16&amp;marker="&amp;$F325&amp;","&amp;$E325&amp;"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T325" s="5"/>
      <c r="U325" s="5"/>
      <c r="V325" s="5"/>
      <c r="W325" s="5"/>
      <c r="X325" s="5"/>
      <c r="Y325" s="5"/>
      <c r="Z325" s="5"/>
      <c r="AA325" s="5"/>
      <c r="AB325" s="1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</row>
    <row r="326" spans="1:28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5"/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S326" s="1" t="str">
        <f>IF(OR($E326="",$F326=""),"",HYPERLINK(IF(OR(JobState="MI",JobState=""),"https://fema.maps.arcgis.com/apps/mapviewer/index.html?webmap=6a1702b9147243d1a5ee62cd614bc681&amp;center="&amp;$F326&amp;","&amp;$E326&amp;"&amp;level=16&amp;marker="&amp;$F326&amp;","&amp;$E326&amp;"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T326" s="5"/>
      <c r="U326" s="5"/>
      <c r="V326" s="5"/>
      <c r="W326" s="5"/>
      <c r="X326" s="5"/>
      <c r="Y326" s="5"/>
      <c r="Z326" s="5"/>
      <c r="AA326" s="5"/>
      <c r="AB326" s="1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</row>
    <row r="327" spans="1:28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5"/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S327" s="1" t="str">
        <f>IF(OR($E327="",$F327=""),"",HYPERLINK(IF(OR(JobState="MI",JobState=""),"https://fema.maps.arcgis.com/apps/mapviewer/index.html?webmap=6a1702b9147243d1a5ee62cd614bc681&amp;center="&amp;$F327&amp;","&amp;$E327&amp;"&amp;level=16&amp;marker="&amp;$F327&amp;","&amp;$E327&amp;"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T327" s="5"/>
      <c r="U327" s="5"/>
      <c r="V327" s="5"/>
      <c r="W327" s="5"/>
      <c r="X327" s="5"/>
      <c r="Y327" s="5"/>
      <c r="Z327" s="5"/>
      <c r="AA327" s="5"/>
      <c r="AB327" s="1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</row>
    <row r="328" spans="1:28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5"/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S328" s="1" t="str">
        <f>IF(OR($E328="",$F328=""),"",HYPERLINK(IF(OR(JobState="MI",JobState=""),"https://fema.maps.arcgis.com/apps/mapviewer/index.html?webmap=6a1702b9147243d1a5ee62cd614bc681&amp;center="&amp;$F328&amp;","&amp;$E328&amp;"&amp;level=16&amp;marker="&amp;$F328&amp;","&amp;$E328&amp;"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T328" s="5"/>
      <c r="U328" s="5"/>
      <c r="V328" s="5"/>
      <c r="W328" s="5"/>
      <c r="X328" s="5"/>
      <c r="Y328" s="5"/>
      <c r="Z328" s="5"/>
      <c r="AA328" s="5"/>
      <c r="AB328" s="1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</row>
    <row r="329" spans="1:28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5"/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S329" s="1" t="str">
        <f>IF(OR($E329="",$F329=""),"",HYPERLINK(IF(OR(JobState="MI",JobState=""),"https://fema.maps.arcgis.com/apps/mapviewer/index.html?webmap=6a1702b9147243d1a5ee62cd614bc681&amp;center="&amp;$F329&amp;","&amp;$E329&amp;"&amp;level=16&amp;marker="&amp;$F329&amp;","&amp;$E329&amp;"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T329" s="5"/>
      <c r="U329" s="5"/>
      <c r="V329" s="5"/>
      <c r="W329" s="5"/>
      <c r="X329" s="5"/>
      <c r="Y329" s="5"/>
      <c r="Z329" s="5"/>
      <c r="AA329" s="5"/>
      <c r="AB329" s="1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</row>
    <row r="330" spans="1:28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5"/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S330" s="1" t="str">
        <f>IF(OR($E330="",$F330=""),"",HYPERLINK(IF(OR(JobState="MI",JobState=""),"https://fema.maps.arcgis.com/apps/mapviewer/index.html?webmap=6a1702b9147243d1a5ee62cd614bc681&amp;center="&amp;$F330&amp;","&amp;$E330&amp;"&amp;level=16&amp;marker="&amp;$F330&amp;","&amp;$E330&amp;"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T330" s="5"/>
      <c r="U330" s="5"/>
      <c r="V330" s="5"/>
      <c r="W330" s="5"/>
      <c r="X330" s="5"/>
      <c r="Y330" s="5"/>
      <c r="Z330" s="5"/>
      <c r="AA330" s="5"/>
      <c r="AB330" s="1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</row>
    <row r="331" spans="1:28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5"/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S331" s="1" t="str">
        <f>IF(OR($E331="",$F331=""),"",HYPERLINK(IF(OR(JobState="MI",JobState=""),"https://fema.maps.arcgis.com/apps/mapviewer/index.html?webmap=6a1702b9147243d1a5ee62cd614bc681&amp;center="&amp;$F331&amp;","&amp;$E331&amp;"&amp;level=16&amp;marker="&amp;$F331&amp;","&amp;$E331&amp;"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T331" s="5"/>
      <c r="U331" s="5"/>
      <c r="V331" s="5"/>
      <c r="W331" s="5"/>
      <c r="X331" s="5"/>
      <c r="Y331" s="5"/>
      <c r="Z331" s="5"/>
      <c r="AA331" s="5"/>
      <c r="AB331" s="1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</row>
    <row r="332" spans="1:28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5"/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S332" s="1" t="str">
        <f>IF(OR($E332="",$F332=""),"",HYPERLINK(IF(OR(JobState="MI",JobState=""),"https://fema.maps.arcgis.com/apps/mapviewer/index.html?webmap=6a1702b9147243d1a5ee62cd614bc681&amp;center="&amp;$F332&amp;","&amp;$E332&amp;"&amp;level=16&amp;marker="&amp;$F332&amp;","&amp;$E332&amp;"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T332" s="5"/>
      <c r="U332" s="5"/>
      <c r="V332" s="5"/>
      <c r="W332" s="5"/>
      <c r="X332" s="5"/>
      <c r="Y332" s="5"/>
      <c r="Z332" s="5"/>
      <c r="AA332" s="5"/>
      <c r="AB332" s="1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</row>
    <row r="333" spans="1:28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5"/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S333" s="1" t="str">
        <f>IF(OR($E333="",$F333=""),"",HYPERLINK(IF(OR(JobState="MI",JobState=""),"https://fema.maps.arcgis.com/apps/mapviewer/index.html?webmap=6a1702b9147243d1a5ee62cd614bc681&amp;center="&amp;$F333&amp;","&amp;$E333&amp;"&amp;level=16&amp;marker="&amp;$F333&amp;","&amp;$E333&amp;"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T333" s="5"/>
      <c r="U333" s="5"/>
      <c r="V333" s="5"/>
      <c r="W333" s="5"/>
      <c r="X333" s="5"/>
      <c r="Y333" s="5"/>
      <c r="Z333" s="5"/>
      <c r="AA333" s="5"/>
      <c r="AB333" s="1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</row>
    <row r="334" spans="1:28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5"/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S334" s="1" t="str">
        <f>IF(OR($E334="",$F334=""),"",HYPERLINK(IF(OR(JobState="MI",JobState=""),"https://fema.maps.arcgis.com/apps/mapviewer/index.html?webmap=6a1702b9147243d1a5ee62cd614bc681&amp;center="&amp;$F334&amp;","&amp;$E334&amp;"&amp;level=16&amp;marker="&amp;$F334&amp;","&amp;$E334&amp;"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T334" s="5"/>
      <c r="U334" s="5"/>
      <c r="V334" s="5"/>
      <c r="W334" s="5"/>
      <c r="X334" s="5"/>
      <c r="Y334" s="5"/>
      <c r="Z334" s="5"/>
      <c r="AA334" s="5"/>
      <c r="AB334" s="1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</row>
    <row r="335" spans="1:28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5"/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S335" s="1" t="str">
        <f>IF(OR($E335="",$F335=""),"",HYPERLINK(IF(OR(JobState="MI",JobState=""),"https://fema.maps.arcgis.com/apps/mapviewer/index.html?webmap=6a1702b9147243d1a5ee62cd614bc681&amp;center="&amp;$F335&amp;","&amp;$E335&amp;"&amp;level=16&amp;marker="&amp;$F335&amp;","&amp;$E335&amp;"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T335" s="5"/>
      <c r="U335" s="5"/>
      <c r="V335" s="5"/>
      <c r="W335" s="5"/>
      <c r="X335" s="5"/>
      <c r="Y335" s="5"/>
      <c r="Z335" s="5"/>
      <c r="AA335" s="5"/>
      <c r="AB335" s="1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</row>
    <row r="336" spans="1:28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5"/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S336" s="1" t="str">
        <f>IF(OR($E336="",$F336=""),"",HYPERLINK(IF(OR(JobState="MI",JobState=""),"https://fema.maps.arcgis.com/apps/mapviewer/index.html?webmap=6a1702b9147243d1a5ee62cd614bc681&amp;center="&amp;$F336&amp;","&amp;$E336&amp;"&amp;level=16&amp;marker="&amp;$F336&amp;","&amp;$E336&amp;"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T336" s="5"/>
      <c r="U336" s="5"/>
      <c r="V336" s="5"/>
      <c r="W336" s="5"/>
      <c r="X336" s="5"/>
      <c r="Y336" s="5"/>
      <c r="Z336" s="5"/>
      <c r="AA336" s="5"/>
      <c r="AB336" s="1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</row>
    <row r="337" spans="1:28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5"/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S337" s="1" t="str">
        <f>IF(OR($E337="",$F337=""),"",HYPERLINK(IF(OR(JobState="MI",JobState=""),"https://fema.maps.arcgis.com/apps/mapviewer/index.html?webmap=6a1702b9147243d1a5ee62cd614bc681&amp;center="&amp;$F337&amp;","&amp;$E337&amp;"&amp;level=16&amp;marker="&amp;$F337&amp;","&amp;$E337&amp;"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T337" s="5"/>
      <c r="U337" s="5"/>
      <c r="V337" s="5"/>
      <c r="W337" s="5"/>
      <c r="X337" s="5"/>
      <c r="Y337" s="5"/>
      <c r="Z337" s="5"/>
      <c r="AA337" s="5"/>
      <c r="AB337" s="1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</row>
    <row r="338" spans="1:28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5"/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S338" s="1" t="str">
        <f>IF(OR($E338="",$F338=""),"",HYPERLINK(IF(OR(JobState="MI",JobState=""),"https://fema.maps.arcgis.com/apps/mapviewer/index.html?webmap=6a1702b9147243d1a5ee62cd614bc681&amp;center="&amp;$F338&amp;","&amp;$E338&amp;"&amp;level=16&amp;marker="&amp;$F338&amp;","&amp;$E338&amp;"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T338" s="5"/>
      <c r="U338" s="5"/>
      <c r="V338" s="5"/>
      <c r="W338" s="5"/>
      <c r="X338" s="5"/>
      <c r="Y338" s="5"/>
      <c r="Z338" s="5"/>
      <c r="AA338" s="5"/>
      <c r="AB338" s="1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</row>
    <row r="339" spans="1:28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5"/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S339" s="1" t="str">
        <f>IF(OR($E339="",$F339=""),"",HYPERLINK(IF(OR(JobState="MI",JobState=""),"https://fema.maps.arcgis.com/apps/mapviewer/index.html?webmap=6a1702b9147243d1a5ee62cd614bc681&amp;center="&amp;$F339&amp;","&amp;$E339&amp;"&amp;level=16&amp;marker="&amp;$F339&amp;","&amp;$E339&amp;"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T339" s="5"/>
      <c r="U339" s="5"/>
      <c r="V339" s="5"/>
      <c r="W339" s="5"/>
      <c r="X339" s="5"/>
      <c r="Y339" s="5"/>
      <c r="Z339" s="5"/>
      <c r="AA339" s="5"/>
      <c r="AB339" s="1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</row>
    <row r="340" spans="1:28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5"/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S340" s="1" t="str">
        <f>IF(OR($E340="",$F340=""),"",HYPERLINK(IF(OR(JobState="MI",JobState=""),"https://fema.maps.arcgis.com/apps/mapviewer/index.html?webmap=6a1702b9147243d1a5ee62cd614bc681&amp;center="&amp;$F340&amp;","&amp;$E340&amp;"&amp;level=16&amp;marker="&amp;$F340&amp;","&amp;$E340&amp;"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T340" s="5"/>
      <c r="U340" s="5"/>
      <c r="V340" s="5"/>
      <c r="W340" s="5"/>
      <c r="X340" s="5"/>
      <c r="Y340" s="5"/>
      <c r="Z340" s="5"/>
      <c r="AA340" s="5"/>
      <c r="AB340" s="1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</row>
    <row r="341" spans="1:28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5"/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S341" s="1" t="str">
        <f>IF(OR($E341="",$F341=""),"",HYPERLINK(IF(OR(JobState="MI",JobState=""),"https://fema.maps.arcgis.com/apps/mapviewer/index.html?webmap=6a1702b9147243d1a5ee62cd614bc681&amp;center="&amp;$F341&amp;","&amp;$E341&amp;"&amp;level=16&amp;marker="&amp;$F341&amp;","&amp;$E341&amp;"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T341" s="5"/>
      <c r="U341" s="5"/>
      <c r="V341" s="5"/>
      <c r="W341" s="5"/>
      <c r="X341" s="5"/>
      <c r="Y341" s="5"/>
      <c r="Z341" s="5"/>
      <c r="AA341" s="5"/>
      <c r="AB341" s="1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</row>
    <row r="342" spans="1:28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5"/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S342" s="1" t="str">
        <f>IF(OR($E342="",$F342=""),"",HYPERLINK(IF(OR(JobState="MI",JobState=""),"https://fema.maps.arcgis.com/apps/mapviewer/index.html?webmap=6a1702b9147243d1a5ee62cd614bc681&amp;center="&amp;$F342&amp;","&amp;$E342&amp;"&amp;level=16&amp;marker="&amp;$F342&amp;","&amp;$E342&amp;"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T342" s="5"/>
      <c r="U342" s="5"/>
      <c r="V342" s="5"/>
      <c r="W342" s="5"/>
      <c r="X342" s="5"/>
      <c r="Y342" s="5"/>
      <c r="Z342" s="5"/>
      <c r="AA342" s="5"/>
      <c r="AB342" s="1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</row>
    <row r="343" spans="1:28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5"/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S343" s="1" t="str">
        <f>IF(OR($E343="",$F343=""),"",HYPERLINK(IF(OR(JobState="MI",JobState=""),"https://fema.maps.arcgis.com/apps/mapviewer/index.html?webmap=6a1702b9147243d1a5ee62cd614bc681&amp;center="&amp;$F343&amp;","&amp;$E343&amp;"&amp;level=16&amp;marker="&amp;$F343&amp;","&amp;$E343&amp;"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T343" s="5"/>
      <c r="U343" s="5"/>
      <c r="V343" s="5"/>
      <c r="W343" s="5"/>
      <c r="X343" s="5"/>
      <c r="Y343" s="5"/>
      <c r="Z343" s="5"/>
      <c r="AA343" s="5"/>
      <c r="AB343" s="1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</row>
    <row r="344" spans="1:28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5"/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S344" s="1" t="str">
        <f>IF(OR($E344="",$F344=""),"",HYPERLINK(IF(OR(JobState="MI",JobState=""),"https://fema.maps.arcgis.com/apps/mapviewer/index.html?webmap=6a1702b9147243d1a5ee62cd614bc681&amp;center="&amp;$F344&amp;","&amp;$E344&amp;"&amp;level=16&amp;marker="&amp;$F344&amp;","&amp;$E344&amp;"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T344" s="5"/>
      <c r="U344" s="5"/>
      <c r="V344" s="5"/>
      <c r="W344" s="5"/>
      <c r="X344" s="5"/>
      <c r="Y344" s="5"/>
      <c r="Z344" s="5"/>
      <c r="AA344" s="5"/>
      <c r="AB344" s="1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</row>
    <row r="345" spans="1:28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5"/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S345" s="1" t="str">
        <f>IF(OR($E345="",$F345=""),"",HYPERLINK(IF(OR(JobState="MI",JobState=""),"https://fema.maps.arcgis.com/apps/mapviewer/index.html?webmap=6a1702b9147243d1a5ee62cd614bc681&amp;center="&amp;$F345&amp;","&amp;$E345&amp;"&amp;level=16&amp;marker="&amp;$F345&amp;","&amp;$E345&amp;"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T345" s="5"/>
      <c r="U345" s="5"/>
      <c r="V345" s="5"/>
      <c r="W345" s="5"/>
      <c r="X345" s="5"/>
      <c r="Y345" s="5"/>
      <c r="Z345" s="5"/>
      <c r="AA345" s="5"/>
      <c r="AB345" s="1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</row>
    <row r="346" spans="1:28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5"/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S346" s="1" t="str">
        <f>IF(OR($E346="",$F346=""),"",HYPERLINK(IF(OR(JobState="MI",JobState=""),"https://fema.maps.arcgis.com/apps/mapviewer/index.html?webmap=6a1702b9147243d1a5ee62cd614bc681&amp;center="&amp;$F346&amp;","&amp;$E346&amp;"&amp;level=16&amp;marker="&amp;$F346&amp;","&amp;$E346&amp;"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T346" s="5"/>
      <c r="U346" s="5"/>
      <c r="V346" s="5"/>
      <c r="W346" s="5"/>
      <c r="X346" s="5"/>
      <c r="Y346" s="5"/>
      <c r="Z346" s="5"/>
      <c r="AA346" s="5"/>
      <c r="AB346" s="1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</row>
    <row r="347" spans="1:28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5"/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S347" s="1" t="str">
        <f>IF(OR($E347="",$F347=""),"",HYPERLINK(IF(OR(JobState="MI",JobState=""),"https://fema.maps.arcgis.com/apps/mapviewer/index.html?webmap=6a1702b9147243d1a5ee62cd614bc681&amp;center="&amp;$F347&amp;","&amp;$E347&amp;"&amp;level=16&amp;marker="&amp;$F347&amp;","&amp;$E347&amp;"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T347" s="5"/>
      <c r="U347" s="5"/>
      <c r="V347" s="5"/>
      <c r="W347" s="5"/>
      <c r="X347" s="5"/>
      <c r="Y347" s="5"/>
      <c r="Z347" s="5"/>
      <c r="AA347" s="5"/>
      <c r="AB347" s="1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</row>
    <row r="348" spans="1:28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5"/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S348" s="1" t="str">
        <f>IF(OR($E348="",$F348=""),"",HYPERLINK(IF(OR(JobState="MI",JobState=""),"https://fema.maps.arcgis.com/apps/mapviewer/index.html?webmap=6a1702b9147243d1a5ee62cd614bc681&amp;center="&amp;$F348&amp;","&amp;$E348&amp;"&amp;level=16&amp;marker="&amp;$F348&amp;","&amp;$E348&amp;"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T348" s="5"/>
      <c r="U348" s="5"/>
      <c r="V348" s="5"/>
      <c r="W348" s="5"/>
      <c r="X348" s="5"/>
      <c r="Y348" s="5"/>
      <c r="Z348" s="5"/>
      <c r="AA348" s="5"/>
      <c r="AB348" s="1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</row>
    <row r="349" spans="1:28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5"/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S349" s="1" t="str">
        <f>IF(OR($E349="",$F349=""),"",HYPERLINK(IF(OR(JobState="MI",JobState=""),"https://fema.maps.arcgis.com/apps/mapviewer/index.html?webmap=6a1702b9147243d1a5ee62cd614bc681&amp;center="&amp;$F349&amp;","&amp;$E349&amp;"&amp;level=16&amp;marker="&amp;$F349&amp;","&amp;$E349&amp;"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T349" s="5"/>
      <c r="U349" s="5"/>
      <c r="V349" s="5"/>
      <c r="W349" s="5"/>
      <c r="X349" s="5"/>
      <c r="Y349" s="5"/>
      <c r="Z349" s="5"/>
      <c r="AA349" s="5"/>
      <c r="AB349" s="1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</row>
    <row r="350" spans="1:28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5"/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S350" s="1" t="str">
        <f>IF(OR($E350="",$F350=""),"",HYPERLINK(IF(OR(JobState="MI",JobState=""),"https://fema.maps.arcgis.com/apps/mapviewer/index.html?webmap=6a1702b9147243d1a5ee62cd614bc681&amp;center="&amp;$F350&amp;","&amp;$E350&amp;"&amp;level=16&amp;marker="&amp;$F350&amp;","&amp;$E350&amp;"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T350" s="5"/>
      <c r="U350" s="5"/>
      <c r="V350" s="5"/>
      <c r="W350" s="5"/>
      <c r="X350" s="5"/>
      <c r="Y350" s="5"/>
      <c r="Z350" s="5"/>
      <c r="AA350" s="5"/>
      <c r="AB350" s="1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</row>
    <row r="351" spans="1:28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5"/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S351" s="1" t="str">
        <f>IF(OR($E351="",$F351=""),"",HYPERLINK(IF(OR(JobState="MI",JobState=""),"https://fema.maps.arcgis.com/apps/mapviewer/index.html?webmap=6a1702b9147243d1a5ee62cd614bc681&amp;center="&amp;$F351&amp;","&amp;$E351&amp;"&amp;level=16&amp;marker="&amp;$F351&amp;","&amp;$E351&amp;"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T351" s="5"/>
      <c r="U351" s="5"/>
      <c r="V351" s="5"/>
      <c r="W351" s="5"/>
      <c r="X351" s="5"/>
      <c r="Y351" s="5"/>
      <c r="Z351" s="5"/>
      <c r="AA351" s="5"/>
      <c r="AB351" s="1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</row>
    <row r="352" spans="1:28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5"/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S352" s="1" t="str">
        <f>IF(OR($E352="",$F352=""),"",HYPERLINK(IF(OR(JobState="MI",JobState=""),"https://fema.maps.arcgis.com/apps/mapviewer/index.html?webmap=6a1702b9147243d1a5ee62cd614bc681&amp;center="&amp;$F352&amp;","&amp;$E352&amp;"&amp;level=16&amp;marker="&amp;$F352&amp;","&amp;$E352&amp;"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T352" s="5"/>
      <c r="U352" s="5"/>
      <c r="V352" s="5"/>
      <c r="W352" s="5"/>
      <c r="X352" s="5"/>
      <c r="Y352" s="5"/>
      <c r="Z352" s="5"/>
      <c r="AA352" s="5"/>
      <c r="AB352" s="1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</row>
    <row r="353" spans="1:28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5"/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S353" s="1" t="str">
        <f>IF(OR($E353="",$F353=""),"",HYPERLINK(IF(OR(JobState="MI",JobState=""),"https://fema.maps.arcgis.com/apps/mapviewer/index.html?webmap=6a1702b9147243d1a5ee62cd614bc681&amp;center="&amp;$F353&amp;","&amp;$E353&amp;"&amp;level=16&amp;marker="&amp;$F353&amp;","&amp;$E353&amp;"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T353" s="5"/>
      <c r="U353" s="5"/>
      <c r="V353" s="5"/>
      <c r="W353" s="5"/>
      <c r="X353" s="5"/>
      <c r="Y353" s="5"/>
      <c r="Z353" s="5"/>
      <c r="AA353" s="5"/>
      <c r="AB353" s="1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</row>
    <row r="354" spans="1:28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5"/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S354" s="1" t="str">
        <f>IF(OR($E354="",$F354=""),"",HYPERLINK(IF(OR(JobState="MI",JobState=""),"https://fema.maps.arcgis.com/apps/mapviewer/index.html?webmap=6a1702b9147243d1a5ee62cd614bc681&amp;center="&amp;$F354&amp;","&amp;$E354&amp;"&amp;level=16&amp;marker="&amp;$F354&amp;","&amp;$E354&amp;"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T354" s="5"/>
      <c r="U354" s="5"/>
      <c r="V354" s="5"/>
      <c r="W354" s="5"/>
      <c r="X354" s="5"/>
      <c r="Y354" s="5"/>
      <c r="Z354" s="5"/>
      <c r="AA354" s="5"/>
      <c r="AB354" s="1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</row>
    <row r="355" spans="1:28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5"/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S355" s="1" t="str">
        <f>IF(OR($E355="",$F355=""),"",HYPERLINK(IF(OR(JobState="MI",JobState=""),"https://fema.maps.arcgis.com/apps/mapviewer/index.html?webmap=6a1702b9147243d1a5ee62cd614bc681&amp;center="&amp;$F355&amp;","&amp;$E355&amp;"&amp;level=16&amp;marker="&amp;$F355&amp;","&amp;$E355&amp;"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T355" s="5"/>
      <c r="U355" s="5"/>
      <c r="V355" s="5"/>
      <c r="W355" s="5"/>
      <c r="X355" s="5"/>
      <c r="Y355" s="5"/>
      <c r="Z355" s="5"/>
      <c r="AA355" s="5"/>
      <c r="AB355" s="1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</row>
    <row r="356" spans="1:28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5"/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S356" s="1" t="str">
        <f>IF(OR($E356="",$F356=""),"",HYPERLINK(IF(OR(JobState="MI",JobState=""),"https://fema.maps.arcgis.com/apps/mapviewer/index.html?webmap=6a1702b9147243d1a5ee62cd614bc681&amp;center="&amp;$F356&amp;","&amp;$E356&amp;"&amp;level=16&amp;marker="&amp;$F356&amp;","&amp;$E356&amp;"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T356" s="5"/>
      <c r="U356" s="5"/>
      <c r="V356" s="5"/>
      <c r="W356" s="5"/>
      <c r="X356" s="5"/>
      <c r="Y356" s="5"/>
      <c r="Z356" s="5"/>
      <c r="AA356" s="5"/>
      <c r="AB356" s="1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</row>
    <row r="357" spans="1:28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5"/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S357" s="1" t="str">
        <f>IF(OR($E357="",$F357=""),"",HYPERLINK(IF(OR(JobState="MI",JobState=""),"https://fema.maps.arcgis.com/apps/mapviewer/index.html?webmap=6a1702b9147243d1a5ee62cd614bc681&amp;center="&amp;$F357&amp;","&amp;$E357&amp;"&amp;level=16&amp;marker="&amp;$F357&amp;","&amp;$E357&amp;"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T357" s="5"/>
      <c r="U357" s="5"/>
      <c r="V357" s="5"/>
      <c r="W357" s="5"/>
      <c r="X357" s="5"/>
      <c r="Y357" s="5"/>
      <c r="Z357" s="5"/>
      <c r="AA357" s="5"/>
      <c r="AB357" s="1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</row>
    <row r="358" spans="1:28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5"/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S358" s="1" t="str">
        <f>IF(OR($E358="",$F358=""),"",HYPERLINK(IF(OR(JobState="MI",JobState=""),"https://fema.maps.arcgis.com/apps/mapviewer/index.html?webmap=6a1702b9147243d1a5ee62cd614bc681&amp;center="&amp;$F358&amp;","&amp;$E358&amp;"&amp;level=16&amp;marker="&amp;$F358&amp;","&amp;$E358&amp;"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T358" s="5"/>
      <c r="U358" s="5"/>
      <c r="V358" s="5"/>
      <c r="W358" s="5"/>
      <c r="X358" s="5"/>
      <c r="Y358" s="5"/>
      <c r="Z358" s="5"/>
      <c r="AA358" s="5"/>
      <c r="AB358" s="1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</row>
    <row r="359" spans="1:28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5"/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S359" s="1" t="str">
        <f>IF(OR($E359="",$F359=""),"",HYPERLINK(IF(OR(JobState="MI",JobState=""),"https://fema.maps.arcgis.com/apps/mapviewer/index.html?webmap=6a1702b9147243d1a5ee62cd614bc681&amp;center="&amp;$F359&amp;","&amp;$E359&amp;"&amp;level=16&amp;marker="&amp;$F359&amp;","&amp;$E359&amp;"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T359" s="5"/>
      <c r="U359" s="5"/>
      <c r="V359" s="5"/>
      <c r="W359" s="5"/>
      <c r="X359" s="5"/>
      <c r="Y359" s="5"/>
      <c r="Z359" s="5"/>
      <c r="AA359" s="5"/>
      <c r="AB359" s="1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</row>
    <row r="360" spans="1:28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5"/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S360" s="1" t="str">
        <f>IF(OR($E360="",$F360=""),"",HYPERLINK(IF(OR(JobState="MI",JobState=""),"https://fema.maps.arcgis.com/apps/mapviewer/index.html?webmap=6a1702b9147243d1a5ee62cd614bc681&amp;center="&amp;$F360&amp;","&amp;$E360&amp;"&amp;level=16&amp;marker="&amp;$F360&amp;","&amp;$E360&amp;"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T360" s="5"/>
      <c r="U360" s="5"/>
      <c r="V360" s="5"/>
      <c r="W360" s="5"/>
      <c r="X360" s="5"/>
      <c r="Y360" s="5"/>
      <c r="Z360" s="5"/>
      <c r="AA360" s="5"/>
      <c r="AB360" s="1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</row>
    <row r="361" spans="1:28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5"/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S361" s="1" t="str">
        <f>IF(OR($E361="",$F361=""),"",HYPERLINK(IF(OR(JobState="MI",JobState=""),"https://fema.maps.arcgis.com/apps/mapviewer/index.html?webmap=6a1702b9147243d1a5ee62cd614bc681&amp;center="&amp;$F361&amp;","&amp;$E361&amp;"&amp;level=16&amp;marker="&amp;$F361&amp;","&amp;$E361&amp;"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T361" s="5"/>
      <c r="U361" s="5"/>
      <c r="V361" s="5"/>
      <c r="W361" s="5"/>
      <c r="X361" s="5"/>
      <c r="Y361" s="5"/>
      <c r="Z361" s="5"/>
      <c r="AA361" s="5"/>
      <c r="AB361" s="1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</row>
    <row r="362" spans="1:28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5"/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S362" s="1" t="str">
        <f>IF(OR($E362="",$F362=""),"",HYPERLINK(IF(OR(JobState="MI",JobState=""),"https://fema.maps.arcgis.com/apps/mapviewer/index.html?webmap=6a1702b9147243d1a5ee62cd614bc681&amp;center="&amp;$F362&amp;","&amp;$E362&amp;"&amp;level=16&amp;marker="&amp;$F362&amp;","&amp;$E362&amp;"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T362" s="5"/>
      <c r="U362" s="5"/>
      <c r="V362" s="5"/>
      <c r="W362" s="5"/>
      <c r="X362" s="5"/>
      <c r="Y362" s="5"/>
      <c r="Z362" s="5"/>
      <c r="AA362" s="5"/>
      <c r="AB362" s="1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</row>
    <row r="363" spans="1:28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5"/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S363" s="1" t="str">
        <f>IF(OR($E363="",$F363=""),"",HYPERLINK(IF(OR(JobState="MI",JobState=""),"https://fema.maps.arcgis.com/apps/mapviewer/index.html?webmap=6a1702b9147243d1a5ee62cd614bc681&amp;center="&amp;$F363&amp;","&amp;$E363&amp;"&amp;level=16&amp;marker="&amp;$F363&amp;","&amp;$E363&amp;"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T363" s="5"/>
      <c r="U363" s="5"/>
      <c r="V363" s="5"/>
      <c r="W363" s="5"/>
      <c r="X363" s="5"/>
      <c r="Y363" s="5"/>
      <c r="Z363" s="5"/>
      <c r="AA363" s="5"/>
      <c r="AB363" s="1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</row>
    <row r="364" spans="1:28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5"/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S364" s="1" t="str">
        <f>IF(OR($E364="",$F364=""),"",HYPERLINK(IF(OR(JobState="MI",JobState=""),"https://fema.maps.arcgis.com/apps/mapviewer/index.html?webmap=6a1702b9147243d1a5ee62cd614bc681&amp;center="&amp;$F364&amp;","&amp;$E364&amp;"&amp;level=16&amp;marker="&amp;$F364&amp;","&amp;$E364&amp;"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T364" s="5"/>
      <c r="U364" s="5"/>
      <c r="V364" s="5"/>
      <c r="W364" s="5"/>
      <c r="X364" s="5"/>
      <c r="Y364" s="5"/>
      <c r="Z364" s="5"/>
      <c r="AA364" s="5"/>
      <c r="AB364" s="1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</row>
    <row r="365" spans="1:28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5"/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S365" s="1" t="str">
        <f>IF(OR($E365="",$F365=""),"",HYPERLINK(IF(OR(JobState="MI",JobState=""),"https://fema.maps.arcgis.com/apps/mapviewer/index.html?webmap=6a1702b9147243d1a5ee62cd614bc681&amp;center="&amp;$F365&amp;","&amp;$E365&amp;"&amp;level=16&amp;marker="&amp;$F365&amp;","&amp;$E365&amp;"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T365" s="5"/>
      <c r="U365" s="5"/>
      <c r="V365" s="5"/>
      <c r="W365" s="5"/>
      <c r="X365" s="5"/>
      <c r="Y365" s="5"/>
      <c r="Z365" s="5"/>
      <c r="AA365" s="5"/>
      <c r="AB365" s="1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</row>
    <row r="366" spans="1:28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5"/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S366" s="1" t="str">
        <f>IF(OR($E366="",$F366=""),"",HYPERLINK(IF(OR(JobState="MI",JobState=""),"https://fema.maps.arcgis.com/apps/mapviewer/index.html?webmap=6a1702b9147243d1a5ee62cd614bc681&amp;center="&amp;$F366&amp;","&amp;$E366&amp;"&amp;level=16&amp;marker="&amp;$F366&amp;","&amp;$E366&amp;"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T366" s="5"/>
      <c r="U366" s="5"/>
      <c r="V366" s="5"/>
      <c r="W366" s="5"/>
      <c r="X366" s="5"/>
      <c r="Y366" s="5"/>
      <c r="Z366" s="5"/>
      <c r="AA366" s="5"/>
      <c r="AB366" s="1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</row>
    <row r="367" spans="1:28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5"/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S367" s="1" t="str">
        <f>IF(OR($E367="",$F367=""),"",HYPERLINK(IF(OR(JobState="MI",JobState=""),"https://fema.maps.arcgis.com/apps/mapviewer/index.html?webmap=6a1702b9147243d1a5ee62cd614bc681&amp;center="&amp;$F367&amp;","&amp;$E367&amp;"&amp;level=16&amp;marker="&amp;$F367&amp;","&amp;$E367&amp;"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T367" s="5"/>
      <c r="U367" s="5"/>
      <c r="V367" s="5"/>
      <c r="W367" s="5"/>
      <c r="X367" s="5"/>
      <c r="Y367" s="5"/>
      <c r="Z367" s="5"/>
      <c r="AA367" s="5"/>
      <c r="AB367" s="1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</row>
    <row r="368" spans="1:28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5"/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S368" s="1" t="str">
        <f>IF(OR($E368="",$F368=""),"",HYPERLINK(IF(OR(JobState="MI",JobState=""),"https://fema.maps.arcgis.com/apps/mapviewer/index.html?webmap=6a1702b9147243d1a5ee62cd614bc681&amp;center="&amp;$F368&amp;","&amp;$E368&amp;"&amp;level=16&amp;marker="&amp;$F368&amp;","&amp;$E368&amp;"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T368" s="5"/>
      <c r="U368" s="5"/>
      <c r="V368" s="5"/>
      <c r="W368" s="5"/>
      <c r="X368" s="5"/>
      <c r="Y368" s="5"/>
      <c r="Z368" s="5"/>
      <c r="AA368" s="5"/>
      <c r="AB368" s="1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</row>
    <row r="369" spans="1:28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5"/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S369" s="1" t="str">
        <f>IF(OR($E369="",$F369=""),"",HYPERLINK(IF(OR(JobState="MI",JobState=""),"https://fema.maps.arcgis.com/apps/mapviewer/index.html?webmap=6a1702b9147243d1a5ee62cd614bc681&amp;center="&amp;$F369&amp;","&amp;$E369&amp;"&amp;level=16&amp;marker="&amp;$F369&amp;","&amp;$E369&amp;"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T369" s="5"/>
      <c r="U369" s="5"/>
      <c r="V369" s="5"/>
      <c r="W369" s="5"/>
      <c r="X369" s="5"/>
      <c r="Y369" s="5"/>
      <c r="Z369" s="5"/>
      <c r="AA369" s="5"/>
      <c r="AB369" s="1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</row>
    <row r="370" spans="1:28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5"/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S370" s="1" t="str">
        <f>IF(OR($E370="",$F370=""),"",HYPERLINK(IF(OR(JobState="MI",JobState=""),"https://fema.maps.arcgis.com/apps/mapviewer/index.html?webmap=6a1702b9147243d1a5ee62cd614bc681&amp;center="&amp;$F370&amp;","&amp;$E370&amp;"&amp;level=16&amp;marker="&amp;$F370&amp;","&amp;$E370&amp;"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T370" s="5"/>
      <c r="U370" s="5"/>
      <c r="V370" s="5"/>
      <c r="W370" s="5"/>
      <c r="X370" s="5"/>
      <c r="Y370" s="5"/>
      <c r="Z370" s="5"/>
      <c r="AA370" s="5"/>
      <c r="AB370" s="1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</row>
    <row r="371" spans="1:28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5"/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S371" s="1" t="str">
        <f>IF(OR($E371="",$F371=""),"",HYPERLINK(IF(OR(JobState="MI",JobState=""),"https://fema.maps.arcgis.com/apps/mapviewer/index.html?webmap=6a1702b9147243d1a5ee62cd614bc681&amp;center="&amp;$F371&amp;","&amp;$E371&amp;"&amp;level=16&amp;marker="&amp;$F371&amp;","&amp;$E371&amp;"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T371" s="5"/>
      <c r="U371" s="5"/>
      <c r="V371" s="5"/>
      <c r="W371" s="5"/>
      <c r="X371" s="5"/>
      <c r="Y371" s="5"/>
      <c r="Z371" s="5"/>
      <c r="AA371" s="5"/>
      <c r="AB371" s="1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</row>
    <row r="372" spans="1:28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5"/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S372" s="1" t="str">
        <f>IF(OR($E372="",$F372=""),"",HYPERLINK(IF(OR(JobState="MI",JobState=""),"https://fema.maps.arcgis.com/apps/mapviewer/index.html?webmap=6a1702b9147243d1a5ee62cd614bc681&amp;center="&amp;$F372&amp;","&amp;$E372&amp;"&amp;level=16&amp;marker="&amp;$F372&amp;","&amp;$E372&amp;"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T372" s="5"/>
      <c r="U372" s="5"/>
      <c r="V372" s="5"/>
      <c r="W372" s="5"/>
      <c r="X372" s="5"/>
      <c r="Y372" s="5"/>
      <c r="Z372" s="5"/>
      <c r="AA372" s="5"/>
      <c r="AB372" s="1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</row>
    <row r="373" spans="1:28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5"/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S373" s="1" t="str">
        <f>IF(OR($E373="",$F373=""),"",HYPERLINK(IF(OR(JobState="MI",JobState=""),"https://fema.maps.arcgis.com/apps/mapviewer/index.html?webmap=6a1702b9147243d1a5ee62cd614bc681&amp;center="&amp;$F373&amp;","&amp;$E373&amp;"&amp;level=16&amp;marker="&amp;$F373&amp;","&amp;$E373&amp;"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T373" s="5"/>
      <c r="U373" s="5"/>
      <c r="V373" s="5"/>
      <c r="W373" s="5"/>
      <c r="X373" s="5"/>
      <c r="Y373" s="5"/>
      <c r="Z373" s="5"/>
      <c r="AA373" s="5"/>
      <c r="AB373" s="1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</row>
    <row r="374" spans="1:28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5"/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S374" s="1" t="str">
        <f>IF(OR($E374="",$F374=""),"",HYPERLINK(IF(OR(JobState="MI",JobState=""),"https://fema.maps.arcgis.com/apps/mapviewer/index.html?webmap=6a1702b9147243d1a5ee62cd614bc681&amp;center="&amp;$F374&amp;","&amp;$E374&amp;"&amp;level=16&amp;marker="&amp;$F374&amp;","&amp;$E374&amp;"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T374" s="5"/>
      <c r="U374" s="5"/>
      <c r="V374" s="5"/>
      <c r="W374" s="5"/>
      <c r="X374" s="5"/>
      <c r="Y374" s="5"/>
      <c r="Z374" s="5"/>
      <c r="AA374" s="5"/>
      <c r="AB374" s="1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</row>
    <row r="375" spans="1:28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5"/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S375" s="1" t="str">
        <f>IF(OR($E375="",$F375=""),"",HYPERLINK(IF(OR(JobState="MI",JobState=""),"https://fema.maps.arcgis.com/apps/mapviewer/index.html?webmap=6a1702b9147243d1a5ee62cd614bc681&amp;center="&amp;$F375&amp;","&amp;$E375&amp;"&amp;level=16&amp;marker="&amp;$F375&amp;","&amp;$E375&amp;"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T375" s="5"/>
      <c r="U375" s="5"/>
      <c r="V375" s="5"/>
      <c r="W375" s="5"/>
      <c r="X375" s="5"/>
      <c r="Y375" s="5"/>
      <c r="Z375" s="5"/>
      <c r="AA375" s="5"/>
      <c r="AB375" s="1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</row>
    <row r="376" spans="1:28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5"/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S376" s="1" t="str">
        <f>IF(OR($E376="",$F376=""),"",HYPERLINK(IF(OR(JobState="MI",JobState=""),"https://fema.maps.arcgis.com/apps/mapviewer/index.html?webmap=6a1702b9147243d1a5ee62cd614bc681&amp;center="&amp;$F376&amp;","&amp;$E376&amp;"&amp;level=16&amp;marker="&amp;$F376&amp;","&amp;$E376&amp;"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T376" s="5"/>
      <c r="U376" s="5"/>
      <c r="V376" s="5"/>
      <c r="W376" s="5"/>
      <c r="X376" s="5"/>
      <c r="Y376" s="5"/>
      <c r="Z376" s="5"/>
      <c r="AA376" s="5"/>
      <c r="AB376" s="1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</row>
    <row r="377" spans="1:28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5"/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S377" s="1" t="str">
        <f>IF(OR($E377="",$F377=""),"",HYPERLINK(IF(OR(JobState="MI",JobState=""),"https://fema.maps.arcgis.com/apps/mapviewer/index.html?webmap=6a1702b9147243d1a5ee62cd614bc681&amp;center="&amp;$F377&amp;","&amp;$E377&amp;"&amp;level=16&amp;marker="&amp;$F377&amp;","&amp;$E377&amp;"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T377" s="5"/>
      <c r="U377" s="5"/>
      <c r="V377" s="5"/>
      <c r="W377" s="5"/>
      <c r="X377" s="5"/>
      <c r="Y377" s="5"/>
      <c r="Z377" s="5"/>
      <c r="AA377" s="5"/>
      <c r="AB377" s="1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</row>
    <row r="378" spans="1:28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5"/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S378" s="1" t="str">
        <f>IF(OR($E378="",$F378=""),"",HYPERLINK(IF(OR(JobState="MI",JobState=""),"https://fema.maps.arcgis.com/apps/mapviewer/index.html?webmap=6a1702b9147243d1a5ee62cd614bc681&amp;center="&amp;$F378&amp;","&amp;$E378&amp;"&amp;level=16&amp;marker="&amp;$F378&amp;","&amp;$E378&amp;"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T378" s="5"/>
      <c r="U378" s="5"/>
      <c r="V378" s="5"/>
      <c r="W378" s="5"/>
      <c r="X378" s="5"/>
      <c r="Y378" s="5"/>
      <c r="Z378" s="5"/>
      <c r="AA378" s="5"/>
      <c r="AB378" s="1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</row>
    <row r="379" spans="1:28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5"/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S379" s="1" t="str">
        <f>IF(OR($E379="",$F379=""),"",HYPERLINK(IF(OR(JobState="MI",JobState=""),"https://fema.maps.arcgis.com/apps/mapviewer/index.html?webmap=6a1702b9147243d1a5ee62cd614bc681&amp;center="&amp;$F379&amp;","&amp;$E379&amp;"&amp;level=16&amp;marker="&amp;$F379&amp;","&amp;$E379&amp;"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T379" s="5"/>
      <c r="U379" s="5"/>
      <c r="V379" s="5"/>
      <c r="W379" s="5"/>
      <c r="X379" s="5"/>
      <c r="Y379" s="5"/>
      <c r="Z379" s="5"/>
      <c r="AA379" s="5"/>
      <c r="AB379" s="1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</row>
    <row r="380" spans="1:28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5"/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S380" s="1" t="str">
        <f>IF(OR($E380="",$F380=""),"",HYPERLINK(IF(OR(JobState="MI",JobState=""),"https://fema.maps.arcgis.com/apps/mapviewer/index.html?webmap=6a1702b9147243d1a5ee62cd614bc681&amp;center="&amp;$F380&amp;","&amp;$E380&amp;"&amp;level=16&amp;marker="&amp;$F380&amp;","&amp;$E380&amp;"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T380" s="5"/>
      <c r="U380" s="5"/>
      <c r="V380" s="5"/>
      <c r="W380" s="5"/>
      <c r="X380" s="5"/>
      <c r="Y380" s="5"/>
      <c r="Z380" s="5"/>
      <c r="AA380" s="5"/>
      <c r="AB380" s="1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</row>
    <row r="381" spans="1:28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5"/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S381" s="1" t="str">
        <f>IF(OR($E381="",$F381=""),"",HYPERLINK(IF(OR(JobState="MI",JobState=""),"https://fema.maps.arcgis.com/apps/mapviewer/index.html?webmap=6a1702b9147243d1a5ee62cd614bc681&amp;center="&amp;$F381&amp;","&amp;$E381&amp;"&amp;level=16&amp;marker="&amp;$F381&amp;","&amp;$E381&amp;"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T381" s="5"/>
      <c r="U381" s="5"/>
      <c r="V381" s="5"/>
      <c r="W381" s="5"/>
      <c r="X381" s="5"/>
      <c r="Y381" s="5"/>
      <c r="Z381" s="5"/>
      <c r="AA381" s="5"/>
      <c r="AB381" s="1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</row>
    <row r="382" spans="1:28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5"/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S382" s="1" t="str">
        <f>IF(OR($E382="",$F382=""),"",HYPERLINK(IF(OR(JobState="MI",JobState=""),"https://fema.maps.arcgis.com/apps/mapviewer/index.html?webmap=6a1702b9147243d1a5ee62cd614bc681&amp;center="&amp;$F382&amp;","&amp;$E382&amp;"&amp;level=16&amp;marker="&amp;$F382&amp;","&amp;$E382&amp;"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T382" s="5"/>
      <c r="U382" s="5"/>
      <c r="V382" s="5"/>
      <c r="W382" s="5"/>
      <c r="X382" s="5"/>
      <c r="Y382" s="5"/>
      <c r="Z382" s="5"/>
      <c r="AA382" s="5"/>
      <c r="AB382" s="1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</row>
    <row r="383" spans="1:28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5"/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S383" s="1" t="str">
        <f>IF(OR($E383="",$F383=""),"",HYPERLINK(IF(OR(JobState="MI",JobState=""),"https://fema.maps.arcgis.com/apps/mapviewer/index.html?webmap=6a1702b9147243d1a5ee62cd614bc681&amp;center="&amp;$F383&amp;","&amp;$E383&amp;"&amp;level=16&amp;marker="&amp;$F383&amp;","&amp;$E383&amp;"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T383" s="5"/>
      <c r="U383" s="5"/>
      <c r="V383" s="5"/>
      <c r="W383" s="5"/>
      <c r="X383" s="5"/>
      <c r="Y383" s="5"/>
      <c r="Z383" s="5"/>
      <c r="AA383" s="5"/>
      <c r="AB383" s="1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</row>
    <row r="384" spans="1:28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5"/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S384" s="1" t="str">
        <f>IF(OR($E384="",$F384=""),"",HYPERLINK(IF(OR(JobState="MI",JobState=""),"https://fema.maps.arcgis.com/apps/mapviewer/index.html?webmap=6a1702b9147243d1a5ee62cd614bc681&amp;center="&amp;$F384&amp;","&amp;$E384&amp;"&amp;level=16&amp;marker="&amp;$F384&amp;","&amp;$E384&amp;"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T384" s="5"/>
      <c r="U384" s="5"/>
      <c r="V384" s="5"/>
      <c r="W384" s="5"/>
      <c r="X384" s="5"/>
      <c r="Y384" s="5"/>
      <c r="Z384" s="5"/>
      <c r="AA384" s="5"/>
      <c r="AB384" s="1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</row>
    <row r="385" spans="1:28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5"/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S385" s="1" t="str">
        <f>IF(OR($E385="",$F385=""),"",HYPERLINK(IF(OR(JobState="MI",JobState=""),"https://fema.maps.arcgis.com/apps/mapviewer/index.html?webmap=6a1702b9147243d1a5ee62cd614bc681&amp;center="&amp;$F385&amp;","&amp;$E385&amp;"&amp;level=16&amp;marker="&amp;$F385&amp;","&amp;$E385&amp;"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T385" s="5"/>
      <c r="U385" s="5"/>
      <c r="V385" s="5"/>
      <c r="W385" s="5"/>
      <c r="X385" s="5"/>
      <c r="Y385" s="5"/>
      <c r="Z385" s="5"/>
      <c r="AA385" s="5"/>
      <c r="AB385" s="1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</row>
    <row r="386" spans="1:28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5"/>
      <c r="M386" s="1" t="str">
        <f t="shared" si="30"/>
        <v/>
      </c>
      <c r="N386" s="1" t="str">
        <f t="shared" si="31"/>
        <v/>
      </c>
      <c r="O386" s="1" t="str">
        <f t="shared" si="32"/>
        <v/>
      </c>
      <c r="P386" s="1" t="str">
        <f t="shared" si="33"/>
        <v/>
      </c>
      <c r="Q386" s="1" t="str">
        <f t="shared" si="34"/>
        <v/>
      </c>
      <c r="R386" s="1" t="str">
        <f t="shared" si="35"/>
        <v/>
      </c>
      <c r="S386" s="1" t="str">
        <f>IF(OR($E386="",$F386=""),"",HYPERLINK(IF(OR(JobState="MI",JobState=""),"https://fema.maps.arcgis.com/apps/mapviewer/index.html?webmap=6a1702b9147243d1a5ee62cd614bc681&amp;center="&amp;$F386&amp;","&amp;$E386&amp;"&amp;level=16&amp;marker="&amp;$F386&amp;","&amp;$E386&amp;"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T386" s="5"/>
      <c r="U386" s="5"/>
      <c r="V386" s="5"/>
      <c r="W386" s="5"/>
      <c r="X386" s="5"/>
      <c r="Y386" s="5"/>
      <c r="Z386" s="5"/>
      <c r="AA386" s="5"/>
      <c r="AB386" s="1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</row>
    <row r="387" spans="1:28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5"/>
      <c r="M387" s="1" t="str">
        <f t="shared" ref="M387:M450" si="36">IF(OR($E387="",$F387=""),"",HYPERLINK("https://www.google.com/maps?q="&amp;$E387&amp;","&amp;$F387&amp;"","Map"))</f>
        <v/>
      </c>
      <c r="N387" s="1" t="str">
        <f t="shared" ref="N387:N450" si="37">IF(OR($E387="",$F387=""),"",HYPERLINK("https://www.google.com/maps?q&amp;layer=c&amp;cbll="&amp;$E387&amp;","&amp;$F387&amp;"","Street"))</f>
        <v/>
      </c>
      <c r="O387" s="1" t="str">
        <f t="shared" ref="O387:O450" si="38">IF(OR($E387="",$F387=""),"",HYPERLINK("https://www.bing.com/maps?cp="&amp;$E387&amp;"~"&amp;$F387&amp;"&amp;lvl=18&amp;style=h","Bing"))</f>
        <v/>
      </c>
      <c r="P387" s="1" t="str">
        <f t="shared" ref="P387:P450" si="39">IF(OR($E387="",$F387=""),"",HYPERLINK("https://earth.google.com/web/search/"&amp;$E387&amp;","&amp;$F387&amp;"","Earth"))</f>
        <v/>
      </c>
      <c r="Q387" s="1" t="str">
        <f t="shared" ref="Q387:Q450" si="40">IF(OR($E387="",$F387=""),"",HYPERLINK("https://fema.maps.arcgis.com/apps/mapviewer/index.html?find="&amp;$F387&amp;"%2C"&amp;$E387&amp;"&amp;marker="&amp;$F387&amp;","&amp;$E387&amp;",4326&amp;level=16","FEMA"))</f>
        <v/>
      </c>
      <c r="R387" s="1" t="str">
        <f t="shared" ref="R387:R450" si="41">IF(OR($E387="",$F387=""),"",HYPERLINK("https://msc.fema.gov/portal/firmette?latitude="&amp;$E387&amp;"&amp;longitude="&amp;$F387&amp;"","FIRMette"))</f>
        <v/>
      </c>
      <c r="S387" s="1" t="str">
        <f>IF(OR($E387="",$F387=""),"",HYPERLINK(IF(OR(JobState="MI",JobState=""),"https://fema.maps.arcgis.com/apps/mapviewer/index.html?webmap=6a1702b9147243d1a5ee62cd614bc681&amp;center="&amp;$F387&amp;","&amp;$E387&amp;"&amp;level=16&amp;marker="&amp;$F387&amp;","&amp;$E387&amp;"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T387" s="5"/>
      <c r="U387" s="5"/>
      <c r="V387" s="5"/>
      <c r="W387" s="5"/>
      <c r="X387" s="5"/>
      <c r="Y387" s="5"/>
      <c r="Z387" s="5"/>
      <c r="AA387" s="5"/>
      <c r="AB387" s="1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</row>
    <row r="388" spans="1:28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5"/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S388" s="1" t="str">
        <f>IF(OR($E388="",$F388=""),"",HYPERLINK(IF(OR(JobState="MI",JobState=""),"https://fema.maps.arcgis.com/apps/mapviewer/index.html?webmap=6a1702b9147243d1a5ee62cd614bc681&amp;center="&amp;$F388&amp;","&amp;$E388&amp;"&amp;level=16&amp;marker="&amp;$F388&amp;","&amp;$E388&amp;"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T388" s="5"/>
      <c r="U388" s="5"/>
      <c r="V388" s="5"/>
      <c r="W388" s="5"/>
      <c r="X388" s="5"/>
      <c r="Y388" s="5"/>
      <c r="Z388" s="5"/>
      <c r="AA388" s="5"/>
      <c r="AB388" s="1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</row>
    <row r="389" spans="1:28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5"/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S389" s="1" t="str">
        <f>IF(OR($E389="",$F389=""),"",HYPERLINK(IF(OR(JobState="MI",JobState=""),"https://fema.maps.arcgis.com/apps/mapviewer/index.html?webmap=6a1702b9147243d1a5ee62cd614bc681&amp;center="&amp;$F389&amp;","&amp;$E389&amp;"&amp;level=16&amp;marker="&amp;$F389&amp;","&amp;$E389&amp;"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T389" s="5"/>
      <c r="U389" s="5"/>
      <c r="V389" s="5"/>
      <c r="W389" s="5"/>
      <c r="X389" s="5"/>
      <c r="Y389" s="5"/>
      <c r="Z389" s="5"/>
      <c r="AA389" s="5"/>
      <c r="AB389" s="1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</row>
    <row r="390" spans="1:28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5"/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S390" s="1" t="str">
        <f>IF(OR($E390="",$F390=""),"",HYPERLINK(IF(OR(JobState="MI",JobState=""),"https://fema.maps.arcgis.com/apps/mapviewer/index.html?webmap=6a1702b9147243d1a5ee62cd614bc681&amp;center="&amp;$F390&amp;","&amp;$E390&amp;"&amp;level=16&amp;marker="&amp;$F390&amp;","&amp;$E390&amp;"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T390" s="5"/>
      <c r="U390" s="5"/>
      <c r="V390" s="5"/>
      <c r="W390" s="5"/>
      <c r="X390" s="5"/>
      <c r="Y390" s="5"/>
      <c r="Z390" s="5"/>
      <c r="AA390" s="5"/>
      <c r="AB390" s="1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</row>
    <row r="391" spans="1:28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5"/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S391" s="1" t="str">
        <f>IF(OR($E391="",$F391=""),"",HYPERLINK(IF(OR(JobState="MI",JobState=""),"https://fema.maps.arcgis.com/apps/mapviewer/index.html?webmap=6a1702b9147243d1a5ee62cd614bc681&amp;center="&amp;$F391&amp;","&amp;$E391&amp;"&amp;level=16&amp;marker="&amp;$F391&amp;","&amp;$E391&amp;"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T391" s="5"/>
      <c r="U391" s="5"/>
      <c r="V391" s="5"/>
      <c r="W391" s="5"/>
      <c r="X391" s="5"/>
      <c r="Y391" s="5"/>
      <c r="Z391" s="5"/>
      <c r="AA391" s="5"/>
      <c r="AB391" s="1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</row>
    <row r="392" spans="1:28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5"/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S392" s="1" t="str">
        <f>IF(OR($E392="",$F392=""),"",HYPERLINK(IF(OR(JobState="MI",JobState=""),"https://fema.maps.arcgis.com/apps/mapviewer/index.html?webmap=6a1702b9147243d1a5ee62cd614bc681&amp;center="&amp;$F392&amp;","&amp;$E392&amp;"&amp;level=16&amp;marker="&amp;$F392&amp;","&amp;$E392&amp;"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T392" s="5"/>
      <c r="U392" s="5"/>
      <c r="V392" s="5"/>
      <c r="W392" s="5"/>
      <c r="X392" s="5"/>
      <c r="Y392" s="5"/>
      <c r="Z392" s="5"/>
      <c r="AA392" s="5"/>
      <c r="AB392" s="1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</row>
    <row r="393" spans="1:28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5"/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S393" s="1" t="str">
        <f>IF(OR($E393="",$F393=""),"",HYPERLINK(IF(OR(JobState="MI",JobState=""),"https://fema.maps.arcgis.com/apps/mapviewer/index.html?webmap=6a1702b9147243d1a5ee62cd614bc681&amp;center="&amp;$F393&amp;","&amp;$E393&amp;"&amp;level=16&amp;marker="&amp;$F393&amp;","&amp;$E393&amp;"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T393" s="5"/>
      <c r="U393" s="5"/>
      <c r="V393" s="5"/>
      <c r="W393" s="5"/>
      <c r="X393" s="5"/>
      <c r="Y393" s="5"/>
      <c r="Z393" s="5"/>
      <c r="AA393" s="5"/>
      <c r="AB393" s="1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</row>
    <row r="394" spans="1:28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5"/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S394" s="1" t="str">
        <f>IF(OR($E394="",$F394=""),"",HYPERLINK(IF(OR(JobState="MI",JobState=""),"https://fema.maps.arcgis.com/apps/mapviewer/index.html?webmap=6a1702b9147243d1a5ee62cd614bc681&amp;center="&amp;$F394&amp;","&amp;$E394&amp;"&amp;level=16&amp;marker="&amp;$F394&amp;","&amp;$E394&amp;"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T394" s="5"/>
      <c r="U394" s="5"/>
      <c r="V394" s="5"/>
      <c r="W394" s="5"/>
      <c r="X394" s="5"/>
      <c r="Y394" s="5"/>
      <c r="Z394" s="5"/>
      <c r="AA394" s="5"/>
      <c r="AB394" s="1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</row>
    <row r="395" spans="1:28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5"/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S395" s="1" t="str">
        <f>IF(OR($E395="",$F395=""),"",HYPERLINK(IF(OR(JobState="MI",JobState=""),"https://fema.maps.arcgis.com/apps/mapviewer/index.html?webmap=6a1702b9147243d1a5ee62cd614bc681&amp;center="&amp;$F395&amp;","&amp;$E395&amp;"&amp;level=16&amp;marker="&amp;$F395&amp;","&amp;$E395&amp;"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T395" s="5"/>
      <c r="U395" s="5"/>
      <c r="V395" s="5"/>
      <c r="W395" s="5"/>
      <c r="X395" s="5"/>
      <c r="Y395" s="5"/>
      <c r="Z395" s="5"/>
      <c r="AA395" s="5"/>
      <c r="AB395" s="1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</row>
    <row r="396" spans="1:28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5"/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S396" s="1" t="str">
        <f>IF(OR($E396="",$F396=""),"",HYPERLINK(IF(OR(JobState="MI",JobState=""),"https://fema.maps.arcgis.com/apps/mapviewer/index.html?webmap=6a1702b9147243d1a5ee62cd614bc681&amp;center="&amp;$F396&amp;","&amp;$E396&amp;"&amp;level=16&amp;marker="&amp;$F396&amp;","&amp;$E396&amp;"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T396" s="5"/>
      <c r="U396" s="5"/>
      <c r="V396" s="5"/>
      <c r="W396" s="5"/>
      <c r="X396" s="5"/>
      <c r="Y396" s="5"/>
      <c r="Z396" s="5"/>
      <c r="AA396" s="5"/>
      <c r="AB396" s="1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</row>
    <row r="397" spans="1:28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5"/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S397" s="1" t="str">
        <f>IF(OR($E397="",$F397=""),"",HYPERLINK(IF(OR(JobState="MI",JobState=""),"https://fema.maps.arcgis.com/apps/mapviewer/index.html?webmap=6a1702b9147243d1a5ee62cd614bc681&amp;center="&amp;$F397&amp;","&amp;$E397&amp;"&amp;level=16&amp;marker="&amp;$F397&amp;","&amp;$E397&amp;"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T397" s="5"/>
      <c r="U397" s="5"/>
      <c r="V397" s="5"/>
      <c r="W397" s="5"/>
      <c r="X397" s="5"/>
      <c r="Y397" s="5"/>
      <c r="Z397" s="5"/>
      <c r="AA397" s="5"/>
      <c r="AB397" s="1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</row>
    <row r="398" spans="1:28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5"/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S398" s="1" t="str">
        <f>IF(OR($E398="",$F398=""),"",HYPERLINK(IF(OR(JobState="MI",JobState=""),"https://fema.maps.arcgis.com/apps/mapviewer/index.html?webmap=6a1702b9147243d1a5ee62cd614bc681&amp;center="&amp;$F398&amp;","&amp;$E398&amp;"&amp;level=16&amp;marker="&amp;$F398&amp;","&amp;$E398&amp;"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T398" s="5"/>
      <c r="U398" s="5"/>
      <c r="V398" s="5"/>
      <c r="W398" s="5"/>
      <c r="X398" s="5"/>
      <c r="Y398" s="5"/>
      <c r="Z398" s="5"/>
      <c r="AA398" s="5"/>
      <c r="AB398" s="1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</row>
    <row r="399" spans="1:28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5"/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S399" s="1" t="str">
        <f>IF(OR($E399="",$F399=""),"",HYPERLINK(IF(OR(JobState="MI",JobState=""),"https://fema.maps.arcgis.com/apps/mapviewer/index.html?webmap=6a1702b9147243d1a5ee62cd614bc681&amp;center="&amp;$F399&amp;","&amp;$E399&amp;"&amp;level=16&amp;marker="&amp;$F399&amp;","&amp;$E399&amp;"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T399" s="5"/>
      <c r="U399" s="5"/>
      <c r="V399" s="5"/>
      <c r="W399" s="5"/>
      <c r="X399" s="5"/>
      <c r="Y399" s="5"/>
      <c r="Z399" s="5"/>
      <c r="AA399" s="5"/>
      <c r="AB399" s="1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</row>
    <row r="400" spans="1:28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5"/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S400" s="1" t="str">
        <f>IF(OR($E400="",$F400=""),"",HYPERLINK(IF(OR(JobState="MI",JobState=""),"https://fema.maps.arcgis.com/apps/mapviewer/index.html?webmap=6a1702b9147243d1a5ee62cd614bc681&amp;center="&amp;$F400&amp;","&amp;$E400&amp;"&amp;level=16&amp;marker="&amp;$F400&amp;","&amp;$E400&amp;"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T400" s="5"/>
      <c r="U400" s="5"/>
      <c r="V400" s="5"/>
      <c r="W400" s="5"/>
      <c r="X400" s="5"/>
      <c r="Y400" s="5"/>
      <c r="Z400" s="5"/>
      <c r="AA400" s="5"/>
      <c r="AB400" s="1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</row>
    <row r="401" spans="1:28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5"/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S401" s="1" t="str">
        <f>IF(OR($E401="",$F401=""),"",HYPERLINK(IF(OR(JobState="MI",JobState=""),"https://fema.maps.arcgis.com/apps/mapviewer/index.html?webmap=6a1702b9147243d1a5ee62cd614bc681&amp;center="&amp;$F401&amp;","&amp;$E401&amp;"&amp;level=16&amp;marker="&amp;$F401&amp;","&amp;$E401&amp;"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T401" s="5"/>
      <c r="U401" s="5"/>
      <c r="V401" s="5"/>
      <c r="W401" s="5"/>
      <c r="X401" s="5"/>
      <c r="Y401" s="5"/>
      <c r="Z401" s="5"/>
      <c r="AA401" s="5"/>
      <c r="AB401" s="1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</row>
    <row r="402" spans="1:28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5"/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S402" s="1" t="str">
        <f>IF(OR($E402="",$F402=""),"",HYPERLINK(IF(OR(JobState="MI",JobState=""),"https://fema.maps.arcgis.com/apps/mapviewer/index.html?webmap=6a1702b9147243d1a5ee62cd614bc681&amp;center="&amp;$F402&amp;","&amp;$E402&amp;"&amp;level=16&amp;marker="&amp;$F402&amp;","&amp;$E402&amp;"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T402" s="5"/>
      <c r="U402" s="5"/>
      <c r="V402" s="5"/>
      <c r="W402" s="5"/>
      <c r="X402" s="5"/>
      <c r="Y402" s="5"/>
      <c r="Z402" s="5"/>
      <c r="AA402" s="5"/>
      <c r="AB402" s="1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</row>
    <row r="403" spans="1:28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5"/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S403" s="1" t="str">
        <f>IF(OR($E403="",$F403=""),"",HYPERLINK(IF(OR(JobState="MI",JobState=""),"https://fema.maps.arcgis.com/apps/mapviewer/index.html?webmap=6a1702b9147243d1a5ee62cd614bc681&amp;center="&amp;$F403&amp;","&amp;$E403&amp;"&amp;level=16&amp;marker="&amp;$F403&amp;","&amp;$E403&amp;"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T403" s="5"/>
      <c r="U403" s="5"/>
      <c r="V403" s="5"/>
      <c r="W403" s="5"/>
      <c r="X403" s="5"/>
      <c r="Y403" s="5"/>
      <c r="Z403" s="5"/>
      <c r="AA403" s="5"/>
      <c r="AB403" s="1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</row>
    <row r="404" spans="1:28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5"/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S404" s="1" t="str">
        <f>IF(OR($E404="",$F404=""),"",HYPERLINK(IF(OR(JobState="MI",JobState=""),"https://fema.maps.arcgis.com/apps/mapviewer/index.html?webmap=6a1702b9147243d1a5ee62cd614bc681&amp;center="&amp;$F404&amp;","&amp;$E404&amp;"&amp;level=16&amp;marker="&amp;$F404&amp;","&amp;$E404&amp;"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T404" s="5"/>
      <c r="U404" s="5"/>
      <c r="V404" s="5"/>
      <c r="W404" s="5"/>
      <c r="X404" s="5"/>
      <c r="Y404" s="5"/>
      <c r="Z404" s="5"/>
      <c r="AA404" s="5"/>
      <c r="AB404" s="1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</row>
    <row r="405" spans="1:28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5"/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S405" s="1" t="str">
        <f>IF(OR($E405="",$F405=""),"",HYPERLINK(IF(OR(JobState="MI",JobState=""),"https://fema.maps.arcgis.com/apps/mapviewer/index.html?webmap=6a1702b9147243d1a5ee62cd614bc681&amp;center="&amp;$F405&amp;","&amp;$E405&amp;"&amp;level=16&amp;marker="&amp;$F405&amp;","&amp;$E405&amp;"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T405" s="5"/>
      <c r="U405" s="5"/>
      <c r="V405" s="5"/>
      <c r="W405" s="5"/>
      <c r="X405" s="5"/>
      <c r="Y405" s="5"/>
      <c r="Z405" s="5"/>
      <c r="AA405" s="5"/>
      <c r="AB405" s="1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</row>
    <row r="406" spans="1:28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5"/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S406" s="1" t="str">
        <f>IF(OR($E406="",$F406=""),"",HYPERLINK(IF(OR(JobState="MI",JobState=""),"https://fema.maps.arcgis.com/apps/mapviewer/index.html?webmap=6a1702b9147243d1a5ee62cd614bc681&amp;center="&amp;$F406&amp;","&amp;$E406&amp;"&amp;level=16&amp;marker="&amp;$F406&amp;","&amp;$E406&amp;"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T406" s="5"/>
      <c r="U406" s="5"/>
      <c r="V406" s="5"/>
      <c r="W406" s="5"/>
      <c r="X406" s="5"/>
      <c r="Y406" s="5"/>
      <c r="Z406" s="5"/>
      <c r="AA406" s="5"/>
      <c r="AB406" s="1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</row>
    <row r="407" spans="1:28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5"/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S407" s="1" t="str">
        <f>IF(OR($E407="",$F407=""),"",HYPERLINK(IF(OR(JobState="MI",JobState=""),"https://fema.maps.arcgis.com/apps/mapviewer/index.html?webmap=6a1702b9147243d1a5ee62cd614bc681&amp;center="&amp;$F407&amp;","&amp;$E407&amp;"&amp;level=16&amp;marker="&amp;$F407&amp;","&amp;$E407&amp;"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T407" s="5"/>
      <c r="U407" s="5"/>
      <c r="V407" s="5"/>
      <c r="W407" s="5"/>
      <c r="X407" s="5"/>
      <c r="Y407" s="5"/>
      <c r="Z407" s="5"/>
      <c r="AA407" s="5"/>
      <c r="AB407" s="1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</row>
    <row r="408" spans="1:28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5"/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S408" s="1" t="str">
        <f>IF(OR($E408="",$F408=""),"",HYPERLINK(IF(OR(JobState="MI",JobState=""),"https://fema.maps.arcgis.com/apps/mapviewer/index.html?webmap=6a1702b9147243d1a5ee62cd614bc681&amp;center="&amp;$F408&amp;","&amp;$E408&amp;"&amp;level=16&amp;marker="&amp;$F408&amp;","&amp;$E408&amp;"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T408" s="5"/>
      <c r="U408" s="5"/>
      <c r="V408" s="5"/>
      <c r="W408" s="5"/>
      <c r="X408" s="5"/>
      <c r="Y408" s="5"/>
      <c r="Z408" s="5"/>
      <c r="AA408" s="5"/>
      <c r="AB408" s="1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</row>
    <row r="409" spans="1:28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5"/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S409" s="1" t="str">
        <f>IF(OR($E409="",$F409=""),"",HYPERLINK(IF(OR(JobState="MI",JobState=""),"https://fema.maps.arcgis.com/apps/mapviewer/index.html?webmap=6a1702b9147243d1a5ee62cd614bc681&amp;center="&amp;$F409&amp;","&amp;$E409&amp;"&amp;level=16&amp;marker="&amp;$F409&amp;","&amp;$E409&amp;"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T409" s="5"/>
      <c r="U409" s="5"/>
      <c r="V409" s="5"/>
      <c r="W409" s="5"/>
      <c r="X409" s="5"/>
      <c r="Y409" s="5"/>
      <c r="Z409" s="5"/>
      <c r="AA409" s="5"/>
      <c r="AB409" s="1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</row>
    <row r="410" spans="1:28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5"/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S410" s="1" t="str">
        <f>IF(OR($E410="",$F410=""),"",HYPERLINK(IF(OR(JobState="MI",JobState=""),"https://fema.maps.arcgis.com/apps/mapviewer/index.html?webmap=6a1702b9147243d1a5ee62cd614bc681&amp;center="&amp;$F410&amp;","&amp;$E410&amp;"&amp;level=16&amp;marker="&amp;$F410&amp;","&amp;$E410&amp;"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T410" s="5"/>
      <c r="U410" s="5"/>
      <c r="V410" s="5"/>
      <c r="W410" s="5"/>
      <c r="X410" s="5"/>
      <c r="Y410" s="5"/>
      <c r="Z410" s="5"/>
      <c r="AA410" s="5"/>
      <c r="AB410" s="1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</row>
    <row r="411" spans="1:28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5"/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S411" s="1" t="str">
        <f>IF(OR($E411="",$F411=""),"",HYPERLINK(IF(OR(JobState="MI",JobState=""),"https://fema.maps.arcgis.com/apps/mapviewer/index.html?webmap=6a1702b9147243d1a5ee62cd614bc681&amp;center="&amp;$F411&amp;","&amp;$E411&amp;"&amp;level=16&amp;marker="&amp;$F411&amp;","&amp;$E411&amp;"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T411" s="5"/>
      <c r="U411" s="5"/>
      <c r="V411" s="5"/>
      <c r="W411" s="5"/>
      <c r="X411" s="5"/>
      <c r="Y411" s="5"/>
      <c r="Z411" s="5"/>
      <c r="AA411" s="5"/>
      <c r="AB411" s="1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</row>
    <row r="412" spans="1:28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5"/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S412" s="1" t="str">
        <f>IF(OR($E412="",$F412=""),"",HYPERLINK(IF(OR(JobState="MI",JobState=""),"https://fema.maps.arcgis.com/apps/mapviewer/index.html?webmap=6a1702b9147243d1a5ee62cd614bc681&amp;center="&amp;$F412&amp;","&amp;$E412&amp;"&amp;level=16&amp;marker="&amp;$F412&amp;","&amp;$E412&amp;"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T412" s="5"/>
      <c r="U412" s="5"/>
      <c r="V412" s="5"/>
      <c r="W412" s="5"/>
      <c r="X412" s="5"/>
      <c r="Y412" s="5"/>
      <c r="Z412" s="5"/>
      <c r="AA412" s="5"/>
      <c r="AB412" s="1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</row>
    <row r="413" spans="1:28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5"/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S413" s="1" t="str">
        <f>IF(OR($E413="",$F413=""),"",HYPERLINK(IF(OR(JobState="MI",JobState=""),"https://fema.maps.arcgis.com/apps/mapviewer/index.html?webmap=6a1702b9147243d1a5ee62cd614bc681&amp;center="&amp;$F413&amp;","&amp;$E413&amp;"&amp;level=16&amp;marker="&amp;$F413&amp;","&amp;$E413&amp;"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T413" s="5"/>
      <c r="U413" s="5"/>
      <c r="V413" s="5"/>
      <c r="W413" s="5"/>
      <c r="X413" s="5"/>
      <c r="Y413" s="5"/>
      <c r="Z413" s="5"/>
      <c r="AA413" s="5"/>
      <c r="AB413" s="1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</row>
    <row r="414" spans="1:28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5"/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S414" s="1" t="str">
        <f>IF(OR($E414="",$F414=""),"",HYPERLINK(IF(OR(JobState="MI",JobState=""),"https://fema.maps.arcgis.com/apps/mapviewer/index.html?webmap=6a1702b9147243d1a5ee62cd614bc681&amp;center="&amp;$F414&amp;","&amp;$E414&amp;"&amp;level=16&amp;marker="&amp;$F414&amp;","&amp;$E414&amp;"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T414" s="5"/>
      <c r="U414" s="5"/>
      <c r="V414" s="5"/>
      <c r="W414" s="5"/>
      <c r="X414" s="5"/>
      <c r="Y414" s="5"/>
      <c r="Z414" s="5"/>
      <c r="AA414" s="5"/>
      <c r="AB414" s="1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</row>
    <row r="415" spans="1:28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5"/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S415" s="1" t="str">
        <f>IF(OR($E415="",$F415=""),"",HYPERLINK(IF(OR(JobState="MI",JobState=""),"https://fema.maps.arcgis.com/apps/mapviewer/index.html?webmap=6a1702b9147243d1a5ee62cd614bc681&amp;center="&amp;$F415&amp;","&amp;$E415&amp;"&amp;level=16&amp;marker="&amp;$F415&amp;","&amp;$E415&amp;"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T415" s="5"/>
      <c r="U415" s="5"/>
      <c r="V415" s="5"/>
      <c r="W415" s="5"/>
      <c r="X415" s="5"/>
      <c r="Y415" s="5"/>
      <c r="Z415" s="5"/>
      <c r="AA415" s="5"/>
      <c r="AB415" s="1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</row>
    <row r="416" spans="1:28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5"/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S416" s="1" t="str">
        <f>IF(OR($E416="",$F416=""),"",HYPERLINK(IF(OR(JobState="MI",JobState=""),"https://fema.maps.arcgis.com/apps/mapviewer/index.html?webmap=6a1702b9147243d1a5ee62cd614bc681&amp;center="&amp;$F416&amp;","&amp;$E416&amp;"&amp;level=16&amp;marker="&amp;$F416&amp;","&amp;$E416&amp;"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T416" s="5"/>
      <c r="U416" s="5"/>
      <c r="V416" s="5"/>
      <c r="W416" s="5"/>
      <c r="X416" s="5"/>
      <c r="Y416" s="5"/>
      <c r="Z416" s="5"/>
      <c r="AA416" s="5"/>
      <c r="AB416" s="1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</row>
    <row r="417" spans="1:28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5"/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S417" s="1" t="str">
        <f>IF(OR($E417="",$F417=""),"",HYPERLINK(IF(OR(JobState="MI",JobState=""),"https://fema.maps.arcgis.com/apps/mapviewer/index.html?webmap=6a1702b9147243d1a5ee62cd614bc681&amp;center="&amp;$F417&amp;","&amp;$E417&amp;"&amp;level=16&amp;marker="&amp;$F417&amp;","&amp;$E417&amp;"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T417" s="5"/>
      <c r="U417" s="5"/>
      <c r="V417" s="5"/>
      <c r="W417" s="5"/>
      <c r="X417" s="5"/>
      <c r="Y417" s="5"/>
      <c r="Z417" s="5"/>
      <c r="AA417" s="5"/>
      <c r="AB417" s="1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</row>
    <row r="418" spans="1:28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5"/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S418" s="1" t="str">
        <f>IF(OR($E418="",$F418=""),"",HYPERLINK(IF(OR(JobState="MI",JobState=""),"https://fema.maps.arcgis.com/apps/mapviewer/index.html?webmap=6a1702b9147243d1a5ee62cd614bc681&amp;center="&amp;$F418&amp;","&amp;$E418&amp;"&amp;level=16&amp;marker="&amp;$F418&amp;","&amp;$E418&amp;"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T418" s="5"/>
      <c r="U418" s="5"/>
      <c r="V418" s="5"/>
      <c r="W418" s="5"/>
      <c r="X418" s="5"/>
      <c r="Y418" s="5"/>
      <c r="Z418" s="5"/>
      <c r="AA418" s="5"/>
      <c r="AB418" s="1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</row>
    <row r="419" spans="1:28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5"/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S419" s="1" t="str">
        <f>IF(OR($E419="",$F419=""),"",HYPERLINK(IF(OR(JobState="MI",JobState=""),"https://fema.maps.arcgis.com/apps/mapviewer/index.html?webmap=6a1702b9147243d1a5ee62cd614bc681&amp;center="&amp;$F419&amp;","&amp;$E419&amp;"&amp;level=16&amp;marker="&amp;$F419&amp;","&amp;$E419&amp;"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T419" s="5"/>
      <c r="U419" s="5"/>
      <c r="V419" s="5"/>
      <c r="W419" s="5"/>
      <c r="X419" s="5"/>
      <c r="Y419" s="5"/>
      <c r="Z419" s="5"/>
      <c r="AA419" s="5"/>
      <c r="AB419" s="1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</row>
    <row r="420" spans="1:28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5"/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S420" s="1" t="str">
        <f>IF(OR($E420="",$F420=""),"",HYPERLINK(IF(OR(JobState="MI",JobState=""),"https://fema.maps.arcgis.com/apps/mapviewer/index.html?webmap=6a1702b9147243d1a5ee62cd614bc681&amp;center="&amp;$F420&amp;","&amp;$E420&amp;"&amp;level=16&amp;marker="&amp;$F420&amp;","&amp;$E420&amp;"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T420" s="5"/>
      <c r="U420" s="5"/>
      <c r="V420" s="5"/>
      <c r="W420" s="5"/>
      <c r="X420" s="5"/>
      <c r="Y420" s="5"/>
      <c r="Z420" s="5"/>
      <c r="AA420" s="5"/>
      <c r="AB420" s="1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</row>
    <row r="421" spans="1:28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5"/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S421" s="1" t="str">
        <f>IF(OR($E421="",$F421=""),"",HYPERLINK(IF(OR(JobState="MI",JobState=""),"https://fema.maps.arcgis.com/apps/mapviewer/index.html?webmap=6a1702b9147243d1a5ee62cd614bc681&amp;center="&amp;$F421&amp;","&amp;$E421&amp;"&amp;level=16&amp;marker="&amp;$F421&amp;","&amp;$E421&amp;"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T421" s="5"/>
      <c r="U421" s="5"/>
      <c r="V421" s="5"/>
      <c r="W421" s="5"/>
      <c r="X421" s="5"/>
      <c r="Y421" s="5"/>
      <c r="Z421" s="5"/>
      <c r="AA421" s="5"/>
      <c r="AB421" s="1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</row>
    <row r="422" spans="1:28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5"/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S422" s="1" t="str">
        <f>IF(OR($E422="",$F422=""),"",HYPERLINK(IF(OR(JobState="MI",JobState=""),"https://fema.maps.arcgis.com/apps/mapviewer/index.html?webmap=6a1702b9147243d1a5ee62cd614bc681&amp;center="&amp;$F422&amp;","&amp;$E422&amp;"&amp;level=16&amp;marker="&amp;$F422&amp;","&amp;$E422&amp;"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T422" s="5"/>
      <c r="U422" s="5"/>
      <c r="V422" s="5"/>
      <c r="W422" s="5"/>
      <c r="X422" s="5"/>
      <c r="Y422" s="5"/>
      <c r="Z422" s="5"/>
      <c r="AA422" s="5"/>
      <c r="AB422" s="1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</row>
    <row r="423" spans="1:28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5"/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S423" s="1" t="str">
        <f>IF(OR($E423="",$F423=""),"",HYPERLINK(IF(OR(JobState="MI",JobState=""),"https://fema.maps.arcgis.com/apps/mapviewer/index.html?webmap=6a1702b9147243d1a5ee62cd614bc681&amp;center="&amp;$F423&amp;","&amp;$E423&amp;"&amp;level=16&amp;marker="&amp;$F423&amp;","&amp;$E423&amp;"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T423" s="5"/>
      <c r="U423" s="5"/>
      <c r="V423" s="5"/>
      <c r="W423" s="5"/>
      <c r="X423" s="5"/>
      <c r="Y423" s="5"/>
      <c r="Z423" s="5"/>
      <c r="AA423" s="5"/>
      <c r="AB423" s="1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</row>
    <row r="424" spans="1:28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5"/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S424" s="1" t="str">
        <f>IF(OR($E424="",$F424=""),"",HYPERLINK(IF(OR(JobState="MI",JobState=""),"https://fema.maps.arcgis.com/apps/mapviewer/index.html?webmap=6a1702b9147243d1a5ee62cd614bc681&amp;center="&amp;$F424&amp;","&amp;$E424&amp;"&amp;level=16&amp;marker="&amp;$F424&amp;","&amp;$E424&amp;"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T424" s="5"/>
      <c r="U424" s="5"/>
      <c r="V424" s="5"/>
      <c r="W424" s="5"/>
      <c r="X424" s="5"/>
      <c r="Y424" s="5"/>
      <c r="Z424" s="5"/>
      <c r="AA424" s="5"/>
      <c r="AB424" s="1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</row>
    <row r="425" spans="1:28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5"/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S425" s="1" t="str">
        <f>IF(OR($E425="",$F425=""),"",HYPERLINK(IF(OR(JobState="MI",JobState=""),"https://fema.maps.arcgis.com/apps/mapviewer/index.html?webmap=6a1702b9147243d1a5ee62cd614bc681&amp;center="&amp;$F425&amp;","&amp;$E425&amp;"&amp;level=16&amp;marker="&amp;$F425&amp;","&amp;$E425&amp;"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T425" s="5"/>
      <c r="U425" s="5"/>
      <c r="V425" s="5"/>
      <c r="W425" s="5"/>
      <c r="X425" s="5"/>
      <c r="Y425" s="5"/>
      <c r="Z425" s="5"/>
      <c r="AA425" s="5"/>
      <c r="AB425" s="1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</row>
    <row r="426" spans="1:28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5"/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S426" s="1" t="str">
        <f>IF(OR($E426="",$F426=""),"",HYPERLINK(IF(OR(JobState="MI",JobState=""),"https://fema.maps.arcgis.com/apps/mapviewer/index.html?webmap=6a1702b9147243d1a5ee62cd614bc681&amp;center="&amp;$F426&amp;","&amp;$E426&amp;"&amp;level=16&amp;marker="&amp;$F426&amp;","&amp;$E426&amp;"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T426" s="5"/>
      <c r="U426" s="5"/>
      <c r="V426" s="5"/>
      <c r="W426" s="5"/>
      <c r="X426" s="5"/>
      <c r="Y426" s="5"/>
      <c r="Z426" s="5"/>
      <c r="AA426" s="5"/>
      <c r="AB426" s="1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</row>
    <row r="427" spans="1:28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5"/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S427" s="1" t="str">
        <f>IF(OR($E427="",$F427=""),"",HYPERLINK(IF(OR(JobState="MI",JobState=""),"https://fema.maps.arcgis.com/apps/mapviewer/index.html?webmap=6a1702b9147243d1a5ee62cd614bc681&amp;center="&amp;$F427&amp;","&amp;$E427&amp;"&amp;level=16&amp;marker="&amp;$F427&amp;","&amp;$E427&amp;"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T427" s="5"/>
      <c r="U427" s="5"/>
      <c r="V427" s="5"/>
      <c r="W427" s="5"/>
      <c r="X427" s="5"/>
      <c r="Y427" s="5"/>
      <c r="Z427" s="5"/>
      <c r="AA427" s="5"/>
      <c r="AB427" s="1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</row>
    <row r="428" spans="1:28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5"/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S428" s="1" t="str">
        <f>IF(OR($E428="",$F428=""),"",HYPERLINK(IF(OR(JobState="MI",JobState=""),"https://fema.maps.arcgis.com/apps/mapviewer/index.html?webmap=6a1702b9147243d1a5ee62cd614bc681&amp;center="&amp;$F428&amp;","&amp;$E428&amp;"&amp;level=16&amp;marker="&amp;$F428&amp;","&amp;$E428&amp;"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T428" s="5"/>
      <c r="U428" s="5"/>
      <c r="V428" s="5"/>
      <c r="W428" s="5"/>
      <c r="X428" s="5"/>
      <c r="Y428" s="5"/>
      <c r="Z428" s="5"/>
      <c r="AA428" s="5"/>
      <c r="AB428" s="1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</row>
    <row r="429" spans="1:28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5"/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S429" s="1" t="str">
        <f>IF(OR($E429="",$F429=""),"",HYPERLINK(IF(OR(JobState="MI",JobState=""),"https://fema.maps.arcgis.com/apps/mapviewer/index.html?webmap=6a1702b9147243d1a5ee62cd614bc681&amp;center="&amp;$F429&amp;","&amp;$E429&amp;"&amp;level=16&amp;marker="&amp;$F429&amp;","&amp;$E429&amp;"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T429" s="5"/>
      <c r="U429" s="5"/>
      <c r="V429" s="5"/>
      <c r="W429" s="5"/>
      <c r="X429" s="5"/>
      <c r="Y429" s="5"/>
      <c r="Z429" s="5"/>
      <c r="AA429" s="5"/>
      <c r="AB429" s="1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</row>
    <row r="430" spans="1:28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5"/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S430" s="1" t="str">
        <f>IF(OR($E430="",$F430=""),"",HYPERLINK(IF(OR(JobState="MI",JobState=""),"https://fema.maps.arcgis.com/apps/mapviewer/index.html?webmap=6a1702b9147243d1a5ee62cd614bc681&amp;center="&amp;$F430&amp;","&amp;$E430&amp;"&amp;level=16&amp;marker="&amp;$F430&amp;","&amp;$E430&amp;"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T430" s="5"/>
      <c r="U430" s="5"/>
      <c r="V430" s="5"/>
      <c r="W430" s="5"/>
      <c r="X430" s="5"/>
      <c r="Y430" s="5"/>
      <c r="Z430" s="5"/>
      <c r="AA430" s="5"/>
      <c r="AB430" s="1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</row>
    <row r="431" spans="1:28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5"/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S431" s="1" t="str">
        <f>IF(OR($E431="",$F431=""),"",HYPERLINK(IF(OR(JobState="MI",JobState=""),"https://fema.maps.arcgis.com/apps/mapviewer/index.html?webmap=6a1702b9147243d1a5ee62cd614bc681&amp;center="&amp;$F431&amp;","&amp;$E431&amp;"&amp;level=16&amp;marker="&amp;$F431&amp;","&amp;$E431&amp;"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T431" s="5"/>
      <c r="U431" s="5"/>
      <c r="V431" s="5"/>
      <c r="W431" s="5"/>
      <c r="X431" s="5"/>
      <c r="Y431" s="5"/>
      <c r="Z431" s="5"/>
      <c r="AA431" s="5"/>
      <c r="AB431" s="1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</row>
    <row r="432" spans="1:28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5"/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S432" s="1" t="str">
        <f>IF(OR($E432="",$F432=""),"",HYPERLINK(IF(OR(JobState="MI",JobState=""),"https://fema.maps.arcgis.com/apps/mapviewer/index.html?webmap=6a1702b9147243d1a5ee62cd614bc681&amp;center="&amp;$F432&amp;","&amp;$E432&amp;"&amp;level=16&amp;marker="&amp;$F432&amp;","&amp;$E432&amp;"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T432" s="5"/>
      <c r="U432" s="5"/>
      <c r="V432" s="5"/>
      <c r="W432" s="5"/>
      <c r="X432" s="5"/>
      <c r="Y432" s="5"/>
      <c r="Z432" s="5"/>
      <c r="AA432" s="5"/>
      <c r="AB432" s="1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</row>
    <row r="433" spans="1:28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5"/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S433" s="1" t="str">
        <f>IF(OR($E433="",$F433=""),"",HYPERLINK(IF(OR(JobState="MI",JobState=""),"https://fema.maps.arcgis.com/apps/mapviewer/index.html?webmap=6a1702b9147243d1a5ee62cd614bc681&amp;center="&amp;$F433&amp;","&amp;$E433&amp;"&amp;level=16&amp;marker="&amp;$F433&amp;","&amp;$E433&amp;"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T433" s="5"/>
      <c r="U433" s="5"/>
      <c r="V433" s="5"/>
      <c r="W433" s="5"/>
      <c r="X433" s="5"/>
      <c r="Y433" s="5"/>
      <c r="Z433" s="5"/>
      <c r="AA433" s="5"/>
      <c r="AB433" s="1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</row>
    <row r="434" spans="1:28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5"/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S434" s="1" t="str">
        <f>IF(OR($E434="",$F434=""),"",HYPERLINK(IF(OR(JobState="MI",JobState=""),"https://fema.maps.arcgis.com/apps/mapviewer/index.html?webmap=6a1702b9147243d1a5ee62cd614bc681&amp;center="&amp;$F434&amp;","&amp;$E434&amp;"&amp;level=16&amp;marker="&amp;$F434&amp;","&amp;$E434&amp;"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T434" s="5"/>
      <c r="U434" s="5"/>
      <c r="V434" s="5"/>
      <c r="W434" s="5"/>
      <c r="X434" s="5"/>
      <c r="Y434" s="5"/>
      <c r="Z434" s="5"/>
      <c r="AA434" s="5"/>
      <c r="AB434" s="1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</row>
    <row r="435" spans="1:28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5"/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S435" s="1" t="str">
        <f>IF(OR($E435="",$F435=""),"",HYPERLINK(IF(OR(JobState="MI",JobState=""),"https://fema.maps.arcgis.com/apps/mapviewer/index.html?webmap=6a1702b9147243d1a5ee62cd614bc681&amp;center="&amp;$F435&amp;","&amp;$E435&amp;"&amp;level=16&amp;marker="&amp;$F435&amp;","&amp;$E435&amp;"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T435" s="5"/>
      <c r="U435" s="5"/>
      <c r="V435" s="5"/>
      <c r="W435" s="5"/>
      <c r="X435" s="5"/>
      <c r="Y435" s="5"/>
      <c r="Z435" s="5"/>
      <c r="AA435" s="5"/>
      <c r="AB435" s="1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</row>
    <row r="436" spans="1:28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5"/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S436" s="1" t="str">
        <f>IF(OR($E436="",$F436=""),"",HYPERLINK(IF(OR(JobState="MI",JobState=""),"https://fema.maps.arcgis.com/apps/mapviewer/index.html?webmap=6a1702b9147243d1a5ee62cd614bc681&amp;center="&amp;$F436&amp;","&amp;$E436&amp;"&amp;level=16&amp;marker="&amp;$F436&amp;","&amp;$E436&amp;"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T436" s="5"/>
      <c r="U436" s="5"/>
      <c r="V436" s="5"/>
      <c r="W436" s="5"/>
      <c r="X436" s="5"/>
      <c r="Y436" s="5"/>
      <c r="Z436" s="5"/>
      <c r="AA436" s="5"/>
      <c r="AB436" s="1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</row>
    <row r="437" spans="1:28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5"/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S437" s="1" t="str">
        <f>IF(OR($E437="",$F437=""),"",HYPERLINK(IF(OR(JobState="MI",JobState=""),"https://fema.maps.arcgis.com/apps/mapviewer/index.html?webmap=6a1702b9147243d1a5ee62cd614bc681&amp;center="&amp;$F437&amp;","&amp;$E437&amp;"&amp;level=16&amp;marker="&amp;$F437&amp;","&amp;$E437&amp;"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T437" s="5"/>
      <c r="U437" s="5"/>
      <c r="V437" s="5"/>
      <c r="W437" s="5"/>
      <c r="X437" s="5"/>
      <c r="Y437" s="5"/>
      <c r="Z437" s="5"/>
      <c r="AA437" s="5"/>
      <c r="AB437" s="1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</row>
    <row r="438" spans="1:28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5"/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S438" s="1" t="str">
        <f>IF(OR($E438="",$F438=""),"",HYPERLINK(IF(OR(JobState="MI",JobState=""),"https://fema.maps.arcgis.com/apps/mapviewer/index.html?webmap=6a1702b9147243d1a5ee62cd614bc681&amp;center="&amp;$F438&amp;","&amp;$E438&amp;"&amp;level=16&amp;marker="&amp;$F438&amp;","&amp;$E438&amp;"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T438" s="5"/>
      <c r="U438" s="5"/>
      <c r="V438" s="5"/>
      <c r="W438" s="5"/>
      <c r="X438" s="5"/>
      <c r="Y438" s="5"/>
      <c r="Z438" s="5"/>
      <c r="AA438" s="5"/>
      <c r="AB438" s="1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</row>
    <row r="439" spans="1:28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5"/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S439" s="1" t="str">
        <f>IF(OR($E439="",$F439=""),"",HYPERLINK(IF(OR(JobState="MI",JobState=""),"https://fema.maps.arcgis.com/apps/mapviewer/index.html?webmap=6a1702b9147243d1a5ee62cd614bc681&amp;center="&amp;$F439&amp;","&amp;$E439&amp;"&amp;level=16&amp;marker="&amp;$F439&amp;","&amp;$E439&amp;"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T439" s="5"/>
      <c r="U439" s="5"/>
      <c r="V439" s="5"/>
      <c r="W439" s="5"/>
      <c r="X439" s="5"/>
      <c r="Y439" s="5"/>
      <c r="Z439" s="5"/>
      <c r="AA439" s="5"/>
      <c r="AB439" s="1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</row>
    <row r="440" spans="1:28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5"/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S440" s="1" t="str">
        <f>IF(OR($E440="",$F440=""),"",HYPERLINK(IF(OR(JobState="MI",JobState=""),"https://fema.maps.arcgis.com/apps/mapviewer/index.html?webmap=6a1702b9147243d1a5ee62cd614bc681&amp;center="&amp;$F440&amp;","&amp;$E440&amp;"&amp;level=16&amp;marker="&amp;$F440&amp;","&amp;$E440&amp;"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T440" s="5"/>
      <c r="U440" s="5"/>
      <c r="V440" s="5"/>
      <c r="W440" s="5"/>
      <c r="X440" s="5"/>
      <c r="Y440" s="5"/>
      <c r="Z440" s="5"/>
      <c r="AA440" s="5"/>
      <c r="AB440" s="1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</row>
    <row r="441" spans="1:28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5"/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S441" s="1" t="str">
        <f>IF(OR($E441="",$F441=""),"",HYPERLINK(IF(OR(JobState="MI",JobState=""),"https://fema.maps.arcgis.com/apps/mapviewer/index.html?webmap=6a1702b9147243d1a5ee62cd614bc681&amp;center="&amp;$F441&amp;","&amp;$E441&amp;"&amp;level=16&amp;marker="&amp;$F441&amp;","&amp;$E441&amp;"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T441" s="5"/>
      <c r="U441" s="5"/>
      <c r="V441" s="5"/>
      <c r="W441" s="5"/>
      <c r="X441" s="5"/>
      <c r="Y441" s="5"/>
      <c r="Z441" s="5"/>
      <c r="AA441" s="5"/>
      <c r="AB441" s="1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</row>
    <row r="442" spans="1:28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5"/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S442" s="1" t="str">
        <f>IF(OR($E442="",$F442=""),"",HYPERLINK(IF(OR(JobState="MI",JobState=""),"https://fema.maps.arcgis.com/apps/mapviewer/index.html?webmap=6a1702b9147243d1a5ee62cd614bc681&amp;center="&amp;$F442&amp;","&amp;$E442&amp;"&amp;level=16&amp;marker="&amp;$F442&amp;","&amp;$E442&amp;"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T442" s="5"/>
      <c r="U442" s="5"/>
      <c r="V442" s="5"/>
      <c r="W442" s="5"/>
      <c r="X442" s="5"/>
      <c r="Y442" s="5"/>
      <c r="Z442" s="5"/>
      <c r="AA442" s="5"/>
      <c r="AB442" s="1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</row>
    <row r="443" spans="1:28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5"/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S443" s="1" t="str">
        <f>IF(OR($E443="",$F443=""),"",HYPERLINK(IF(OR(JobState="MI",JobState=""),"https://fema.maps.arcgis.com/apps/mapviewer/index.html?webmap=6a1702b9147243d1a5ee62cd614bc681&amp;center="&amp;$F443&amp;","&amp;$E443&amp;"&amp;level=16&amp;marker="&amp;$F443&amp;","&amp;$E443&amp;"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T443" s="5"/>
      <c r="U443" s="5"/>
      <c r="V443" s="5"/>
      <c r="W443" s="5"/>
      <c r="X443" s="5"/>
      <c r="Y443" s="5"/>
      <c r="Z443" s="5"/>
      <c r="AA443" s="5"/>
      <c r="AB443" s="1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</row>
    <row r="444" spans="1:28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5"/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S444" s="1" t="str">
        <f>IF(OR($E444="",$F444=""),"",HYPERLINK(IF(OR(JobState="MI",JobState=""),"https://fema.maps.arcgis.com/apps/mapviewer/index.html?webmap=6a1702b9147243d1a5ee62cd614bc681&amp;center="&amp;$F444&amp;","&amp;$E444&amp;"&amp;level=16&amp;marker="&amp;$F444&amp;","&amp;$E444&amp;"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T444" s="5"/>
      <c r="U444" s="5"/>
      <c r="V444" s="5"/>
      <c r="W444" s="5"/>
      <c r="X444" s="5"/>
      <c r="Y444" s="5"/>
      <c r="Z444" s="5"/>
      <c r="AA444" s="5"/>
      <c r="AB444" s="1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</row>
    <row r="445" spans="1:28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5"/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S445" s="1" t="str">
        <f>IF(OR($E445="",$F445=""),"",HYPERLINK(IF(OR(JobState="MI",JobState=""),"https://fema.maps.arcgis.com/apps/mapviewer/index.html?webmap=6a1702b9147243d1a5ee62cd614bc681&amp;center="&amp;$F445&amp;","&amp;$E445&amp;"&amp;level=16&amp;marker="&amp;$F445&amp;","&amp;$E445&amp;"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T445" s="5"/>
      <c r="U445" s="5"/>
      <c r="V445" s="5"/>
      <c r="W445" s="5"/>
      <c r="X445" s="5"/>
      <c r="Y445" s="5"/>
      <c r="Z445" s="5"/>
      <c r="AA445" s="5"/>
      <c r="AB445" s="1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</row>
    <row r="446" spans="1:28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5"/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S446" s="1" t="str">
        <f>IF(OR($E446="",$F446=""),"",HYPERLINK(IF(OR(JobState="MI",JobState=""),"https://fema.maps.arcgis.com/apps/mapviewer/index.html?webmap=6a1702b9147243d1a5ee62cd614bc681&amp;center="&amp;$F446&amp;","&amp;$E446&amp;"&amp;level=16&amp;marker="&amp;$F446&amp;","&amp;$E446&amp;"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T446" s="5"/>
      <c r="U446" s="5"/>
      <c r="V446" s="5"/>
      <c r="W446" s="5"/>
      <c r="X446" s="5"/>
      <c r="Y446" s="5"/>
      <c r="Z446" s="5"/>
      <c r="AA446" s="5"/>
      <c r="AB446" s="1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</row>
    <row r="447" spans="1:28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5"/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S447" s="1" t="str">
        <f>IF(OR($E447="",$F447=""),"",HYPERLINK(IF(OR(JobState="MI",JobState=""),"https://fema.maps.arcgis.com/apps/mapviewer/index.html?webmap=6a1702b9147243d1a5ee62cd614bc681&amp;center="&amp;$F447&amp;","&amp;$E447&amp;"&amp;level=16&amp;marker="&amp;$F447&amp;","&amp;$E447&amp;"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T447" s="5"/>
      <c r="U447" s="5"/>
      <c r="V447" s="5"/>
      <c r="W447" s="5"/>
      <c r="X447" s="5"/>
      <c r="Y447" s="5"/>
      <c r="Z447" s="5"/>
      <c r="AA447" s="5"/>
      <c r="AB447" s="1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</row>
    <row r="448" spans="1:28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5"/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S448" s="1" t="str">
        <f>IF(OR($E448="",$F448=""),"",HYPERLINK(IF(OR(JobState="MI",JobState=""),"https://fema.maps.arcgis.com/apps/mapviewer/index.html?webmap=6a1702b9147243d1a5ee62cd614bc681&amp;center="&amp;$F448&amp;","&amp;$E448&amp;"&amp;level=16&amp;marker="&amp;$F448&amp;","&amp;$E448&amp;"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T448" s="5"/>
      <c r="U448" s="5"/>
      <c r="V448" s="5"/>
      <c r="W448" s="5"/>
      <c r="X448" s="5"/>
      <c r="Y448" s="5"/>
      <c r="Z448" s="5"/>
      <c r="AA448" s="5"/>
      <c r="AB448" s="1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</row>
    <row r="449" spans="1:28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5"/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S449" s="1" t="str">
        <f>IF(OR($E449="",$F449=""),"",HYPERLINK(IF(OR(JobState="MI",JobState=""),"https://fema.maps.arcgis.com/apps/mapviewer/index.html?webmap=6a1702b9147243d1a5ee62cd614bc681&amp;center="&amp;$F449&amp;","&amp;$E449&amp;"&amp;level=16&amp;marker="&amp;$F449&amp;","&amp;$E449&amp;"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T449" s="5"/>
      <c r="U449" s="5"/>
      <c r="V449" s="5"/>
      <c r="W449" s="5"/>
      <c r="X449" s="5"/>
      <c r="Y449" s="5"/>
      <c r="Z449" s="5"/>
      <c r="AA449" s="5"/>
      <c r="AB449" s="1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</row>
    <row r="450" spans="1:28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5"/>
      <c r="M450" s="1" t="str">
        <f t="shared" si="36"/>
        <v/>
      </c>
      <c r="N450" s="1" t="str">
        <f t="shared" si="37"/>
        <v/>
      </c>
      <c r="O450" s="1" t="str">
        <f t="shared" si="38"/>
        <v/>
      </c>
      <c r="P450" s="1" t="str">
        <f t="shared" si="39"/>
        <v/>
      </c>
      <c r="Q450" s="1" t="str">
        <f t="shared" si="40"/>
        <v/>
      </c>
      <c r="R450" s="1" t="str">
        <f t="shared" si="41"/>
        <v/>
      </c>
      <c r="S450" s="1" t="str">
        <f>IF(OR($E450="",$F450=""),"",HYPERLINK(IF(OR(JobState="MI",JobState=""),"https://fema.maps.arcgis.com/apps/mapviewer/index.html?webmap=6a1702b9147243d1a5ee62cd614bc681&amp;center="&amp;$F450&amp;","&amp;$E450&amp;"&amp;level=16&amp;marker="&amp;$F450&amp;","&amp;$E450&amp;"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T450" s="5"/>
      <c r="U450" s="5"/>
      <c r="V450" s="5"/>
      <c r="W450" s="5"/>
      <c r="X450" s="5"/>
      <c r="Y450" s="5"/>
      <c r="Z450" s="5"/>
      <c r="AA450" s="5"/>
      <c r="AB450" s="1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</row>
    <row r="451" spans="1:28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5"/>
      <c r="M451" s="1" t="str">
        <f t="shared" ref="M451:M502" si="42">IF(OR($E451="",$F451=""),"",HYPERLINK("https://www.google.com/maps?q="&amp;$E451&amp;","&amp;$F451&amp;"","Map"))</f>
        <v/>
      </c>
      <c r="N451" s="1" t="str">
        <f t="shared" ref="N451:N502" si="43">IF(OR($E451="",$F451=""),"",HYPERLINK("https://www.google.com/maps?q&amp;layer=c&amp;cbll="&amp;$E451&amp;","&amp;$F451&amp;"","Street"))</f>
        <v/>
      </c>
      <c r="O451" s="1" t="str">
        <f t="shared" ref="O451:O502" si="44">IF(OR($E451="",$F451=""),"",HYPERLINK("https://www.bing.com/maps?cp="&amp;$E451&amp;"~"&amp;$F451&amp;"&amp;lvl=18&amp;style=h","Bing"))</f>
        <v/>
      </c>
      <c r="P451" s="1" t="str">
        <f t="shared" ref="P451:P502" si="45">IF(OR($E451="",$F451=""),"",HYPERLINK("https://earth.google.com/web/search/"&amp;$E451&amp;","&amp;$F451&amp;"","Earth"))</f>
        <v/>
      </c>
      <c r="Q451" s="1" t="str">
        <f t="shared" ref="Q451:Q502" si="46">IF(OR($E451="",$F451=""),"",HYPERLINK("https://fema.maps.arcgis.com/apps/mapviewer/index.html?find="&amp;$F451&amp;"%2C"&amp;$E451&amp;"&amp;marker="&amp;$F451&amp;","&amp;$E451&amp;",4326&amp;level=16","FEMA"))</f>
        <v/>
      </c>
      <c r="R451" s="1" t="str">
        <f t="shared" ref="R451:R502" si="47">IF(OR($E451="",$F451=""),"",HYPERLINK("https://msc.fema.gov/portal/firmette?latitude="&amp;$E451&amp;"&amp;longitude="&amp;$F451&amp;"","FIRMette"))</f>
        <v/>
      </c>
      <c r="S451" s="1" t="str">
        <f>IF(OR($E451="",$F451=""),"",HYPERLINK(IF(OR(JobState="MI",JobState=""),"https://fema.maps.arcgis.com/apps/mapviewer/index.html?webmap=6a1702b9147243d1a5ee62cd614bc681&amp;center="&amp;$F451&amp;","&amp;$E451&amp;"&amp;level=16&amp;marker="&amp;$F451&amp;","&amp;$E451&amp;"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T451" s="5"/>
      <c r="U451" s="5"/>
      <c r="V451" s="5"/>
      <c r="W451" s="5"/>
      <c r="X451" s="5"/>
      <c r="Y451" s="5"/>
      <c r="Z451" s="5"/>
      <c r="AA451" s="5"/>
      <c r="AB451" s="1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</row>
    <row r="452" spans="1:28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5"/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S452" s="1" t="str">
        <f>IF(OR($E452="",$F452=""),"",HYPERLINK(IF(OR(JobState="MI",JobState=""),"https://fema.maps.arcgis.com/apps/mapviewer/index.html?webmap=6a1702b9147243d1a5ee62cd614bc681&amp;center="&amp;$F452&amp;","&amp;$E452&amp;"&amp;level=16&amp;marker="&amp;$F452&amp;","&amp;$E452&amp;"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T452" s="5"/>
      <c r="U452" s="5"/>
      <c r="V452" s="5"/>
      <c r="W452" s="5"/>
      <c r="X452" s="5"/>
      <c r="Y452" s="5"/>
      <c r="Z452" s="5"/>
      <c r="AA452" s="5"/>
      <c r="AB452" s="1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</row>
    <row r="453" spans="1:28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5"/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S453" s="1" t="str">
        <f>IF(OR($E453="",$F453=""),"",HYPERLINK(IF(OR(JobState="MI",JobState=""),"https://fema.maps.arcgis.com/apps/mapviewer/index.html?webmap=6a1702b9147243d1a5ee62cd614bc681&amp;center="&amp;$F453&amp;","&amp;$E453&amp;"&amp;level=16&amp;marker="&amp;$F453&amp;","&amp;$E453&amp;"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T453" s="5"/>
      <c r="U453" s="5"/>
      <c r="V453" s="5"/>
      <c r="W453" s="5"/>
      <c r="X453" s="5"/>
      <c r="Y453" s="5"/>
      <c r="Z453" s="5"/>
      <c r="AA453" s="5"/>
      <c r="AB453" s="1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</row>
    <row r="454" spans="1:28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5"/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S454" s="1" t="str">
        <f>IF(OR($E454="",$F454=""),"",HYPERLINK(IF(OR(JobState="MI",JobState=""),"https://fema.maps.arcgis.com/apps/mapviewer/index.html?webmap=6a1702b9147243d1a5ee62cd614bc681&amp;center="&amp;$F454&amp;","&amp;$E454&amp;"&amp;level=16&amp;marker="&amp;$F454&amp;","&amp;$E454&amp;"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T454" s="5"/>
      <c r="U454" s="5"/>
      <c r="V454" s="5"/>
      <c r="W454" s="5"/>
      <c r="X454" s="5"/>
      <c r="Y454" s="5"/>
      <c r="Z454" s="5"/>
      <c r="AA454" s="5"/>
      <c r="AB454" s="1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</row>
    <row r="455" spans="1:28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5"/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S455" s="1" t="str">
        <f>IF(OR($E455="",$F455=""),"",HYPERLINK(IF(OR(JobState="MI",JobState=""),"https://fema.maps.arcgis.com/apps/mapviewer/index.html?webmap=6a1702b9147243d1a5ee62cd614bc681&amp;center="&amp;$F455&amp;","&amp;$E455&amp;"&amp;level=16&amp;marker="&amp;$F455&amp;","&amp;$E455&amp;"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T455" s="5"/>
      <c r="U455" s="5"/>
      <c r="V455" s="5"/>
      <c r="W455" s="5"/>
      <c r="X455" s="5"/>
      <c r="Y455" s="5"/>
      <c r="Z455" s="5"/>
      <c r="AA455" s="5"/>
      <c r="AB455" s="1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</row>
    <row r="456" spans="1:28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5"/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S456" s="1" t="str">
        <f>IF(OR($E456="",$F456=""),"",HYPERLINK(IF(OR(JobState="MI",JobState=""),"https://fema.maps.arcgis.com/apps/mapviewer/index.html?webmap=6a1702b9147243d1a5ee62cd614bc681&amp;center="&amp;$F456&amp;","&amp;$E456&amp;"&amp;level=16&amp;marker="&amp;$F456&amp;","&amp;$E456&amp;"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T456" s="5"/>
      <c r="U456" s="5"/>
      <c r="V456" s="5"/>
      <c r="W456" s="5"/>
      <c r="X456" s="5"/>
      <c r="Y456" s="5"/>
      <c r="Z456" s="5"/>
      <c r="AA456" s="5"/>
      <c r="AB456" s="1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</row>
    <row r="457" spans="1:28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5"/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S457" s="1" t="str">
        <f>IF(OR($E457="",$F457=""),"",HYPERLINK(IF(OR(JobState="MI",JobState=""),"https://fema.maps.arcgis.com/apps/mapviewer/index.html?webmap=6a1702b9147243d1a5ee62cd614bc681&amp;center="&amp;$F457&amp;","&amp;$E457&amp;"&amp;level=16&amp;marker="&amp;$F457&amp;","&amp;$E457&amp;"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T457" s="5"/>
      <c r="U457" s="5"/>
      <c r="V457" s="5"/>
      <c r="W457" s="5"/>
      <c r="X457" s="5"/>
      <c r="Y457" s="5"/>
      <c r="Z457" s="5"/>
      <c r="AA457" s="5"/>
      <c r="AB457" s="1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</row>
    <row r="458" spans="1:28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5"/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S458" s="1" t="str">
        <f>IF(OR($E458="",$F458=""),"",HYPERLINK(IF(OR(JobState="MI",JobState=""),"https://fema.maps.arcgis.com/apps/mapviewer/index.html?webmap=6a1702b9147243d1a5ee62cd614bc681&amp;center="&amp;$F458&amp;","&amp;$E458&amp;"&amp;level=16&amp;marker="&amp;$F458&amp;","&amp;$E458&amp;"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T458" s="5"/>
      <c r="U458" s="5"/>
      <c r="V458" s="5"/>
      <c r="W458" s="5"/>
      <c r="X458" s="5"/>
      <c r="Y458" s="5"/>
      <c r="Z458" s="5"/>
      <c r="AA458" s="5"/>
      <c r="AB458" s="1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</row>
    <row r="459" spans="1:28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5"/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S459" s="1" t="str">
        <f>IF(OR($E459="",$F459=""),"",HYPERLINK(IF(OR(JobState="MI",JobState=""),"https://fema.maps.arcgis.com/apps/mapviewer/index.html?webmap=6a1702b9147243d1a5ee62cd614bc681&amp;center="&amp;$F459&amp;","&amp;$E459&amp;"&amp;level=16&amp;marker="&amp;$F459&amp;","&amp;$E459&amp;"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T459" s="5"/>
      <c r="U459" s="5"/>
      <c r="V459" s="5"/>
      <c r="W459" s="5"/>
      <c r="X459" s="5"/>
      <c r="Y459" s="5"/>
      <c r="Z459" s="5"/>
      <c r="AA459" s="5"/>
      <c r="AB459" s="1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</row>
    <row r="460" spans="1:28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5"/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S460" s="1" t="str">
        <f>IF(OR($E460="",$F460=""),"",HYPERLINK(IF(OR(JobState="MI",JobState=""),"https://fema.maps.arcgis.com/apps/mapviewer/index.html?webmap=6a1702b9147243d1a5ee62cd614bc681&amp;center="&amp;$F460&amp;","&amp;$E460&amp;"&amp;level=16&amp;marker="&amp;$F460&amp;","&amp;$E460&amp;"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T460" s="5"/>
      <c r="U460" s="5"/>
      <c r="V460" s="5"/>
      <c r="W460" s="5"/>
      <c r="X460" s="5"/>
      <c r="Y460" s="5"/>
      <c r="Z460" s="5"/>
      <c r="AA460" s="5"/>
      <c r="AB460" s="1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</row>
    <row r="461" spans="1:28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5"/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S461" s="1" t="str">
        <f>IF(OR($E461="",$F461=""),"",HYPERLINK(IF(OR(JobState="MI",JobState=""),"https://fema.maps.arcgis.com/apps/mapviewer/index.html?webmap=6a1702b9147243d1a5ee62cd614bc681&amp;center="&amp;$F461&amp;","&amp;$E461&amp;"&amp;level=16&amp;marker="&amp;$F461&amp;","&amp;$E461&amp;"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T461" s="5"/>
      <c r="U461" s="5"/>
      <c r="V461" s="5"/>
      <c r="W461" s="5"/>
      <c r="X461" s="5"/>
      <c r="Y461" s="5"/>
      <c r="Z461" s="5"/>
      <c r="AA461" s="5"/>
      <c r="AB461" s="1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</row>
    <row r="462" spans="1:28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5"/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S462" s="1" t="str">
        <f>IF(OR($E462="",$F462=""),"",HYPERLINK(IF(OR(JobState="MI",JobState=""),"https://fema.maps.arcgis.com/apps/mapviewer/index.html?webmap=6a1702b9147243d1a5ee62cd614bc681&amp;center="&amp;$F462&amp;","&amp;$E462&amp;"&amp;level=16&amp;marker="&amp;$F462&amp;","&amp;$E462&amp;"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T462" s="5"/>
      <c r="U462" s="5"/>
      <c r="V462" s="5"/>
      <c r="W462" s="5"/>
      <c r="X462" s="5"/>
      <c r="Y462" s="5"/>
      <c r="Z462" s="5"/>
      <c r="AA462" s="5"/>
      <c r="AB462" s="1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</row>
    <row r="463" spans="1:28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5"/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S463" s="1" t="str">
        <f>IF(OR($E463="",$F463=""),"",HYPERLINK(IF(OR(JobState="MI",JobState=""),"https://fema.maps.arcgis.com/apps/mapviewer/index.html?webmap=6a1702b9147243d1a5ee62cd614bc681&amp;center="&amp;$F463&amp;","&amp;$E463&amp;"&amp;level=16&amp;marker="&amp;$F463&amp;","&amp;$E463&amp;"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T463" s="5"/>
      <c r="U463" s="5"/>
      <c r="V463" s="5"/>
      <c r="W463" s="5"/>
      <c r="X463" s="5"/>
      <c r="Y463" s="5"/>
      <c r="Z463" s="5"/>
      <c r="AA463" s="5"/>
      <c r="AB463" s="1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</row>
    <row r="464" spans="1:28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5"/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S464" s="1" t="str">
        <f>IF(OR($E464="",$F464=""),"",HYPERLINK(IF(OR(JobState="MI",JobState=""),"https://fema.maps.arcgis.com/apps/mapviewer/index.html?webmap=6a1702b9147243d1a5ee62cd614bc681&amp;center="&amp;$F464&amp;","&amp;$E464&amp;"&amp;level=16&amp;marker="&amp;$F464&amp;","&amp;$E464&amp;"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T464" s="5"/>
      <c r="U464" s="5"/>
      <c r="V464" s="5"/>
      <c r="W464" s="5"/>
      <c r="X464" s="5"/>
      <c r="Y464" s="5"/>
      <c r="Z464" s="5"/>
      <c r="AA464" s="5"/>
      <c r="AB464" s="1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</row>
    <row r="465" spans="1:28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5"/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S465" s="1" t="str">
        <f>IF(OR($E465="",$F465=""),"",HYPERLINK(IF(OR(JobState="MI",JobState=""),"https://fema.maps.arcgis.com/apps/mapviewer/index.html?webmap=6a1702b9147243d1a5ee62cd614bc681&amp;center="&amp;$F465&amp;","&amp;$E465&amp;"&amp;level=16&amp;marker="&amp;$F465&amp;","&amp;$E465&amp;"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T465" s="5"/>
      <c r="U465" s="5"/>
      <c r="V465" s="5"/>
      <c r="W465" s="5"/>
      <c r="X465" s="5"/>
      <c r="Y465" s="5"/>
      <c r="Z465" s="5"/>
      <c r="AA465" s="5"/>
      <c r="AB465" s="1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</row>
    <row r="466" spans="1:28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5"/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S466" s="1" t="str">
        <f>IF(OR($E466="",$F466=""),"",HYPERLINK(IF(OR(JobState="MI",JobState=""),"https://fema.maps.arcgis.com/apps/mapviewer/index.html?webmap=6a1702b9147243d1a5ee62cd614bc681&amp;center="&amp;$F466&amp;","&amp;$E466&amp;"&amp;level=16&amp;marker="&amp;$F466&amp;","&amp;$E466&amp;"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T466" s="5"/>
      <c r="U466" s="5"/>
      <c r="V466" s="5"/>
      <c r="W466" s="5"/>
      <c r="X466" s="5"/>
      <c r="Y466" s="5"/>
      <c r="Z466" s="5"/>
      <c r="AA466" s="5"/>
      <c r="AB466" s="1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</row>
    <row r="467" spans="1:28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5"/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S467" s="1" t="str">
        <f>IF(OR($E467="",$F467=""),"",HYPERLINK(IF(OR(JobState="MI",JobState=""),"https://fema.maps.arcgis.com/apps/mapviewer/index.html?webmap=6a1702b9147243d1a5ee62cd614bc681&amp;center="&amp;$F467&amp;","&amp;$E467&amp;"&amp;level=16&amp;marker="&amp;$F467&amp;","&amp;$E467&amp;"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T467" s="5"/>
      <c r="U467" s="5"/>
      <c r="V467" s="5"/>
      <c r="W467" s="5"/>
      <c r="X467" s="5"/>
      <c r="Y467" s="5"/>
      <c r="Z467" s="5"/>
      <c r="AA467" s="5"/>
      <c r="AB467" s="1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</row>
    <row r="468" spans="1:28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5"/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S468" s="1" t="str">
        <f>IF(OR($E468="",$F468=""),"",HYPERLINK(IF(OR(JobState="MI",JobState=""),"https://fema.maps.arcgis.com/apps/mapviewer/index.html?webmap=6a1702b9147243d1a5ee62cd614bc681&amp;center="&amp;$F468&amp;","&amp;$E468&amp;"&amp;level=16&amp;marker="&amp;$F468&amp;","&amp;$E468&amp;"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T468" s="5"/>
      <c r="U468" s="5"/>
      <c r="V468" s="5"/>
      <c r="W468" s="5"/>
      <c r="X468" s="5"/>
      <c r="Y468" s="5"/>
      <c r="Z468" s="5"/>
      <c r="AA468" s="5"/>
      <c r="AB468" s="1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</row>
    <row r="469" spans="1:28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5"/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S469" s="1" t="str">
        <f>IF(OR($E469="",$F469=""),"",HYPERLINK(IF(OR(JobState="MI",JobState=""),"https://fema.maps.arcgis.com/apps/mapviewer/index.html?webmap=6a1702b9147243d1a5ee62cd614bc681&amp;center="&amp;$F469&amp;","&amp;$E469&amp;"&amp;level=16&amp;marker="&amp;$F469&amp;","&amp;$E469&amp;"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T469" s="5"/>
      <c r="U469" s="5"/>
      <c r="V469" s="5"/>
      <c r="W469" s="5"/>
      <c r="X469" s="5"/>
      <c r="Y469" s="5"/>
      <c r="Z469" s="5"/>
      <c r="AA469" s="5"/>
      <c r="AB469" s="1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</row>
    <row r="470" spans="1:28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5"/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S470" s="1" t="str">
        <f>IF(OR($E470="",$F470=""),"",HYPERLINK(IF(OR(JobState="MI",JobState=""),"https://fema.maps.arcgis.com/apps/mapviewer/index.html?webmap=6a1702b9147243d1a5ee62cd614bc681&amp;center="&amp;$F470&amp;","&amp;$E470&amp;"&amp;level=16&amp;marker="&amp;$F470&amp;","&amp;$E470&amp;"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T470" s="5"/>
      <c r="U470" s="5"/>
      <c r="V470" s="5"/>
      <c r="W470" s="5"/>
      <c r="X470" s="5"/>
      <c r="Y470" s="5"/>
      <c r="Z470" s="5"/>
      <c r="AA470" s="5"/>
      <c r="AB470" s="1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</row>
    <row r="471" spans="1:28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5"/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S471" s="1" t="str">
        <f>IF(OR($E471="",$F471=""),"",HYPERLINK(IF(OR(JobState="MI",JobState=""),"https://fema.maps.arcgis.com/apps/mapviewer/index.html?webmap=6a1702b9147243d1a5ee62cd614bc681&amp;center="&amp;$F471&amp;","&amp;$E471&amp;"&amp;level=16&amp;marker="&amp;$F471&amp;","&amp;$E471&amp;"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T471" s="5"/>
      <c r="U471" s="5"/>
      <c r="V471" s="5"/>
      <c r="W471" s="5"/>
      <c r="X471" s="5"/>
      <c r="Y471" s="5"/>
      <c r="Z471" s="5"/>
      <c r="AA471" s="5"/>
      <c r="AB471" s="1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</row>
    <row r="472" spans="1:28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5"/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S472" s="1" t="str">
        <f>IF(OR($E472="",$F472=""),"",HYPERLINK(IF(OR(JobState="MI",JobState=""),"https://fema.maps.arcgis.com/apps/mapviewer/index.html?webmap=6a1702b9147243d1a5ee62cd614bc681&amp;center="&amp;$F472&amp;","&amp;$E472&amp;"&amp;level=16&amp;marker="&amp;$F472&amp;","&amp;$E472&amp;"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T472" s="5"/>
      <c r="U472" s="5"/>
      <c r="V472" s="5"/>
      <c r="W472" s="5"/>
      <c r="X472" s="5"/>
      <c r="Y472" s="5"/>
      <c r="Z472" s="5"/>
      <c r="AA472" s="5"/>
      <c r="AB472" s="1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</row>
    <row r="473" spans="1:28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5"/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S473" s="1" t="str">
        <f>IF(OR($E473="",$F473=""),"",HYPERLINK(IF(OR(JobState="MI",JobState=""),"https://fema.maps.arcgis.com/apps/mapviewer/index.html?webmap=6a1702b9147243d1a5ee62cd614bc681&amp;center="&amp;$F473&amp;","&amp;$E473&amp;"&amp;level=16&amp;marker="&amp;$F473&amp;","&amp;$E473&amp;"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T473" s="5"/>
      <c r="U473" s="5"/>
      <c r="V473" s="5"/>
      <c r="W473" s="5"/>
      <c r="X473" s="5"/>
      <c r="Y473" s="5"/>
      <c r="Z473" s="5"/>
      <c r="AA473" s="5"/>
      <c r="AB473" s="1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</row>
    <row r="474" spans="1:28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5"/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S474" s="1" t="str">
        <f>IF(OR($E474="",$F474=""),"",HYPERLINK(IF(OR(JobState="MI",JobState=""),"https://fema.maps.arcgis.com/apps/mapviewer/index.html?webmap=6a1702b9147243d1a5ee62cd614bc681&amp;center="&amp;$F474&amp;","&amp;$E474&amp;"&amp;level=16&amp;marker="&amp;$F474&amp;","&amp;$E474&amp;"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T474" s="5"/>
      <c r="U474" s="5"/>
      <c r="V474" s="5"/>
      <c r="W474" s="5"/>
      <c r="X474" s="5"/>
      <c r="Y474" s="5"/>
      <c r="Z474" s="5"/>
      <c r="AA474" s="5"/>
      <c r="AB474" s="1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</row>
    <row r="475" spans="1:28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5"/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S475" s="1" t="str">
        <f>IF(OR($E475="",$F475=""),"",HYPERLINK(IF(OR(JobState="MI",JobState=""),"https://fema.maps.arcgis.com/apps/mapviewer/index.html?webmap=6a1702b9147243d1a5ee62cd614bc681&amp;center="&amp;$F475&amp;","&amp;$E475&amp;"&amp;level=16&amp;marker="&amp;$F475&amp;","&amp;$E475&amp;"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T475" s="5"/>
      <c r="U475" s="5"/>
      <c r="V475" s="5"/>
      <c r="W475" s="5"/>
      <c r="X475" s="5"/>
      <c r="Y475" s="5"/>
      <c r="Z475" s="5"/>
      <c r="AA475" s="5"/>
      <c r="AB475" s="1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</row>
    <row r="476" spans="1:28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5"/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S476" s="1" t="str">
        <f>IF(OR($E476="",$F476=""),"",HYPERLINK(IF(OR(JobState="MI",JobState=""),"https://fema.maps.arcgis.com/apps/mapviewer/index.html?webmap=6a1702b9147243d1a5ee62cd614bc681&amp;center="&amp;$F476&amp;","&amp;$E476&amp;"&amp;level=16&amp;marker="&amp;$F476&amp;","&amp;$E476&amp;"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T476" s="5"/>
      <c r="U476" s="5"/>
      <c r="V476" s="5"/>
      <c r="W476" s="5"/>
      <c r="X476" s="5"/>
      <c r="Y476" s="5"/>
      <c r="Z476" s="5"/>
      <c r="AA476" s="5"/>
      <c r="AB476" s="1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</row>
    <row r="477" spans="1:28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5"/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S477" s="1" t="str">
        <f>IF(OR($E477="",$F477=""),"",HYPERLINK(IF(OR(JobState="MI",JobState=""),"https://fema.maps.arcgis.com/apps/mapviewer/index.html?webmap=6a1702b9147243d1a5ee62cd614bc681&amp;center="&amp;$F477&amp;","&amp;$E477&amp;"&amp;level=16&amp;marker="&amp;$F477&amp;","&amp;$E477&amp;"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T477" s="5"/>
      <c r="U477" s="5"/>
      <c r="V477" s="5"/>
      <c r="W477" s="5"/>
      <c r="X477" s="5"/>
      <c r="Y477" s="5"/>
      <c r="Z477" s="5"/>
      <c r="AA477" s="5"/>
      <c r="AB477" s="1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</row>
    <row r="478" spans="1:28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5"/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S478" s="1" t="str">
        <f>IF(OR($E478="",$F478=""),"",HYPERLINK(IF(OR(JobState="MI",JobState=""),"https://fema.maps.arcgis.com/apps/mapviewer/index.html?webmap=6a1702b9147243d1a5ee62cd614bc681&amp;center="&amp;$F478&amp;","&amp;$E478&amp;"&amp;level=16&amp;marker="&amp;$F478&amp;","&amp;$E478&amp;"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T478" s="5"/>
      <c r="U478" s="5"/>
      <c r="V478" s="5"/>
      <c r="W478" s="5"/>
      <c r="X478" s="5"/>
      <c r="Y478" s="5"/>
      <c r="Z478" s="5"/>
      <c r="AA478" s="5"/>
      <c r="AB478" s="1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</row>
    <row r="479" spans="1:28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5"/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S479" s="1" t="str">
        <f>IF(OR($E479="",$F479=""),"",HYPERLINK(IF(OR(JobState="MI",JobState=""),"https://fema.maps.arcgis.com/apps/mapviewer/index.html?webmap=6a1702b9147243d1a5ee62cd614bc681&amp;center="&amp;$F479&amp;","&amp;$E479&amp;"&amp;level=16&amp;marker="&amp;$F479&amp;","&amp;$E479&amp;"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T479" s="5"/>
      <c r="U479" s="5"/>
      <c r="V479" s="5"/>
      <c r="W479" s="5"/>
      <c r="X479" s="5"/>
      <c r="Y479" s="5"/>
      <c r="Z479" s="5"/>
      <c r="AA479" s="5"/>
      <c r="AB479" s="1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</row>
    <row r="480" spans="1:28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5"/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S480" s="1" t="str">
        <f>IF(OR($E480="",$F480=""),"",HYPERLINK(IF(OR(JobState="MI",JobState=""),"https://fema.maps.arcgis.com/apps/mapviewer/index.html?webmap=6a1702b9147243d1a5ee62cd614bc681&amp;center="&amp;$F480&amp;","&amp;$E480&amp;"&amp;level=16&amp;marker="&amp;$F480&amp;","&amp;$E480&amp;"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T480" s="5"/>
      <c r="U480" s="5"/>
      <c r="V480" s="5"/>
      <c r="W480" s="5"/>
      <c r="X480" s="5"/>
      <c r="Y480" s="5"/>
      <c r="Z480" s="5"/>
      <c r="AA480" s="5"/>
      <c r="AB480" s="1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</row>
    <row r="481" spans="1:28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5"/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S481" s="1" t="str">
        <f>IF(OR($E481="",$F481=""),"",HYPERLINK(IF(OR(JobState="MI",JobState=""),"https://fema.maps.arcgis.com/apps/mapviewer/index.html?webmap=6a1702b9147243d1a5ee62cd614bc681&amp;center="&amp;$F481&amp;","&amp;$E481&amp;"&amp;level=16&amp;marker="&amp;$F481&amp;","&amp;$E481&amp;"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T481" s="5"/>
      <c r="U481" s="5"/>
      <c r="V481" s="5"/>
      <c r="W481" s="5"/>
      <c r="X481" s="5"/>
      <c r="Y481" s="5"/>
      <c r="Z481" s="5"/>
      <c r="AA481" s="5"/>
      <c r="AB481" s="1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</row>
    <row r="482" spans="1:28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5"/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S482" s="1" t="str">
        <f>IF(OR($E482="",$F482=""),"",HYPERLINK(IF(OR(JobState="MI",JobState=""),"https://fema.maps.arcgis.com/apps/mapviewer/index.html?webmap=6a1702b9147243d1a5ee62cd614bc681&amp;center="&amp;$F482&amp;","&amp;$E482&amp;"&amp;level=16&amp;marker="&amp;$F482&amp;","&amp;$E482&amp;"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T482" s="5"/>
      <c r="U482" s="5"/>
      <c r="V482" s="5"/>
      <c r="W482" s="5"/>
      <c r="X482" s="5"/>
      <c r="Y482" s="5"/>
      <c r="Z482" s="5"/>
      <c r="AA482" s="5"/>
      <c r="AB482" s="1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</row>
    <row r="483" spans="1:28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5"/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S483" s="1" t="str">
        <f>IF(OR($E483="",$F483=""),"",HYPERLINK(IF(OR(JobState="MI",JobState=""),"https://fema.maps.arcgis.com/apps/mapviewer/index.html?webmap=6a1702b9147243d1a5ee62cd614bc681&amp;center="&amp;$F483&amp;","&amp;$E483&amp;"&amp;level=16&amp;marker="&amp;$F483&amp;","&amp;$E483&amp;"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T483" s="5"/>
      <c r="U483" s="5"/>
      <c r="V483" s="5"/>
      <c r="W483" s="5"/>
      <c r="X483" s="5"/>
      <c r="Y483" s="5"/>
      <c r="Z483" s="5"/>
      <c r="AA483" s="5"/>
      <c r="AB483" s="1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</row>
    <row r="484" spans="1:28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5"/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S484" s="1" t="str">
        <f>IF(OR($E484="",$F484=""),"",HYPERLINK(IF(OR(JobState="MI",JobState=""),"https://fema.maps.arcgis.com/apps/mapviewer/index.html?webmap=6a1702b9147243d1a5ee62cd614bc681&amp;center="&amp;$F484&amp;","&amp;$E484&amp;"&amp;level=16&amp;marker="&amp;$F484&amp;","&amp;$E484&amp;"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T484" s="5"/>
      <c r="U484" s="5"/>
      <c r="V484" s="5"/>
      <c r="W484" s="5"/>
      <c r="X484" s="5"/>
      <c r="Y484" s="5"/>
      <c r="Z484" s="5"/>
      <c r="AA484" s="5"/>
      <c r="AB484" s="1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</row>
    <row r="485" spans="1:28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5"/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S485" s="1" t="str">
        <f>IF(OR($E485="",$F485=""),"",HYPERLINK(IF(OR(JobState="MI",JobState=""),"https://fema.maps.arcgis.com/apps/mapviewer/index.html?webmap=6a1702b9147243d1a5ee62cd614bc681&amp;center="&amp;$F485&amp;","&amp;$E485&amp;"&amp;level=16&amp;marker="&amp;$F485&amp;","&amp;$E485&amp;"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T485" s="5"/>
      <c r="U485" s="5"/>
      <c r="V485" s="5"/>
      <c r="W485" s="5"/>
      <c r="X485" s="5"/>
      <c r="Y485" s="5"/>
      <c r="Z485" s="5"/>
      <c r="AA485" s="5"/>
      <c r="AB485" s="1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</row>
    <row r="486" spans="1:28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5"/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S486" s="1" t="str">
        <f>IF(OR($E486="",$F486=""),"",HYPERLINK(IF(OR(JobState="MI",JobState=""),"https://fema.maps.arcgis.com/apps/mapviewer/index.html?webmap=6a1702b9147243d1a5ee62cd614bc681&amp;center="&amp;$F486&amp;","&amp;$E486&amp;"&amp;level=16&amp;marker="&amp;$F486&amp;","&amp;$E486&amp;"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T486" s="5"/>
      <c r="U486" s="5"/>
      <c r="V486" s="5"/>
      <c r="W486" s="5"/>
      <c r="X486" s="5"/>
      <c r="Y486" s="5"/>
      <c r="Z486" s="5"/>
      <c r="AA486" s="5"/>
      <c r="AB486" s="1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</row>
    <row r="487" spans="1:28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5"/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S487" s="1" t="str">
        <f>IF(OR($E487="",$F487=""),"",HYPERLINK(IF(OR(JobState="MI",JobState=""),"https://fema.maps.arcgis.com/apps/mapviewer/index.html?webmap=6a1702b9147243d1a5ee62cd614bc681&amp;center="&amp;$F487&amp;","&amp;$E487&amp;"&amp;level=16&amp;marker="&amp;$F487&amp;","&amp;$E487&amp;"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T487" s="5"/>
      <c r="U487" s="5"/>
      <c r="V487" s="5"/>
      <c r="W487" s="5"/>
      <c r="X487" s="5"/>
      <c r="Y487" s="5"/>
      <c r="Z487" s="5"/>
      <c r="AA487" s="5"/>
      <c r="AB487" s="1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</row>
    <row r="488" spans="1:28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5"/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S488" s="1" t="str">
        <f>IF(OR($E488="",$F488=""),"",HYPERLINK(IF(OR(JobState="MI",JobState=""),"https://fema.maps.arcgis.com/apps/mapviewer/index.html?webmap=6a1702b9147243d1a5ee62cd614bc681&amp;center="&amp;$F488&amp;","&amp;$E488&amp;"&amp;level=16&amp;marker="&amp;$F488&amp;","&amp;$E488&amp;"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T488" s="5"/>
      <c r="U488" s="5"/>
      <c r="V488" s="5"/>
      <c r="W488" s="5"/>
      <c r="X488" s="5"/>
      <c r="Y488" s="5"/>
      <c r="Z488" s="5"/>
      <c r="AA488" s="5"/>
      <c r="AB488" s="1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</row>
    <row r="489" spans="1:28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5"/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S489" s="1" t="str">
        <f>IF(OR($E489="",$F489=""),"",HYPERLINK(IF(OR(JobState="MI",JobState=""),"https://fema.maps.arcgis.com/apps/mapviewer/index.html?webmap=6a1702b9147243d1a5ee62cd614bc681&amp;center="&amp;$F489&amp;","&amp;$E489&amp;"&amp;level=16&amp;marker="&amp;$F489&amp;","&amp;$E489&amp;"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T489" s="5"/>
      <c r="U489" s="5"/>
      <c r="V489" s="5"/>
      <c r="W489" s="5"/>
      <c r="X489" s="5"/>
      <c r="Y489" s="5"/>
      <c r="Z489" s="5"/>
      <c r="AA489" s="5"/>
      <c r="AB489" s="1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</row>
    <row r="490" spans="1:28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5"/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S490" s="1" t="str">
        <f>IF(OR($E490="",$F490=""),"",HYPERLINK(IF(OR(JobState="MI",JobState=""),"https://fema.maps.arcgis.com/apps/mapviewer/index.html?webmap=6a1702b9147243d1a5ee62cd614bc681&amp;center="&amp;$F490&amp;","&amp;$E490&amp;"&amp;level=16&amp;marker="&amp;$F490&amp;","&amp;$E490&amp;"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T490" s="5"/>
      <c r="U490" s="5"/>
      <c r="V490" s="5"/>
      <c r="W490" s="5"/>
      <c r="X490" s="5"/>
      <c r="Y490" s="5"/>
      <c r="Z490" s="5"/>
      <c r="AA490" s="5"/>
      <c r="AB490" s="1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</row>
    <row r="491" spans="1:28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5"/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S491" s="1" t="str">
        <f>IF(OR($E491="",$F491=""),"",HYPERLINK(IF(OR(JobState="MI",JobState=""),"https://fema.maps.arcgis.com/apps/mapviewer/index.html?webmap=6a1702b9147243d1a5ee62cd614bc681&amp;center="&amp;$F491&amp;","&amp;$E491&amp;"&amp;level=16&amp;marker="&amp;$F491&amp;","&amp;$E491&amp;"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T491" s="5"/>
      <c r="U491" s="5"/>
      <c r="V491" s="5"/>
      <c r="W491" s="5"/>
      <c r="X491" s="5"/>
      <c r="Y491" s="5"/>
      <c r="Z491" s="5"/>
      <c r="AA491" s="5"/>
      <c r="AB491" s="1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</row>
    <row r="492" spans="1:28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5"/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S492" s="1" t="str">
        <f>IF(OR($E492="",$F492=""),"",HYPERLINK(IF(OR(JobState="MI",JobState=""),"https://fema.maps.arcgis.com/apps/mapviewer/index.html?webmap=6a1702b9147243d1a5ee62cd614bc681&amp;center="&amp;$F492&amp;","&amp;$E492&amp;"&amp;level=16&amp;marker="&amp;$F492&amp;","&amp;$E492&amp;"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T492" s="5"/>
      <c r="U492" s="5"/>
      <c r="V492" s="5"/>
      <c r="W492" s="5"/>
      <c r="X492" s="5"/>
      <c r="Y492" s="5"/>
      <c r="Z492" s="5"/>
      <c r="AA492" s="5"/>
      <c r="AB492" s="1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</row>
    <row r="493" spans="1:28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5"/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S493" s="1" t="str">
        <f>IF(OR($E493="",$F493=""),"",HYPERLINK(IF(OR(JobState="MI",JobState=""),"https://fema.maps.arcgis.com/apps/mapviewer/index.html?webmap=6a1702b9147243d1a5ee62cd614bc681&amp;center="&amp;$F493&amp;","&amp;$E493&amp;"&amp;level=16&amp;marker="&amp;$F493&amp;","&amp;$E493&amp;"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T493" s="5"/>
      <c r="U493" s="5"/>
      <c r="V493" s="5"/>
      <c r="W493" s="5"/>
      <c r="X493" s="5"/>
      <c r="Y493" s="5"/>
      <c r="Z493" s="5"/>
      <c r="AA493" s="5"/>
      <c r="AB493" s="1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</row>
    <row r="494" spans="1:28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5"/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S494" s="1" t="str">
        <f>IF(OR($E494="",$F494=""),"",HYPERLINK(IF(OR(JobState="MI",JobState=""),"https://fema.maps.arcgis.com/apps/mapviewer/index.html?webmap=6a1702b9147243d1a5ee62cd614bc681&amp;center="&amp;$F494&amp;","&amp;$E494&amp;"&amp;level=16&amp;marker="&amp;$F494&amp;","&amp;$E494&amp;"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T494" s="5"/>
      <c r="U494" s="5"/>
      <c r="V494" s="5"/>
      <c r="W494" s="5"/>
      <c r="X494" s="5"/>
      <c r="Y494" s="5"/>
      <c r="Z494" s="5"/>
      <c r="AA494" s="5"/>
      <c r="AB494" s="1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</row>
    <row r="495" spans="1:28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5"/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S495" s="1" t="str">
        <f>IF(OR($E495="",$F495=""),"",HYPERLINK(IF(OR(JobState="MI",JobState=""),"https://fema.maps.arcgis.com/apps/mapviewer/index.html?webmap=6a1702b9147243d1a5ee62cd614bc681&amp;center="&amp;$F495&amp;","&amp;$E495&amp;"&amp;level=16&amp;marker="&amp;$F495&amp;","&amp;$E495&amp;"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T495" s="5"/>
      <c r="U495" s="5"/>
      <c r="V495" s="5"/>
      <c r="W495" s="5"/>
      <c r="X495" s="5"/>
      <c r="Y495" s="5"/>
      <c r="Z495" s="5"/>
      <c r="AA495" s="5"/>
      <c r="AB495" s="1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</row>
    <row r="496" spans="1:28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5"/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S496" s="1" t="str">
        <f>IF(OR($E496="",$F496=""),"",HYPERLINK(IF(OR(JobState="MI",JobState=""),"https://fema.maps.arcgis.com/apps/mapviewer/index.html?webmap=6a1702b9147243d1a5ee62cd614bc681&amp;center="&amp;$F496&amp;","&amp;$E496&amp;"&amp;level=16&amp;marker="&amp;$F496&amp;","&amp;$E496&amp;"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T496" s="5"/>
      <c r="U496" s="5"/>
      <c r="V496" s="5"/>
      <c r="W496" s="5"/>
      <c r="X496" s="5"/>
      <c r="Y496" s="5"/>
      <c r="Z496" s="5"/>
      <c r="AA496" s="5"/>
      <c r="AB496" s="1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</row>
    <row r="497" spans="1:28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5"/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S497" s="1" t="str">
        <f>IF(OR($E497="",$F497=""),"",HYPERLINK(IF(OR(JobState="MI",JobState=""),"https://fema.maps.arcgis.com/apps/mapviewer/index.html?webmap=6a1702b9147243d1a5ee62cd614bc681&amp;center="&amp;$F497&amp;","&amp;$E497&amp;"&amp;level=16&amp;marker="&amp;$F497&amp;","&amp;$E497&amp;"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T497" s="5"/>
      <c r="U497" s="5"/>
      <c r="V497" s="5"/>
      <c r="W497" s="5"/>
      <c r="X497" s="5"/>
      <c r="Y497" s="5"/>
      <c r="Z497" s="5"/>
      <c r="AA497" s="5"/>
      <c r="AB497" s="1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</row>
    <row r="498" spans="1:28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5"/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S498" s="1" t="str">
        <f>IF(OR($E498="",$F498=""),"",HYPERLINK(IF(OR(JobState="MI",JobState=""),"https://fema.maps.arcgis.com/apps/mapviewer/index.html?webmap=6a1702b9147243d1a5ee62cd614bc681&amp;center="&amp;$F498&amp;","&amp;$E498&amp;"&amp;level=16&amp;marker="&amp;$F498&amp;","&amp;$E498&amp;"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T498" s="5"/>
      <c r="U498" s="5"/>
      <c r="V498" s="5"/>
      <c r="W498" s="5"/>
      <c r="X498" s="5"/>
      <c r="Y498" s="5"/>
      <c r="Z498" s="5"/>
      <c r="AA498" s="5"/>
      <c r="AB498" s="1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</row>
    <row r="499" spans="1:28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5"/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S499" s="1" t="str">
        <f>IF(OR($E499="",$F499=""),"",HYPERLINK(IF(OR(JobState="MI",JobState=""),"https://fema.maps.arcgis.com/apps/mapviewer/index.html?webmap=6a1702b9147243d1a5ee62cd614bc681&amp;center="&amp;$F499&amp;","&amp;$E499&amp;"&amp;level=16&amp;marker="&amp;$F499&amp;","&amp;$E499&amp;"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T499" s="5"/>
      <c r="U499" s="5"/>
      <c r="V499" s="5"/>
      <c r="W499" s="5"/>
      <c r="X499" s="5"/>
      <c r="Y499" s="5"/>
      <c r="Z499" s="5"/>
      <c r="AA499" s="5"/>
      <c r="AB499" s="1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</row>
    <row r="500" spans="1:28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5"/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S500" s="1" t="str">
        <f>IF(OR($E500="",$F500=""),"",HYPERLINK(IF(OR(JobState="MI",JobState=""),"https://fema.maps.arcgis.com/apps/mapviewer/index.html?webmap=6a1702b9147243d1a5ee62cd614bc681&amp;center="&amp;$F500&amp;","&amp;$E500&amp;"&amp;level=16&amp;marker="&amp;$F500&amp;","&amp;$E500&amp;"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T500" s="5"/>
      <c r="U500" s="5"/>
      <c r="V500" s="5"/>
      <c r="W500" s="5"/>
      <c r="X500" s="5"/>
      <c r="Y500" s="5"/>
      <c r="Z500" s="5"/>
      <c r="AA500" s="5"/>
      <c r="AB500" s="1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</row>
    <row r="501" spans="1:28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5"/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S501" s="1" t="str">
        <f>IF(OR($E501="",$F501=""),"",HYPERLINK(IF(OR(JobState="MI",JobState=""),"https://fema.maps.arcgis.com/apps/mapviewer/index.html?webmap=6a1702b9147243d1a5ee62cd614bc681&amp;center="&amp;$F501&amp;","&amp;$E501&amp;"&amp;level=16&amp;marker="&amp;$F501&amp;","&amp;$E501&amp;"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T501" s="5"/>
      <c r="U501" s="5"/>
      <c r="V501" s="5"/>
      <c r="W501" s="5"/>
      <c r="X501" s="5"/>
      <c r="Y501" s="5"/>
      <c r="Z501" s="5"/>
      <c r="AA501" s="5"/>
      <c r="AB501" s="1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</row>
    <row r="502" spans="1:28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5"/>
      <c r="M502" s="1" t="str">
        <f t="shared" si="42"/>
        <v/>
      </c>
      <c r="N502" s="1" t="str">
        <f t="shared" si="43"/>
        <v/>
      </c>
      <c r="O502" s="1" t="str">
        <f t="shared" si="44"/>
        <v/>
      </c>
      <c r="P502" s="1" t="str">
        <f t="shared" si="45"/>
        <v/>
      </c>
      <c r="Q502" s="1" t="str">
        <f t="shared" si="46"/>
        <v/>
      </c>
      <c r="R502" s="1" t="str">
        <f t="shared" si="47"/>
        <v/>
      </c>
      <c r="S502" s="1" t="str">
        <f>IF(OR($E502="",$F502=""),"",HYPERLINK(IF(OR(JobState="MI",JobState=""),"https://fema.maps.arcgis.com/apps/mapviewer/index.html?webmap=6a1702b9147243d1a5ee62cd614bc681&amp;center="&amp;$F502&amp;","&amp;$E502&amp;"&amp;level=16&amp;marker="&amp;$F502&amp;","&amp;$E502&amp;"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T502" s="5"/>
      <c r="U502" s="5"/>
      <c r="V502" s="5"/>
      <c r="W502" s="5"/>
      <c r="X502" s="5"/>
      <c r="Y502" s="5"/>
      <c r="Z502" s="5"/>
      <c r="AA502" s="5"/>
      <c r="AB502" s="1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</row>
  </sheetData>
  <autoFilter ref="A2:AB2" xr:uid="{ABB1010E-913B-4C2E-B947-46B937470D2E}"/>
  <conditionalFormatting sqref="T3:Y502">
    <cfRule type="expression" dxfId="2" priority="1" stopIfTrue="1">
      <formula>LEFT($Y3,15)="Non-federal aid"</formula>
    </cfRule>
    <cfRule type="expression" dxfId="1" priority="2" stopIfTrue="1">
      <formula>LEFT($Y3,11)="Federal aid"</formula>
    </cfRule>
    <cfRule type="expression" dxfId="0" priority="3" stopIfTrue="1">
      <formula>LEFT($Y3,6)="Review"</formula>
    </cfRule>
  </conditionalFormatting>
  <dataValidations count="2">
    <dataValidation type="decimal" allowBlank="1" showInputMessage="1" showErrorMessage="1" error="Latitude must be between -90 and 90." sqref="E3:E502" xr:uid="{F4B43BAF-216E-456F-84AB-2F5A25E8BF43}">
      <formula1>-90</formula1>
      <formula2>90</formula2>
    </dataValidation>
    <dataValidation type="decimal" allowBlank="1" showInputMessage="1" showErrorMessage="1" error="Longitude must be between -180 and 180." sqref="F3:F502" xr:uid="{C490C4A6-844C-4F4F-B20F-C8196A65B6B1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280ED-F080-4C08-B268-0B83D2A7B722}">
  <sheetPr>
    <tabColor rgb="FF787878"/>
  </sheetPr>
  <dimension ref="B2:B50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26.65" x14ac:dyDescent="0.85">
      <c r="B2" s="6" t="s">
        <v>29</v>
      </c>
    </row>
    <row r="3" spans="2:2" ht="42.75" x14ac:dyDescent="0.45">
      <c r="B3" s="7" t="s">
        <v>30</v>
      </c>
    </row>
    <row r="5" spans="2:2" ht="19.5" x14ac:dyDescent="0.6">
      <c r="B5" s="8" t="s">
        <v>31</v>
      </c>
    </row>
    <row r="6" spans="2:2" ht="42.75" x14ac:dyDescent="0.45">
      <c r="B6" s="7" t="s">
        <v>32</v>
      </c>
    </row>
    <row r="8" spans="2:2" ht="15.75" x14ac:dyDescent="0.5">
      <c r="B8" s="9" t="s">
        <v>33</v>
      </c>
    </row>
    <row r="9" spans="2:2" ht="26.25" x14ac:dyDescent="0.45">
      <c r="B9" s="10" t="s">
        <v>34</v>
      </c>
    </row>
    <row r="10" spans="2:2" ht="26.25" x14ac:dyDescent="0.45">
      <c r="B10" s="10" t="s">
        <v>35</v>
      </c>
    </row>
    <row r="11" spans="2:2" ht="15.75" x14ac:dyDescent="0.5">
      <c r="B11" s="9" t="s">
        <v>36</v>
      </c>
    </row>
    <row r="12" spans="2:2" ht="26.25" x14ac:dyDescent="0.45">
      <c r="B12" s="10" t="s">
        <v>37</v>
      </c>
    </row>
    <row r="13" spans="2:2" ht="26.25" x14ac:dyDescent="0.45">
      <c r="B13" s="10" t="s">
        <v>38</v>
      </c>
    </row>
    <row r="14" spans="2:2" ht="15.75" x14ac:dyDescent="0.5">
      <c r="B14" s="9" t="s">
        <v>39</v>
      </c>
    </row>
    <row r="15" spans="2:2" ht="26.25" x14ac:dyDescent="0.45">
      <c r="B15" s="10" t="s">
        <v>40</v>
      </c>
    </row>
    <row r="16" spans="2:2" ht="26.25" x14ac:dyDescent="0.45">
      <c r="B16" s="10" t="s">
        <v>41</v>
      </c>
    </row>
    <row r="17" spans="2:2" ht="15.75" x14ac:dyDescent="0.5">
      <c r="B17" s="9" t="s">
        <v>42</v>
      </c>
    </row>
    <row r="18" spans="2:2" ht="26.25" x14ac:dyDescent="0.45">
      <c r="B18" s="10" t="s">
        <v>43</v>
      </c>
    </row>
    <row r="19" spans="2:2" ht="26.25" x14ac:dyDescent="0.45">
      <c r="B19" s="10" t="s">
        <v>44</v>
      </c>
    </row>
    <row r="20" spans="2:2" ht="15.75" x14ac:dyDescent="0.5">
      <c r="B20" s="9" t="s">
        <v>45</v>
      </c>
    </row>
    <row r="21" spans="2:2" ht="26.25" x14ac:dyDescent="0.45">
      <c r="B21" s="10" t="s">
        <v>46</v>
      </c>
    </row>
    <row r="22" spans="2:2" ht="26.25" x14ac:dyDescent="0.45">
      <c r="B22" s="10" t="s">
        <v>47</v>
      </c>
    </row>
    <row r="23" spans="2:2" ht="15.75" x14ac:dyDescent="0.5">
      <c r="B23" s="9" t="s">
        <v>48</v>
      </c>
    </row>
    <row r="24" spans="2:2" x14ac:dyDescent="0.45">
      <c r="B24" s="10" t="s">
        <v>49</v>
      </c>
    </row>
    <row r="25" spans="2:2" ht="26.25" x14ac:dyDescent="0.45">
      <c r="B25" s="10" t="s">
        <v>50</v>
      </c>
    </row>
    <row r="26" spans="2:2" ht="15.75" x14ac:dyDescent="0.5">
      <c r="B26" s="9" t="s">
        <v>51</v>
      </c>
    </row>
    <row r="27" spans="2:2" ht="26.25" x14ac:dyDescent="0.45">
      <c r="B27" s="10" t="s">
        <v>52</v>
      </c>
    </row>
    <row r="28" spans="2:2" ht="26.25" x14ac:dyDescent="0.45">
      <c r="B28" s="10" t="s">
        <v>53</v>
      </c>
    </row>
    <row r="29" spans="2:2" ht="26.25" x14ac:dyDescent="0.45">
      <c r="B29" s="10" t="s">
        <v>54</v>
      </c>
    </row>
    <row r="30" spans="2:2" ht="26.25" x14ac:dyDescent="0.45">
      <c r="B30" s="10" t="s">
        <v>55</v>
      </c>
    </row>
    <row r="32" spans="2:2" ht="19.5" x14ac:dyDescent="0.6">
      <c r="B32" s="8" t="s">
        <v>56</v>
      </c>
    </row>
    <row r="33" spans="2:2" ht="15.75" x14ac:dyDescent="0.5">
      <c r="B33" s="9" t="s">
        <v>57</v>
      </c>
    </row>
    <row r="34" spans="2:2" ht="42.75" x14ac:dyDescent="0.45">
      <c r="B34" s="7" t="s">
        <v>58</v>
      </c>
    </row>
    <row r="35" spans="2:2" ht="15.75" x14ac:dyDescent="0.5">
      <c r="B35" s="9" t="s">
        <v>59</v>
      </c>
    </row>
    <row r="36" spans="2:2" ht="42.75" x14ac:dyDescent="0.45">
      <c r="B36" s="7" t="s">
        <v>60</v>
      </c>
    </row>
    <row r="37" spans="2:2" ht="15.75" x14ac:dyDescent="0.5">
      <c r="B37" s="9" t="s">
        <v>61</v>
      </c>
    </row>
    <row r="38" spans="2:2" ht="57" x14ac:dyDescent="0.45">
      <c r="B38" s="7" t="s">
        <v>62</v>
      </c>
    </row>
    <row r="39" spans="2:2" ht="15.75" x14ac:dyDescent="0.5">
      <c r="B39" s="9" t="s">
        <v>63</v>
      </c>
    </row>
    <row r="40" spans="2:2" ht="28.5" x14ac:dyDescent="0.45">
      <c r="B40" s="7" t="s">
        <v>64</v>
      </c>
    </row>
    <row r="41" spans="2:2" ht="15.75" x14ac:dyDescent="0.5">
      <c r="B41" s="9" t="s">
        <v>65</v>
      </c>
    </row>
    <row r="42" spans="2:2" ht="28.5" x14ac:dyDescent="0.45">
      <c r="B42" s="7" t="s">
        <v>66</v>
      </c>
    </row>
    <row r="43" spans="2:2" ht="15.75" x14ac:dyDescent="0.5">
      <c r="B43" s="9" t="s">
        <v>67</v>
      </c>
    </row>
    <row r="44" spans="2:2" ht="42.75" x14ac:dyDescent="0.45">
      <c r="B44" s="7" t="s">
        <v>68</v>
      </c>
    </row>
    <row r="45" spans="2:2" ht="15.75" x14ac:dyDescent="0.5">
      <c r="B45" s="9" t="s">
        <v>69</v>
      </c>
    </row>
    <row r="46" spans="2:2" ht="28.5" x14ac:dyDescent="0.45">
      <c r="B46" s="7" t="s">
        <v>70</v>
      </c>
    </row>
    <row r="47" spans="2:2" ht="15.75" x14ac:dyDescent="0.5">
      <c r="B47" s="9" t="s">
        <v>71</v>
      </c>
    </row>
    <row r="48" spans="2:2" ht="28.5" x14ac:dyDescent="0.45">
      <c r="B48" s="7" t="s">
        <v>72</v>
      </c>
    </row>
    <row r="50" spans="2:2" x14ac:dyDescent="0.45">
      <c r="B50" s="7" t="s">
        <v>73</v>
      </c>
    </row>
  </sheetData>
  <hyperlinks>
    <hyperlink ref="B9" r:id="rId1" xr:uid="{97B9C9CA-FA51-4226-BB55-20C7E6DAD3C2}"/>
    <hyperlink ref="B10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DBB6BA1B-97C4-4A43-A2FE-5BB7800CC66F}"/>
    <hyperlink ref="B12" r:id="rId3" xr:uid="{234BBB78-F9DD-4973-A396-E9892E60FBD3}"/>
    <hyperlink ref="B13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D111E739-C075-40E9-AFD8-3F710656CABD}"/>
    <hyperlink ref="B15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EC3CAC44-04A3-40A9-9220-0C1421FB0344}"/>
    <hyperlink ref="B16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8D758326-FFB0-481C-AF89-6842D44F0D31}"/>
    <hyperlink ref="B18" r:id="rId7" xr:uid="{CE1D4865-A243-42CE-A2B2-DD1B52BFCE6C}"/>
    <hyperlink ref="B19" r:id="rId8" xr:uid="{F1096185-0370-40AA-B697-EA91C525D5B0}"/>
    <hyperlink ref="B21" r:id="rId9" xr:uid="{5265A6C3-0CC0-45B0-9921-33D8C6EE0FF4}"/>
    <hyperlink ref="B22" r:id="rId10" xr:uid="{785213C1-DDB1-46DA-B98A-C59AC82B99D2}"/>
    <hyperlink ref="B24" r:id="rId11" xr:uid="{DEC651A7-251F-4B35-831F-B389B9D34D9A}"/>
    <hyperlink ref="B25" r:id="rId12" xr:uid="{AFFEEE49-03EE-481C-9ABD-EB92B9E3B37A}"/>
    <hyperlink ref="B27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2353B782-4CFE-4322-95DF-617B13F80097}"/>
    <hyperlink ref="B28" r:id="rId14" xr:uid="{C9F793B9-ABF8-4883-AB21-BC0EE0504AD3}"/>
    <hyperlink ref="B29" r:id="rId15" xr:uid="{D2A6ABB3-E4B1-4A0A-AD95-0B9E0B4C19D3}"/>
    <hyperlink ref="B30" r:id="rId16" xr:uid="{AA254331-42EE-41D9-BE8D-7EC724AECCF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Start Here</vt:lpstr>
      <vt:lpstr>Sites</vt:lpstr>
      <vt:lpstr>Sources</vt:lpstr>
      <vt:lpstr>JobAgolMap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2026-07-06T03:28:25Z</dcterms:created>
  <dcterms:modified xsi:type="dcterms:W3CDTF">2026-07-06T03:29:34Z</dcterms:modified>
</cp:coreProperties>
</file>