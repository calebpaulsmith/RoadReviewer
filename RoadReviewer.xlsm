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B5E027EE-8299-4CB2-A21A-007BE9B76C5A}" xr6:coauthVersionLast="47" xr6:coauthVersionMax="47" xr10:uidLastSave="{0BC5D2D3-9971-4F4D-9D0F-2DAC1E4CC32D}"/>
  <bookViews>
    <workbookView xWindow="-98" yWindow="-98" windowWidth="21795" windowHeight="12975" xr2:uid="{228B7B7C-86E2-497D-A59F-F393E952CA2F}"/>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Here'!$C$18</definedName>
    <definedName name="JobState">'Start Here'!$C$17</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18"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<sst xmlns="http://schemas.openxmlformats.org/spreadsheetml/2006/main" count="109" uniqueCount="109">
  <si>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</si>
  <si>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</si>
  <si>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</si>
  <si>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</si>
  <si>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</si>
  <si>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</si>
  <si>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</si>
  <si>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</si>
  <si>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</si>
  <si>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</si>
  <si>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</si>
  <si>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</si>
  <si>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</si>
  <si>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Your AGOL Map</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</si>
  <si>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</si>
  <si>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</si>
  <si>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</si>
  <si>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</si>
  <si>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</si>
  <si>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</si>
  <si>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</si>
  <si>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</si>
  <si>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</si>
  <si>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</si>
  <si>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</si>
  <si>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</si>
  <si>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</si>
  <si>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</si>
  <si>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</si>
  <si>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</si>
  <si>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</si>
  <si>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</si>
  <si>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</si>
  <si>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</si>
  <si>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</si>
  <si>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</si>
  <si>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</si>
  <si>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</si>
  <si>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</si>
  <si>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</si>
  <si>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</si>
  <si>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</si>
  <si>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</si>
  <si>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</si>
  <si>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</si>
  <si>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</si>
  <si>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</si>
  <si>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</si>
  <si>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</si>
  <si>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</si>
  <si>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</si>
  <si>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</si>
  <si>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</si>
  <si>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</si>
  <si>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</si>
  <si>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</si>
  <si>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</si>
  <si>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</si>
  <si>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</si>
  <si>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</si>
  <si>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</si>
  <si>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</si>
  <si>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</si>
  <si>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</si>
  <si>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</si>
  <si>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</si>
  <si>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</si>
  <si>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</si>
  <si>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</si>
  <si>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</si>
  <si>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</si>
  <si>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</si>
  <si>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</si>
  <si>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</si>
  <si>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</si>
  <si>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</si>
  <si>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</si>
  <si>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</si>
  <si>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</si>
  <si>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</si>
  <si>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</si>
  <si>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</si>
  <si>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</si>
  <si>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</si>
  <si>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</si>
  <si>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</si>
  <si>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</si>
  <si>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</si>
  <si>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#32.</t>
  </si>
  <si>
    <t>Created by Caleb Smith. Reach out to caleb.smith@fema.dhs.gov for any questions.</t>
  </si>
  <si>
    <t>RoadReviewer</t>
  </si>
  <si>
    <t>Is it a federal-aid road? FHWA functional class + adjusted urban boundary checker.</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</si>
  <si>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</si>
  <si>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How to use:</t>
  </si>
  <si>
    <t>1.  Pick your state below.</t>
  </si>
  <si>
    <t>2.  Paste your Latitude and Longitude on the Sites tab (the yellow columns).</t>
  </si>
  <si>
    <t>3.  Come back here and click Check Roads. Rows tint red (federal aid), green (non-federal aid) or yellow (review).</t>
  </si>
  <si>
    <t>State</t>
  </si>
  <si>
    <t>MI</t>
  </si>
  <si>
    <t>Output Folder</t>
  </si>
  <si>
    <t>AGOL Webmap URL (optional)</t>
  </si>
  <si>
    <t>Road/boundary search buffer (feet)</t>
  </si>
  <si>
    <t>Search buffer is how far to look for a road / urban boundary when the exact point misses. 250 ft is a good default.</t>
  </si>
  <si>
    <t>Actions</t>
  </si>
  <si>
    <t>Exports</t>
  </si>
  <si>
    <t>Pick an export, then click Go. FIRMettes and map PDFs save to the Output Folder above.</t>
  </si>
  <si>
    <t>Repair / reset</t>
  </si>
  <si>
    <t>Repair Layout rebuilds the sheets, buttons and formulas and KEEPS your typed Sites data. Reset Everything deletes every point and rebuilds a blank Sites table - it asks you to confirm first.</t>
  </si>
  <si>
    <t>RoadReviewer  -  PR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</si>
</sst>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0" xfId="0" applyFont="1" applyFill="1"/>
    <xf numFmtId="0" fontId="0" fillId="3" borderId="3" xfId="0" applyFill="1" applyBorder="1"/>
    <xf numFmtId="0" fontId="13" fillId="3" borderId="3" xfId="0" applyFont="1" applyFill="1" applyBorder="1"/>
    <xf numFmtId="0" fontId="7" fillId="5" borderId="0" xfId="0" applyFont="1" applyFill="1"/>
    <xf numFmtId="0" fontId="17" fillId="5" borderId="0" xfId="0" applyFont="1" applyFill="1"/>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E93A3086-FBAA-4F95-1F6F-CB5EACBCE929}"/>
            </a:ext>
          </a:extLst>
        </xdr:cNvPr>
        <xdr:cNvSpPr/>
      </xdr:nvSpPr>
      <xdr:spPr>
        <a:xfrm>
          <a:off x="6634163" y="372745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25</xdr:row>
      <xdr:rowOff>0</xdr:rowOff>
    </xdr:from>
    <xdr:to>
      <xdr:col>2</xdr:col>
      <xdr:colOff>682625</xdr:colOff>
      <xdr:row>27</xdr:row>
      <xdr:rowOff>19050</xdr:rowOff>
    </xdr:to>
    <xdr:sp macro="CheckRoads" textlink="">
      <xdr:nvSpPr>
        <xdr:cNvPr id="3" name="Rectangle: Rounded Corners 2">
          <a:extLst>
            <a:ext uri="{FF2B5EF4-FFF2-40B4-BE49-F238E27FC236}">
              <a16:creationId xmlns:a16="http://schemas.microsoft.com/office/drawing/2014/main" id="{882251E3-936E-EF71-9490-0246F79D6B61}"/>
            </a:ext>
          </a:extLst>
        </xdr:cNvPr>
        <xdr:cNvSpPr/>
      </xdr:nvSpPr>
      <xdr:spPr>
        <a:xfrm>
          <a:off x="228600" y="521970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25</xdr:row>
      <xdr:rowOff>0</xdr:rowOff>
    </xdr:from>
    <xdr:to>
      <xdr:col>2</xdr:col>
      <xdr:colOff>2968625</xdr:colOff>
      <xdr:row>27</xdr:row>
      <xdr:rowOff>19050</xdr:rowOff>
    </xdr:to>
    <xdr:sp macro="ReRunFailedRows" textlink="">
      <xdr:nvSpPr>
        <xdr:cNvPr id="4" name="Rectangle: Rounded Corners 3">
          <a:extLst>
            <a:ext uri="{FF2B5EF4-FFF2-40B4-BE49-F238E27FC236}">
              <a16:creationId xmlns:a16="http://schemas.microsoft.com/office/drawing/2014/main" id="{BCB1CF2C-BD7E-83A2-B4FF-44706A5D2C61}"/>
            </a:ext>
          </a:extLst>
        </xdr:cNvPr>
        <xdr:cNvSpPr/>
      </xdr:nvSpPr>
      <xdr:spPr>
        <a:xfrm>
          <a:off x="2895600" y="521970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2</xdr:col>
      <xdr:colOff>3095625</xdr:colOff>
      <xdr:row>25</xdr:row>
      <xdr:rowOff>0</xdr:rowOff>
    </xdr:from>
    <xdr:to>
      <xdr:col>5</xdr:col>
      <xdr:colOff>249237</xdr:colOff>
      <xdr:row>27</xdr:row>
      <xdr:rowOff>19050</xdr:rowOff>
    </xdr:to>
    <xdr:sp macro="OpenImageryForSelection" textlink="">
      <xdr:nvSpPr>
        <xdr:cNvPr id="5" name="Rectangle: Rounded Corners 4">
          <a:extLst>
            <a:ext uri="{FF2B5EF4-FFF2-40B4-BE49-F238E27FC236}">
              <a16:creationId xmlns:a16="http://schemas.microsoft.com/office/drawing/2014/main" id="{CF35F22F-4C45-E3AB-0461-A8D9B17BEBF6}"/>
            </a:ext>
          </a:extLst>
        </xdr:cNvPr>
        <xdr:cNvSpPr/>
      </xdr:nvSpPr>
      <xdr:spPr>
        <a:xfrm>
          <a:off x="5181600" y="5219700"/>
          <a:ext cx="2921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29</xdr:row>
          <xdr:rowOff>28575</xdr:rowOff>
        </xdr:from>
        <xdr:to>
          <xdr:col>2</xdr:col>
          <xdr:colOff>1952625</xdr:colOff>
          <xdr:row>30</xdr:row>
          <xdr:rowOff>128588</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29</xdr:row>
      <xdr:rowOff>0</xdr:rowOff>
    </xdr:from>
    <xdr:to>
      <xdr:col>2</xdr:col>
      <xdr:colOff>2943225</xdr:colOff>
      <xdr:row>30</xdr:row>
      <xdr:rowOff>123825</xdr:rowOff>
    </xdr:to>
    <xdr:sp macro="RunSelectedExport" textlink="">
      <xdr:nvSpPr>
        <xdr:cNvPr id="6" name="Rectangle: Rounded Corners 5">
          <a:extLst>
            <a:ext uri="{FF2B5EF4-FFF2-40B4-BE49-F238E27FC236}">
              <a16:creationId xmlns:a16="http://schemas.microsoft.com/office/drawing/2014/main" id="{7A31ABE0-2C73-4E14-3A04-FF46F42E0105}"/>
            </a:ext>
          </a:extLst>
        </xdr:cNvPr>
        <xdr:cNvSpPr/>
      </xdr:nvSpPr>
      <xdr:spPr>
        <a:xfrm>
          <a:off x="4140200" y="59626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34</xdr:row>
      <xdr:rowOff>0</xdr:rowOff>
    </xdr:from>
    <xdr:to>
      <xdr:col>2</xdr:col>
      <xdr:colOff>809625</xdr:colOff>
      <xdr:row>35</xdr:row>
      <xdr:rowOff>123825</xdr:rowOff>
    </xdr:to>
    <xdr:sp macro="BuildWorkbook" textlink="">
      <xdr:nvSpPr>
        <xdr:cNvPr id="7" name="Rectangle: Rounded Corners 6">
          <a:extLst>
            <a:ext uri="{FF2B5EF4-FFF2-40B4-BE49-F238E27FC236}">
              <a16:creationId xmlns:a16="http://schemas.microsoft.com/office/drawing/2014/main" id="{36F6DADF-B420-B99F-C98B-EB0551615EE1}"/>
            </a:ext>
          </a:extLst>
        </xdr:cNvPr>
        <xdr:cNvSpPr/>
      </xdr:nvSpPr>
      <xdr:spPr>
        <a:xfrm>
          <a:off x="228600" y="688657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34</xdr:row>
      <xdr:rowOff>0</xdr:rowOff>
    </xdr:from>
    <xdr:to>
      <xdr:col>2</xdr:col>
      <xdr:colOff>3730625</xdr:colOff>
      <xdr:row>35</xdr:row>
      <xdr:rowOff>123825</xdr:rowOff>
    </xdr:to>
    <xdr:sp macro="ResetWorkbookFull" textlink="">
      <xdr:nvSpPr>
        <xdr:cNvPr id="8" name="Rectangle: Rounded Corners 7">
          <a:extLst>
            <a:ext uri="{FF2B5EF4-FFF2-40B4-BE49-F238E27FC236}">
              <a16:creationId xmlns:a16="http://schemas.microsoft.com/office/drawing/2014/main" id="{02CB8B18-FAB5-95C5-4C30-4368FE11C7F0}"/>
            </a:ext>
          </a:extLst>
        </xdr:cNvPr>
        <xdr:cNvSpPr/>
      </xdr:nvSpPr>
      <xdr:spPr>
        <a:xfrm>
          <a:off x="3022600" y="688657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3C0C9-6619-4336-8598-4E7D91EA8D57}">
  <sheetPr>
    <tabColor rgb="FF2F4F4F"/>
  </sheetPr>
  <dimension ref="B2:C39"/>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4" t="s">
        <v>92</v>
      </c>
      <c r="C5" s="25"/>
    </row>
    <row r="6" spans="2:3" ht="21" customHeight="1" thickBot="1" x14ac:dyDescent="0.5">
      <c r="B6" s="25"/>
      <c r="C6" s="25"/>
    </row>
    <row r="7" spans="2:3" ht="21" customHeight="1" thickBot="1" x14ac:dyDescent="0.5">
      <c r="B7" s="25"/>
      <c r="C7" s="25"/>
    </row>
    <row r="8" spans="2:3" ht="21" customHeight="1" thickBot="1" x14ac:dyDescent="0.5">
      <c r="B8" s="25"/>
      <c r="C8" s="25"/>
    </row>
    <row r="9" spans="2:3" ht="21" customHeight="1" thickBot="1" x14ac:dyDescent="0.5">
      <c r="B9" s="25"/>
      <c r="C9" s="25"/>
    </row>
    <row r="10" spans="2:3" ht="21" customHeight="1" thickBot="1" x14ac:dyDescent="0.5">
      <c r="B10" s="25"/>
      <c r="C10" s="25"/>
    </row>
    <row r="12" spans="2:3" x14ac:dyDescent="0.45">
      <c r="B12" s="18" t="s">
        <v>93</v>
      </c>
    </row>
    <row r="13" spans="2:3" x14ac:dyDescent="0.45">
      <c r="B13" s="19" t="s">
        <v>94</v>
      </c>
    </row>
    <row r="14" spans="2:3" x14ac:dyDescent="0.45">
      <c r="B14" s="19" t="s">
        <v>95</v>
      </c>
    </row>
    <row r="15" spans="2:3" x14ac:dyDescent="0.45">
      <c r="B15" s="19" t="s">
        <v>96</v>
      </c>
    </row>
    <row r="17" spans="2:3" x14ac:dyDescent="0.45">
      <c r="B17" s="18" t="s">
        <v>97</v>
      </c>
      <c r="C17" s="20" t="s">
        <v>98</v>
      </c>
    </row>
    <row r="18" spans="2:3" x14ac:dyDescent="0.45">
      <c r="B18" s="18" t="s">
        <v>99</v>
      </c>
      <c r="C18" s="21" t="str">
        <f ca="1">IF(OR(CELL("filename",$A$1)="",LEFT(CELL("filename",$A$1),4)="http"),"",LEFT(CELL("filename",$A$1),FIND("[",CELL("filename",$A$1))-1))</f>
        <v/>
      </c>
    </row>
    <row r="19" spans="2:3" x14ac:dyDescent="0.45">
      <c r="B19" s="18" t="s">
        <v>100</v>
      </c>
      <c r="C19" s="20"/>
    </row>
    <row r="20" spans="2:3" x14ac:dyDescent="0.45">
      <c r="B20" s="18" t="s">
        <v>101</v>
      </c>
      <c r="C20" s="20">
        <v>250</v>
      </c>
    </row>
    <row r="23" spans="2:3" x14ac:dyDescent="0.45">
      <c r="B23" s="17" t="s">
        <v>102</v>
      </c>
    </row>
    <row r="25" spans="2:3" ht="15.75" x14ac:dyDescent="0.5">
      <c r="B25" s="22" t="s">
        <v>103</v>
      </c>
    </row>
    <row r="29" spans="2:3" ht="15.75" x14ac:dyDescent="0.5">
      <c r="B29" s="22" t="s">
        <v>104</v>
      </c>
    </row>
    <row r="32" spans="2:3" x14ac:dyDescent="0.45">
      <c r="B32" s="17" t="s">
        <v>105</v>
      </c>
    </row>
    <row r="34" spans="2:2" ht="15.75" x14ac:dyDescent="0.5">
      <c r="B34" s="22" t="s">
        <v>106</v>
      </c>
    </row>
    <row r="37" spans="2:2" x14ac:dyDescent="0.45">
      <c r="B37" s="17" t="s">
        <v>107</v>
      </c>
    </row>
    <row r="39" spans="2:2" x14ac:dyDescent="0.45">
      <c r="B39" s="23" t="s">
        <v>108</v>
      </c>
    </row>
  </sheetData>
  <mergeCells count="1">
    <mergeCell ref="B5:C10"/>
  </mergeCells>
  <dataValidations count="2">
    <dataValidation type="list" allowBlank="1" showInputMessage="1" showErrorMessage="1" sqref="C17" xr:uid="{3BEE2FFA-4B1D-4559-9F59-135B2D4E5529}">
      <formula1>"WI,IN,MI,MN (not wired),IL (not wired),OH (not wired)"</formula1>
    </dataValidation>
    <dataValidation type="whole" allowBlank="1" showInputMessage="1" showErrorMessage="1" error="Enter a whole number between 1 and 1000 ft." sqref="C20" xr:uid="{16A14FBD-0BB4-49C4-9369-8F7586967680}">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42863</xdr:colOff>
                    <xdr:row>29</xdr:row>
                    <xdr:rowOff>28575</xdr:rowOff>
                  </from>
                  <to>
                    <xdr:col>2</xdr:col>
                    <xdr:colOff>1952625</xdr:colOff>
                    <xdr:row>30</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914A9-6F7A-4107-9FBF-27D38C11FB69}">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620914A9-6F7A-4107-9FBF-27D38C11FB6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71360E15-5E4D-4997-90D6-5CAF4A8C004C}">
      <formula1>-90</formula1>
      <formula2>90</formula2>
    </dataValidation>
    <dataValidation type="decimal" allowBlank="1" showInputMessage="1" showErrorMessage="1" error="Longitude must be between -180 and 180." sqref="F2:F501" xr:uid="{3A5E4624-0C85-487F-9B0D-CF994EAC515B}">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697C-88A6-458E-B7CC-3480B75C07D2}">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A2F16DAC-5590-4482-8331-4DB65F9442BA}"/>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BF156719-BF3E-4176-BF11-3E3F56CC26C5}"/>
    <hyperlink ref="B9" r:id="rId3" xr:uid="{B5244C6B-BA43-4054-B701-D269FA8D154C}"/>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CF73F642-A95A-4A6F-B054-01A076A200CA}"/>
    <hyperlink ref="B12" r:id="rId5" display="    Wisconsin Department of Transportation, Functional Classification (official page; static county and urban-area PDF maps - WisDOT publishes no statewide interactive map), available at: https://wisconsindot.gov/Pages/projects/data-plan/plan-res/function.aspx" xr:uid="{6F95E1DA-21BA-4956-8208-DC09C6269078}"/>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155210DB-02EE-4A3D-88D2-D1C4D9A116C3}"/>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A730FF3-21E5-41BC-85D9-339816A5F1F8}"/>
    <hyperlink ref="B16" r:id="rId8" xr:uid="{2C8188BC-D8D8-4896-B8A9-39D004DAB9AD}"/>
    <hyperlink ref="B17" r:id="rId9" xr:uid="{87E1CC8F-B65D-4598-BD60-27C48D43EE39}"/>
    <hyperlink ref="B19" r:id="rId10" xr:uid="{E6CCE943-B1CD-4D46-8DEB-8FCEB514FC8F}"/>
    <hyperlink ref="B20" r:id="rId11" xr:uid="{70ED5EEF-BEA5-416C-BCA2-13D97814375C}"/>
    <hyperlink ref="B22" r:id="rId12" xr:uid="{8046BDDC-A55A-4773-8A96-1055ADBD600E}"/>
    <hyperlink ref="B23" r:id="rId13" xr:uid="{655702E2-E7BE-4982-AF34-977CE223ACB0}"/>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E857FC7-52E5-4487-A0B8-845AAA642068}"/>
    <hyperlink ref="B26" r:id="rId15" xr:uid="{6664CE72-4291-4555-AACD-2FEF6E856030}"/>
    <hyperlink ref="B27" r:id="rId16" xr:uid="{17473EE6-99F9-4A0A-8558-E1748B3BC92B}"/>
    <hyperlink ref="B28" r:id="rId17" xr:uid="{07441167-AE1D-408B-A7E6-4ECA4B9405FB}"/>
    <hyperlink ref="B66" r:id="rId18" xr:uid="{E293339D-C268-4CA3-8BA4-11C61147188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2026-07-14T13:00:51Z</dcterms:created>
  <dcterms:modified xsi:type="dcterms:W3CDTF">2026-07-14T13:01:31Z</dcterms:modified>
</cp:coreProperties>
</file>