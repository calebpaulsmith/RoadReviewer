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11" documentId="8_{8E296065-4D95-4262-B6EA-6F5C1455D740}" xr6:coauthVersionLast="47" xr6:coauthVersionMax="47" xr10:uidLastSave="{6164B685-4E80-4118-8820-C40BE3D6DB31}"/>
  <bookViews>
    <workbookView xWindow="-98" yWindow="-98" windowWidth="50595" windowHeight="15675" xr2:uid="{F2261DB1-19CC-4ADF-9C37-278407F4085A}"/>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<sst xmlns="http://schemas.openxmlformats.org/spreadsheetml/2006/main" count="115" uniqueCount="114">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</sst>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8"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71665C0B-BDE5-85FB-ED74-0C9390408D13}"/>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04582C2-6F9F-E8E0-4E09-D6E0B2D42075}"/>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CE7F6D1D-F04C-DCAF-5BB0-C8810A53DC4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2E9B1912-5770-1263-7756-9D1488522962}"/>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1A1463D0-FBC2-72A8-158E-195EBB373B36}"/>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12874B8F-7E2A-2EFB-BB11-E69218D84CCA}"/>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F6020D0E-C7BB-18DB-EB06-F33EA9729129}"/>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C7E95373-538F-E51F-ED48-C2454AD75B93}"/>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1718F0FE-E189-EC63-105F-8B841F5D658E}"/>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0A3E671E-BAEF-5B99-0118-57648F21B40B}"/>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0617D8FE-A5E1-6CF2-6B3E-ED93D27EE35E}"/>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AA5C16E9-0720-4FA8-9337-44E7D926C301}"/>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EBD05855-766B-5F4F-C26C-036CF70537BB}"/>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66C6F9F3-08A3-F065-1043-A8E989517728}"/>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E788696A-02E1-AD3F-0A34-E6E78CC1BE53}"/>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ABC0EC74-7375-040F-4EE0-76D76CA0B263}"/>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BD59C1F5-FCDB-3D38-D64B-0C8EBC6A6537}"/>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33F0706B-8F77-C436-561E-30F92219C126}"/>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B2549C70-132D-956D-D691-3495CCA96200}"/>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7056A1DE-F04B-C4BC-21A6-48853DB6AD9C}"/>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42BAE465-0064-F583-AFF9-A7A40F322BA7}"/>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E10AE-7F94-4D1E-A91E-D78EF7900C75}">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t="s">
        <v>106</v>
      </c>
      <c r="D18" s="7"/>
    </row>
    <row r="19" spans="1:4" x14ac:dyDescent="0.45">
      <c r="A19" s="7"/>
      <c r="B19" s="8" t="s">
        <v>107</v>
      </c>
      <c r="C19" s="22"/>
      <c r="D19" s="7"/>
    </row>
    <row r="20" spans="1:4" x14ac:dyDescent="0.45">
      <c r="A20" s="7"/>
      <c r="B20" s="8" t="s">
        <v>108</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109</v>
      </c>
      <c r="C25" s="25"/>
      <c r="D25" s="7"/>
    </row>
    <row r="26" spans="1:4" x14ac:dyDescent="0.45">
      <c r="A26" s="7"/>
      <c r="B26" s="7"/>
      <c r="C26" s="7"/>
      <c r="D26" s="7"/>
    </row>
    <row r="27" spans="1:4" ht="22.05" customHeight="1" x14ac:dyDescent="0.55000000000000004">
      <c r="A27" s="7"/>
      <c r="B27" s="20" t="s">
        <v>110</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111</v>
      </c>
      <c r="C33" s="25"/>
      <c r="D33" s="7"/>
    </row>
    <row r="34" spans="1:4" x14ac:dyDescent="0.45">
      <c r="A34" s="7"/>
      <c r="B34" s="7"/>
      <c r="C34" s="7"/>
      <c r="D34" s="7"/>
    </row>
    <row r="35" spans="1:4" ht="22.05" customHeight="1" x14ac:dyDescent="0.55000000000000004">
      <c r="A35" s="7"/>
      <c r="B35" s="20" t="s">
        <v>112</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113</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DB8B5C07-EC11-4B8C-9028-A1D697497980}">
      <formula1>"WI,IN,MI"</formula1>
    </dataValidation>
    <dataValidation type="whole" allowBlank="1" showInputMessage="1" showErrorMessage="1" error="Enter a whole number between 1 and 1000 ft." sqref="C20" xr:uid="{0380CB6E-4D0C-41F3-9749-B3A3C2B98F98}">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7E854-A7E8-4FA3-A766-9CE6859CB506}">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FCF7E854-A7E8-4FA3-A766-9CE6859CB506}"/>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75882F5C-4C2D-4370-B3A3-04B84EDF10C3}">
      <formula1>-90</formula1>
      <formula2>90</formula2>
    </dataValidation>
    <dataValidation type="decimal" allowBlank="1" showInputMessage="1" showErrorMessage="1" error="Longitude must be between -180 and 180." sqref="F2:F501" xr:uid="{FCA5B973-11FF-46CB-96A5-1EFA3926C238}">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A94F4-670D-4229-B0D3-26ADFF3B0CD6}">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1" t="s">
        <v>31</v>
      </c>
      <c r="B8" s="31"/>
      <c r="C8" s="32"/>
      <c r="D8" s="32"/>
      <c r="E8" s="32"/>
      <c r="F8" s="32"/>
      <c r="G8" s="7"/>
      <c r="H8" s="7"/>
      <c r="I8" s="7"/>
      <c r="J8" s="7"/>
      <c r="K8" s="7"/>
      <c r="L8" s="7"/>
      <c r="M8" s="7"/>
    </row>
    <row r="9" spans="1:13" ht="17" customHeight="1" x14ac:dyDescent="0.45">
      <c r="A9" s="31" t="s">
        <v>32</v>
      </c>
      <c r="B9" s="31"/>
      <c r="C9" s="32"/>
      <c r="D9" s="32"/>
      <c r="E9" s="32"/>
      <c r="F9" s="32"/>
      <c r="G9" s="7"/>
      <c r="H9" s="7"/>
      <c r="I9" s="7"/>
      <c r="J9" s="7"/>
      <c r="K9" s="7"/>
      <c r="L9" s="7"/>
      <c r="M9" s="7"/>
    </row>
    <row r="10" spans="1:13" ht="17" customHeight="1" x14ac:dyDescent="0.45">
      <c r="A10" s="31" t="s">
        <v>33</v>
      </c>
      <c r="B10" s="31"/>
      <c r="C10" s="32"/>
      <c r="D10" s="32"/>
      <c r="E10" s="32"/>
      <c r="F10" s="32"/>
      <c r="G10" s="7"/>
      <c r="H10" s="7"/>
      <c r="I10" s="7"/>
      <c r="J10" s="7"/>
      <c r="K10" s="7"/>
      <c r="L10" s="7"/>
      <c r="M10" s="7"/>
    </row>
    <row r="11" spans="1:13" ht="17" customHeight="1" x14ac:dyDescent="0.45">
      <c r="A11" s="31" t="s">
        <v>34</v>
      </c>
      <c r="B11" s="31"/>
      <c r="C11" s="32"/>
      <c r="D11" s="32"/>
      <c r="E11" s="32"/>
      <c r="F11" s="32"/>
      <c r="G11" s="7"/>
      <c r="H11" s="7"/>
      <c r="I11" s="7"/>
      <c r="J11" s="7"/>
      <c r="K11" s="7"/>
      <c r="L11" s="7"/>
      <c r="M11" s="7"/>
    </row>
    <row r="12" spans="1:13" ht="17" customHeight="1" x14ac:dyDescent="0.45">
      <c r="A12" s="33" t="s">
        <v>35</v>
      </c>
      <c r="B12" s="33"/>
      <c r="C12" s="34" t="str">
        <f ca="1">_xlfn.SINGLE(IF(_xlfn.SINGLE(JobOutputFolder)="","(set on Start Here)",JobOutputFolder))</f>
        <v>(set on Start Here)</v>
      </c>
      <c r="D12" s="34"/>
      <c r="E12" s="34"/>
      <c r="F12" s="34"/>
      <c r="G12" s="7"/>
      <c r="H12" s="7"/>
      <c r="I12" s="7"/>
      <c r="J12" s="7"/>
      <c r="K12" s="7"/>
      <c r="L12" s="7"/>
      <c r="M12" s="7"/>
    </row>
    <row r="13" spans="1:13" ht="17" customHeight="1" x14ac:dyDescent="0.45">
      <c r="A13" s="7"/>
      <c r="B13" s="7"/>
      <c r="C13" s="7"/>
      <c r="D13" s="7"/>
      <c r="E13" s="7"/>
      <c r="F13" s="7"/>
      <c r="G13" s="7"/>
      <c r="H13" s="7"/>
      <c r="I13" s="30" t="str">
        <f t="shared" ref="I13" ca="1" si="0">"e.g.  "&amp;FirmettePreview()</f>
        <v>e.g.  (site name) FIRMette.pdf</v>
      </c>
      <c r="J13" s="30"/>
      <c r="K13" s="30"/>
      <c r="L13" s="30"/>
      <c r="M13" s="30"/>
    </row>
    <row r="14" spans="1:13" ht="17" customHeight="1" x14ac:dyDescent="0.45">
      <c r="A14" s="35" t="s">
        <v>36</v>
      </c>
      <c r="B14" s="35"/>
      <c r="C14" s="35"/>
      <c r="D14" s="35"/>
      <c r="E14" s="35"/>
      <c r="F14" s="35"/>
      <c r="G14" s="3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51465-2AD6-42F3-A386-FDCBB78B833B}">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542314B3-F92B-4F02-A1B9-17C519DD1639}"/>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66795FF6-6D3E-43DD-8A2B-8AC945E3164C}"/>
    <hyperlink ref="B9" r:id="rId3" xr:uid="{0CA237B2-779E-4A0C-A01B-F1C1AB280016}"/>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316D5120-8F74-4CD5-843D-809A9D4627D9}"/>
    <hyperlink ref="B12" r:id="rId5" display="    Wisconsin Department of Transportation, Functional Classification (official page; static county and urban-area PDF maps - WisDOT publishes no statewide interactive map), available at: https://wisconsindot.gov/Pages/projects/data-plan/plan-res/function.aspx" xr:uid="{FCE85A6F-0EA1-4A9E-9F8A-D5A42C530521}"/>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AFE6D49-6D3E-451B-AE16-EA780B5626B6}"/>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78A397AF-2979-489F-B8DB-50A44B536E8D}"/>
    <hyperlink ref="B16" r:id="rId8" xr:uid="{B6199759-F76A-40FE-ABB2-8A3FD106865D}"/>
    <hyperlink ref="B17" r:id="rId9" xr:uid="{429F9A5C-029D-4C79-B36A-231A830F525D}"/>
    <hyperlink ref="B19" r:id="rId10" xr:uid="{610728B5-2668-4F92-991E-F5327948CD76}"/>
    <hyperlink ref="B20" r:id="rId11" xr:uid="{0D1094D0-39B7-4E1D-8CF5-B9E92319B405}"/>
    <hyperlink ref="B22" r:id="rId12" xr:uid="{A0B91A89-E1E9-443E-9ED2-3CB427AC53BF}"/>
    <hyperlink ref="B23" r:id="rId13" xr:uid="{2CA3C3CF-F933-4839-AB65-E9A99CBB803A}"/>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71A3AFD0-0B1A-45B7-9683-3193A7A00CDA}"/>
    <hyperlink ref="B26" r:id="rId15" xr:uid="{565BFB16-A52A-47AE-8DBF-96BDEA4D397A}"/>
    <hyperlink ref="B27" r:id="rId16" xr:uid="{AAC407B0-68FC-4020-ADAF-0E890E1486E9}"/>
    <hyperlink ref="B28" r:id="rId17" xr:uid="{D005D993-E7AC-4B93-A799-C87062B1FEF3}"/>
    <hyperlink ref="B66" r:id="rId18" xr:uid="{775B770B-831B-4435-A656-0433BBD6DD0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2026-07-15T00:10:57Z</dcterms:created>
  <dcterms:modified xsi:type="dcterms:W3CDTF">2026-07-15T00:11:54Z</dcterms:modified>
</cp:coreProperties>
</file>