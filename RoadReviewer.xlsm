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12" documentId="8_{2B9119DD-4CE7-4A7F-B8CA-2703EB570C04}" xr6:coauthVersionLast="47" xr6:coauthVersionMax="47" xr10:uidLastSave="{1359F5DA-CE15-4F19-AE5C-BAB196BA7675}"/>
  <bookViews>
    <workbookView xWindow="-98" yWindow="-98" windowWidth="50595" windowHeight="15675" xr2:uid="{D0B014C1-786F-4C44-BA6F-FB1553A3AFC5}"/>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Pages'!$C$11</definedName>
    <definedName name="JobBufferFeet">'Start Here'!$C$20</definedName>
    <definedName name="JobDI">'Map Pages'!$C$9</definedName>
    <definedName name="JobDisaster">'Map Pages'!$C$10</definedName>
    <definedName name="JobOutputFolder">'Start Here'!$C$29</definedName>
    <definedName name="JobState">'Start Here'!$C$18</definedName>
    <definedName name="JobWO">'Map Pages'!$C$8</definedName>
    <definedName name="_xlnm.Print_Area" localSheetId="2">'Map Pages'!$A$17:$M$17</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<sst xmlns="http://schemas.openxmlformats.org/spreadsheetml/2006/main" count="115" uniqueCount="114">
  <si>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</si>
  <si>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</si>
  <si>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</si>
  <si>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</si>
  <si>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</si>
  <si>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</si>
  <si>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</si>
  <si>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</si>
  <si>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</si>
  <si>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</si>
  <si>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</si>
  <si>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</si>
  <si>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</si>
  <si>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</si>
  <si>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</si>
  <si>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</si>
  <si>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</si>
  <si>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</si>
  <si>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</si>
  <si>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</si>
  <si>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</si>
  <si>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</si>
  <si>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</si>
  <si>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</si>
  <si>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</si>
  <si>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</si>
  <si>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</si>
  <si>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</si>
  <si>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</si>
  <si>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</si>
  <si>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</si>
  <si>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</si>
  <si>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</si>
  <si>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</si>
  <si>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</si>
  <si>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</si>
  <si>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</si>
  <si>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</si>
  <si>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</si>
  <si>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</si>
  <si>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</si>
  <si>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</si>
  <si>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</si>
  <si>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</si>
  <si>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</si>
  <si>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</si>
  <si>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</si>
  <si>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</si>
  <si>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</si>
  <si>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</si>
  <si>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</si>
  <si>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</si>
  <si>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</si>
  <si>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</si>
  <si>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</si>
  <si>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</si>
  <si>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</si>
  <si>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</si>
  <si>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</si>
  <si>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</si>
  <si>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</si>
  <si>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</si>
  <si>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</si>
  <si>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</si>
  <si>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</si>
  <si>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</si>
  <si>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</si>
  <si>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</si>
  <si>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</si>
  <si>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</si>
  <si>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</si>
  <si>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</si>
  <si>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</si>
  <si>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</si>
  <si>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</si>
  <si>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</si>
  <si>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</si>
  <si>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</si>
  <si>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</si>
  <si>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</si>
  <si>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</si>
  <si>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</si>
  <si>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</si>
  <si>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</si>
  <si>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</si>
  <si>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</si>
  <si>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</si>
  <si>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</si>
  <si>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</si>
  <si>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</si>
  <si>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</si>
  <si>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</si>
  <si>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</si>
  <si>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</si>
  <si>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</si>
  <si>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</si>
  <si>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</si>
  <si>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</si>
  <si>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</si>
  <si>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</si>
  <si>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</si>
  <si>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</si>
  <si>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</si>
  <si>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</si>
  <si>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</si>
  <si>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</si>
  <si>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</si>
  <si>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</si>
  <si>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</si>
  <si>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</si>
  <si>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</si>
  <si>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</si>
  <si>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</si>
  <si>
    <t>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</si>
</sst>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7" fillId="5" borderId="0" xfId="0" applyFont="1" applyFill="1" applyAlignment="1">
      <alignment horizontal="left" vertical="top" wrapText="1" indent="1"/>
    </xf>
    <xf numFmtId="0" fontId="8"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A58A2B95-8179-1C31-2780-423AFCCB43A6}"/>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A6A6679F-607F-A5AB-F1D8-1BAF97977D02}"/>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BFF39089-9F0D-FA52-16CB-BE477D40F5FD}"/>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EF2C03FE-CA0C-6EAE-98D4-E7CCAD2C4F9B}"/>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13EFFE5B-4C53-7F69-D582-E461C43B65E3}"/>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8F6D50B9-B377-F3DE-4459-AA03F24E7CC2}"/>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2ECD3CC9-5A19-076B-5F3F-E4B00AD19EAE}"/>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3" name="MapCtrl_KML">
          <a:extLst>
            <a:ext uri="{FF2B5EF4-FFF2-40B4-BE49-F238E27FC236}">
              <a16:creationId xmlns:a16="http://schemas.microsoft.com/office/drawing/2014/main" id="{B50394F3-5CA6-C322-DEAA-AE0B964A08EA}"/>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4" name="MapCtrl_KML_Note">
          <a:extLst>
            <a:ext uri="{FF2B5EF4-FFF2-40B4-BE49-F238E27FC236}">
              <a16:creationId xmlns:a16="http://schemas.microsoft.com/office/drawing/2014/main" id="{A9FD0863-1543-E6C5-441F-1A26742419F5}"/>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5" name="MapCtrl_Prepare">
          <a:extLst>
            <a:ext uri="{FF2B5EF4-FFF2-40B4-BE49-F238E27FC236}">
              <a16:creationId xmlns:a16="http://schemas.microsoft.com/office/drawing/2014/main" id="{98B0EE46-B42F-66A9-AB21-7C216F4731C1}"/>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6" name="MapCtrl_Prepare_Note">
          <a:extLst>
            <a:ext uri="{FF2B5EF4-FFF2-40B4-BE49-F238E27FC236}">
              <a16:creationId xmlns:a16="http://schemas.microsoft.com/office/drawing/2014/main" id="{E95F2BCC-5FB5-0BF6-3C31-8317C4E2D9E9}"/>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7" name="MapCtrl_Insert">
          <a:extLst>
            <a:ext uri="{FF2B5EF4-FFF2-40B4-BE49-F238E27FC236}">
              <a16:creationId xmlns:a16="http://schemas.microsoft.com/office/drawing/2014/main" id="{B7315BC0-56F2-CCCD-3C94-15C62843F545}"/>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8" name="MapCtrl_Insert_Note">
          <a:extLst>
            <a:ext uri="{FF2B5EF4-FFF2-40B4-BE49-F238E27FC236}">
              <a16:creationId xmlns:a16="http://schemas.microsoft.com/office/drawing/2014/main" id="{C5BD2304-FCF6-AF13-2553-77AAB33C5BF7}"/>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9" name="MapCtrl_Export">
          <a:extLst>
            <a:ext uri="{FF2B5EF4-FFF2-40B4-BE49-F238E27FC236}">
              <a16:creationId xmlns:a16="http://schemas.microsoft.com/office/drawing/2014/main" id="{33A3763D-27D7-A5D9-7C69-0E2E4C08661F}"/>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0" name="MapCtrl_Export_Note">
          <a:extLst>
            <a:ext uri="{FF2B5EF4-FFF2-40B4-BE49-F238E27FC236}">
              <a16:creationId xmlns:a16="http://schemas.microsoft.com/office/drawing/2014/main" id="{057671B1-343C-B3F6-7A29-FEC87D9C92CB}"/>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1" name="MapCtrl_Restamp">
          <a:extLst>
            <a:ext uri="{FF2B5EF4-FFF2-40B4-BE49-F238E27FC236}">
              <a16:creationId xmlns:a16="http://schemas.microsoft.com/office/drawing/2014/main" id="{6D734409-986F-0715-0AF3-F6AE8C86A5DD}"/>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2" name="MapCtrl_RestampNote">
          <a:extLst>
            <a:ext uri="{FF2B5EF4-FFF2-40B4-BE49-F238E27FC236}">
              <a16:creationId xmlns:a16="http://schemas.microsoft.com/office/drawing/2014/main" id="{92C8FE62-221F-EB7A-9429-871BC0981C0E}"/>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3" name="MapCtrl_FirmLabel">
          <a:extLst>
            <a:ext uri="{FF2B5EF4-FFF2-40B4-BE49-F238E27FC236}">
              <a16:creationId xmlns:a16="http://schemas.microsoft.com/office/drawing/2014/main" id="{57170B7C-2241-498C-9FE6-60B3E030070E}"/>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4" name="MapCtrl_Firm">
          <a:extLst>
            <a:ext uri="{FF2B5EF4-FFF2-40B4-BE49-F238E27FC236}">
              <a16:creationId xmlns:a16="http://schemas.microsoft.com/office/drawing/2014/main" id="{22CBA48F-3CB1-2229-FA68-677483BDECAC}"/>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5" name="MapCtrl_Firm_Note">
          <a:extLst>
            <a:ext uri="{FF2B5EF4-FFF2-40B4-BE49-F238E27FC236}">
              <a16:creationId xmlns:a16="http://schemas.microsoft.com/office/drawing/2014/main" id="{304E860F-6541-629A-3988-51CAE4E3BF48}"/>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6" name="MapCtrl_FirmRe">
          <a:extLst>
            <a:ext uri="{FF2B5EF4-FFF2-40B4-BE49-F238E27FC236}">
              <a16:creationId xmlns:a16="http://schemas.microsoft.com/office/drawing/2014/main" id="{BC28075B-2026-998D-B9FA-F1A6DC1D14AA}"/>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45C1-4D0C-45AC-9F33-9D3CC16A8A25}">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t="s">
        <v>113</v>
      </c>
      <c r="D18" s="7"/>
    </row>
    <row r="19" spans="1:4" x14ac:dyDescent="0.45">
      <c r="A19" s="7"/>
      <c r="B19" s="8" t="s">
        <v>106</v>
      </c>
      <c r="C19" s="22"/>
      <c r="D19" s="7"/>
    </row>
    <row r="20" spans="1:4" x14ac:dyDescent="0.45">
      <c r="A20" s="7"/>
      <c r="B20" s="8" t="s">
        <v>107</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108</v>
      </c>
      <c r="C25" s="25"/>
      <c r="D25" s="7"/>
    </row>
    <row r="26" spans="1:4" x14ac:dyDescent="0.45">
      <c r="A26" s="7"/>
      <c r="B26" s="7"/>
      <c r="C26" s="7"/>
      <c r="D26" s="7"/>
    </row>
    <row r="27" spans="1:4" ht="22.05" customHeight="1" x14ac:dyDescent="0.55000000000000004">
      <c r="A27" s="7"/>
      <c r="B27" s="20" t="s">
        <v>109</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110</v>
      </c>
      <c r="C33" s="25"/>
      <c r="D33" s="7"/>
    </row>
    <row r="34" spans="1:4" x14ac:dyDescent="0.45">
      <c r="A34" s="7"/>
      <c r="B34" s="7"/>
      <c r="C34" s="7"/>
      <c r="D34" s="7"/>
    </row>
    <row r="35" spans="1:4" ht="22.05" customHeight="1" x14ac:dyDescent="0.55000000000000004">
      <c r="A35" s="7"/>
      <c r="B35" s="20" t="s">
        <v>111</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112</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34BE7A39-FD69-43DA-95A3-9F9C883F421F}">
      <formula1>"WI,IN,MI"</formula1>
    </dataValidation>
    <dataValidation type="whole" allowBlank="1" showInputMessage="1" showErrorMessage="1" error="Enter a whole number between 1 and 1000 ft." sqref="C20" xr:uid="{66161624-F7BC-4CBF-97B0-A456907FC821}">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92A43-0E34-4FC3-8ED4-24D4BBDC7AC4}">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88492A43-0E34-4FC3-8ED4-24D4BBDC7AC4}"/>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42927AFE-A200-4F1A-8446-7B8AB2585CE0}">
      <formula1>-90</formula1>
      <formula2>90</formula2>
    </dataValidation>
    <dataValidation type="decimal" allowBlank="1" showInputMessage="1" showErrorMessage="1" error="Longitude must be between -180 and 180." sqref="F2:F501" xr:uid="{300F3141-1244-40AE-A1E1-B193EFA7FD25}">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7D3DF-52AD-4D23-83DF-996F78703C64}">
  <sheetPr>
    <tabColor rgb="FF3C3C3C"/>
  </sheetPr>
  <dimension ref="A1:M16"/>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1" t="s">
        <v>31</v>
      </c>
      <c r="B8" s="31"/>
      <c r="C8" s="32"/>
      <c r="D8" s="32"/>
      <c r="E8" s="32"/>
      <c r="F8" s="32"/>
      <c r="G8" s="7"/>
      <c r="H8" s="7"/>
      <c r="I8" s="7"/>
      <c r="J8" s="7"/>
      <c r="K8" s="7"/>
      <c r="L8" s="7"/>
      <c r="M8" s="7"/>
    </row>
    <row r="9" spans="1:13" ht="17" customHeight="1" x14ac:dyDescent="0.45">
      <c r="A9" s="31" t="s">
        <v>32</v>
      </c>
      <c r="B9" s="31"/>
      <c r="C9" s="32"/>
      <c r="D9" s="32"/>
      <c r="E9" s="32"/>
      <c r="F9" s="32"/>
      <c r="G9" s="7"/>
      <c r="H9" s="7"/>
      <c r="I9" s="7"/>
      <c r="J9" s="7"/>
      <c r="K9" s="7"/>
      <c r="L9" s="7"/>
      <c r="M9" s="7"/>
    </row>
    <row r="10" spans="1:13" ht="17" customHeight="1" x14ac:dyDescent="0.45">
      <c r="A10" s="31" t="s">
        <v>33</v>
      </c>
      <c r="B10" s="31"/>
      <c r="C10" s="32"/>
      <c r="D10" s="32"/>
      <c r="E10" s="32"/>
      <c r="F10" s="32"/>
      <c r="G10" s="7"/>
      <c r="H10" s="7"/>
      <c r="I10" s="7"/>
      <c r="J10" s="7"/>
      <c r="K10" s="7"/>
      <c r="L10" s="7"/>
      <c r="M10" s="7"/>
    </row>
    <row r="11" spans="1:13" ht="17" customHeight="1" x14ac:dyDescent="0.45">
      <c r="A11" s="31" t="s">
        <v>34</v>
      </c>
      <c r="B11" s="31"/>
      <c r="C11" s="32"/>
      <c r="D11" s="32"/>
      <c r="E11" s="32"/>
      <c r="F11" s="32"/>
      <c r="G11" s="7"/>
      <c r="H11" s="7"/>
      <c r="I11" s="7"/>
      <c r="J11" s="7"/>
      <c r="K11" s="7"/>
      <c r="L11" s="7"/>
      <c r="M11" s="7"/>
    </row>
    <row r="12" spans="1:13" ht="17" customHeight="1" x14ac:dyDescent="0.45">
      <c r="A12" s="33" t="s">
        <v>35</v>
      </c>
      <c r="B12" s="33"/>
      <c r="C12" s="34" t="str">
        <f ca="1">_xlfn.SINGLE(IF(_xlfn.SINGLE(JobOutputFolder)="","(set on Start Here)",JobOutputFolder))</f>
        <v>(set on Start Here)</v>
      </c>
      <c r="D12" s="34"/>
      <c r="E12" s="34"/>
      <c r="F12" s="34"/>
      <c r="G12" s="7"/>
      <c r="H12" s="7"/>
      <c r="I12" s="7"/>
      <c r="J12" s="7"/>
      <c r="K12" s="7"/>
      <c r="L12" s="7"/>
      <c r="M12" s="7"/>
    </row>
    <row r="13" spans="1:13" ht="17" customHeight="1" x14ac:dyDescent="0.45">
      <c r="A13" s="7"/>
      <c r="B13" s="7"/>
      <c r="C13" s="7"/>
      <c r="D13" s="7"/>
      <c r="E13" s="7"/>
      <c r="F13" s="7"/>
      <c r="G13" s="7"/>
      <c r="H13" s="7"/>
      <c r="I13" s="30" t="str">
        <f t="shared" ref="I13" ca="1" si="0">"e.g.  "&amp;FirmettePreview()</f>
        <v>e.g.  (site name) FIRMette.pdf</v>
      </c>
      <c r="J13" s="30"/>
      <c r="K13" s="30"/>
      <c r="L13" s="30"/>
      <c r="M13" s="30"/>
    </row>
    <row r="14" spans="1:13" ht="17" customHeight="1" x14ac:dyDescent="0.45">
      <c r="A14" s="35" t="s">
        <v>36</v>
      </c>
      <c r="B14" s="35"/>
      <c r="C14" s="35"/>
      <c r="D14" s="35"/>
      <c r="E14" s="35"/>
      <c r="F14" s="35"/>
      <c r="G14" s="35"/>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A14:G14"/>
    <mergeCell ref="I13:M13"/>
    <mergeCell ref="A8:B8"/>
    <mergeCell ref="C8:F8"/>
    <mergeCell ref="A9:B9"/>
    <mergeCell ref="C9:F9"/>
    <mergeCell ref="A10:B10"/>
    <mergeCell ref="C10:F10"/>
    <mergeCell ref="A11:B11"/>
    <mergeCell ref="C11:F11"/>
    <mergeCell ref="A12:B12"/>
    <mergeCell ref="C12:F12"/>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350C7-C3D2-4C6A-9790-B0EB456DEE12}">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77808837-3048-4B0E-A104-8FEC32DF5C60}"/>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572969A3-3D93-4B4B-A4E2-EDB108872477}"/>
    <hyperlink ref="B9" r:id="rId3" xr:uid="{C7703682-5D04-4C06-B6F4-A4257A4B1127}"/>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E800922D-BBB9-451F-B287-5767A158C0AA}"/>
    <hyperlink ref="B12" r:id="rId5" display="    Wisconsin Department of Transportation, Functional Classification (official page; static county and urban-area PDF maps - WisDOT publishes no statewide interactive map), available at: https://wisconsindot.gov/Pages/projects/data-plan/plan-res/function.aspx" xr:uid="{424A981F-D6DD-4115-BF89-71CA9053359E}"/>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C3165DCA-DB88-4B09-81EA-69ACF185EAB0}"/>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8E14C40E-1804-48FF-BF99-335E96E640DD}"/>
    <hyperlink ref="B16" r:id="rId8" xr:uid="{7CBD553C-9C26-46DE-9076-0D30D82E1420}"/>
    <hyperlink ref="B17" r:id="rId9" xr:uid="{C9450224-1B44-4060-90CE-A9E9A450F100}"/>
    <hyperlink ref="B19" r:id="rId10" xr:uid="{A9334FEF-6FD0-4DA4-9FCC-32BF2CD97EE9}"/>
    <hyperlink ref="B20" r:id="rId11" xr:uid="{C29F5FF3-4795-490D-BAB4-FC61D58F124B}"/>
    <hyperlink ref="B22" r:id="rId12" xr:uid="{7F5BD7AE-FCC1-49FA-8E92-16F4D611058E}"/>
    <hyperlink ref="B23" r:id="rId13" xr:uid="{EEE56C75-DA7C-43E0-8727-56A605E7A887}"/>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EFE9D76B-BE92-4A0F-88DD-303C7A4C45A5}"/>
    <hyperlink ref="B26" r:id="rId15" xr:uid="{9676B1F7-1CC4-4E47-BF91-2056940637F0}"/>
    <hyperlink ref="B27" r:id="rId16" xr:uid="{1027FC4C-77F7-4050-99BB-E10778BFE933}"/>
    <hyperlink ref="B28" r:id="rId17" xr:uid="{42DBF7D3-3790-452A-91E0-4845CA34C7DF}"/>
    <hyperlink ref="B66" r:id="rId18" xr:uid="{214645C6-8E7E-41EE-8CF2-9C783A79686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 Pages</vt:lpstr>
      <vt:lpstr>Sources</vt:lpstr>
      <vt:lpstr>JobAgolMap</vt:lpstr>
      <vt:lpstr>JobApplicant</vt:lpstr>
      <vt:lpstr>JobBufferFeet</vt:lpstr>
      <vt:lpstr>JobDI</vt:lpstr>
      <vt:lpstr>JobDisaster</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2026-07-15T00:26:26Z</dcterms:created>
  <dcterms:modified xsi:type="dcterms:W3CDTF">2026-07-15T00:27:25Z</dcterms:modified>
</cp:coreProperties>
</file>