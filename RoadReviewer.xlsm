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caleb\AppData\Local\Temp\"/>
    </mc:Choice>
  </mc:AlternateContent>
  <xr:revisionPtr revIDLastSave="0" documentId="8_{DA7BC777-1DCF-4F9D-8CC1-8489CBBCC2AE}" xr6:coauthVersionLast="47" xr6:coauthVersionMax="47" xr10:uidLastSave="{00000000-0000-0000-0000-000000000000}"/>
  <bookViews>
    <workbookView xWindow="-98" yWindow="-98" windowWidth="50595" windowHeight="15675" xr2:uid="{DAC7110C-C05E-4C8E-A5F3-1F1A1F080ED5}"/>
  </bookViews>
  <sheets>
    <sheet name="Start Here" sheetId="5" r:id="rId1"/>
    <sheet name="Sites" sheetId="2" r:id="rId2"/>
    <sheet name="Map Pages" sheetId="3" state="hidden" r:id="rId3"/>
    <sheet name="Sources" sheetId="4" r:id="rId4"/>
  </sheets>
  <functionGroups builtInGroupCount="19"/>
  <definedNames>
    <definedName name="_xlnm._FilterDatabase" localSheetId="1" hidden="1">Sites!$A$1:$AD$1</definedName>
    <definedName name="JobAgolMap">'Start Here'!$C$19</definedName>
    <definedName name="JobApplicant">'Map Pages'!$C$17</definedName>
    <definedName name="JobBufferFeet">'Start Here'!$C$20</definedName>
    <definedName name="JobDI">'Map Pages'!$C$15</definedName>
    <definedName name="JobDisaster">'Map Pages'!$C$16</definedName>
    <definedName name="JobImagerySvc">'Map Pages'!$C$19</definedName>
    <definedName name="JobOutputFolder">'Start Here'!$C$29</definedName>
    <definedName name="JobState">'Start Here'!$C$18</definedName>
    <definedName name="JobWO">'Map Pages'!$C$14</definedName>
    <definedName name="_xlnm.Print_Area" localSheetId="2">'Map Pages'!$A$23:$M$23</definedName>
    <definedName name="_xlnm.Print_Area" localSheetId="0">'Start Here'!$A$1:$D$40</definedName>
    <definedName name="RR_Product" hidden="1">"Standard"</definedName>
    <definedName name="Svc_ACUB">Sources!$C$58</definedName>
    <definedName name="Svc_IL_NFC">Sources!$C$62</definedName>
    <definedName name="Svc_IN_NFC">Sources!$C$56</definedName>
    <definedName name="Svc_IN_ROADNAME">Sources!$C$57</definedName>
    <definedName name="Svc_MI_NFC">Sources!$C$54</definedName>
    <definedName name="Svc_MI_ROUTE">Sources!$C$55</definedName>
    <definedName name="Svc_MN_NFC">Sources!$C$61</definedName>
    <definedName name="Svc_OH_NFC">Sources!$C$63</definedName>
    <definedName name="Svc_TIGER_ROADS">Sources!$C$59</definedName>
    <definedName name="Svc_WI_LOCAL_ROADS">Sources!$C$52</definedName>
    <definedName name="Svc_WI_STATE_TRUNK">Sources!$C$53</definedName>
    <definedName name="Svc_WORLD_IMAGERY">Sources!$C$60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C29" i="5" l="1"/>
  <c r="C18" i="3" s="1"/>
  <c r="I14" i="3"/>
  <c r="M2" i="2"/>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O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N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B498" i="2"/>
  <c r="AB499" i="2"/>
  <c r="AB500" i="2"/>
  <c r="AB50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AA351" i="2"/>
  <c r="AA352" i="2"/>
  <c r="AA353" i="2"/>
  <c r="AA354" i="2"/>
  <c r="AA355" i="2"/>
  <c r="AA356" i="2"/>
  <c r="AA357" i="2"/>
  <c r="AA358" i="2"/>
  <c r="AA359" i="2"/>
  <c r="AA360" i="2"/>
  <c r="AA361" i="2"/>
  <c r="AA362" i="2"/>
  <c r="AA363" i="2"/>
  <c r="AA364" i="2"/>
  <c r="AA365" i="2"/>
  <c r="AA366" i="2"/>
  <c r="AA367" i="2"/>
  <c r="AA368" i="2"/>
  <c r="AA369" i="2"/>
  <c r="AA370" i="2"/>
  <c r="AA371" i="2"/>
  <c r="AA372" i="2"/>
  <c r="AA373" i="2"/>
  <c r="AA374" i="2"/>
  <c r="AA375" i="2"/>
  <c r="AA376" i="2"/>
  <c r="AA377" i="2"/>
  <c r="AA378" i="2"/>
  <c r="AA379" i="2"/>
  <c r="AA380" i="2"/>
  <c r="AA381" i="2"/>
  <c r="AA382" i="2"/>
  <c r="AA383" i="2"/>
  <c r="AA384" i="2"/>
  <c r="AA385" i="2"/>
  <c r="AA386" i="2"/>
  <c r="AA387" i="2"/>
  <c r="AA388" i="2"/>
  <c r="AA389" i="2"/>
  <c r="AA390" i="2"/>
  <c r="AA391" i="2"/>
  <c r="AA392" i="2"/>
  <c r="AA393" i="2"/>
  <c r="AA394" i="2"/>
  <c r="AA395" i="2"/>
  <c r="AA396" i="2"/>
  <c r="AA397" i="2"/>
  <c r="AA398" i="2"/>
  <c r="AA399" i="2"/>
  <c r="AA400" i="2"/>
  <c r="AA401" i="2"/>
  <c r="AA402" i="2"/>
  <c r="AA403" i="2"/>
  <c r="AA404" i="2"/>
  <c r="AA405" i="2"/>
  <c r="AA406" i="2"/>
  <c r="AA407" i="2"/>
  <c r="AA408" i="2"/>
  <c r="AA409" i="2"/>
  <c r="AA410" i="2"/>
  <c r="AA411" i="2"/>
  <c r="AA412" i="2"/>
  <c r="AA413" i="2"/>
  <c r="AA414" i="2"/>
  <c r="AA415" i="2"/>
  <c r="AA416" i="2"/>
  <c r="AA417" i="2"/>
  <c r="AA418" i="2"/>
  <c r="AA419" i="2"/>
  <c r="AA420" i="2"/>
  <c r="AA421" i="2"/>
  <c r="AA422" i="2"/>
  <c r="AA423" i="2"/>
  <c r="AA424" i="2"/>
  <c r="AA425" i="2"/>
  <c r="AA426" i="2"/>
  <c r="AA427" i="2"/>
  <c r="AA428" i="2"/>
  <c r="AA429" i="2"/>
  <c r="AA430" i="2"/>
  <c r="AA431" i="2"/>
  <c r="AA432" i="2"/>
  <c r="AA433" i="2"/>
  <c r="AA434" i="2"/>
  <c r="AA435" i="2"/>
  <c r="AA436" i="2"/>
  <c r="AA437" i="2"/>
  <c r="AA438" i="2"/>
  <c r="AA439" i="2"/>
  <c r="AA440" i="2"/>
  <c r="AA441" i="2"/>
  <c r="AA442" i="2"/>
  <c r="AA443" i="2"/>
  <c r="AA444" i="2"/>
  <c r="AA445" i="2"/>
  <c r="AA446" i="2"/>
  <c r="AA447" i="2"/>
  <c r="AA448" i="2"/>
  <c r="AA449" i="2"/>
  <c r="AA450" i="2"/>
  <c r="AA451" i="2"/>
  <c r="AA452" i="2"/>
  <c r="AA453" i="2"/>
  <c r="AA454" i="2"/>
  <c r="AA455" i="2"/>
  <c r="AA456" i="2"/>
  <c r="AA457" i="2"/>
  <c r="AA458" i="2"/>
  <c r="AA459" i="2"/>
  <c r="AA460" i="2"/>
  <c r="AA461" i="2"/>
  <c r="AA462" i="2"/>
  <c r="AA463" i="2"/>
  <c r="AA464" i="2"/>
  <c r="AA465" i="2"/>
  <c r="AA466" i="2"/>
  <c r="AA467" i="2"/>
  <c r="AA468" i="2"/>
  <c r="AA469" i="2"/>
  <c r="AA470" i="2"/>
  <c r="AA471" i="2"/>
  <c r="AA472" i="2"/>
  <c r="AA473" i="2"/>
  <c r="AA474" i="2"/>
  <c r="AA475" i="2"/>
  <c r="AA476" i="2"/>
  <c r="AA477" i="2"/>
  <c r="AA478" i="2"/>
  <c r="AA479" i="2"/>
  <c r="AA480" i="2"/>
  <c r="AA481" i="2"/>
  <c r="AA482" i="2"/>
  <c r="AA483" i="2"/>
  <c r="AA484" i="2"/>
  <c r="AA485" i="2"/>
  <c r="AA486" i="2"/>
  <c r="AA487" i="2"/>
  <c r="AA488" i="2"/>
  <c r="AA489" i="2"/>
  <c r="AA490" i="2"/>
  <c r="AA491" i="2"/>
  <c r="AA492" i="2"/>
  <c r="AA493" i="2"/>
  <c r="AA494" i="2"/>
  <c r="AA495" i="2"/>
  <c r="AA496" i="2"/>
  <c r="AA497" i="2"/>
  <c r="AA498" i="2"/>
  <c r="AA499" i="2"/>
  <c r="AA500" i="2"/>
  <c r="AA50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57" i="2"/>
  <c r="Z58"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1" i="2"/>
  <c r="Z352" i="2"/>
  <c r="Z353" i="2"/>
  <c r="Z354" i="2"/>
  <c r="Z355" i="2"/>
  <c r="Z356" i="2"/>
  <c r="Z357" i="2"/>
  <c r="Z358" i="2"/>
  <c r="Z359" i="2"/>
  <c r="Z360" i="2"/>
  <c r="Z361" i="2"/>
  <c r="Z362" i="2"/>
  <c r="Z363" i="2"/>
  <c r="Z364" i="2"/>
  <c r="Z365"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438" i="2"/>
  <c r="Z439" i="2"/>
  <c r="Z440" i="2"/>
  <c r="Z441" i="2"/>
  <c r="Z442" i="2"/>
  <c r="Z443" i="2"/>
  <c r="Z444" i="2"/>
  <c r="Z445" i="2"/>
  <c r="Z446" i="2"/>
  <c r="Z447" i="2"/>
  <c r="Z448" i="2"/>
  <c r="Z449" i="2"/>
  <c r="Z450" i="2"/>
  <c r="Z451" i="2"/>
  <c r="Z452" i="2"/>
  <c r="Z453" i="2"/>
  <c r="Z454" i="2"/>
  <c r="Z455" i="2"/>
  <c r="Z456" i="2"/>
  <c r="Z457" i="2"/>
  <c r="Z458" i="2"/>
  <c r="Z459" i="2"/>
  <c r="Z460" i="2"/>
  <c r="Z461" i="2"/>
  <c r="Z462" i="2"/>
  <c r="Z463" i="2"/>
  <c r="Z464" i="2"/>
  <c r="Z465" i="2"/>
  <c r="Z466" i="2"/>
  <c r="Z467" i="2"/>
  <c r="Z468" i="2"/>
  <c r="Z469" i="2"/>
  <c r="Z470" i="2"/>
  <c r="Z471" i="2"/>
  <c r="Z472" i="2"/>
  <c r="Z473" i="2"/>
  <c r="Z474" i="2"/>
  <c r="Z475" i="2"/>
  <c r="Z476" i="2"/>
  <c r="Z477" i="2"/>
  <c r="Z478" i="2"/>
  <c r="Z479" i="2"/>
  <c r="Z480" i="2"/>
  <c r="Z481" i="2"/>
  <c r="Z482" i="2"/>
  <c r="Z483" i="2"/>
  <c r="Z484" i="2"/>
  <c r="Z485" i="2"/>
  <c r="Z486" i="2"/>
  <c r="Z487" i="2"/>
  <c r="Z488" i="2"/>
  <c r="Z489" i="2"/>
  <c r="Z490" i="2"/>
  <c r="Z491" i="2"/>
  <c r="Z492" i="2"/>
  <c r="Z493" i="2"/>
  <c r="Z494" i="2"/>
  <c r="Z495" i="2"/>
  <c r="Z496" i="2"/>
  <c r="Z497" i="2"/>
  <c r="Z498" i="2"/>
  <c r="Z499" i="2"/>
  <c r="Z500" i="2"/>
  <c r="Z50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351" i="2"/>
  <c r="Y352" i="2"/>
  <c r="Y353" i="2"/>
  <c r="Y354" i="2"/>
  <c r="Y355" i="2"/>
  <c r="Y356" i="2"/>
  <c r="Y357" i="2"/>
  <c r="Y358" i="2"/>
  <c r="Y359" i="2"/>
  <c r="Y360" i="2"/>
  <c r="Y361" i="2"/>
  <c r="Y362" i="2"/>
  <c r="Y363" i="2"/>
  <c r="Y364" i="2"/>
  <c r="Y365" i="2"/>
  <c r="Y366" i="2"/>
  <c r="Y367" i="2"/>
  <c r="Y368" i="2"/>
  <c r="Y369" i="2"/>
  <c r="Y370" i="2"/>
  <c r="Y371" i="2"/>
  <c r="Y372" i="2"/>
  <c r="Y373" i="2"/>
  <c r="Y374" i="2"/>
  <c r="Y375" i="2"/>
  <c r="Y376" i="2"/>
  <c r="Y377" i="2"/>
  <c r="Y378" i="2"/>
  <c r="Y379" i="2"/>
  <c r="Y380" i="2"/>
  <c r="Y381" i="2"/>
  <c r="Y382" i="2"/>
  <c r="Y383" i="2"/>
  <c r="Y384" i="2"/>
  <c r="Y385" i="2"/>
  <c r="Y386" i="2"/>
  <c r="Y387" i="2"/>
  <c r="Y388" i="2"/>
  <c r="Y389" i="2"/>
  <c r="Y390" i="2"/>
  <c r="Y391" i="2"/>
  <c r="Y392" i="2"/>
  <c r="Y393" i="2"/>
  <c r="Y394" i="2"/>
  <c r="Y395" i="2"/>
  <c r="Y396" i="2"/>
  <c r="Y397" i="2"/>
  <c r="Y398" i="2"/>
  <c r="Y399" i="2"/>
  <c r="Y400" i="2"/>
  <c r="Y401" i="2"/>
  <c r="Y402" i="2"/>
  <c r="Y403" i="2"/>
  <c r="Y404" i="2"/>
  <c r="Y405" i="2"/>
  <c r="Y406" i="2"/>
  <c r="Y407" i="2"/>
  <c r="Y408" i="2"/>
  <c r="Y409" i="2"/>
  <c r="Y410" i="2"/>
  <c r="Y411" i="2"/>
  <c r="Y412" i="2"/>
  <c r="Y413" i="2"/>
  <c r="Y414" i="2"/>
  <c r="Y415" i="2"/>
  <c r="Y416" i="2"/>
  <c r="Y417" i="2"/>
  <c r="Y418" i="2"/>
  <c r="Y419" i="2"/>
  <c r="Y420" i="2"/>
  <c r="Y421" i="2"/>
  <c r="Y422" i="2"/>
  <c r="Y423" i="2"/>
  <c r="Y424" i="2"/>
  <c r="Y425" i="2"/>
  <c r="Y426" i="2"/>
  <c r="Y427" i="2"/>
  <c r="Y428" i="2"/>
  <c r="Y429" i="2"/>
  <c r="Y430" i="2"/>
  <c r="Y431" i="2"/>
  <c r="Y432" i="2"/>
  <c r="Y433" i="2"/>
  <c r="Y434" i="2"/>
  <c r="Y435" i="2"/>
  <c r="Y436" i="2"/>
  <c r="Y437" i="2"/>
  <c r="Y438" i="2"/>
  <c r="Y439" i="2"/>
  <c r="Y440" i="2"/>
  <c r="Y441" i="2"/>
  <c r="Y442" i="2"/>
  <c r="Y443" i="2"/>
  <c r="Y444" i="2"/>
  <c r="Y445" i="2"/>
  <c r="Y446" i="2"/>
  <c r="Y447" i="2"/>
  <c r="Y448" i="2"/>
  <c r="Y449" i="2"/>
  <c r="Y450" i="2"/>
  <c r="Y451" i="2"/>
  <c r="Y452" i="2"/>
  <c r="Y453" i="2"/>
  <c r="Y454" i="2"/>
  <c r="Y455" i="2"/>
  <c r="Y456" i="2"/>
  <c r="Y457" i="2"/>
  <c r="Y458" i="2"/>
  <c r="Y459" i="2"/>
  <c r="Y460" i="2"/>
  <c r="Y461" i="2"/>
  <c r="Y462" i="2"/>
  <c r="Y463" i="2"/>
  <c r="Y464" i="2"/>
  <c r="Y465" i="2"/>
  <c r="Y466" i="2"/>
  <c r="Y467" i="2"/>
  <c r="Y468" i="2"/>
  <c r="Y469" i="2"/>
  <c r="Y470" i="2"/>
  <c r="Y471" i="2"/>
  <c r="Y472" i="2"/>
  <c r="Y473" i="2"/>
  <c r="Y474" i="2"/>
  <c r="Y475" i="2"/>
  <c r="Y476" i="2"/>
  <c r="Y477" i="2"/>
  <c r="Y478" i="2"/>
  <c r="Y479" i="2"/>
  <c r="Y480" i="2"/>
  <c r="Y481" i="2"/>
  <c r="Y482" i="2"/>
  <c r="Y483" i="2"/>
  <c r="Y484" i="2"/>
  <c r="Y485" i="2"/>
  <c r="Y486" i="2"/>
  <c r="Y487" i="2"/>
  <c r="Y488" i="2"/>
  <c r="Y489" i="2"/>
  <c r="Y490" i="2"/>
  <c r="Y491" i="2"/>
  <c r="Y492" i="2"/>
  <c r="Y493" i="2"/>
  <c r="Y494" i="2"/>
  <c r="Y495" i="2"/>
  <c r="Y496" i="2"/>
  <c r="Y497" i="2"/>
  <c r="Y498" i="2"/>
  <c r="Y499" i="2"/>
  <c r="Y500" i="2"/>
  <c r="Y50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X469" i="2"/>
  <c r="X470" i="2"/>
  <c r="X471" i="2"/>
  <c r="X472" i="2"/>
  <c r="X473" i="2"/>
  <c r="X474" i="2"/>
  <c r="X475" i="2"/>
  <c r="X476" i="2"/>
  <c r="X477" i="2"/>
  <c r="X478" i="2"/>
  <c r="X479" i="2"/>
  <c r="X480" i="2"/>
  <c r="X481" i="2"/>
  <c r="X482" i="2"/>
  <c r="X483" i="2"/>
  <c r="X484" i="2"/>
  <c r="X485" i="2"/>
  <c r="X486" i="2"/>
  <c r="X487" i="2"/>
  <c r="X488" i="2"/>
  <c r="X489" i="2"/>
  <c r="X490" i="2"/>
  <c r="X491" i="2"/>
  <c r="X492" i="2"/>
  <c r="X493" i="2"/>
  <c r="X494" i="2"/>
  <c r="X495" i="2"/>
  <c r="X496" i="2"/>
  <c r="X497" i="2"/>
  <c r="X498" i="2"/>
  <c r="X499" i="2"/>
  <c r="X500" i="2"/>
  <c r="X50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5" i="2"/>
  <c r="W156" i="2"/>
  <c r="W157" i="2"/>
  <c r="W158" i="2"/>
  <c r="W159" i="2"/>
  <c r="W160" i="2"/>
  <c r="W161" i="2"/>
  <c r="W162" i="2"/>
  <c r="W163" i="2"/>
  <c r="W164" i="2"/>
  <c r="W165" i="2"/>
  <c r="W166" i="2"/>
  <c r="W167" i="2"/>
  <c r="W168" i="2"/>
  <c r="W169" i="2"/>
  <c r="W170" i="2"/>
  <c r="W171" i="2"/>
  <c r="W172" i="2"/>
  <c r="W173" i="2"/>
  <c r="W174" i="2"/>
  <c r="W175" i="2"/>
  <c r="W176" i="2"/>
  <c r="W177" i="2"/>
  <c r="W178" i="2"/>
  <c r="W179" i="2"/>
  <c r="W180" i="2"/>
  <c r="W181" i="2"/>
  <c r="W182" i="2"/>
  <c r="W183" i="2"/>
  <c r="W184" i="2"/>
  <c r="W185" i="2"/>
  <c r="W186" i="2"/>
  <c r="W187" i="2"/>
  <c r="W188" i="2"/>
  <c r="W189" i="2"/>
  <c r="W190" i="2"/>
  <c r="W191" i="2"/>
  <c r="W192" i="2"/>
  <c r="W193" i="2"/>
  <c r="W194" i="2"/>
  <c r="W195" i="2"/>
  <c r="W196" i="2"/>
  <c r="W197" i="2"/>
  <c r="W198" i="2"/>
  <c r="W199" i="2"/>
  <c r="W200" i="2"/>
  <c r="W201" i="2"/>
  <c r="W202" i="2"/>
  <c r="W203" i="2"/>
  <c r="W204" i="2"/>
  <c r="W205" i="2"/>
  <c r="W206" i="2"/>
  <c r="W207" i="2"/>
  <c r="W208" i="2"/>
  <c r="W209" i="2"/>
  <c r="W210" i="2"/>
  <c r="W211"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W351" i="2"/>
  <c r="W352" i="2"/>
  <c r="W353" i="2"/>
  <c r="W354" i="2"/>
  <c r="W355" i="2"/>
  <c r="W356" i="2"/>
  <c r="W357" i="2"/>
  <c r="W358" i="2"/>
  <c r="W359" i="2"/>
  <c r="W360" i="2"/>
  <c r="W361" i="2"/>
  <c r="W362" i="2"/>
  <c r="W363" i="2"/>
  <c r="W364" i="2"/>
  <c r="W365" i="2"/>
  <c r="W366" i="2"/>
  <c r="W367" i="2"/>
  <c r="W368" i="2"/>
  <c r="W369" i="2"/>
  <c r="W370" i="2"/>
  <c r="W371" i="2"/>
  <c r="W372" i="2"/>
  <c r="W373" i="2"/>
  <c r="W374" i="2"/>
  <c r="W375" i="2"/>
  <c r="W376" i="2"/>
  <c r="W377" i="2"/>
  <c r="W378" i="2"/>
  <c r="W379" i="2"/>
  <c r="W380" i="2"/>
  <c r="W381" i="2"/>
  <c r="W382" i="2"/>
  <c r="W383" i="2"/>
  <c r="W384" i="2"/>
  <c r="W385" i="2"/>
  <c r="W386" i="2"/>
  <c r="W387" i="2"/>
  <c r="W388" i="2"/>
  <c r="W389" i="2"/>
  <c r="W390" i="2"/>
  <c r="W391" i="2"/>
  <c r="W392" i="2"/>
  <c r="W393" i="2"/>
  <c r="W394" i="2"/>
  <c r="W395" i="2"/>
  <c r="W396" i="2"/>
  <c r="W397" i="2"/>
  <c r="W398" i="2"/>
  <c r="W399" i="2"/>
  <c r="W400" i="2"/>
  <c r="W401" i="2"/>
  <c r="W402" i="2"/>
  <c r="W403" i="2"/>
  <c r="W404" i="2"/>
  <c r="W405" i="2"/>
  <c r="W406" i="2"/>
  <c r="W407" i="2"/>
  <c r="W408" i="2"/>
  <c r="W409" i="2"/>
  <c r="W410" i="2"/>
  <c r="W411" i="2"/>
  <c r="W412" i="2"/>
  <c r="W413" i="2"/>
  <c r="W414" i="2"/>
  <c r="W415" i="2"/>
  <c r="W416" i="2"/>
  <c r="W417" i="2"/>
  <c r="W418" i="2"/>
  <c r="W419" i="2"/>
  <c r="W420" i="2"/>
  <c r="W421" i="2"/>
  <c r="W422" i="2"/>
  <c r="W423" i="2"/>
  <c r="W424" i="2"/>
  <c r="W425" i="2"/>
  <c r="W426" i="2"/>
  <c r="W427" i="2"/>
  <c r="W428" i="2"/>
  <c r="W429" i="2"/>
  <c r="W430" i="2"/>
  <c r="W431" i="2"/>
  <c r="W432" i="2"/>
  <c r="W433" i="2"/>
  <c r="W434" i="2"/>
  <c r="W435" i="2"/>
  <c r="W436" i="2"/>
  <c r="W437" i="2"/>
  <c r="W438" i="2"/>
  <c r="W439" i="2"/>
  <c r="W440" i="2"/>
  <c r="W441" i="2"/>
  <c r="W442" i="2"/>
  <c r="W443" i="2"/>
  <c r="W444" i="2"/>
  <c r="W445" i="2"/>
  <c r="W446" i="2"/>
  <c r="W447" i="2"/>
  <c r="W448" i="2"/>
  <c r="W449" i="2"/>
  <c r="W450" i="2"/>
  <c r="W451" i="2"/>
  <c r="W452" i="2"/>
  <c r="W453" i="2"/>
  <c r="W454" i="2"/>
  <c r="W455" i="2"/>
  <c r="W456" i="2"/>
  <c r="W457" i="2"/>
  <c r="W458" i="2"/>
  <c r="W459" i="2"/>
  <c r="W460" i="2"/>
  <c r="W461" i="2"/>
  <c r="W462" i="2"/>
  <c r="W463" i="2"/>
  <c r="W464" i="2"/>
  <c r="W465" i="2"/>
  <c r="W466" i="2"/>
  <c r="W467" i="2"/>
  <c r="W468" i="2"/>
  <c r="W469" i="2"/>
  <c r="W470" i="2"/>
  <c r="W471" i="2"/>
  <c r="W472" i="2"/>
  <c r="W473" i="2"/>
  <c r="W474" i="2"/>
  <c r="W475" i="2"/>
  <c r="W476" i="2"/>
  <c r="W477" i="2"/>
  <c r="W478" i="2"/>
  <c r="W479" i="2"/>
  <c r="W480" i="2"/>
  <c r="W481" i="2"/>
  <c r="W482" i="2"/>
  <c r="W483" i="2"/>
  <c r="W484" i="2"/>
  <c r="W485" i="2"/>
  <c r="W486" i="2"/>
  <c r="W487" i="2"/>
  <c r="W488" i="2"/>
  <c r="W489" i="2"/>
  <c r="W490" i="2"/>
  <c r="W491" i="2"/>
  <c r="W492" i="2"/>
  <c r="W493" i="2"/>
  <c r="W494" i="2"/>
  <c r="W495" i="2"/>
  <c r="W496" i="2"/>
  <c r="W497" i="2"/>
  <c r="W498" i="2"/>
  <c r="W499" i="2"/>
  <c r="W500" i="2"/>
  <c r="W501" i="2"/>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 r="I20" i="3"/>
</calcChain>
</file>

<file path=xl/sharedStrings.xml><?xml version="1.0" encoding="utf-8"?>
<sst xmlns="http://schemas.openxmlformats.org/spreadsheetml/2006/main" count="117" uniqueCount="117">
  <si>
    <t>WO #</t>
  </si>
  <si>
    <t>DI #</t>
  </si>
  <si>
    <t>Site #</t>
  </si>
  <si>
    <t>Site Name</t>
  </si>
  <si>
    <t>Latitude</t>
  </si>
  <si>
    <t>Longitude</t>
  </si>
  <si>
    <t>Description (optional)</t>
  </si>
  <si>
    <t>Address (optional)</t>
  </si>
  <si>
    <t>Category (optional)</t>
  </si>
  <si>
    <t>Costs (optional)</t>
  </si>
  <si>
    <t>Work Completion (optional)</t>
  </si>
  <si>
    <t>Geocode Status</t>
  </si>
  <si>
    <t>NFC Layer (Map Viewer)</t>
  </si>
  <si>
    <t>State NFC App</t>
  </si>
  <si>
    <t>User-Defined AGOL Layer</t>
  </si>
  <si>
    <t>Federal Aid Status</t>
  </si>
  <si>
    <t>Review Reason</t>
  </si>
  <si>
    <t>FHWA Class</t>
  </si>
  <si>
    <t>Urban/Rural</t>
  </si>
  <si>
    <t>ACUB Name</t>
  </si>
  <si>
    <t>Road Name</t>
  </si>
  <si>
    <t>Street Name</t>
  </si>
  <si>
    <t>Google Maps</t>
  </si>
  <si>
    <t>Street View</t>
  </si>
  <si>
    <t>Bing</t>
  </si>
  <si>
    <t>Google Earth</t>
  </si>
  <si>
    <t>FEMA Viewer</t>
  </si>
  <si>
    <t>FIRMette Portal</t>
  </si>
  <si>
    <t>FIRMette Status</t>
  </si>
  <si>
    <t>Map Status</t>
  </si>
  <si>
    <t>Job info  (stamped onto every map page + used in file names)</t>
  </si>
  <si>
    <t>Work Order (WO #)</t>
  </si>
  <si>
    <t>Impact (DI #)</t>
  </si>
  <si>
    <t>Disaster (e.g. 4882)</t>
  </si>
  <si>
    <t>Applicant</t>
  </si>
  <si>
    <t>Output Folder (optional)</t>
  </si>
  <si>
    <t>Imagery URL (optional)</t>
  </si>
  <si>
    <t>Stamp preview (first Sites row):</t>
  </si>
  <si>
    <t>WO # and DI # here fill in blank WO #/DI # cells on the Sites tab (a value typed on the row wins).</t>
  </si>
  <si>
    <t>1.  SOURCES</t>
  </si>
  <si>
    <t>For each state: the OFFICIAL PUBLIC MAP (open it to confirm a point yourself) and the DATA SERVICE this tool reads. All six Region V states - Michigan, Indiana, Wisconsin, Minnesota, Illinois and Ohio - are wired for road classification.</t>
  </si>
  <si>
    <t>Michigan (MDOT) - WIRED</t>
  </si>
  <si>
    <t xml:space="preserve">    Michigan Department of Transportation, National Functional Classification, NHS &amp; ACUB (interactive map), available at: https://experience.arcgis.com/experience/7edd160c205d46b481fcd605bb4c58ce</t>
  </si>
  <si>
    <t xml:space="preserve">    Michigan Department of Transportation, Functional System, ArcGIS REST feature service layer 353 (NextGen PR Finder; road names from companion layer 543) - queried by this tool, available at: https://mdotgis.state.mi.us/arcgis/rest/services/Widget/NextGenPrFinderPub/FeatureServer/353</t>
  </si>
  <si>
    <t>Indiana (INDOT) - WIRED</t>
  </si>
  <si>
    <t xml:space="preserve">    Indiana Department of Transportation, INDOT Functional Class Map (Functional Classification &amp; Urban Area Boundary), available at: https://experience.arcgis.com/experience/e388c2aa14aa4788a702705620567589/?org=indot</t>
  </si>
  <si>
    <t xml:space="preserve">    Indiana Department of Transportation, LRSE_Functional_Class (Roads_and_Highways collaboration service - the authoritative layer behind INDOT's official Functional Class Map; road names from the 2021 centerlines layer) - queried by this tool, available at: https://gis.indot.in.gov/ro/rest/services/RAH_GIO_Collaboration/LRSE_Functional_Class/FeatureServer/22</t>
  </si>
  <si>
    <t>Wisconsin (WisDOT) - WIRED</t>
  </si>
  <si>
    <t xml:space="preserve">    Wisconsin Department of Transportation, Functional Classification (official page; static county and urban-area PDF maps - WisDOT publishes no statewide interactive map), available at: https://wisconsindot.gov/Pages/projects/data-plan/plan-res/function.aspx</t>
  </si>
  <si>
    <t xml:space="preserve">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t>
  </si>
  <si>
    <t xml:space="preserve">    Wisconsin Department of Transportation, Functional Class - State Trunk Network, ArcGIS REST feature service layer 3 (state highways and interstates; queried when the local layer has no class), available at: https://services5.arcgis.com/0pgGLzT0Nh7FVjon/arcgis/rest/services/FFCL_gdb/FeatureServer/3</t>
  </si>
  <si>
    <t>Minnesota (MnDOT) - WIRED</t>
  </si>
  <si>
    <t xml:space="preserve">    Minnesota Department of Transportation, Enterprise MnDOT Mapping Application (EMMA) - Functional Class layer, available at: https://webgis.dot.state.mn.us/emma/</t>
  </si>
  <si>
    <t xml:space="preserve">    Minnesota Department of Transportation, Functional Class, ArcGIS REST map service layer 11 (mndot_commonlayers2) - queried by this tool, available at: https://dotapp9.dot.state.mn.us/egis12/rest/services/BASEMAP/mndot_commonlayers2/MapServer/11</t>
  </si>
  <si>
    <t>Illinois (IDOT) - WIRED</t>
  </si>
  <si>
    <t xml:space="preserve">    Illinois Department of Transportation, Roadway Functional Class (Getting Around Illinois map viewer), available at: https://www.gettingaroundillinois.com/MapViewer/?config=RFCconfig.json</t>
  </si>
  <si>
    <t xml:space="preserve">    Illinois Department of Transportation, Functional Class, ArcGIS REST map service layer 0 - queried by this tool, available at: https://gis1.dot.illinois.gov/arcgis/rest/services/AdministrativeData/FunctionalClass/MapServer/0</t>
  </si>
  <si>
    <t>Ohio (ODOT) - WIRED</t>
  </si>
  <si>
    <t xml:space="preserve">    Ohio Department of Transportation, Transportation Information Mapping System (TIMS), available at: https://tims.dot.state.oh.us/tims</t>
  </si>
  <si>
    <t xml:space="preserve">    Ohio Department of Transportation, Functional Class, ArcGIS REST map service layer 0 (route names for IR/US/SR routes from the same layer) - queried by this tool, available at: https://tims.dot.state.oh.us/ags/rest/services/Roadway_Information/Functional_Class/MapServer/0</t>
  </si>
  <si>
    <t>All states - urban boundary, street names, geocoding, flood maps</t>
  </si>
  <si>
    <t xml:space="preserve">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t>
  </si>
  <si>
    <t xml:space="preserve">    U.S. Census Bureau, TIGERweb Transportation - Local Roads, ArcGIS REST map service layer 8 (street names, all states), available at: https://tigerweb.geo.census.gov/arcgis/rest/services/TIGERweb/Transportation/MapServer/8</t>
  </si>
  <si>
    <t xml:space="preserve">    U.S. Census Bureau, Census Geocoder - one-line address service (fills coordinates from an address), available at: https://geocoding.geo.census.gov/geocoder/locations/onelineaddress</t>
  </si>
  <si>
    <t xml:space="preserve">    Federal Emergency Management Agency, Map Service Center - Print FIRMette service (flood-map extracts), available at: https://msc.fema.gov/arcgis/rest/services/NFHL_Print/MSCPrintB/GPServer/PrintFIRMette</t>
  </si>
  <si>
    <t>2.  QUIRKS &amp; CAVEATS (plain language)</t>
  </si>
  <si>
    <t>This is a screening aid, not a determination</t>
  </si>
  <si>
    <t>This tool does NOT authoritatively identify FHWA federal-aid roads. It flags high-probability candidates for a person to review, and can miss or mis-tag a road. Every coordinate must be verified by a human on the official map above before it is relied on. Results are informational only and do NOT constitute a federal-aid, funding, or eligibility determination.</t>
  </si>
  <si>
    <t>How the answer is built</t>
  </si>
  <si>
    <t>For each point the tool reads the road's functional class from the state's own data, and separately checks whether the point falls inside a Census-adjusted urban area. A road that is Urban Minor Collector or higher is tagged 'federal aid'; Rural Local, Urban Local and Rural Minor Collector are 'non-federal aid'. It tags the road, not the project - what that means for a work order is the reviewer's call.</t>
  </si>
  <si>
    <t>BOUNDARY ROADS (urban vs rural on the edge)</t>
  </si>
  <si>
    <t>Urban vs rural comes only from the urban-boundary layer, never from the state's own data, so every state is judged the same way. When a GPS point sits ON or just OUTSIDE an urban boundary - e.g. on a road that forms the boundary, or a few feet onto the rural side - the point is deliberately treated as URBAN (the boundary check always searches at least 200 ft). This leans toward flagging a boundary road for review rather than silently dropping it. Always confirm boundary cases manually on the source map.</t>
  </si>
  <si>
    <t>Michigan</t>
  </si>
  <si>
    <t>Michigan's road data includes retired (historical) segments; the tool skips those so it never reads an out-of-date classification. Road names exist only for numbered state routes (like 'I-94'), so local street names are filled in from the Census street layer instead.</t>
  </si>
  <si>
    <t>Indiana</t>
  </si>
  <si>
    <t>The tool reads the authoritative Roads_and_Highways functional-class layer that backs INDOT's official Functional Class Map (no record-status filter - matching the official app, which shows every segment). Indiana's class data carries no road name at all, so names come from a separate centerline layer and the Census. A nearby road that INDOT hasn't classified is flagged 'road not classified' for manual review rather than reported as no road.</t>
  </si>
  <si>
    <t>Wisconsin</t>
  </si>
  <si>
    <t>Wisconsin data comes in two layers. The LOCAL road layer (county/city/town roads and most collectors) is checked FIRST because it covers most points; the STATE TRUNK layer (interstates and state highways) is checked only when the local layer has no class for the point. State highways also appear in the local layer but with no class - the tool treats those as 'not found here' and falls through to the trunk layer. The local layer bakes urban/rural into its own class number, which the tool translates back to a plain federal class. One local code ('Urban Collector') doesn't separate major from minor collector - it's treated as major, which never changes the answer because every urban collector is federal aid regardless. Note: WisDOT moved its local-roads service in 2026 (the old one now needs a login); if it moves again, paste the new layer URL into the Service URLs table below - no rebuild needed.</t>
  </si>
  <si>
    <t>Minnesota, Illinois, Ohio</t>
  </si>
  <si>
    <t>All three publish a plain federal class code (1-7), so they work like Indiana. Minnesota and Illinois carry no street names in their class data - names come from the Census street layer. Ohio names its numbered routes (like 'US 23' or 'SR 161') in the class data itself; local street names come from the Census layer. None of the three needs a retired-record filter.</t>
  </si>
  <si>
    <t>Street names and addresses (all states)</t>
  </si>
  <si>
    <t>Street names are backfilled from the U.S. Census street layer wherever the state data only knows numbered routes. If a row has an address but no coordinates, Check Roads geocodes it with the free Census address service first (it never overwrites coordinates you typed in).</t>
  </si>
  <si>
    <t>3.  SERVICE URLs  (paste a replacement to swap a layer)</t>
  </si>
  <si>
    <t>Each row below is a live data service this tool reads. Leave a cell BLANK to use the built-in default shown next to it. To re-point a layer a state has moved or locked (the way WisDOT just moved its local-roads layer), paste the full replacement layer URL - e.g. https://services5.arcgis.com/.../FeatureServer/1 - into the yellow cell in column C. It takes effect on the next Check Roads, no rebuild needed. The same short KEY names are used by the RoadReviewer website and the AGOL notebook, so one URL swap is easy to mirror across every product. Tip: open the default URL in a browser and add '?f=pjson' to confirm a replacement responds before you trust it.</t>
  </si>
  <si>
    <t>KEY / layer (built-in default)</t>
  </si>
  <si>
    <t>Paste replacement URL here (blank = use default)</t>
  </si>
  <si>
    <t>WI_LOCAL_ROADS  -  Wisconsin - local roads + most collectors (queried first)   (default: https://services5.arcgis.com/0pgGLzT0Nh7FVjon/arcgis/rest/services/Functional_Class_Local_Non_Prod/FeatureServer/1)</t>
  </si>
  <si>
    <t>WI_STATE_TRUNK  -  Wisconsin - state highways &amp; interstates (fallback)   (default: https://services5.arcgis.com/0pgGLzT0Nh7FVjon/arcgis/rest/services/FFCL_gdb/FeatureServer/3)</t>
  </si>
  <si>
    <t>MI_NFC  -  Michigan - functional class (layer 353)   (default: https://mdotgis.state.mi.us/arcgis/rest/services/Widget/NextGenPrFinderPub/FeatureServer/353)</t>
  </si>
  <si>
    <t>MI_ROUTE  -  Michigan - trunkline route names (layer 543)   (default: https://mdotgis.state.mi.us/arcgis/rest/services/Widget/NextGenPrFinderPub/FeatureServer/543)</t>
  </si>
  <si>
    <t>IN_NFC  -  Indiana - functional class (LRSE, layer 22)   (default: https://gis.indot.in.gov/ro/rest/services/RAH_GIO_Collaboration/LRSE_Functional_Class/FeatureServer/22)</t>
  </si>
  <si>
    <t>IN_ROADNAME  -  Indiana - road names (2021 centerlines)   (default: https://gisdata.in.gov/server/rest/services/Hosted/Road_Centerlines_of_Indiana_2021/FeatureServer/15)</t>
  </si>
  <si>
    <t>ACUB  -  All states - adjusted urban-area boundary (urban/rural)   (default: https://services.arcgis.com/xOi1kZaI0eWDREZv/arcgis/rest/services/NTAD_Adjusted_Urban_Areas/FeatureServer/0)</t>
  </si>
  <si>
    <t>TIGER_ROADS  -  All states - Census street names   (default: https://tigerweb.geo.census.gov/arcgis/rest/services/TIGERweb/Transportation/MapServer/8)</t>
  </si>
  <si>
    <t>WORLD_IMAGERY  -  All states - Esri aerial imagery (Fetch Imagery on Map Pages)   (default: https://services.arcgisonline.com/ArcGIS/rest/services/World_Imagery/MapServer)</t>
  </si>
  <si>
    <t>MN_NFC  -  Minnesota - functional class   (default: https://dotapp9.dot.state.mn.us/egis12/rest/services/BASEMAP/mndot_commonlayers2/MapServer/11)</t>
  </si>
  <si>
    <t>IL_NFC  -  Illinois - functional class   (default: https://gis1.dot.illinois.gov/arcgis/rest/services/AdministrativeData/FunctionalClass/MapServer/0)</t>
  </si>
  <si>
    <t>OH_NFC  -  Ohio - functional class (also carries IR/US/SR route names)   (default: https://tims.dot.state.oh.us/ags/rest/services/Roadway_Information/Functional_Class/MapServer/0)</t>
  </si>
  <si>
    <t>Sources verified 2026-07-05 against each service's live metadata. This tool classifies the road, never the project.  RoadReviewer - PR #37.</t>
  </si>
  <si>
    <t>Created by Caleb Smith. Reach out to caleb.smith@fema.dhs.gov for any questions.</t>
  </si>
  <si>
    <t>RoadReviewer</t>
  </si>
  <si>
    <t>Federal-aid road checker and review tool</t>
  </si>
  <si>
    <r>
      <t>IMPORTANT - NOT AN AUTHORITATIVE FHWA OR ELIGIBILITY DETERMINATION</t>
    </r>
    <r>
      <rPr>
        <sz val="11"/>
        <color rgb="FF960000"/>
        <rFont val="Aptos Narrow"/>
        <family val="2"/>
        <scheme val="minor"/>
      </rPr>
      <t xml:space="preserve">
This tool does NOT authoritatively identify FHWA federal-aid roads. It flags high-probability candidates for a person to review, and may miss or mis-tag roads. EVERY coordinate must be verified by a human against the official source map - use each row's NFC Map link and the Sources tab. Results are informational only.</t>
    </r>
  </si>
  <si>
    <t>How To Use</t>
  </si>
  <si>
    <t>1.  Pick your state below.</t>
  </si>
  <si>
    <t>2.  Paste your Latitude and Longitude on the Sites tab (the yellow columns).</t>
  </si>
  <si>
    <t>3.  Click Check Roads. Rows tint red (federal aid), green (non-federal aid) or yellow (review).</t>
  </si>
  <si>
    <t>Check FHWA Status</t>
  </si>
  <si>
    <t>State</t>
  </si>
  <si>
    <t>User-Defined AGOL Layer (optional)</t>
  </si>
  <si>
    <t>FHWA search buffer (feet)  *</t>
  </si>
  <si>
    <t>*  How far to look for a road / urban boundary when the exact point misses.</t>
  </si>
  <si>
    <t>Exports &amp; Handoff</t>
  </si>
  <si>
    <t>Output Folder</t>
  </si>
  <si>
    <t>Pick an export, then click Go. Everything saves to the Output Folder above.</t>
  </si>
  <si>
    <t>Repair / Reset</t>
  </si>
  <si>
    <t>Repair Layout rebuilds the sheets, buttons and formulas and KEEPS your typed Sites data. Reset Everything deletes every point and rebuilds a blank Sites table - it asks you to confirm first.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</si>
</sst>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Aptos Narrow"/>
      <family val="2"/>
      <scheme val="minor"/>
    </font>
    <font>
      <b/>
      <sz val="11"/>
      <color theme="1"/>
      <name val="Aptos Narrow"/>
      <family val="2"/>
      <scheme val="minor"/>
    </font>
    <font>
      <sz val="11"/>
      <color theme="1"/>
      <name val="Calibri"/>
      <family val="2"/>
    </font>
    <font>
      <b/>
      <sz val="11"/>
      <color rgb="FFFFFFFF"/>
      <name val="Calibri"/>
      <family val="2"/>
    </font>
    <font>
      <u/>
      <sz val="11"/>
      <color rgb="FF0563C1"/>
      <name val="Calibri"/>
      <family val="2"/>
    </font>
    <font>
      <b/>
      <sz val="11"/>
      <color rgb="FF2F4F4F"/>
      <name val="Aptos Narrow"/>
      <family val="2"/>
      <scheme val="minor"/>
    </font>
    <font>
      <i/>
      <sz val="11"/>
      <color rgb="FF5A5A5A"/>
      <name val="Aptos Narrow"/>
      <family val="2"/>
      <scheme val="minor"/>
    </font>
    <font>
      <b/>
      <sz val="9"/>
      <color rgb="FF2F4F4F"/>
      <name val="Aptos Narrow"/>
      <family val="2"/>
      <scheme val="minor"/>
    </font>
    <font>
      <sz val="10"/>
      <color rgb="FF000000"/>
      <name val="Segoe UI"/>
      <family val="2"/>
    </font>
    <font>
      <i/>
      <sz val="9"/>
      <color rgb="FF5A5A5A"/>
      <name val="Aptos Narrow"/>
      <family val="2"/>
      <scheme val="minor"/>
    </font>
    <font>
      <i/>
      <sz val="9"/>
      <color rgb="FF787878"/>
      <name val="Aptos Narrow"/>
      <family val="2"/>
      <scheme val="minor"/>
    </font>
    <font>
      <b/>
      <sz val="15"/>
      <color rgb="FF2F4F4F"/>
      <name val="Aptos Narrow"/>
      <family val="2"/>
      <scheme val="minor"/>
    </font>
    <font>
      <sz val="11"/>
      <color rgb="FF3C3C3C"/>
      <name val="Aptos Narrow"/>
      <family val="2"/>
      <scheme val="minor"/>
    </font>
    <font>
      <b/>
      <sz val="12"/>
      <color theme="1"/>
      <name val="Aptos Narrow"/>
      <family val="2"/>
      <scheme val="minor"/>
    </font>
    <font>
      <u/>
      <sz val="11"/>
      <color theme="10"/>
      <name val="Aptos Narrow"/>
      <family val="2"/>
      <scheme val="minor"/>
    </font>
    <font>
      <u/>
      <sz val="10"/>
      <color theme="10"/>
      <name val="Aptos Narrow"/>
      <family val="2"/>
      <scheme val="minor"/>
    </font>
    <font>
      <sz val="9"/>
      <color rgb="FF3C3C3C"/>
      <name val="Aptos Narrow"/>
      <family val="2"/>
      <scheme val="minor"/>
    </font>
    <font>
      <b/>
      <u/>
      <sz val="11"/>
      <color theme="10"/>
      <name val="Aptos Narrow"/>
      <family val="2"/>
      <scheme val="minor"/>
    </font>
    <font>
      <b/>
      <sz val="20"/>
      <color theme="1"/>
      <name val="Aptos Narrow"/>
      <family val="2"/>
      <scheme val="minor"/>
    </font>
    <font>
      <sz val="11"/>
      <color rgb="FF960000"/>
      <name val="Aptos Narrow"/>
      <family val="2"/>
      <scheme val="minor"/>
    </font>
    <font>
      <b/>
      <sz val="11"/>
      <color rgb="FF960000"/>
      <name val="Aptos Narrow"/>
      <family val="2"/>
      <scheme val="minor"/>
    </font>
    <font>
      <b/>
      <sz val="14"/>
      <color rgb="FF2F4F4F"/>
      <name val="Aptos Narrow"/>
      <family val="2"/>
      <scheme val="minor"/>
    </font>
    <font>
      <sz val="11"/>
      <color rgb="FF464646"/>
      <name val="Aptos Narrow"/>
      <family val="2"/>
      <scheme val="minor"/>
    </font>
  </fonts>
  <fills count="8">
    <fill>
      <patternFill patternType="none"/>
    </fill>
    <fill>
      <patternFill patternType="gray125"/>
    </fill>
    <fill>
      <patternFill patternType="solid">
        <fgColor rgb="FF2F4F4F"/>
        <bgColor indexed="64"/>
      </patternFill>
    </fill>
    <fill>
      <patternFill patternType="solid">
        <fgColor rgb="FFFFFFCC"/>
        <bgColor indexed="64"/>
      </patternFill>
    </fill>
    <fill>
      <patternFill patternType="solid">
        <fgColor rgb="FFF2F2F2"/>
        <bgColor indexed="64"/>
      </patternFill>
    </fill>
    <fill>
      <patternFill patternType="solid">
        <fgColor rgb="FFF5F7F9"/>
        <bgColor indexed="64"/>
      </patternFill>
    </fill>
    <fill>
      <patternFill patternType="solid">
        <fgColor rgb="FFFFFFFF"/>
        <bgColor indexed="64"/>
      </patternFill>
    </fill>
    <fill>
      <patternFill patternType="solid">
        <fgColor rgb="FFFFEEEE"/>
        <bgColor indexed="64"/>
      </patternFill>
    </fill>
  </fills>
  <borders count="8">
    <border>
      <left/>
      <right/>
      <top/>
      <bottom/>
      <diagonal/>
    </border>
    <border>
      <left style="thin">
        <color rgb="FFC8C8C8"/>
      </left>
      <right style="thin">
        <color rgb="FFC8C8C8"/>
      </right>
      <top style="thin">
        <color rgb="FFC8C8C8"/>
      </top>
      <bottom style="thin">
        <color rgb="FFC8C8C8"/>
      </bottom>
      <diagonal/>
    </border>
    <border>
      <left/>
      <right/>
      <top style="thin">
        <color rgb="FFC8C8C8"/>
      </top>
      <bottom/>
      <diagonal/>
    </border>
    <border>
      <left style="thin">
        <color rgb="FF969696"/>
      </left>
      <right style="thin">
        <color rgb="FF969696"/>
      </right>
      <top style="thin">
        <color rgb="FF969696"/>
      </top>
      <bottom style="thin">
        <color rgb="FF969696"/>
      </bottom>
      <diagonal/>
    </border>
    <border>
      <left/>
      <right/>
      <top style="thin">
        <color rgb="FF969696"/>
      </top>
      <bottom/>
      <diagonal/>
    </border>
    <border>
      <left style="thin">
        <color rgb="FFC8C8A0"/>
      </left>
      <right style="thin">
        <color rgb="FFC8C8A0"/>
      </right>
      <top style="thin">
        <color rgb="FFC8C8A0"/>
      </top>
      <bottom style="thin">
        <color rgb="FFC8C8A0"/>
      </bottom>
      <diagonal/>
    </border>
    <border>
      <left style="medium">
        <color rgb="FFC00000"/>
      </left>
      <right style="medium">
        <color rgb="FFC00000"/>
      </right>
      <top style="medium">
        <color rgb="FFC00000"/>
      </top>
      <bottom style="medium">
        <color rgb="FFC00000"/>
      </bottom>
      <diagonal/>
    </border>
    <border>
      <left/>
      <right/>
      <top/>
      <bottom style="thin">
        <color rgb="FFBEC8CD"/>
      </bottom>
      <diagonal/>
    </border>
  </borders>
  <cellStyleXfs count="2">
    <xf numFmtId="0" fontId="0" fillId="0" borderId="0"/>
    <xf numFmtId="0" fontId="14" fillId="0" borderId="0" applyNumberFormat="0" applyFill="0" applyBorder="0" applyAlignment="0" applyProtection="0"/>
  </cellStyleXfs>
  <cellXfs count="39">
    <xf numFmtId="0" fontId="0" fillId="0" borderId="0" xfId="0"/>
    <xf numFmtId="0" fontId="2" fillId="0" borderId="0" xfId="0" applyFont="1"/>
    <xf numFmtId="0" fontId="3" fillId="2" borderId="0" xfId="0" applyFont="1" applyFill="1"/>
    <xf numFmtId="0" fontId="2" fillId="3" borderId="0" xfId="0" applyFont="1" applyFill="1"/>
    <xf numFmtId="0" fontId="2" fillId="4" borderId="0" xfId="0" applyFont="1" applyFill="1"/>
    <xf numFmtId="0" fontId="2" fillId="4" borderId="0" xfId="0" applyFont="1" applyFill="1" applyAlignment="1">
      <alignment horizontal="center"/>
    </xf>
    <xf numFmtId="0" fontId="4" fillId="0" borderId="0" xfId="0" applyFont="1"/>
    <xf numFmtId="0" fontId="0" fillId="5" borderId="0" xfId="0" applyFill="1"/>
    <xf numFmtId="0" fontId="1" fillId="5" borderId="0" xfId="0" applyFont="1" applyFill="1"/>
    <xf numFmtId="0" fontId="5" fillId="5" borderId="0" xfId="0" applyFont="1" applyFill="1"/>
    <xf numFmtId="0" fontId="1" fillId="5" borderId="0" xfId="0" applyFont="1" applyFill="1"/>
    <xf numFmtId="0" fontId="1" fillId="5" borderId="0" xfId="0" applyFont="1" applyFill="1" applyAlignment="1">
      <alignment horizontal="left"/>
    </xf>
    <xf numFmtId="0" fontId="0" fillId="3" borderId="1" xfId="0" applyFill="1" applyBorder="1" applyAlignment="1">
      <alignment horizontal="left"/>
    </xf>
    <xf numFmtId="0" fontId="6" fillId="5" borderId="2" xfId="0" applyFont="1" applyFill="1" applyBorder="1"/>
    <xf numFmtId="0" fontId="7" fillId="5" borderId="0" xfId="0" applyFont="1" applyFill="1"/>
    <xf numFmtId="0" fontId="8" fillId="6" borderId="3" xfId="0" applyFont="1" applyFill="1" applyBorder="1" applyAlignment="1">
      <alignment horizontal="left" vertical="top" wrapText="1" indent="1"/>
    </xf>
    <xf numFmtId="0" fontId="9" fillId="5" borderId="4" xfId="0" applyFont="1" applyFill="1" applyBorder="1" applyAlignment="1">
      <alignment horizontal="left"/>
    </xf>
    <xf numFmtId="0" fontId="10" fillId="5" borderId="0" xfId="0" applyFont="1" applyFill="1" applyAlignment="1">
      <alignment horizontal="left" vertical="top" wrapText="1"/>
    </xf>
    <xf numFmtId="0" fontId="1" fillId="0" borderId="0" xfId="0" applyFont="1"/>
    <xf numFmtId="0" fontId="11" fillId="0" borderId="0" xfId="0" applyFont="1"/>
    <xf numFmtId="0" fontId="12" fillId="0" borderId="0" xfId="0" applyFont="1" applyAlignment="1">
      <alignment vertical="top" wrapText="1"/>
    </xf>
    <xf numFmtId="0" fontId="13" fillId="0" borderId="0" xfId="0" applyFont="1"/>
    <xf numFmtId="0" fontId="15" fillId="0" borderId="0" xfId="1" applyFont="1" applyAlignment="1">
      <alignment vertical="top" wrapText="1"/>
    </xf>
    <xf numFmtId="0" fontId="16" fillId="0" borderId="0" xfId="0" applyFont="1" applyAlignment="1">
      <alignment vertical="top" wrapText="1"/>
    </xf>
    <xf numFmtId="0" fontId="0" fillId="3" borderId="5" xfId="0" applyFill="1" applyBorder="1" applyAlignment="1">
      <alignment vertical="top" wrapText="1"/>
    </xf>
    <xf numFmtId="0" fontId="17" fillId="0" borderId="0" xfId="1" applyFont="1"/>
    <xf numFmtId="0" fontId="18" fillId="5" borderId="0" xfId="0" applyFont="1" applyFill="1"/>
    <xf numFmtId="0" fontId="6" fillId="5" borderId="0" xfId="0" applyFont="1" applyFill="1"/>
    <xf numFmtId="0" fontId="19" fillId="7" borderId="6" xfId="0" applyFont="1" applyFill="1" applyBorder="1" applyAlignment="1">
      <alignment horizontal="left" vertical="top" wrapText="1"/>
    </xf>
    <xf numFmtId="0" fontId="20" fillId="7" borderId="6" xfId="0" applyFont="1" applyFill="1" applyBorder="1" applyAlignment="1">
      <alignment horizontal="left" vertical="top" wrapText="1"/>
    </xf>
    <xf numFmtId="0" fontId="21" fillId="5" borderId="7" xfId="0" applyFont="1" applyFill="1" applyBorder="1" applyAlignment="1"/>
    <xf numFmtId="0" fontId="0" fillId="5" borderId="7" xfId="0" applyFill="1" applyBorder="1"/>
    <xf numFmtId="0" fontId="22" fillId="5" borderId="0" xfId="0" applyFont="1" applyFill="1" applyAlignment="1">
      <alignment horizontal="left" vertical="top" wrapText="1" indent="1"/>
    </xf>
    <xf numFmtId="0" fontId="0" fillId="5" borderId="0" xfId="0" applyFill="1" applyAlignment="1">
      <alignment horizontal="left" vertical="top" wrapText="1" indent="1"/>
    </xf>
    <xf numFmtId="0" fontId="0" fillId="3" borderId="1" xfId="0" applyFill="1" applyBorder="1" applyAlignment="1">
      <alignment horizontal="right"/>
    </xf>
    <xf numFmtId="0" fontId="10" fillId="5" borderId="0" xfId="0" applyFont="1" applyFill="1" applyAlignment="1">
      <alignment horizontal="left" vertical="top" wrapText="1" indent="1"/>
    </xf>
    <xf numFmtId="0" fontId="6" fillId="5" borderId="0" xfId="0" applyFont="1" applyFill="1" applyAlignment="1">
      <alignment horizontal="left" vertical="top" wrapText="1" indent="1"/>
    </xf>
    <xf numFmtId="0" fontId="6" fillId="3" borderId="1" xfId="0" applyFont="1" applyFill="1" applyBorder="1" applyAlignment="1">
      <alignment horizontal="right"/>
    </xf>
    <xf numFmtId="0" fontId="0" fillId="0" borderId="0" xfId="0" applyFill="1"/>
  </cellXfs>
  <cellStyles count="2">
    <cellStyle name="Hyperlink" xfId="1" builtinId="8"/>
    <cellStyle name="Normal" xfId="0" builtinId="0"/>
  </cellStyles>
  <dxfs count="3">
    <dxf>
      <fill>
        <patternFill>
          <bgColor rgb="FFFFEB9C"/>
        </patternFill>
      </fill>
    </dxf>
    <dxf>
      <fill>
        <patternFill>
          <bgColor rgb="FFFFC7CE"/>
        </patternFill>
      </fill>
    </dxf>
    <dxf>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Drop" dropLines="12" dropStyle="combo" dx="39" noThreeD="1" sel="1" val="0">
  <itemLst>
    <item val="Sites Table (CSV)"/>
    <item val="Sites to KML"/>
    <item val="Sites to GeoJSON"/>
    <item val="Prepare Map Pages"/>
    <item val="Fetch Map Imagery"/>
    <item val="Add Blank Map Page"/>
    <item val="Insert Map Images"/>
    <item val="Combined Map PDF"/>
    <item val="Download FIRMettes"/>
    <item val="Re-run Failed FIRMettes"/>
    <item val="User-Defined AGOL Map"/>
    <item val="Functional Class Webmap"/>
  </itemLst>
</formControlPr>
</file>

<file path=xl/drawings/drawing1.xml><?xml version="1.0" encoding="utf-8"?>
<xdr:wsDr xmlns:xdr="http://schemas.openxmlformats.org/drawingml/2006/spreadsheetDrawing" xmlns:a="http://schemas.openxmlformats.org/drawingml/2006/main">
  <xdr:twoCellAnchor editAs="absolute">
    <xdr:from>
      <xdr:col>1</xdr:col>
      <xdr:colOff>1643062</xdr:colOff>
      <xdr:row>28</xdr:row>
      <xdr:rowOff>12700</xdr:rowOff>
    </xdr:from>
    <xdr:to>
      <xdr:col>1</xdr:col>
      <xdr:colOff>2278062</xdr:colOff>
      <xdr:row>29</xdr:row>
      <xdr:rowOff>22225</xdr:rowOff>
    </xdr:to>
    <xdr:sp macro="SelectOutputFolder" textlink="">
      <xdr:nvSpPr>
        <xdr:cNvPr id="2" name="Rectangle: Rounded Corners 1">
          <a:extLst>
            <a:ext uri="{FF2B5EF4-FFF2-40B4-BE49-F238E27FC236}">
              <a16:creationId xmlns:a16="http://schemas.microsoft.com/office/drawing/2014/main" id="{88E749EC-5536-444E-6AC2-39D65EA18016}"/>
            </a:ext>
          </a:extLst>
        </xdr:cNvPr>
        <xdr:cNvSpPr/>
      </xdr:nvSpPr>
      <xdr:spPr>
        <a:xfrm>
          <a:off x="1828800" y="6194425"/>
          <a:ext cx="635000" cy="1905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900" b="1">
              <a:solidFill>
                <a:srgbClr val="FFFFFF"/>
              </a:solidFill>
            </a:rPr>
            <a:t>Browse</a:t>
          </a:r>
        </a:p>
      </xdr:txBody>
    </xdr:sp>
    <xdr:clientData/>
  </xdr:twoCellAnchor>
  <xdr:twoCellAnchor editAs="absolute">
    <xdr:from>
      <xdr:col>1</xdr:col>
      <xdr:colOff>119062</xdr:colOff>
      <xdr:row>21</xdr:row>
      <xdr:rowOff>0</xdr:rowOff>
    </xdr:from>
    <xdr:to>
      <xdr:col>2</xdr:col>
      <xdr:colOff>330200</xdr:colOff>
      <xdr:row>23</xdr:row>
      <xdr:rowOff>19050</xdr:rowOff>
    </xdr:to>
    <xdr:sp macro="CheckRoads" textlink="">
      <xdr:nvSpPr>
        <xdr:cNvPr id="3" name="Rectangle: Rounded Corners 2">
          <a:extLst>
            <a:ext uri="{FF2B5EF4-FFF2-40B4-BE49-F238E27FC236}">
              <a16:creationId xmlns:a16="http://schemas.microsoft.com/office/drawing/2014/main" id="{BC643A98-DE42-DACC-3E0F-9EA1624F05D0}"/>
            </a:ext>
          </a:extLst>
        </xdr:cNvPr>
        <xdr:cNvSpPr/>
      </xdr:nvSpPr>
      <xdr:spPr>
        <a:xfrm>
          <a:off x="304800" y="4786313"/>
          <a:ext cx="25400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Check Roads</a:t>
          </a:r>
        </a:p>
      </xdr:txBody>
    </xdr:sp>
    <xdr:clientData/>
  </xdr:twoCellAnchor>
  <xdr:twoCellAnchor editAs="absolute">
    <xdr:from>
      <xdr:col>2</xdr:col>
      <xdr:colOff>457200</xdr:colOff>
      <xdr:row>21</xdr:row>
      <xdr:rowOff>0</xdr:rowOff>
    </xdr:from>
    <xdr:to>
      <xdr:col>2</xdr:col>
      <xdr:colOff>2616200</xdr:colOff>
      <xdr:row>23</xdr:row>
      <xdr:rowOff>19050</xdr:rowOff>
    </xdr:to>
    <xdr:sp macro="ReRunFailedRows" textlink="">
      <xdr:nvSpPr>
        <xdr:cNvPr id="4" name="Rectangle: Rounded Corners 3">
          <a:extLst>
            <a:ext uri="{FF2B5EF4-FFF2-40B4-BE49-F238E27FC236}">
              <a16:creationId xmlns:a16="http://schemas.microsoft.com/office/drawing/2014/main" id="{79F9C69B-5847-A212-3D78-A6B9ED63E705}"/>
            </a:ext>
          </a:extLst>
        </xdr:cNvPr>
        <xdr:cNvSpPr/>
      </xdr:nvSpPr>
      <xdr:spPr>
        <a:xfrm>
          <a:off x="2971800" y="4786313"/>
          <a:ext cx="2159000" cy="3810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Re-run Failed Rows</a:t>
          </a:r>
        </a:p>
      </xdr:txBody>
    </xdr:sp>
    <xdr:clientData/>
  </xdr:twoCellAnchor>
  <mc:AlternateContent xmlns:mc="http://schemas.openxmlformats.org/markup-compatibility/2006">
    <mc:Choice xmlns:a14="http://schemas.microsoft.com/office/drawing/2010/main" Requires="a14">
      <xdr:twoCellAnchor editAs="absolute">
        <xdr:from>
          <xdr:col>1</xdr:col>
          <xdr:colOff>119063</xdr:colOff>
          <xdr:row>30</xdr:row>
          <xdr:rowOff>33338</xdr:rowOff>
        </xdr:from>
        <xdr:to>
          <xdr:col>2</xdr:col>
          <xdr:colOff>1600200</xdr:colOff>
          <xdr:row>31</xdr:row>
          <xdr:rowOff>133350</xdr:rowOff>
        </xdr:to>
        <xdr:sp macro="" textlink="">
          <xdr:nvSpPr>
            <xdr:cNvPr id="3073" name="RR_ExportPicker" hidden="1">
              <a:extLst>
                <a:ext uri="{63B3BB69-23CF-44E3-9099-C40C66FF867C}">
                  <a14:compatExt spid="_x0000_s3073"/>
                </a:ext>
                <a:ext uri="{FF2B5EF4-FFF2-40B4-BE49-F238E27FC236}">
                  <a16:creationId xmlns:a16="http://schemas.microsoft.com/office/drawing/2014/main" id="{41A42603-97DD-3482-ECC2-75AB953DD731}"/>
                </a:ext>
              </a:extLst>
            </xdr:cNvPr>
            <xdr:cNvSpPr/>
          </xdr:nvSpPr>
          <xdr:spPr bwMode="auto">
            <a:xfrm>
              <a:off x="0" y="0"/>
              <a:ext cx="0" cy="0"/>
            </a:xfrm>
            <a:prstGeom prst="rect">
              <a:avLst/>
            </a:prstGeom>
            <a:noFill/>
            <a:ln w="9525">
              <a:prstDash val="solid"/>
              <a:miter lim="800000"/>
              <a:headEnd/>
              <a:tailEnd type="none" w="med" len="med"/>
            </a:ln>
            <a:effectLst/>
            <a:extLst>
              <a:ext uri="{909E8E84-426E-40DD-AFC4-6F175D3DCCD1}">
                <a14:hiddenFill>
                  <a:noFill/>
                </a14:hiddenFill>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twoCellAnchor editAs="absolute">
    <xdr:from>
      <xdr:col>2</xdr:col>
      <xdr:colOff>1701800</xdr:colOff>
      <xdr:row>30</xdr:row>
      <xdr:rowOff>0</xdr:rowOff>
    </xdr:from>
    <xdr:to>
      <xdr:col>2</xdr:col>
      <xdr:colOff>2590800</xdr:colOff>
      <xdr:row>31</xdr:row>
      <xdr:rowOff>123825</xdr:rowOff>
    </xdr:to>
    <xdr:sp macro="RunSelectedExport" textlink="">
      <xdr:nvSpPr>
        <xdr:cNvPr id="5" name="Rectangle: Rounded Corners 4">
          <a:extLst>
            <a:ext uri="{FF2B5EF4-FFF2-40B4-BE49-F238E27FC236}">
              <a16:creationId xmlns:a16="http://schemas.microsoft.com/office/drawing/2014/main" id="{1AB53B7D-3EDD-F917-0352-646FDEF70BD5}"/>
            </a:ext>
          </a:extLst>
        </xdr:cNvPr>
        <xdr:cNvSpPr/>
      </xdr:nvSpPr>
      <xdr:spPr>
        <a:xfrm>
          <a:off x="4216400" y="6543675"/>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xdr:twoCellAnchor editAs="absolute">
    <xdr:from>
      <xdr:col>1</xdr:col>
      <xdr:colOff>119062</xdr:colOff>
      <xdr:row>36</xdr:row>
      <xdr:rowOff>0</xdr:rowOff>
    </xdr:from>
    <xdr:to>
      <xdr:col>2</xdr:col>
      <xdr:colOff>457200</xdr:colOff>
      <xdr:row>37</xdr:row>
      <xdr:rowOff>123825</xdr:rowOff>
    </xdr:to>
    <xdr:sp macro="BuildWorkbook" textlink="">
      <xdr:nvSpPr>
        <xdr:cNvPr id="6" name="Rectangle: Rounded Corners 5">
          <a:extLst>
            <a:ext uri="{FF2B5EF4-FFF2-40B4-BE49-F238E27FC236}">
              <a16:creationId xmlns:a16="http://schemas.microsoft.com/office/drawing/2014/main" id="{F2631E73-2306-76FD-A796-1E328F64B906}"/>
            </a:ext>
          </a:extLst>
        </xdr:cNvPr>
        <xdr:cNvSpPr/>
      </xdr:nvSpPr>
      <xdr:spPr>
        <a:xfrm>
          <a:off x="304800" y="7758113"/>
          <a:ext cx="2667000" cy="3048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Repair Layout (keeps your data)</a:t>
          </a:r>
        </a:p>
      </xdr:txBody>
    </xdr:sp>
    <xdr:clientData/>
  </xdr:twoCellAnchor>
  <xdr:twoCellAnchor editAs="absolute">
    <xdr:from>
      <xdr:col>2</xdr:col>
      <xdr:colOff>584200</xdr:colOff>
      <xdr:row>36</xdr:row>
      <xdr:rowOff>0</xdr:rowOff>
    </xdr:from>
    <xdr:to>
      <xdr:col>2</xdr:col>
      <xdr:colOff>3378200</xdr:colOff>
      <xdr:row>37</xdr:row>
      <xdr:rowOff>123825</xdr:rowOff>
    </xdr:to>
    <xdr:sp macro="ResetWorkbookFull" textlink="">
      <xdr:nvSpPr>
        <xdr:cNvPr id="7" name="Rectangle: Rounded Corners 6">
          <a:extLst>
            <a:ext uri="{FF2B5EF4-FFF2-40B4-BE49-F238E27FC236}">
              <a16:creationId xmlns:a16="http://schemas.microsoft.com/office/drawing/2014/main" id="{1E4C6591-E477-D5DA-5C78-7B33EB85662A}"/>
            </a:ext>
          </a:extLst>
        </xdr:cNvPr>
        <xdr:cNvSpPr/>
      </xdr:nvSpPr>
      <xdr:spPr>
        <a:xfrm>
          <a:off x="3098800" y="7758113"/>
          <a:ext cx="2794000" cy="304800"/>
        </a:xfrm>
        <a:prstGeom prst="roundRect">
          <a:avLst/>
        </a:prstGeom>
        <a:solidFill>
          <a:srgbClr val="B0505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Reset Everything (erases data)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101600</xdr:colOff>
      <xdr:row>0</xdr:row>
      <xdr:rowOff>63500</xdr:rowOff>
    </xdr:from>
    <xdr:to>
      <xdr:col>5</xdr:col>
      <xdr:colOff>196850</xdr:colOff>
      <xdr:row>1</xdr:row>
      <xdr:rowOff>128587</xdr:rowOff>
    </xdr:to>
    <xdr:sp macro="" textlink="">
      <xdr:nvSpPr>
        <xdr:cNvPr id="2" name="MapCtrl_Title">
          <a:extLst>
            <a:ext uri="{FF2B5EF4-FFF2-40B4-BE49-F238E27FC236}">
              <a16:creationId xmlns:a16="http://schemas.microsoft.com/office/drawing/2014/main" id="{5FE6C1A1-AE09-B1C4-CA72-D05889EB42BA}"/>
            </a:ext>
          </a:extLst>
        </xdr:cNvPr>
        <xdr:cNvSpPr txBox="1"/>
      </xdr:nvSpPr>
      <xdr:spPr>
        <a:xfrm>
          <a:off x="101600" y="63500"/>
          <a:ext cx="3810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1500" b="1">
              <a:solidFill>
                <a:srgbClr val="2F4F4F"/>
              </a:solidFill>
            </a:rPr>
            <a:t>Map Pages</a:t>
          </a:r>
        </a:p>
      </xdr:txBody>
    </xdr:sp>
    <xdr:clientData/>
  </xdr:twoCellAnchor>
  <xdr:twoCellAnchor>
    <xdr:from>
      <xdr:col>0</xdr:col>
      <xdr:colOff>101600</xdr:colOff>
      <xdr:row>1</xdr:row>
      <xdr:rowOff>192087</xdr:rowOff>
    </xdr:from>
    <xdr:to>
      <xdr:col>5</xdr:col>
      <xdr:colOff>196850</xdr:colOff>
      <xdr:row>4</xdr:row>
      <xdr:rowOff>82550</xdr:rowOff>
    </xdr:to>
    <xdr:sp macro="CreateMapPagesPdf" textlink="">
      <xdr:nvSpPr>
        <xdr:cNvPr id="3" name="MapCtrl_CreatePdf">
          <a:extLst>
            <a:ext uri="{FF2B5EF4-FFF2-40B4-BE49-F238E27FC236}">
              <a16:creationId xmlns:a16="http://schemas.microsoft.com/office/drawing/2014/main" id="{1E09EC76-3164-A288-EC9B-AFA107E18382}"/>
            </a:ext>
          </a:extLst>
        </xdr:cNvPr>
        <xdr:cNvSpPr/>
      </xdr:nvSpPr>
      <xdr:spPr>
        <a:xfrm>
          <a:off x="101600" y="406400"/>
          <a:ext cx="3810000" cy="5334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Create Combined Map Pages PDF</a:t>
          </a:r>
        </a:p>
      </xdr:txBody>
    </xdr:sp>
    <xdr:clientData/>
  </xdr:twoCellAnchor>
  <xdr:twoCellAnchor>
    <xdr:from>
      <xdr:col>5</xdr:col>
      <xdr:colOff>349250</xdr:colOff>
      <xdr:row>1</xdr:row>
      <xdr:rowOff>192087</xdr:rowOff>
    </xdr:from>
    <xdr:to>
      <xdr:col>9</xdr:col>
      <xdr:colOff>171450</xdr:colOff>
      <xdr:row>4</xdr:row>
      <xdr:rowOff>82550</xdr:rowOff>
    </xdr:to>
    <xdr:sp macro="DownloadFirmettes" textlink="">
      <xdr:nvSpPr>
        <xdr:cNvPr id="4" name="MapCtrl_Firm">
          <a:extLst>
            <a:ext uri="{FF2B5EF4-FFF2-40B4-BE49-F238E27FC236}">
              <a16:creationId xmlns:a16="http://schemas.microsoft.com/office/drawing/2014/main" id="{A41CDF89-41A7-5648-6EB6-D10A20926B0F}"/>
            </a:ext>
          </a:extLst>
        </xdr:cNvPr>
        <xdr:cNvSpPr/>
      </xdr:nvSpPr>
      <xdr:spPr>
        <a:xfrm>
          <a:off x="4064000" y="406400"/>
          <a:ext cx="2794000" cy="5334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Download FIRMettes</a:t>
          </a:r>
        </a:p>
      </xdr:txBody>
    </xdr:sp>
    <xdr:clientData/>
  </xdr:twoCellAnchor>
  <xdr:twoCellAnchor>
    <xdr:from>
      <xdr:col>0</xdr:col>
      <xdr:colOff>101600</xdr:colOff>
      <xdr:row>4</xdr:row>
      <xdr:rowOff>209550</xdr:rowOff>
    </xdr:from>
    <xdr:to>
      <xdr:col>2</xdr:col>
      <xdr:colOff>647700</xdr:colOff>
      <xdr:row>5</xdr:row>
      <xdr:rowOff>211137</xdr:rowOff>
    </xdr:to>
    <xdr:sp macro="ToggleMapAdvanced" textlink="">
      <xdr:nvSpPr>
        <xdr:cNvPr id="5" name="MapCtrl_AdvToggle" descr="0">
          <a:extLst>
            <a:ext uri="{FF2B5EF4-FFF2-40B4-BE49-F238E27FC236}">
              <a16:creationId xmlns:a16="http://schemas.microsoft.com/office/drawing/2014/main" id="{42A6D09B-3DF7-7387-FEEE-0B7AB91E2075}"/>
            </a:ext>
          </a:extLst>
        </xdr:cNvPr>
        <xdr:cNvSpPr/>
      </xdr:nvSpPr>
      <xdr:spPr>
        <a:xfrm>
          <a:off x="101600" y="1066800"/>
          <a:ext cx="2032000" cy="2159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5A5A5A"/>
              </a:solidFill>
            </a:rPr>
            <a:t>Advanced options  ▸</a:t>
          </a:r>
        </a:p>
      </xdr:txBody>
    </xdr:sp>
    <xdr:clientData/>
  </xdr:twoCellAnchor>
  <xdr:twoCellAnchor>
    <xdr:from>
      <xdr:col>0</xdr:col>
      <xdr:colOff>101600</xdr:colOff>
      <xdr:row>6</xdr:row>
      <xdr:rowOff>60325</xdr:rowOff>
    </xdr:from>
    <xdr:to>
      <xdr:col>4</xdr:col>
      <xdr:colOff>304800</xdr:colOff>
      <xdr:row>6</xdr:row>
      <xdr:rowOff>212725</xdr:rowOff>
    </xdr:to>
    <xdr:sp macro="" textlink="">
      <xdr:nvSpPr>
        <xdr:cNvPr id="6" name="MapCtrl_Adv_StepsLabel" hidden="1">
          <a:extLst>
            <a:ext uri="{FF2B5EF4-FFF2-40B4-BE49-F238E27FC236}">
              <a16:creationId xmlns:a16="http://schemas.microsoft.com/office/drawing/2014/main" id="{9DD99843-269A-2312-FC65-19BF4C9CC8FC}"/>
            </a:ext>
          </a:extLst>
        </xdr:cNvPr>
        <xdr:cNvSpPr txBox="1"/>
      </xdr:nvSpPr>
      <xdr:spPr>
        <a:xfrm>
          <a:off x="101600" y="1346200"/>
          <a:ext cx="31750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1">
              <a:solidFill>
                <a:srgbClr val="5A5A5A"/>
              </a:solidFill>
            </a:rPr>
            <a:t>Run the steps one at a time:</a:t>
          </a:r>
        </a:p>
      </xdr:txBody>
    </xdr:sp>
    <xdr:clientData/>
  </xdr:twoCellAnchor>
  <xdr:twoCellAnchor>
    <xdr:from>
      <xdr:col>0</xdr:col>
      <xdr:colOff>101600</xdr:colOff>
      <xdr:row>7</xdr:row>
      <xdr:rowOff>23812</xdr:rowOff>
    </xdr:from>
    <xdr:to>
      <xdr:col>2</xdr:col>
      <xdr:colOff>114300</xdr:colOff>
      <xdr:row>8</xdr:row>
      <xdr:rowOff>38100</xdr:rowOff>
    </xdr:to>
    <xdr:sp macro="PrepareMapPages" textlink="">
      <xdr:nvSpPr>
        <xdr:cNvPr id="7" name="MapCtrl_Adv_Prepare" hidden="1">
          <a:extLst>
            <a:ext uri="{FF2B5EF4-FFF2-40B4-BE49-F238E27FC236}">
              <a16:creationId xmlns:a16="http://schemas.microsoft.com/office/drawing/2014/main" id="{0AA3610F-45B6-3421-EBF6-4FA6B90C9F11}"/>
            </a:ext>
          </a:extLst>
        </xdr:cNvPr>
        <xdr:cNvSpPr/>
      </xdr:nvSpPr>
      <xdr:spPr>
        <a:xfrm>
          <a:off x="101600" y="15240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1. Prepare Pages</a:t>
          </a:r>
        </a:p>
      </xdr:txBody>
    </xdr:sp>
    <xdr:clientData/>
  </xdr:twoCellAnchor>
  <xdr:twoCellAnchor>
    <xdr:from>
      <xdr:col>2</xdr:col>
      <xdr:colOff>190500</xdr:colOff>
      <xdr:row>7</xdr:row>
      <xdr:rowOff>23812</xdr:rowOff>
    </xdr:from>
    <xdr:to>
      <xdr:col>4</xdr:col>
      <xdr:colOff>203200</xdr:colOff>
      <xdr:row>8</xdr:row>
      <xdr:rowOff>38100</xdr:rowOff>
    </xdr:to>
    <xdr:sp macro="FetchMapImagery" textlink="">
      <xdr:nvSpPr>
        <xdr:cNvPr id="8" name="MapCtrl_Adv_Fetch" hidden="1">
          <a:extLst>
            <a:ext uri="{FF2B5EF4-FFF2-40B4-BE49-F238E27FC236}">
              <a16:creationId xmlns:a16="http://schemas.microsoft.com/office/drawing/2014/main" id="{173A3A9D-FEEC-B0C4-3BC4-660254E8BE82}"/>
            </a:ext>
          </a:extLst>
        </xdr:cNvPr>
        <xdr:cNvSpPr/>
      </xdr:nvSpPr>
      <xdr:spPr>
        <a:xfrm>
          <a:off x="1676400" y="15240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2. Fetch Imagery</a:t>
          </a:r>
        </a:p>
      </xdr:txBody>
    </xdr:sp>
    <xdr:clientData/>
  </xdr:twoCellAnchor>
  <xdr:twoCellAnchor>
    <xdr:from>
      <xdr:col>4</xdr:col>
      <xdr:colOff>279400</xdr:colOff>
      <xdr:row>7</xdr:row>
      <xdr:rowOff>23812</xdr:rowOff>
    </xdr:from>
    <xdr:to>
      <xdr:col>6</xdr:col>
      <xdr:colOff>292100</xdr:colOff>
      <xdr:row>8</xdr:row>
      <xdr:rowOff>38100</xdr:rowOff>
    </xdr:to>
    <xdr:sp macro="ExportCombinedMapPdf" textlink="">
      <xdr:nvSpPr>
        <xdr:cNvPr id="9" name="MapCtrl_Adv_Export" hidden="1">
          <a:extLst>
            <a:ext uri="{FF2B5EF4-FFF2-40B4-BE49-F238E27FC236}">
              <a16:creationId xmlns:a16="http://schemas.microsoft.com/office/drawing/2014/main" id="{A3988016-93BB-8336-9F01-B3E6A0A29076}"/>
            </a:ext>
          </a:extLst>
        </xdr:cNvPr>
        <xdr:cNvSpPr/>
      </xdr:nvSpPr>
      <xdr:spPr>
        <a:xfrm>
          <a:off x="3251200" y="15240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3. Export PDF</a:t>
          </a:r>
        </a:p>
      </xdr:txBody>
    </xdr:sp>
    <xdr:clientData/>
  </xdr:twoCellAnchor>
  <xdr:twoCellAnchor>
    <xdr:from>
      <xdr:col>6</xdr:col>
      <xdr:colOff>469900</xdr:colOff>
      <xdr:row>7</xdr:row>
      <xdr:rowOff>23812</xdr:rowOff>
    </xdr:from>
    <xdr:to>
      <xdr:col>8</xdr:col>
      <xdr:colOff>736600</xdr:colOff>
      <xdr:row>8</xdr:row>
      <xdr:rowOff>38100</xdr:rowOff>
    </xdr:to>
    <xdr:sp macro="ReRunFailedImagery" textlink="">
      <xdr:nvSpPr>
        <xdr:cNvPr id="10" name="MapCtrl_Adv_FetchRe" hidden="1">
          <a:extLst>
            <a:ext uri="{FF2B5EF4-FFF2-40B4-BE49-F238E27FC236}">
              <a16:creationId xmlns:a16="http://schemas.microsoft.com/office/drawing/2014/main" id="{E48CEF52-C2E2-7741-D0EF-231925B78405}"/>
            </a:ext>
          </a:extLst>
        </xdr:cNvPr>
        <xdr:cNvSpPr/>
      </xdr:nvSpPr>
      <xdr:spPr>
        <a:xfrm>
          <a:off x="4927600" y="1524000"/>
          <a:ext cx="17526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rgbClr val="5A5A5A"/>
              </a:solidFill>
            </a:rPr>
            <a:t>↻ Re-run failed imagery</a:t>
          </a:r>
        </a:p>
      </xdr:txBody>
    </xdr:sp>
    <xdr:clientData/>
  </xdr:twoCellAnchor>
  <xdr:twoCellAnchor>
    <xdr:from>
      <xdr:col>9</xdr:col>
      <xdr:colOff>69850</xdr:colOff>
      <xdr:row>7</xdr:row>
      <xdr:rowOff>23812</xdr:rowOff>
    </xdr:from>
    <xdr:to>
      <xdr:col>10</xdr:col>
      <xdr:colOff>698500</xdr:colOff>
      <xdr:row>8</xdr:row>
      <xdr:rowOff>38100</xdr:rowOff>
    </xdr:to>
    <xdr:sp macro="UpdateMapStamps" textlink="">
      <xdr:nvSpPr>
        <xdr:cNvPr id="11" name="MapCtrl_Adv_Restamp" hidden="1">
          <a:extLst>
            <a:ext uri="{FF2B5EF4-FFF2-40B4-BE49-F238E27FC236}">
              <a16:creationId xmlns:a16="http://schemas.microsoft.com/office/drawing/2014/main" id="{54806825-2192-8FBF-F61E-CB1955C79C17}"/>
            </a:ext>
          </a:extLst>
        </xdr:cNvPr>
        <xdr:cNvSpPr/>
      </xdr:nvSpPr>
      <xdr:spPr>
        <a:xfrm>
          <a:off x="6756400" y="1524000"/>
          <a:ext cx="13716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rgbClr val="5A5A5A"/>
              </a:solidFill>
            </a:rPr>
            <a:t>↻ Re-stamp pages</a:t>
          </a:r>
        </a:p>
      </xdr:txBody>
    </xdr:sp>
    <xdr:clientData/>
  </xdr:twoCellAnchor>
  <xdr:twoCellAnchor>
    <xdr:from>
      <xdr:col>11</xdr:col>
      <xdr:colOff>31750</xdr:colOff>
      <xdr:row>7</xdr:row>
      <xdr:rowOff>23812</xdr:rowOff>
    </xdr:from>
    <xdr:to>
      <xdr:col>13</xdr:col>
      <xdr:colOff>354012</xdr:colOff>
      <xdr:row>8</xdr:row>
      <xdr:rowOff>38100</xdr:rowOff>
    </xdr:to>
    <xdr:sp macro="ReRunFailedFirmettes" textlink="">
      <xdr:nvSpPr>
        <xdr:cNvPr id="12" name="MapCtrl_Adv_FirmRe" hidden="1">
          <a:extLst>
            <a:ext uri="{FF2B5EF4-FFF2-40B4-BE49-F238E27FC236}">
              <a16:creationId xmlns:a16="http://schemas.microsoft.com/office/drawing/2014/main" id="{65247F61-4312-84E8-2A6A-063B839CB05C}"/>
            </a:ext>
          </a:extLst>
        </xdr:cNvPr>
        <xdr:cNvSpPr/>
      </xdr:nvSpPr>
      <xdr:spPr>
        <a:xfrm>
          <a:off x="8204200" y="1524000"/>
          <a:ext cx="18034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rgbClr val="5A5A5A"/>
              </a:solidFill>
            </a:rPr>
            <a:t>↻ Re-run failed FIRMettes</a:t>
          </a:r>
        </a:p>
      </xdr:txBody>
    </xdr:sp>
    <xdr:clientData/>
  </xdr:twoCellAnchor>
  <xdr:twoCellAnchor>
    <xdr:from>
      <xdr:col>0</xdr:col>
      <xdr:colOff>101600</xdr:colOff>
      <xdr:row>8</xdr:row>
      <xdr:rowOff>88900</xdr:rowOff>
    </xdr:from>
    <xdr:to>
      <xdr:col>4</xdr:col>
      <xdr:colOff>127000</xdr:colOff>
      <xdr:row>9</xdr:row>
      <xdr:rowOff>103187</xdr:rowOff>
    </xdr:to>
    <xdr:sp macro="CreateIndividualMapPagePdfs" textlink="">
      <xdr:nvSpPr>
        <xdr:cNvPr id="13" name="MapCtrl_Adv_Individual" hidden="1">
          <a:extLst>
            <a:ext uri="{FF2B5EF4-FFF2-40B4-BE49-F238E27FC236}">
              <a16:creationId xmlns:a16="http://schemas.microsoft.com/office/drawing/2014/main" id="{FAF3BB11-B1EE-DFA6-CD6D-191C83E2F43F}"/>
            </a:ext>
          </a:extLst>
        </xdr:cNvPr>
        <xdr:cNvSpPr/>
      </xdr:nvSpPr>
      <xdr:spPr>
        <a:xfrm>
          <a:off x="101600" y="1803400"/>
          <a:ext cx="29972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Create Individual Map Pages PDFs</a:t>
          </a:r>
        </a:p>
      </xdr:txBody>
    </xdr:sp>
    <xdr:clientData/>
  </xdr:twoCellAnchor>
  <xdr:twoCellAnchor>
    <xdr:from>
      <xdr:col>0</xdr:col>
      <xdr:colOff>101600</xdr:colOff>
      <xdr:row>9</xdr:row>
      <xdr:rowOff>153987</xdr:rowOff>
    </xdr:from>
    <xdr:to>
      <xdr:col>5</xdr:col>
      <xdr:colOff>196850</xdr:colOff>
      <xdr:row>10</xdr:row>
      <xdr:rowOff>92075</xdr:rowOff>
    </xdr:to>
    <xdr:sp macro="" textlink="">
      <xdr:nvSpPr>
        <xdr:cNvPr id="14" name="MapCtrl_Adv_ManualLabel" hidden="1">
          <a:extLst>
            <a:ext uri="{FF2B5EF4-FFF2-40B4-BE49-F238E27FC236}">
              <a16:creationId xmlns:a16="http://schemas.microsoft.com/office/drawing/2014/main" id="{579A0C12-70E5-AD02-0219-78BE22B5D0C9}"/>
            </a:ext>
          </a:extLst>
        </xdr:cNvPr>
        <xdr:cNvSpPr txBox="1"/>
      </xdr:nvSpPr>
      <xdr:spPr>
        <a:xfrm>
          <a:off x="101600" y="2082800"/>
          <a:ext cx="38100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1">
              <a:solidFill>
                <a:srgbClr val="5A5A5A"/>
              </a:solidFill>
            </a:rPr>
            <a:t>Manual alternative - Google Earth screenshots:</a:t>
          </a:r>
        </a:p>
      </xdr:txBody>
    </xdr:sp>
    <xdr:clientData/>
  </xdr:twoCellAnchor>
  <xdr:twoCellAnchor>
    <xdr:from>
      <xdr:col>0</xdr:col>
      <xdr:colOff>101600</xdr:colOff>
      <xdr:row>10</xdr:row>
      <xdr:rowOff>117475</xdr:rowOff>
    </xdr:from>
    <xdr:to>
      <xdr:col>2</xdr:col>
      <xdr:colOff>114300</xdr:colOff>
      <xdr:row>11</xdr:row>
      <xdr:rowOff>131762</xdr:rowOff>
    </xdr:to>
    <xdr:sp macro="ExportSitesToKML" textlink="">
      <xdr:nvSpPr>
        <xdr:cNvPr id="15" name="MapCtrl_Adv_KML" hidden="1">
          <a:extLst>
            <a:ext uri="{FF2B5EF4-FFF2-40B4-BE49-F238E27FC236}">
              <a16:creationId xmlns:a16="http://schemas.microsoft.com/office/drawing/2014/main" id="{3540E5DF-A392-B949-446B-4BF52FEDE76F}"/>
            </a:ext>
          </a:extLst>
        </xdr:cNvPr>
        <xdr:cNvSpPr/>
      </xdr:nvSpPr>
      <xdr:spPr>
        <a:xfrm>
          <a:off x="101600" y="22606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Export to KML</a:t>
          </a:r>
        </a:p>
      </xdr:txBody>
    </xdr:sp>
    <xdr:clientData/>
  </xdr:twoCellAnchor>
  <xdr:twoCellAnchor>
    <xdr:from>
      <xdr:col>2</xdr:col>
      <xdr:colOff>190500</xdr:colOff>
      <xdr:row>10</xdr:row>
      <xdr:rowOff>117475</xdr:rowOff>
    </xdr:from>
    <xdr:to>
      <xdr:col>4</xdr:col>
      <xdr:colOff>203200</xdr:colOff>
      <xdr:row>11</xdr:row>
      <xdr:rowOff>131762</xdr:rowOff>
    </xdr:to>
    <xdr:sp macro="InsertMapImages" textlink="">
      <xdr:nvSpPr>
        <xdr:cNvPr id="16" name="MapCtrl_Adv_Insert" hidden="1">
          <a:extLst>
            <a:ext uri="{FF2B5EF4-FFF2-40B4-BE49-F238E27FC236}">
              <a16:creationId xmlns:a16="http://schemas.microsoft.com/office/drawing/2014/main" id="{8DFBB874-C8D3-0F8E-2C83-2C787ED3F9A2}"/>
            </a:ext>
          </a:extLst>
        </xdr:cNvPr>
        <xdr:cNvSpPr/>
      </xdr:nvSpPr>
      <xdr:spPr>
        <a:xfrm>
          <a:off x="1676400" y="22606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Insert Images</a:t>
          </a:r>
        </a:p>
      </xdr:txBody>
    </xdr:sp>
    <xdr:clientData/>
  </xdr:twoCellAnchor>
  <xdr:twoCellAnchor>
    <xdr:from>
      <xdr:col>4</xdr:col>
      <xdr:colOff>279400</xdr:colOff>
      <xdr:row>10</xdr:row>
      <xdr:rowOff>66675</xdr:rowOff>
    </xdr:from>
    <xdr:to>
      <xdr:col>11</xdr:col>
      <xdr:colOff>158750</xdr:colOff>
      <xdr:row>11</xdr:row>
      <xdr:rowOff>131762</xdr:rowOff>
    </xdr:to>
    <xdr:sp macro="" textlink="">
      <xdr:nvSpPr>
        <xdr:cNvPr id="17" name="MapCtrl_Adv_ManualNote" hidden="1">
          <a:extLst>
            <a:ext uri="{FF2B5EF4-FFF2-40B4-BE49-F238E27FC236}">
              <a16:creationId xmlns:a16="http://schemas.microsoft.com/office/drawing/2014/main" id="{69BB44F5-63AB-CB60-1A59-2580672D07C9}"/>
            </a:ext>
          </a:extLst>
        </xdr:cNvPr>
        <xdr:cNvSpPr txBox="1"/>
      </xdr:nvSpPr>
      <xdr:spPr>
        <a:xfrm>
          <a:off x="3251200" y="2209800"/>
          <a:ext cx="5080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KML opens in Google Earth Desktop - screenshot each site (Win+Shift+S), save as Site_1, Site_2..., then Insert Images. 'Re-stamp pages' refreshes stamps after job-info edits.</a:t>
          </a:r>
        </a:p>
      </xdr:txBody>
    </xdr:sp>
    <xdr:clientData/>
  </xdr:twoCellAnchor>
  <xdr:twoCellAnchor>
    <xdr:from>
      <xdr:col>6</xdr:col>
      <xdr:colOff>76200</xdr:colOff>
      <xdr:row>18</xdr:row>
      <xdr:rowOff>0</xdr:rowOff>
    </xdr:from>
    <xdr:to>
      <xdr:col>7</xdr:col>
      <xdr:colOff>666750</xdr:colOff>
      <xdr:row>19</xdr:row>
      <xdr:rowOff>166687</xdr:rowOff>
    </xdr:to>
    <xdr:sp macro="" textlink="">
      <xdr:nvSpPr>
        <xdr:cNvPr id="18" name="MapCtrl_ImgSvcNote">
          <a:extLst>
            <a:ext uri="{FF2B5EF4-FFF2-40B4-BE49-F238E27FC236}">
              <a16:creationId xmlns:a16="http://schemas.microsoft.com/office/drawing/2014/main" id="{FA1148D6-E77D-C18D-68A4-0DA56CAED66C}"/>
            </a:ext>
          </a:extLst>
        </xdr:cNvPr>
        <xdr:cNvSpPr txBox="1"/>
      </xdr:nvSpPr>
      <xdr:spPr>
        <a:xfrm>
          <a:off x="4533900" y="3857625"/>
          <a:ext cx="1333500" cy="381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787878"/>
              </a:solidFill>
            </a:rPr>
            <a:t>Esri World Imagery by Default.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hyperlink" Target="https://webgis.dot.state.mn.us/emma/" TargetMode="External"/><Relationship Id="rId13" Type="http://schemas.openxmlformats.org/officeDocument/2006/relationships/hyperlink" Target="https://tims.dot.state.oh.us/ags/rest/services/Roadway_Information/Functional_Class/MapServer/0" TargetMode="External"/><Relationship Id="rId18" Type="http://schemas.openxmlformats.org/officeDocument/2006/relationships/hyperlink" Target="mailto:caleb.smith@fema.dhs.gov" TargetMode="External"/><Relationship Id="rId3" Type="http://schemas.openxmlformats.org/officeDocument/2006/relationships/hyperlink" Target="https://experience.arcgis.com/experience/e388c2aa14aa4788a702705620567589/?org=indot" TargetMode="External"/><Relationship Id="rId7" Type="http://schemas.openxmlformats.org/officeDocument/2006/relationships/hyperlink" Target="https://services5.arcgis.com/0pgGLzT0Nh7FVjon/arcgis/rest/services/FFCL_gdb/FeatureServer/3" TargetMode="External"/><Relationship Id="rId12" Type="http://schemas.openxmlformats.org/officeDocument/2006/relationships/hyperlink" Target="https://tims.dot.state.oh.us/tims" TargetMode="External"/><Relationship Id="rId17" Type="http://schemas.openxmlformats.org/officeDocument/2006/relationships/hyperlink" Target="https://msc.fema.gov/arcgis/rest/services/NFHL_Print/MSCPrintB/GPServer/PrintFIRMette" TargetMode="External"/><Relationship Id="rId2" Type="http://schemas.openxmlformats.org/officeDocument/2006/relationships/hyperlink" Target="https://mdotgis.state.mi.us/arcgis/rest/services/Widget/NextGenPrFinderPub/FeatureServer/353" TargetMode="External"/><Relationship Id="rId16" Type="http://schemas.openxmlformats.org/officeDocument/2006/relationships/hyperlink" Target="https://geocoding.geo.census.gov/geocoder/locations/onelineaddress" TargetMode="External"/><Relationship Id="rId1" Type="http://schemas.openxmlformats.org/officeDocument/2006/relationships/hyperlink" Target="https://experience.arcgis.com/experience/7edd160c205d46b481fcd605bb4c58ce" TargetMode="External"/><Relationship Id="rId6" Type="http://schemas.openxmlformats.org/officeDocument/2006/relationships/hyperlink" Target="https://services5.arcgis.com/0pgGLzT0Nh7FVjon/arcgis/rest/services/Functional_Class_Local_Non_Prod/FeatureServer/1" TargetMode="External"/><Relationship Id="rId11" Type="http://schemas.openxmlformats.org/officeDocument/2006/relationships/hyperlink" Target="https://gis1.dot.illinois.gov/arcgis/rest/services/AdministrativeData/FunctionalClass/MapServer/0" TargetMode="External"/><Relationship Id="rId5" Type="http://schemas.openxmlformats.org/officeDocument/2006/relationships/hyperlink" Target="https://wisconsindot.gov/Pages/projects/data-plan/plan-res/function.aspx" TargetMode="External"/><Relationship Id="rId15" Type="http://schemas.openxmlformats.org/officeDocument/2006/relationships/hyperlink" Target="https://tigerweb.geo.census.gov/arcgis/rest/services/TIGERweb/Transportation/MapServer/8" TargetMode="External"/><Relationship Id="rId10" Type="http://schemas.openxmlformats.org/officeDocument/2006/relationships/hyperlink" Target="https://www.gettingaroundillinois.com/MapViewer/?config=RFCconfig.json" TargetMode="External"/><Relationship Id="rId4" Type="http://schemas.openxmlformats.org/officeDocument/2006/relationships/hyperlink" Target="https://gis.indot.in.gov/ro/rest/services/RAH_GIO_Collaboration/LRSE_Functional_Class/FeatureServer/22" TargetMode="External"/><Relationship Id="rId9" Type="http://schemas.openxmlformats.org/officeDocument/2006/relationships/hyperlink" Target="https://dotapp9.dot.state.mn.us/egis12/rest/services/BASEMAP/mndot_commonlayers2/MapServer/11" TargetMode="External"/><Relationship Id="rId14" Type="http://schemas.openxmlformats.org/officeDocument/2006/relationships/hyperlink" Target="https://services.arcgis.com/xOi1kZaI0eWDREZv/arcgis/rest/services/NTAD_Adjusted_Urban_Areas/FeatureServer/0"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1674BF-0B7A-46C4-9F47-F0F375573A2C}">
  <sheetPr>
    <tabColor rgb="FF2F4F4F"/>
  </sheetPr>
  <dimension ref="A1:D40"/>
  <sheetViews>
    <sheetView showGridLines="0" tabSelected="1" workbookViewId="0"/>
  </sheetViews>
  <sheetFormatPr defaultRowHeight="14.25" x14ac:dyDescent="0.45"/>
  <cols>
    <col min="1" max="1" width="2.59765625" style="38" customWidth="1"/>
    <col min="2" max="2" width="32.59765625" style="38" customWidth="1"/>
    <col min="3" max="3" width="52.59765625" style="38" customWidth="1"/>
    <col min="4" max="4" width="2.59765625" style="38" customWidth="1"/>
    <col min="5" max="16384" width="9.06640625" style="38"/>
  </cols>
  <sheetData>
    <row r="1" spans="1:4" x14ac:dyDescent="0.45">
      <c r="A1" s="7"/>
      <c r="B1" s="7"/>
      <c r="C1" s="7"/>
      <c r="D1" s="7"/>
    </row>
    <row r="2" spans="1:4" ht="26.65" x14ac:dyDescent="0.85">
      <c r="A2" s="7"/>
      <c r="B2" s="26" t="s">
        <v>100</v>
      </c>
      <c r="C2" s="7"/>
      <c r="D2" s="7"/>
    </row>
    <row r="3" spans="1:4" x14ac:dyDescent="0.45">
      <c r="A3" s="7"/>
      <c r="B3" s="27" t="s">
        <v>101</v>
      </c>
      <c r="C3" s="7"/>
      <c r="D3" s="7"/>
    </row>
    <row r="4" spans="1:4" ht="14.65" thickBot="1" x14ac:dyDescent="0.5">
      <c r="A4" s="7"/>
      <c r="B4" s="7"/>
      <c r="C4" s="7"/>
      <c r="D4" s="7"/>
    </row>
    <row r="5" spans="1:4" ht="21" customHeight="1" thickBot="1" x14ac:dyDescent="0.5">
      <c r="A5" s="7"/>
      <c r="B5" s="29" t="s">
        <v>102</v>
      </c>
      <c r="C5" s="28"/>
      <c r="D5" s="7"/>
    </row>
    <row r="6" spans="1:4" ht="21" customHeight="1" thickBot="1" x14ac:dyDescent="0.5">
      <c r="A6" s="7"/>
      <c r="B6" s="28"/>
      <c r="C6" s="28"/>
      <c r="D6" s="7"/>
    </row>
    <row r="7" spans="1:4" ht="21" customHeight="1" thickBot="1" x14ac:dyDescent="0.5">
      <c r="A7" s="7"/>
      <c r="B7" s="28"/>
      <c r="C7" s="28"/>
      <c r="D7" s="7"/>
    </row>
    <row r="8" spans="1:4" ht="21" customHeight="1" thickBot="1" x14ac:dyDescent="0.5">
      <c r="A8" s="7"/>
      <c r="B8" s="28"/>
      <c r="C8" s="28"/>
      <c r="D8" s="7"/>
    </row>
    <row r="9" spans="1:4" x14ac:dyDescent="0.45">
      <c r="A9" s="7"/>
      <c r="B9" s="7"/>
      <c r="C9" s="7"/>
      <c r="D9" s="7"/>
    </row>
    <row r="10" spans="1:4" ht="22.05" customHeight="1" x14ac:dyDescent="0.55000000000000004">
      <c r="A10" s="7"/>
      <c r="B10" s="30" t="s">
        <v>103</v>
      </c>
      <c r="C10" s="31"/>
      <c r="D10" s="7"/>
    </row>
    <row r="11" spans="1:4" x14ac:dyDescent="0.45">
      <c r="A11" s="7"/>
      <c r="B11" s="7"/>
      <c r="C11" s="7"/>
      <c r="D11" s="7"/>
    </row>
    <row r="12" spans="1:4" ht="17" customHeight="1" x14ac:dyDescent="0.45">
      <c r="A12" s="7"/>
      <c r="B12" s="32" t="s">
        <v>104</v>
      </c>
      <c r="C12" s="33"/>
      <c r="D12" s="7"/>
    </row>
    <row r="13" spans="1:4" ht="17" customHeight="1" x14ac:dyDescent="0.45">
      <c r="A13" s="7"/>
      <c r="B13" s="32" t="s">
        <v>105</v>
      </c>
      <c r="C13" s="33"/>
      <c r="D13" s="7"/>
    </row>
    <row r="14" spans="1:4" ht="32" customHeight="1" x14ac:dyDescent="0.45">
      <c r="A14" s="7"/>
      <c r="B14" s="32" t="s">
        <v>106</v>
      </c>
      <c r="C14" s="33"/>
      <c r="D14" s="7"/>
    </row>
    <row r="15" spans="1:4" x14ac:dyDescent="0.45">
      <c r="A15" s="7"/>
      <c r="B15" s="7"/>
      <c r="C15" s="7"/>
      <c r="D15" s="7"/>
    </row>
    <row r="16" spans="1:4" ht="22.05" customHeight="1" x14ac:dyDescent="0.55000000000000004">
      <c r="A16" s="7"/>
      <c r="B16" s="30" t="s">
        <v>107</v>
      </c>
      <c r="C16" s="31"/>
      <c r="D16" s="7"/>
    </row>
    <row r="17" spans="1:4" x14ac:dyDescent="0.45">
      <c r="A17" s="7"/>
      <c r="B17" s="7"/>
      <c r="C17" s="7"/>
      <c r="D17" s="7"/>
    </row>
    <row r="18" spans="1:4" x14ac:dyDescent="0.45">
      <c r="A18" s="7"/>
      <c r="B18" s="8" t="s">
        <v>108</v>
      </c>
      <c r="C18" s="34"/>
      <c r="D18" s="7"/>
    </row>
    <row r="19" spans="1:4" x14ac:dyDescent="0.45">
      <c r="A19" s="7"/>
      <c r="B19" s="8" t="s">
        <v>109</v>
      </c>
      <c r="C19" s="34"/>
      <c r="D19" s="7"/>
    </row>
    <row r="20" spans="1:4" x14ac:dyDescent="0.45">
      <c r="A20" s="7"/>
      <c r="B20" s="8" t="s">
        <v>110</v>
      </c>
      <c r="C20" s="34">
        <v>250</v>
      </c>
      <c r="D20" s="7"/>
    </row>
    <row r="21" spans="1:4" x14ac:dyDescent="0.45">
      <c r="A21" s="7"/>
      <c r="B21" s="7"/>
      <c r="C21" s="7"/>
      <c r="D21" s="7"/>
    </row>
    <row r="22" spans="1:4" x14ac:dyDescent="0.45">
      <c r="A22" s="7"/>
      <c r="B22" s="7"/>
      <c r="C22" s="7"/>
      <c r="D22" s="7"/>
    </row>
    <row r="23" spans="1:4" x14ac:dyDescent="0.45">
      <c r="A23" s="7"/>
      <c r="B23" s="7"/>
      <c r="C23" s="7"/>
      <c r="D23" s="7"/>
    </row>
    <row r="24" spans="1:4" x14ac:dyDescent="0.45">
      <c r="A24" s="7"/>
      <c r="B24" s="7"/>
      <c r="C24" s="7"/>
      <c r="D24" s="7"/>
    </row>
    <row r="25" spans="1:4" ht="17" customHeight="1" x14ac:dyDescent="0.45">
      <c r="A25" s="7"/>
      <c r="B25" s="35" t="s">
        <v>111</v>
      </c>
      <c r="C25" s="33"/>
      <c r="D25" s="7"/>
    </row>
    <row r="26" spans="1:4" x14ac:dyDescent="0.45">
      <c r="A26" s="7"/>
      <c r="B26" s="7"/>
      <c r="C26" s="7"/>
      <c r="D26" s="7"/>
    </row>
    <row r="27" spans="1:4" ht="22.05" customHeight="1" x14ac:dyDescent="0.55000000000000004">
      <c r="A27" s="7"/>
      <c r="B27" s="30" t="s">
        <v>112</v>
      </c>
      <c r="C27" s="31"/>
      <c r="D27" s="7"/>
    </row>
    <row r="28" spans="1:4" x14ac:dyDescent="0.45">
      <c r="A28" s="7"/>
      <c r="B28" s="7"/>
      <c r="C28" s="7"/>
      <c r="D28" s="7"/>
    </row>
    <row r="29" spans="1:4" x14ac:dyDescent="0.45">
      <c r="A29" s="7"/>
      <c r="B29" s="8" t="s">
        <v>113</v>
      </c>
      <c r="C29" s="37" t="str">
        <f ca="1">IF(OR(CELL("filename",$A$1)="",LEFT(CELL("filename",$A$1),4)="http"),"",LEFT(CELL("filename",$A$1),FIND("[",CELL("filename",$A$1))-1)&amp;"RR Output\")</f>
        <v/>
      </c>
      <c r="D29" s="7"/>
    </row>
    <row r="30" spans="1:4" x14ac:dyDescent="0.45">
      <c r="A30" s="7"/>
      <c r="B30" s="7"/>
      <c r="C30" s="7"/>
      <c r="D30" s="7"/>
    </row>
    <row r="31" spans="1:4" x14ac:dyDescent="0.45">
      <c r="A31" s="7"/>
      <c r="B31" s="7"/>
      <c r="C31" s="7"/>
      <c r="D31" s="7"/>
    </row>
    <row r="32" spans="1:4" x14ac:dyDescent="0.45">
      <c r="A32" s="7"/>
      <c r="B32" s="7"/>
      <c r="C32" s="7"/>
      <c r="D32" s="7"/>
    </row>
    <row r="33" spans="1:4" ht="17" customHeight="1" x14ac:dyDescent="0.45">
      <c r="A33" s="7"/>
      <c r="B33" s="36" t="s">
        <v>114</v>
      </c>
      <c r="C33" s="33"/>
      <c r="D33" s="7"/>
    </row>
    <row r="34" spans="1:4" x14ac:dyDescent="0.45">
      <c r="A34" s="7"/>
      <c r="B34" s="7"/>
      <c r="C34" s="7"/>
      <c r="D34" s="7"/>
    </row>
    <row r="35" spans="1:4" ht="22.05" customHeight="1" x14ac:dyDescent="0.55000000000000004">
      <c r="A35" s="7"/>
      <c r="B35" s="30" t="s">
        <v>115</v>
      </c>
      <c r="C35" s="31"/>
      <c r="D35" s="7"/>
    </row>
    <row r="36" spans="1:4" x14ac:dyDescent="0.45">
      <c r="A36" s="7"/>
      <c r="B36" s="7"/>
      <c r="C36" s="7"/>
      <c r="D36" s="7"/>
    </row>
    <row r="37" spans="1:4" x14ac:dyDescent="0.45">
      <c r="A37" s="7"/>
      <c r="B37" s="7"/>
      <c r="C37" s="7"/>
      <c r="D37" s="7"/>
    </row>
    <row r="38" spans="1:4" x14ac:dyDescent="0.45">
      <c r="A38" s="7"/>
      <c r="B38" s="7"/>
      <c r="C38" s="7"/>
      <c r="D38" s="7"/>
    </row>
    <row r="39" spans="1:4" ht="47" customHeight="1" x14ac:dyDescent="0.45">
      <c r="A39" s="7"/>
      <c r="B39" s="36" t="s">
        <v>116</v>
      </c>
      <c r="C39" s="33"/>
      <c r="D39" s="7"/>
    </row>
    <row r="40" spans="1:4" x14ac:dyDescent="0.45">
      <c r="A40" s="7"/>
      <c r="B40" s="7"/>
      <c r="C40" s="7"/>
      <c r="D40" s="7"/>
    </row>
  </sheetData>
  <mergeCells count="7">
    <mergeCell ref="B39:C39"/>
    <mergeCell ref="B5:C8"/>
    <mergeCell ref="B12:C12"/>
    <mergeCell ref="B13:C13"/>
    <mergeCell ref="B14:C14"/>
    <mergeCell ref="B25:C25"/>
    <mergeCell ref="B33:C33"/>
  </mergeCells>
  <dataValidations count="2">
    <dataValidation type="list" allowBlank="1" showInputMessage="1" showErrorMessage="1" sqref="C18" xr:uid="{BD52B019-4A3F-4CD5-8F68-2CFBBA74324B}">
      <formula1>"WI,IN,MI,MN,IL,OH"</formula1>
    </dataValidation>
    <dataValidation type="whole" allowBlank="1" showInputMessage="1" showErrorMessage="1" error="Enter a whole number between 1 and 1000 ft." sqref="C20" xr:uid="{E4F3BD8C-97A6-457C-A2E1-2D2E3BBAB720}">
      <formula1>1</formula1>
      <formula2>1000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RR_ExportPicker">
              <controlPr defaultSize="0" autoFill="0" autoPict="0">
                <anchor>
                  <from>
                    <xdr:col>1</xdr:col>
                    <xdr:colOff>119063</xdr:colOff>
                    <xdr:row>30</xdr:row>
                    <xdr:rowOff>33338</xdr:rowOff>
                  </from>
                  <to>
                    <xdr:col>2</xdr:col>
                    <xdr:colOff>1600200</xdr:colOff>
                    <xdr:row>31</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2B835C-76CC-4D4A-BA14-12AB24A2BB23}">
  <sheetPr>
    <tabColor rgb="FF3C3C3C"/>
  </sheetPr>
  <dimension ref="A1:AD501"/>
  <sheetViews>
    <sheetView topLeftCell="C1" workbookViewId="0">
      <pane ySplit="1" topLeftCell="A2" activePane="bottomLeft" state="frozen"/>
      <selection activeCell="C1" sqref="C1"/>
      <selection pane="bottomLeft" activeCell="C2" sqref="C2"/>
    </sheetView>
  </sheetViews>
  <sheetFormatPr defaultRowHeight="14.25" x14ac:dyDescent="0.45"/>
  <cols>
    <col min="1" max="2" width="0" style="1" hidden="1" customWidth="1"/>
    <col min="3" max="3" width="9.06640625" style="1"/>
    <col min="4" max="4" width="22.59765625" style="1" customWidth="1"/>
    <col min="5" max="6" width="9.06640625" style="1"/>
    <col min="7" max="7" width="26.59765625" style="1" hidden="1" customWidth="1"/>
    <col min="8" max="8" width="28.59765625" style="1" hidden="1" customWidth="1"/>
    <col min="9" max="9" width="12.59765625" style="1" customWidth="1"/>
    <col min="10" max="10" width="14.59765625" style="1" hidden="1" customWidth="1"/>
    <col min="11" max="11" width="16.59765625" style="1" customWidth="1"/>
    <col min="12" max="12" width="16.59765625" style="1" hidden="1" customWidth="1"/>
    <col min="13" max="14" width="24.59765625" style="1" customWidth="1"/>
    <col min="15" max="15" width="22.59765625" style="1" customWidth="1"/>
    <col min="16" max="16" width="24.59765625" style="1" hidden="1" customWidth="1"/>
    <col min="17" max="17" width="18.59765625" style="1" hidden="1" customWidth="1"/>
    <col min="18" max="18" width="16.59765625" style="1" hidden="1" customWidth="1"/>
    <col min="19" max="19" width="0" style="1" hidden="1" customWidth="1"/>
    <col min="20" max="21" width="16.59765625" style="1" hidden="1" customWidth="1"/>
    <col min="22" max="22" width="22.59765625" style="1" hidden="1" customWidth="1"/>
    <col min="23" max="23" width="0" style="1" hidden="1" customWidth="1"/>
    <col min="24" max="24" width="9.06640625" style="1"/>
    <col min="25" max="25" width="0" style="1" hidden="1" customWidth="1"/>
    <col min="26" max="26" width="9.06640625" style="1"/>
    <col min="27" max="27" width="0" style="1" hidden="1" customWidth="1"/>
    <col min="28" max="28" width="9.06640625" style="1"/>
    <col min="29" max="29" width="18.59765625" style="1" hidden="1" customWidth="1"/>
    <col min="30" max="30" width="16.59765625" style="1" hidden="1" customWidth="1"/>
    <col min="31" max="16384" width="9.06640625" style="1"/>
  </cols>
  <sheetData>
    <row r="1" spans="1:30" s="2" customFormat="1" x14ac:dyDescent="0.4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c r="V1" s="2" t="s">
        <v>21</v>
      </c>
      <c r="W1" s="2" t="s">
        <v>22</v>
      </c>
      <c r="X1" s="2" t="s">
        <v>23</v>
      </c>
      <c r="Y1" s="2" t="s">
        <v>24</v>
      </c>
      <c r="Z1" s="2" t="s">
        <v>25</v>
      </c>
      <c r="AA1" s="2" t="s">
        <v>26</v>
      </c>
      <c r="AB1" s="2" t="s">
        <v>27</v>
      </c>
      <c r="AC1" s="2" t="s">
        <v>28</v>
      </c>
      <c r="AD1" s="2" t="s">
        <v>29</v>
      </c>
    </row>
    <row r="2" spans="1:30" x14ac:dyDescent="0.45">
      <c r="A2" s="3"/>
      <c r="B2" s="3"/>
      <c r="C2" s="5" t="str">
        <f>IF($E2="","",COUNT($E$2:$E2))</f>
        <v/>
      </c>
      <c r="D2" s="3"/>
      <c r="E2" s="3"/>
      <c r="F2" s="3"/>
      <c r="G2" s="3"/>
      <c r="H2" s="3"/>
      <c r="I2" s="3"/>
      <c r="J2" s="3"/>
      <c r="K2" s="3"/>
      <c r="L2" s="4"/>
      <c r="M2" s="6" t="str">
        <f>IF(OR($E2="",$F2=""),"",IF(_xlfn.SINGLE(JobState)="",IF(ROW()=2,HYPERLINK("#JobState","Set State →"),""),HYPERLINK(IF(OR(_xlfn.SINGLE(JobState)="MI",_xlfn.SINGLE(JobState)=""),"https://fema.maps.arcgis.com/apps/mapviewer/index.html?webmap=6a1702b9147243d1a5ee62cd614bc681&amp;center="&amp;$F2&amp;","&amp;$E2&amp;"&amp;level=16&amp;marker="&amp;$F2&amp;","&amp;$E2&amp;"",IF(_xlfn.SINGLE(JobState)="IN","https://fema.maps.arcgis.com/apps/mapviewer/index.html?url=https%3A%2F%2Fgis.indot.in.gov%2Fro%2Frest%2Fservices%2FRAH_GIO_Collaboration%2FLRSE_Functional_Class%2FFeatureServer%2F22&amp;find="&amp;$F2&amp;"%2C"&amp;$E2&amp;"&amp;marker="&amp;$F2&amp;","&amp;$E2&amp;",4326&amp;level=16",IF(_xlfn.SINGLE(JobState)="WI","https://fema.maps.arcgis.com/apps/mapviewer/index.html?url=https://services5.arcgis.com/0pgGLzT0Nh7FVjon/arcgis/rest/services/Functional_Class_Local_Non_Prod/FeatureServer/1&amp;find="&amp;$F2&amp;"%2C"&amp;$E2&amp;"&amp;marker="&amp;$F2&amp;","&amp;$E2&amp;",4326&amp;level=16",IF(_xlfn.SINGLE(JobState)="MN","https://fema.maps.arcgis.com/apps/mapviewer/index.html?url=https%3A%2F%2Fdotapp9.dot.state.mn.us%2Fegis12%2Frest%2Fservices%2FBASEMAP%2Fmndot_commonlayers2%2FMapServer%2F11&amp;find="&amp;$F2&amp;"%2C"&amp;$E2&amp;"&amp;marker="&amp;$F2&amp;","&amp;$E2&amp;",4326&amp;level=16",IF(_xlfn.SINGLE(JobState)="IL","https://fema.maps.arcgis.com/apps/mapviewer/index.html?url=https%3A%2F%2Fgis1.dot.illinois.gov%2Farcgis%2Frest%2Fservices%2FAdministrativeData%2FFunctionalClass%2FMapServer%2F0&amp;find="&amp;$F2&amp;"%2C"&amp;$E2&amp;"&amp;marker="&amp;$F2&amp;","&amp;$E2&amp;",4326&amp;level=16",IF(_xlfn.SINGLE(JobState)="OH","https://fema.maps.arcgis.com/apps/mapviewer/index.html?url=https%3A%2F%2Ftims.dot.state.oh.us%2Fags%2Frest%2Fservices%2FRoadway_Information%2FFunctional_Class%2FMapServer%2F0&amp;find="&amp;$F2&amp;"%2C"&amp;$E2&amp;"&amp;marker="&amp;$F2&amp;","&amp;$E2&amp;",4326&amp;level=16","https://fema.maps.arcgis.com/apps/mapviewer/index.html?find="&amp;$F2&amp;"%2C"&amp;$E2&amp;"&amp;marker="&amp;$F2&amp;","&amp;$E2&amp;",4326&amp;level=16")))))),IF(_xlfn.SINGLE(JobState)="WI","Review Local Roads Layer","Review NFC AGOL Layer"))))</f>
        <v/>
      </c>
      <c r="N2" s="6" t="str">
        <f>IF(OR($E2="",$F2=""),"",IF(_xlfn.SINGLE(JobState)="",IF(ROW()=2,HYPERLINK("#JobState","Set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amp;"%2C"&amp;$E2&amp;"&amp;marker="&amp;$F2&amp;","&amp;$E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 s="6" t="str">
        <f>IF(OR($E2="", $F2=""),"",IF(_xlfn.SINGLE(JobAgolMap)="",HYPERLINK("https://fema.maps.arcgis.com/apps/mapviewer/index.html?find="&amp;$F2&amp;"%2C"&amp;$E2&amp;"&amp;marker="&amp;$F2&amp;","&amp;$E2&amp;",4326&amp;level=16","FEMA AGOL Map Viewer"),HYPERLINK(_xlfn.SINGLE(JobAgolMap)&amp;IF(ISNUMBER(FIND("?",_xlfn.SINGLE(JobAgolMap))),"&amp;","?")&amp;"center="&amp;$F2&amp;","&amp;$E2&amp;"&amp;level=16&amp;marker="&amp;$F2&amp;","&amp;$E2,"Open")))</f>
        <v/>
      </c>
      <c r="Q2" s="4"/>
      <c r="R2" s="4"/>
      <c r="W2" s="6" t="str">
        <f t="shared" ref="W2:W65" si="0">IF(OR($E2="",$F2=""),"",HYPERLINK("https://www.google.com/maps?q="&amp;$E2&amp;","&amp;$F2&amp;"","Map"))</f>
        <v/>
      </c>
      <c r="X2" s="6" t="str">
        <f t="shared" ref="X2:X65" si="1">IF(OR($E2="",$F2=""),"",HYPERLINK("https://www.google.com/maps?q&amp;layer=c&amp;cbll="&amp;$E2&amp;","&amp;$F2&amp;"","Street"))</f>
        <v/>
      </c>
      <c r="Y2" s="6" t="str">
        <f t="shared" ref="Y2:Y65" si="2">IF(OR($E2="",$F2=""),"",HYPERLINK("https://www.bing.com/maps?cp="&amp;$E2&amp;"~"&amp;$F2&amp;"&amp;lvl=18&amp;style=h","Bing"))</f>
        <v/>
      </c>
      <c r="Z2" s="6" t="str">
        <f t="shared" ref="Z2:Z65" si="3">IF(OR($E2="",$F2=""),"",HYPERLINK("https://earth.google.com/web/search/"&amp;$E2&amp;","&amp;$F2&amp;"","Earth"))</f>
        <v/>
      </c>
      <c r="AA2" s="6" t="str">
        <f t="shared" ref="AA2:AA65" si="4">IF(OR($E2="",$F2=""),"",HYPERLINK("https://fema.maps.arcgis.com/apps/mapviewer/index.html?find="&amp;$F2&amp;"%2C"&amp;$E2&amp;"&amp;marker="&amp;$F2&amp;","&amp;$E2&amp;",4326&amp;level=16","FEMA"))</f>
        <v/>
      </c>
      <c r="AB2" s="6" t="str">
        <f t="shared" ref="AB2:AB65" si="5">IF(OR($E2="",$F2=""),"",HYPERLINK("https://msc.fema.gov/portal/firmette?latitude="&amp;$E2&amp;"&amp;longitude="&amp;$F2&amp;"","FIRMette"))</f>
        <v/>
      </c>
      <c r="AC2" s="4"/>
      <c r="AD2" s="4"/>
    </row>
    <row r="3" spans="1:30" x14ac:dyDescent="0.45">
      <c r="A3" s="3"/>
      <c r="B3" s="3"/>
      <c r="C3" s="5" t="str">
        <f>IF($E3="","",COUNT($E$2:$E3))</f>
        <v/>
      </c>
      <c r="D3" s="3"/>
      <c r="E3" s="3"/>
      <c r="F3" s="3"/>
      <c r="G3" s="3"/>
      <c r="H3" s="3"/>
      <c r="I3" s="3"/>
      <c r="J3" s="3"/>
      <c r="K3" s="3"/>
      <c r="L3" s="4"/>
      <c r="M3" s="6" t="str">
        <f>IF(OR($E3="",$F3=""),"",IF(_xlfn.SINGLE(JobState)="",IF(ROW()=2,HYPERLINK("#JobState","Set State →"),""),HYPERLINK(IF(OR(_xlfn.SINGLE(JobState)="MI",_xlfn.SINGLE(JobState)=""),"https://fema.maps.arcgis.com/apps/mapviewer/index.html?webmap=6a1702b9147243d1a5ee62cd614bc681&amp;center="&amp;$F3&amp;","&amp;$E3&amp;"&amp;level=16&amp;marker="&amp;$F3&amp;","&amp;$E3&amp;"",IF(_xlfn.SINGLE(JobState)="IN","https://fema.maps.arcgis.com/apps/mapviewer/index.html?url=https%3A%2F%2Fgis.indot.in.gov%2Fro%2Frest%2Fservices%2FRAH_GIO_Collaboration%2FLRSE_Functional_Class%2FFeatureServer%2F22&amp;find="&amp;$F3&amp;"%2C"&amp;$E3&amp;"&amp;marker="&amp;$F3&amp;","&amp;$E3&amp;",4326&amp;level=16",IF(_xlfn.SINGLE(JobState)="WI","https://fema.maps.arcgis.com/apps/mapviewer/index.html?url=https://services5.arcgis.com/0pgGLzT0Nh7FVjon/arcgis/rest/services/Functional_Class_Local_Non_Prod/FeatureServer/1&amp;find="&amp;$F3&amp;"%2C"&amp;$E3&amp;"&amp;marker="&amp;$F3&amp;","&amp;$E3&amp;",4326&amp;level=16",IF(_xlfn.SINGLE(JobState)="MN","https://fema.maps.arcgis.com/apps/mapviewer/index.html?url=https%3A%2F%2Fdotapp9.dot.state.mn.us%2Fegis12%2Frest%2Fservices%2FBASEMAP%2Fmndot_commonlayers2%2FMapServer%2F11&amp;find="&amp;$F3&amp;"%2C"&amp;$E3&amp;"&amp;marker="&amp;$F3&amp;","&amp;$E3&amp;",4326&amp;level=16",IF(_xlfn.SINGLE(JobState)="IL","https://fema.maps.arcgis.com/apps/mapviewer/index.html?url=https%3A%2F%2Fgis1.dot.illinois.gov%2Farcgis%2Frest%2Fservices%2FAdministrativeData%2FFunctionalClass%2FMapServer%2F0&amp;find="&amp;$F3&amp;"%2C"&amp;$E3&amp;"&amp;marker="&amp;$F3&amp;","&amp;$E3&amp;",4326&amp;level=16",IF(_xlfn.SINGLE(JobState)="OH","https://fema.maps.arcgis.com/apps/mapviewer/index.html?url=https%3A%2F%2Ftims.dot.state.oh.us%2Fags%2Frest%2Fservices%2FRoadway_Information%2FFunctional_Class%2FMapServer%2F0&amp;find="&amp;$F3&amp;"%2C"&amp;$E3&amp;"&amp;marker="&amp;$F3&amp;","&amp;$E3&amp;",4326&amp;level=16","https://fema.maps.arcgis.com/apps/mapviewer/index.html?find="&amp;$F3&amp;"%2C"&amp;$E3&amp;"&amp;marker="&amp;$F3&amp;","&amp;$E3&amp;",4326&amp;level=16")))))),IF(_xlfn.SINGLE(JobState)="WI","Review Local Roads Layer","Review NFC AGOL Layer"))))</f>
        <v/>
      </c>
      <c r="N3" s="6" t="str">
        <f>IF(OR($E3="",$F3=""),"",IF(_xlfn.SINGLE(JobState)="",IF(ROW()=2,HYPERLINK("#JobState","Set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amp;"%2C"&amp;$E3&amp;"&amp;marker="&amp;$F3&amp;","&amp;$E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 s="6" t="str">
        <f>IF(OR($E3="", $F3=""),"",IF(_xlfn.SINGLE(JobAgolMap)="",HYPERLINK("https://fema.maps.arcgis.com/apps/mapviewer/index.html?find="&amp;$F3&amp;"%2C"&amp;$E3&amp;"&amp;marker="&amp;$F3&amp;","&amp;$E3&amp;",4326&amp;level=16","FEMA AGOL Map Viewer"),HYPERLINK(_xlfn.SINGLE(JobAgolMap)&amp;IF(ISNUMBER(FIND("?",_xlfn.SINGLE(JobAgolMap))),"&amp;","?")&amp;"center="&amp;$F3&amp;","&amp;$E3&amp;"&amp;level=16&amp;marker="&amp;$F3&amp;","&amp;$E3,"Open")))</f>
        <v/>
      </c>
      <c r="Q3" s="4"/>
      <c r="R3" s="4"/>
      <c r="W3" s="6" t="str">
        <f t="shared" si="0"/>
        <v/>
      </c>
      <c r="X3" s="6" t="str">
        <f t="shared" si="1"/>
        <v/>
      </c>
      <c r="Y3" s="6" t="str">
        <f t="shared" si="2"/>
        <v/>
      </c>
      <c r="Z3" s="6" t="str">
        <f t="shared" si="3"/>
        <v/>
      </c>
      <c r="AA3" s="6" t="str">
        <f t="shared" si="4"/>
        <v/>
      </c>
      <c r="AB3" s="6" t="str">
        <f t="shared" si="5"/>
        <v/>
      </c>
      <c r="AC3" s="4"/>
      <c r="AD3" s="4"/>
    </row>
    <row r="4" spans="1:30" x14ac:dyDescent="0.45">
      <c r="A4" s="3"/>
      <c r="B4" s="3"/>
      <c r="C4" s="5" t="str">
        <f>IF($E4="","",COUNT($E$2:$E4))</f>
        <v/>
      </c>
      <c r="D4" s="3"/>
      <c r="E4" s="3"/>
      <c r="F4" s="3"/>
      <c r="G4" s="3"/>
      <c r="H4" s="3"/>
      <c r="I4" s="3"/>
      <c r="J4" s="3"/>
      <c r="K4" s="3"/>
      <c r="L4" s="4"/>
      <c r="M4" s="6" t="str">
        <f>IF(OR($E4="",$F4=""),"",IF(_xlfn.SINGLE(JobState)="",IF(ROW()=2,HYPERLINK("#JobState","Set State →"),""),HYPERLINK(IF(OR(_xlfn.SINGLE(JobState)="MI",_xlfn.SINGLE(JobState)=""),"https://fema.maps.arcgis.com/apps/mapviewer/index.html?webmap=6a1702b9147243d1a5ee62cd614bc681&amp;center="&amp;$F4&amp;","&amp;$E4&amp;"&amp;level=16&amp;marker="&amp;$F4&amp;","&amp;$E4&amp;"",IF(_xlfn.SINGLE(JobState)="IN","https://fema.maps.arcgis.com/apps/mapviewer/index.html?url=https%3A%2F%2Fgis.indot.in.gov%2Fro%2Frest%2Fservices%2FRAH_GIO_Collaboration%2FLRSE_Functional_Class%2FFeatureServer%2F22&amp;find="&amp;$F4&amp;"%2C"&amp;$E4&amp;"&amp;marker="&amp;$F4&amp;","&amp;$E4&amp;",4326&amp;level=16",IF(_xlfn.SINGLE(JobState)="WI","https://fema.maps.arcgis.com/apps/mapviewer/index.html?url=https://services5.arcgis.com/0pgGLzT0Nh7FVjon/arcgis/rest/services/Functional_Class_Local_Non_Prod/FeatureServer/1&amp;find="&amp;$F4&amp;"%2C"&amp;$E4&amp;"&amp;marker="&amp;$F4&amp;","&amp;$E4&amp;",4326&amp;level=16",IF(_xlfn.SINGLE(JobState)="MN","https://fema.maps.arcgis.com/apps/mapviewer/index.html?url=https%3A%2F%2Fdotapp9.dot.state.mn.us%2Fegis12%2Frest%2Fservices%2FBASEMAP%2Fmndot_commonlayers2%2FMapServer%2F11&amp;find="&amp;$F4&amp;"%2C"&amp;$E4&amp;"&amp;marker="&amp;$F4&amp;","&amp;$E4&amp;",4326&amp;level=16",IF(_xlfn.SINGLE(JobState)="IL","https://fema.maps.arcgis.com/apps/mapviewer/index.html?url=https%3A%2F%2Fgis1.dot.illinois.gov%2Farcgis%2Frest%2Fservices%2FAdministrativeData%2FFunctionalClass%2FMapServer%2F0&amp;find="&amp;$F4&amp;"%2C"&amp;$E4&amp;"&amp;marker="&amp;$F4&amp;","&amp;$E4&amp;",4326&amp;level=16",IF(_xlfn.SINGLE(JobState)="OH","https://fema.maps.arcgis.com/apps/mapviewer/index.html?url=https%3A%2F%2Ftims.dot.state.oh.us%2Fags%2Frest%2Fservices%2FRoadway_Information%2FFunctional_Class%2FMapServer%2F0&amp;find="&amp;$F4&amp;"%2C"&amp;$E4&amp;"&amp;marker="&amp;$F4&amp;","&amp;$E4&amp;",4326&amp;level=16","https://fema.maps.arcgis.com/apps/mapviewer/index.html?find="&amp;$F4&amp;"%2C"&amp;$E4&amp;"&amp;marker="&amp;$F4&amp;","&amp;$E4&amp;",4326&amp;level=16")))))),IF(_xlfn.SINGLE(JobState)="WI","Review Local Roads Layer","Review NFC AGOL Layer"))))</f>
        <v/>
      </c>
      <c r="N4" s="6" t="str">
        <f>IF(OR($E4="",$F4=""),"",IF(_xlfn.SINGLE(JobState)="",IF(ROW()=2,HYPERLINK("#JobState","Set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amp;"%2C"&amp;$E4&amp;"&amp;marker="&amp;$F4&amp;","&amp;$E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 s="6" t="str">
        <f>IF(OR($E4="", $F4=""),"",IF(_xlfn.SINGLE(JobAgolMap)="",HYPERLINK("https://fema.maps.arcgis.com/apps/mapviewer/index.html?find="&amp;$F4&amp;"%2C"&amp;$E4&amp;"&amp;marker="&amp;$F4&amp;","&amp;$E4&amp;",4326&amp;level=16","FEMA AGOL Map Viewer"),HYPERLINK(_xlfn.SINGLE(JobAgolMap)&amp;IF(ISNUMBER(FIND("?",_xlfn.SINGLE(JobAgolMap))),"&amp;","?")&amp;"center="&amp;$F4&amp;","&amp;$E4&amp;"&amp;level=16&amp;marker="&amp;$F4&amp;","&amp;$E4,"Open")))</f>
        <v/>
      </c>
      <c r="Q4" s="4"/>
      <c r="R4" s="4"/>
      <c r="W4" s="6" t="str">
        <f t="shared" si="0"/>
        <v/>
      </c>
      <c r="X4" s="6" t="str">
        <f t="shared" si="1"/>
        <v/>
      </c>
      <c r="Y4" s="6" t="str">
        <f t="shared" si="2"/>
        <v/>
      </c>
      <c r="Z4" s="6" t="str">
        <f t="shared" si="3"/>
        <v/>
      </c>
      <c r="AA4" s="6" t="str">
        <f t="shared" si="4"/>
        <v/>
      </c>
      <c r="AB4" s="6" t="str">
        <f t="shared" si="5"/>
        <v/>
      </c>
      <c r="AC4" s="4"/>
      <c r="AD4" s="4"/>
    </row>
    <row r="5" spans="1:30" x14ac:dyDescent="0.45">
      <c r="A5" s="3"/>
      <c r="B5" s="3"/>
      <c r="C5" s="5" t="str">
        <f>IF($E5="","",COUNT($E$2:$E5))</f>
        <v/>
      </c>
      <c r="D5" s="3"/>
      <c r="E5" s="3"/>
      <c r="F5" s="3"/>
      <c r="G5" s="3"/>
      <c r="H5" s="3"/>
      <c r="I5" s="3"/>
      <c r="J5" s="3"/>
      <c r="K5" s="3"/>
      <c r="L5" s="4"/>
      <c r="M5" s="6" t="str">
        <f>IF(OR($E5="",$F5=""),"",IF(_xlfn.SINGLE(JobState)="",IF(ROW()=2,HYPERLINK("#JobState","Set State →"),""),HYPERLINK(IF(OR(_xlfn.SINGLE(JobState)="MI",_xlfn.SINGLE(JobState)=""),"https://fema.maps.arcgis.com/apps/mapviewer/index.html?webmap=6a1702b9147243d1a5ee62cd614bc681&amp;center="&amp;$F5&amp;","&amp;$E5&amp;"&amp;level=16&amp;marker="&amp;$F5&amp;","&amp;$E5&amp;"",IF(_xlfn.SINGLE(JobState)="IN","https://fema.maps.arcgis.com/apps/mapviewer/index.html?url=https%3A%2F%2Fgis.indot.in.gov%2Fro%2Frest%2Fservices%2FRAH_GIO_Collaboration%2FLRSE_Functional_Class%2FFeatureServer%2F22&amp;find="&amp;$F5&amp;"%2C"&amp;$E5&amp;"&amp;marker="&amp;$F5&amp;","&amp;$E5&amp;",4326&amp;level=16",IF(_xlfn.SINGLE(JobState)="WI","https://fema.maps.arcgis.com/apps/mapviewer/index.html?url=https://services5.arcgis.com/0pgGLzT0Nh7FVjon/arcgis/rest/services/Functional_Class_Local_Non_Prod/FeatureServer/1&amp;find="&amp;$F5&amp;"%2C"&amp;$E5&amp;"&amp;marker="&amp;$F5&amp;","&amp;$E5&amp;",4326&amp;level=16",IF(_xlfn.SINGLE(JobState)="MN","https://fema.maps.arcgis.com/apps/mapviewer/index.html?url=https%3A%2F%2Fdotapp9.dot.state.mn.us%2Fegis12%2Frest%2Fservices%2FBASEMAP%2Fmndot_commonlayers2%2FMapServer%2F11&amp;find="&amp;$F5&amp;"%2C"&amp;$E5&amp;"&amp;marker="&amp;$F5&amp;","&amp;$E5&amp;",4326&amp;level=16",IF(_xlfn.SINGLE(JobState)="IL","https://fema.maps.arcgis.com/apps/mapviewer/index.html?url=https%3A%2F%2Fgis1.dot.illinois.gov%2Farcgis%2Frest%2Fservices%2FAdministrativeData%2FFunctionalClass%2FMapServer%2F0&amp;find="&amp;$F5&amp;"%2C"&amp;$E5&amp;"&amp;marker="&amp;$F5&amp;","&amp;$E5&amp;",4326&amp;level=16",IF(_xlfn.SINGLE(JobState)="OH","https://fema.maps.arcgis.com/apps/mapviewer/index.html?url=https%3A%2F%2Ftims.dot.state.oh.us%2Fags%2Frest%2Fservices%2FRoadway_Information%2FFunctional_Class%2FMapServer%2F0&amp;find="&amp;$F5&amp;"%2C"&amp;$E5&amp;"&amp;marker="&amp;$F5&amp;","&amp;$E5&amp;",4326&amp;level=16","https://fema.maps.arcgis.com/apps/mapviewer/index.html?find="&amp;$F5&amp;"%2C"&amp;$E5&amp;"&amp;marker="&amp;$F5&amp;","&amp;$E5&amp;",4326&amp;level=16")))))),IF(_xlfn.SINGLE(JobState)="WI","Review Local Roads Layer","Review NFC AGOL Layer"))))</f>
        <v/>
      </c>
      <c r="N5" s="6" t="str">
        <f>IF(OR($E5="",$F5=""),"",IF(_xlfn.SINGLE(JobState)="",IF(ROW()=2,HYPERLINK("#JobState","Set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amp;"%2C"&amp;$E5&amp;"&amp;marker="&amp;$F5&amp;","&amp;$E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 s="6" t="str">
        <f>IF(OR($E5="", $F5=""),"",IF(_xlfn.SINGLE(JobAgolMap)="",HYPERLINK("https://fema.maps.arcgis.com/apps/mapviewer/index.html?find="&amp;$F5&amp;"%2C"&amp;$E5&amp;"&amp;marker="&amp;$F5&amp;","&amp;$E5&amp;",4326&amp;level=16","FEMA AGOL Map Viewer"),HYPERLINK(_xlfn.SINGLE(JobAgolMap)&amp;IF(ISNUMBER(FIND("?",_xlfn.SINGLE(JobAgolMap))),"&amp;","?")&amp;"center="&amp;$F5&amp;","&amp;$E5&amp;"&amp;level=16&amp;marker="&amp;$F5&amp;","&amp;$E5,"Open")))</f>
        <v/>
      </c>
      <c r="Q5" s="4"/>
      <c r="R5" s="4"/>
      <c r="W5" s="6" t="str">
        <f t="shared" si="0"/>
        <v/>
      </c>
      <c r="X5" s="6" t="str">
        <f t="shared" si="1"/>
        <v/>
      </c>
      <c r="Y5" s="6" t="str">
        <f t="shared" si="2"/>
        <v/>
      </c>
      <c r="Z5" s="6" t="str">
        <f t="shared" si="3"/>
        <v/>
      </c>
      <c r="AA5" s="6" t="str">
        <f t="shared" si="4"/>
        <v/>
      </c>
      <c r="AB5" s="6" t="str">
        <f t="shared" si="5"/>
        <v/>
      </c>
      <c r="AC5" s="4"/>
      <c r="AD5" s="4"/>
    </row>
    <row r="6" spans="1:30" x14ac:dyDescent="0.45">
      <c r="A6" s="3"/>
      <c r="B6" s="3"/>
      <c r="C6" s="5" t="str">
        <f>IF($E6="","",COUNT($E$2:$E6))</f>
        <v/>
      </c>
      <c r="D6" s="3"/>
      <c r="E6" s="3"/>
      <c r="F6" s="3"/>
      <c r="G6" s="3"/>
      <c r="H6" s="3"/>
      <c r="I6" s="3"/>
      <c r="J6" s="3"/>
      <c r="K6" s="3"/>
      <c r="L6" s="4"/>
      <c r="M6" s="6" t="str">
        <f>IF(OR($E6="",$F6=""),"",IF(_xlfn.SINGLE(JobState)="",IF(ROW()=2,HYPERLINK("#JobState","Set State →"),""),HYPERLINK(IF(OR(_xlfn.SINGLE(JobState)="MI",_xlfn.SINGLE(JobState)=""),"https://fema.maps.arcgis.com/apps/mapviewer/index.html?webmap=6a1702b9147243d1a5ee62cd614bc681&amp;center="&amp;$F6&amp;","&amp;$E6&amp;"&amp;level=16&amp;marker="&amp;$F6&amp;","&amp;$E6&amp;"",IF(_xlfn.SINGLE(JobState)="IN","https://fema.maps.arcgis.com/apps/mapviewer/index.html?url=https%3A%2F%2Fgis.indot.in.gov%2Fro%2Frest%2Fservices%2FRAH_GIO_Collaboration%2FLRSE_Functional_Class%2FFeatureServer%2F22&amp;find="&amp;$F6&amp;"%2C"&amp;$E6&amp;"&amp;marker="&amp;$F6&amp;","&amp;$E6&amp;",4326&amp;level=16",IF(_xlfn.SINGLE(JobState)="WI","https://fema.maps.arcgis.com/apps/mapviewer/index.html?url=https://services5.arcgis.com/0pgGLzT0Nh7FVjon/arcgis/rest/services/Functional_Class_Local_Non_Prod/FeatureServer/1&amp;find="&amp;$F6&amp;"%2C"&amp;$E6&amp;"&amp;marker="&amp;$F6&amp;","&amp;$E6&amp;",4326&amp;level=16",IF(_xlfn.SINGLE(JobState)="MN","https://fema.maps.arcgis.com/apps/mapviewer/index.html?url=https%3A%2F%2Fdotapp9.dot.state.mn.us%2Fegis12%2Frest%2Fservices%2FBASEMAP%2Fmndot_commonlayers2%2FMapServer%2F11&amp;find="&amp;$F6&amp;"%2C"&amp;$E6&amp;"&amp;marker="&amp;$F6&amp;","&amp;$E6&amp;",4326&amp;level=16",IF(_xlfn.SINGLE(JobState)="IL","https://fema.maps.arcgis.com/apps/mapviewer/index.html?url=https%3A%2F%2Fgis1.dot.illinois.gov%2Farcgis%2Frest%2Fservices%2FAdministrativeData%2FFunctionalClass%2FMapServer%2F0&amp;find="&amp;$F6&amp;"%2C"&amp;$E6&amp;"&amp;marker="&amp;$F6&amp;","&amp;$E6&amp;",4326&amp;level=16",IF(_xlfn.SINGLE(JobState)="OH","https://fema.maps.arcgis.com/apps/mapviewer/index.html?url=https%3A%2F%2Ftims.dot.state.oh.us%2Fags%2Frest%2Fservices%2FRoadway_Information%2FFunctional_Class%2FMapServer%2F0&amp;find="&amp;$F6&amp;"%2C"&amp;$E6&amp;"&amp;marker="&amp;$F6&amp;","&amp;$E6&amp;",4326&amp;level=16","https://fema.maps.arcgis.com/apps/mapviewer/index.html?find="&amp;$F6&amp;"%2C"&amp;$E6&amp;"&amp;marker="&amp;$F6&amp;","&amp;$E6&amp;",4326&amp;level=16")))))),IF(_xlfn.SINGLE(JobState)="WI","Review Local Roads Layer","Review NFC AGOL Layer"))))</f>
        <v/>
      </c>
      <c r="N6" s="6" t="str">
        <f>IF(OR($E6="",$F6=""),"",IF(_xlfn.SINGLE(JobState)="",IF(ROW()=2,HYPERLINK("#JobState","Set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amp;"%2C"&amp;$E6&amp;"&amp;marker="&amp;$F6&amp;","&amp;$E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 s="6" t="str">
        <f>IF(OR($E6="", $F6=""),"",IF(_xlfn.SINGLE(JobAgolMap)="",HYPERLINK("https://fema.maps.arcgis.com/apps/mapviewer/index.html?find="&amp;$F6&amp;"%2C"&amp;$E6&amp;"&amp;marker="&amp;$F6&amp;","&amp;$E6&amp;",4326&amp;level=16","FEMA AGOL Map Viewer"),HYPERLINK(_xlfn.SINGLE(JobAgolMap)&amp;IF(ISNUMBER(FIND("?",_xlfn.SINGLE(JobAgolMap))),"&amp;","?")&amp;"center="&amp;$F6&amp;","&amp;$E6&amp;"&amp;level=16&amp;marker="&amp;$F6&amp;","&amp;$E6,"Open")))</f>
        <v/>
      </c>
      <c r="Q6" s="4"/>
      <c r="R6" s="4"/>
      <c r="W6" s="6" t="str">
        <f t="shared" si="0"/>
        <v/>
      </c>
      <c r="X6" s="6" t="str">
        <f t="shared" si="1"/>
        <v/>
      </c>
      <c r="Y6" s="6" t="str">
        <f t="shared" si="2"/>
        <v/>
      </c>
      <c r="Z6" s="6" t="str">
        <f t="shared" si="3"/>
        <v/>
      </c>
      <c r="AA6" s="6" t="str">
        <f t="shared" si="4"/>
        <v/>
      </c>
      <c r="AB6" s="6" t="str">
        <f t="shared" si="5"/>
        <v/>
      </c>
      <c r="AC6" s="4"/>
      <c r="AD6" s="4"/>
    </row>
    <row r="7" spans="1:30" x14ac:dyDescent="0.45">
      <c r="A7" s="3"/>
      <c r="B7" s="3"/>
      <c r="C7" s="5" t="str">
        <f>IF($E7="","",COUNT($E$2:$E7))</f>
        <v/>
      </c>
      <c r="D7" s="3"/>
      <c r="E7" s="3"/>
      <c r="F7" s="3"/>
      <c r="G7" s="3"/>
      <c r="H7" s="3"/>
      <c r="I7" s="3"/>
      <c r="J7" s="3"/>
      <c r="K7" s="3"/>
      <c r="L7" s="4"/>
      <c r="M7" s="6" t="str">
        <f>IF(OR($E7="",$F7=""),"",IF(_xlfn.SINGLE(JobState)="",IF(ROW()=2,HYPERLINK("#JobState","Set State →"),""),HYPERLINK(IF(OR(_xlfn.SINGLE(JobState)="MI",_xlfn.SINGLE(JobState)=""),"https://fema.maps.arcgis.com/apps/mapviewer/index.html?webmap=6a1702b9147243d1a5ee62cd614bc681&amp;center="&amp;$F7&amp;","&amp;$E7&amp;"&amp;level=16&amp;marker="&amp;$F7&amp;","&amp;$E7&amp;"",IF(_xlfn.SINGLE(JobState)="IN","https://fema.maps.arcgis.com/apps/mapviewer/index.html?url=https%3A%2F%2Fgis.indot.in.gov%2Fro%2Frest%2Fservices%2FRAH_GIO_Collaboration%2FLRSE_Functional_Class%2FFeatureServer%2F22&amp;find="&amp;$F7&amp;"%2C"&amp;$E7&amp;"&amp;marker="&amp;$F7&amp;","&amp;$E7&amp;",4326&amp;level=16",IF(_xlfn.SINGLE(JobState)="WI","https://fema.maps.arcgis.com/apps/mapviewer/index.html?url=https://services5.arcgis.com/0pgGLzT0Nh7FVjon/arcgis/rest/services/Functional_Class_Local_Non_Prod/FeatureServer/1&amp;find="&amp;$F7&amp;"%2C"&amp;$E7&amp;"&amp;marker="&amp;$F7&amp;","&amp;$E7&amp;",4326&amp;level=16",IF(_xlfn.SINGLE(JobState)="MN","https://fema.maps.arcgis.com/apps/mapviewer/index.html?url=https%3A%2F%2Fdotapp9.dot.state.mn.us%2Fegis12%2Frest%2Fservices%2FBASEMAP%2Fmndot_commonlayers2%2FMapServer%2F11&amp;find="&amp;$F7&amp;"%2C"&amp;$E7&amp;"&amp;marker="&amp;$F7&amp;","&amp;$E7&amp;",4326&amp;level=16",IF(_xlfn.SINGLE(JobState)="IL","https://fema.maps.arcgis.com/apps/mapviewer/index.html?url=https%3A%2F%2Fgis1.dot.illinois.gov%2Farcgis%2Frest%2Fservices%2FAdministrativeData%2FFunctionalClass%2FMapServer%2F0&amp;find="&amp;$F7&amp;"%2C"&amp;$E7&amp;"&amp;marker="&amp;$F7&amp;","&amp;$E7&amp;",4326&amp;level=16",IF(_xlfn.SINGLE(JobState)="OH","https://fema.maps.arcgis.com/apps/mapviewer/index.html?url=https%3A%2F%2Ftims.dot.state.oh.us%2Fags%2Frest%2Fservices%2FRoadway_Information%2FFunctional_Class%2FMapServer%2F0&amp;find="&amp;$F7&amp;"%2C"&amp;$E7&amp;"&amp;marker="&amp;$F7&amp;","&amp;$E7&amp;",4326&amp;level=16","https://fema.maps.arcgis.com/apps/mapviewer/index.html?find="&amp;$F7&amp;"%2C"&amp;$E7&amp;"&amp;marker="&amp;$F7&amp;","&amp;$E7&amp;",4326&amp;level=16")))))),IF(_xlfn.SINGLE(JobState)="WI","Review Local Roads Layer","Review NFC AGOL Layer"))))</f>
        <v/>
      </c>
      <c r="N7" s="6" t="str">
        <f>IF(OR($E7="",$F7=""),"",IF(_xlfn.SINGLE(JobState)="",IF(ROW()=2,HYPERLINK("#JobState","Set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amp;"%2C"&amp;$E7&amp;"&amp;marker="&amp;$F7&amp;","&amp;$E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 s="6" t="str">
        <f>IF(OR($E7="", $F7=""),"",IF(_xlfn.SINGLE(JobAgolMap)="",HYPERLINK("https://fema.maps.arcgis.com/apps/mapviewer/index.html?find="&amp;$F7&amp;"%2C"&amp;$E7&amp;"&amp;marker="&amp;$F7&amp;","&amp;$E7&amp;",4326&amp;level=16","FEMA AGOL Map Viewer"),HYPERLINK(_xlfn.SINGLE(JobAgolMap)&amp;IF(ISNUMBER(FIND("?",_xlfn.SINGLE(JobAgolMap))),"&amp;","?")&amp;"center="&amp;$F7&amp;","&amp;$E7&amp;"&amp;level=16&amp;marker="&amp;$F7&amp;","&amp;$E7,"Open")))</f>
        <v/>
      </c>
      <c r="Q7" s="4"/>
      <c r="R7" s="4"/>
      <c r="W7" s="6" t="str">
        <f t="shared" si="0"/>
        <v/>
      </c>
      <c r="X7" s="6" t="str">
        <f t="shared" si="1"/>
        <v/>
      </c>
      <c r="Y7" s="6" t="str">
        <f t="shared" si="2"/>
        <v/>
      </c>
      <c r="Z7" s="6" t="str">
        <f t="shared" si="3"/>
        <v/>
      </c>
      <c r="AA7" s="6" t="str">
        <f t="shared" si="4"/>
        <v/>
      </c>
      <c r="AB7" s="6" t="str">
        <f t="shared" si="5"/>
        <v/>
      </c>
      <c r="AC7" s="4"/>
      <c r="AD7" s="4"/>
    </row>
    <row r="8" spans="1:30" x14ac:dyDescent="0.45">
      <c r="A8" s="3"/>
      <c r="B8" s="3"/>
      <c r="C8" s="5" t="str">
        <f>IF($E8="","",COUNT($E$2:$E8))</f>
        <v/>
      </c>
      <c r="D8" s="3"/>
      <c r="E8" s="3"/>
      <c r="F8" s="3"/>
      <c r="G8" s="3"/>
      <c r="H8" s="3"/>
      <c r="I8" s="3"/>
      <c r="J8" s="3"/>
      <c r="K8" s="3"/>
      <c r="L8" s="4"/>
      <c r="M8" s="6" t="str">
        <f>IF(OR($E8="",$F8=""),"",IF(_xlfn.SINGLE(JobState)="",IF(ROW()=2,HYPERLINK("#JobState","Set State →"),""),HYPERLINK(IF(OR(_xlfn.SINGLE(JobState)="MI",_xlfn.SINGLE(JobState)=""),"https://fema.maps.arcgis.com/apps/mapviewer/index.html?webmap=6a1702b9147243d1a5ee62cd614bc681&amp;center="&amp;$F8&amp;","&amp;$E8&amp;"&amp;level=16&amp;marker="&amp;$F8&amp;","&amp;$E8&amp;"",IF(_xlfn.SINGLE(JobState)="IN","https://fema.maps.arcgis.com/apps/mapviewer/index.html?url=https%3A%2F%2Fgis.indot.in.gov%2Fro%2Frest%2Fservices%2FRAH_GIO_Collaboration%2FLRSE_Functional_Class%2FFeatureServer%2F22&amp;find="&amp;$F8&amp;"%2C"&amp;$E8&amp;"&amp;marker="&amp;$F8&amp;","&amp;$E8&amp;",4326&amp;level=16",IF(_xlfn.SINGLE(JobState)="WI","https://fema.maps.arcgis.com/apps/mapviewer/index.html?url=https://services5.arcgis.com/0pgGLzT0Nh7FVjon/arcgis/rest/services/Functional_Class_Local_Non_Prod/FeatureServer/1&amp;find="&amp;$F8&amp;"%2C"&amp;$E8&amp;"&amp;marker="&amp;$F8&amp;","&amp;$E8&amp;",4326&amp;level=16",IF(_xlfn.SINGLE(JobState)="MN","https://fema.maps.arcgis.com/apps/mapviewer/index.html?url=https%3A%2F%2Fdotapp9.dot.state.mn.us%2Fegis12%2Frest%2Fservices%2FBASEMAP%2Fmndot_commonlayers2%2FMapServer%2F11&amp;find="&amp;$F8&amp;"%2C"&amp;$E8&amp;"&amp;marker="&amp;$F8&amp;","&amp;$E8&amp;",4326&amp;level=16",IF(_xlfn.SINGLE(JobState)="IL","https://fema.maps.arcgis.com/apps/mapviewer/index.html?url=https%3A%2F%2Fgis1.dot.illinois.gov%2Farcgis%2Frest%2Fservices%2FAdministrativeData%2FFunctionalClass%2FMapServer%2F0&amp;find="&amp;$F8&amp;"%2C"&amp;$E8&amp;"&amp;marker="&amp;$F8&amp;","&amp;$E8&amp;",4326&amp;level=16",IF(_xlfn.SINGLE(JobState)="OH","https://fema.maps.arcgis.com/apps/mapviewer/index.html?url=https%3A%2F%2Ftims.dot.state.oh.us%2Fags%2Frest%2Fservices%2FRoadway_Information%2FFunctional_Class%2FMapServer%2F0&amp;find="&amp;$F8&amp;"%2C"&amp;$E8&amp;"&amp;marker="&amp;$F8&amp;","&amp;$E8&amp;",4326&amp;level=16","https://fema.maps.arcgis.com/apps/mapviewer/index.html?find="&amp;$F8&amp;"%2C"&amp;$E8&amp;"&amp;marker="&amp;$F8&amp;","&amp;$E8&amp;",4326&amp;level=16")))))),IF(_xlfn.SINGLE(JobState)="WI","Review Local Roads Layer","Review NFC AGOL Layer"))))</f>
        <v/>
      </c>
      <c r="N8" s="6" t="str">
        <f>IF(OR($E8="",$F8=""),"",IF(_xlfn.SINGLE(JobState)="",IF(ROW()=2,HYPERLINK("#JobState","Set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amp;"%2C"&amp;$E8&amp;"&amp;marker="&amp;$F8&amp;","&amp;$E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 s="6" t="str">
        <f>IF(OR($E8="", $F8=""),"",IF(_xlfn.SINGLE(JobAgolMap)="",HYPERLINK("https://fema.maps.arcgis.com/apps/mapviewer/index.html?find="&amp;$F8&amp;"%2C"&amp;$E8&amp;"&amp;marker="&amp;$F8&amp;","&amp;$E8&amp;",4326&amp;level=16","FEMA AGOL Map Viewer"),HYPERLINK(_xlfn.SINGLE(JobAgolMap)&amp;IF(ISNUMBER(FIND("?",_xlfn.SINGLE(JobAgolMap))),"&amp;","?")&amp;"center="&amp;$F8&amp;","&amp;$E8&amp;"&amp;level=16&amp;marker="&amp;$F8&amp;","&amp;$E8,"Open")))</f>
        <v/>
      </c>
      <c r="Q8" s="4"/>
      <c r="R8" s="4"/>
      <c r="W8" s="6" t="str">
        <f t="shared" si="0"/>
        <v/>
      </c>
      <c r="X8" s="6" t="str">
        <f t="shared" si="1"/>
        <v/>
      </c>
      <c r="Y8" s="6" t="str">
        <f t="shared" si="2"/>
        <v/>
      </c>
      <c r="Z8" s="6" t="str">
        <f t="shared" si="3"/>
        <v/>
      </c>
      <c r="AA8" s="6" t="str">
        <f t="shared" si="4"/>
        <v/>
      </c>
      <c r="AB8" s="6" t="str">
        <f t="shared" si="5"/>
        <v/>
      </c>
      <c r="AC8" s="4"/>
      <c r="AD8" s="4"/>
    </row>
    <row r="9" spans="1:30" x14ac:dyDescent="0.45">
      <c r="A9" s="3"/>
      <c r="B9" s="3"/>
      <c r="C9" s="5" t="str">
        <f>IF($E9="","",COUNT($E$2:$E9))</f>
        <v/>
      </c>
      <c r="D9" s="3"/>
      <c r="E9" s="3"/>
      <c r="F9" s="3"/>
      <c r="G9" s="3"/>
      <c r="H9" s="3"/>
      <c r="I9" s="3"/>
      <c r="J9" s="3"/>
      <c r="K9" s="3"/>
      <c r="L9" s="4"/>
      <c r="M9" s="6" t="str">
        <f>IF(OR($E9="",$F9=""),"",IF(_xlfn.SINGLE(JobState)="",IF(ROW()=2,HYPERLINK("#JobState","Set State →"),""),HYPERLINK(IF(OR(_xlfn.SINGLE(JobState)="MI",_xlfn.SINGLE(JobState)=""),"https://fema.maps.arcgis.com/apps/mapviewer/index.html?webmap=6a1702b9147243d1a5ee62cd614bc681&amp;center="&amp;$F9&amp;","&amp;$E9&amp;"&amp;level=16&amp;marker="&amp;$F9&amp;","&amp;$E9&amp;"",IF(_xlfn.SINGLE(JobState)="IN","https://fema.maps.arcgis.com/apps/mapviewer/index.html?url=https%3A%2F%2Fgis.indot.in.gov%2Fro%2Frest%2Fservices%2FRAH_GIO_Collaboration%2FLRSE_Functional_Class%2FFeatureServer%2F22&amp;find="&amp;$F9&amp;"%2C"&amp;$E9&amp;"&amp;marker="&amp;$F9&amp;","&amp;$E9&amp;",4326&amp;level=16",IF(_xlfn.SINGLE(JobState)="WI","https://fema.maps.arcgis.com/apps/mapviewer/index.html?url=https://services5.arcgis.com/0pgGLzT0Nh7FVjon/arcgis/rest/services/Functional_Class_Local_Non_Prod/FeatureServer/1&amp;find="&amp;$F9&amp;"%2C"&amp;$E9&amp;"&amp;marker="&amp;$F9&amp;","&amp;$E9&amp;",4326&amp;level=16",IF(_xlfn.SINGLE(JobState)="MN","https://fema.maps.arcgis.com/apps/mapviewer/index.html?url=https%3A%2F%2Fdotapp9.dot.state.mn.us%2Fegis12%2Frest%2Fservices%2FBASEMAP%2Fmndot_commonlayers2%2FMapServer%2F11&amp;find="&amp;$F9&amp;"%2C"&amp;$E9&amp;"&amp;marker="&amp;$F9&amp;","&amp;$E9&amp;",4326&amp;level=16",IF(_xlfn.SINGLE(JobState)="IL","https://fema.maps.arcgis.com/apps/mapviewer/index.html?url=https%3A%2F%2Fgis1.dot.illinois.gov%2Farcgis%2Frest%2Fservices%2FAdministrativeData%2FFunctionalClass%2FMapServer%2F0&amp;find="&amp;$F9&amp;"%2C"&amp;$E9&amp;"&amp;marker="&amp;$F9&amp;","&amp;$E9&amp;",4326&amp;level=16",IF(_xlfn.SINGLE(JobState)="OH","https://fema.maps.arcgis.com/apps/mapviewer/index.html?url=https%3A%2F%2Ftims.dot.state.oh.us%2Fags%2Frest%2Fservices%2FRoadway_Information%2FFunctional_Class%2FMapServer%2F0&amp;find="&amp;$F9&amp;"%2C"&amp;$E9&amp;"&amp;marker="&amp;$F9&amp;","&amp;$E9&amp;",4326&amp;level=16","https://fema.maps.arcgis.com/apps/mapviewer/index.html?find="&amp;$F9&amp;"%2C"&amp;$E9&amp;"&amp;marker="&amp;$F9&amp;","&amp;$E9&amp;",4326&amp;level=16")))))),IF(_xlfn.SINGLE(JobState)="WI","Review Local Roads Layer","Review NFC AGOL Layer"))))</f>
        <v/>
      </c>
      <c r="N9" s="6" t="str">
        <f>IF(OR($E9="",$F9=""),"",IF(_xlfn.SINGLE(JobState)="",IF(ROW()=2,HYPERLINK("#JobState","Set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amp;"%2C"&amp;$E9&amp;"&amp;marker="&amp;$F9&amp;","&amp;$E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 s="6" t="str">
        <f>IF(OR($E9="", $F9=""),"",IF(_xlfn.SINGLE(JobAgolMap)="",HYPERLINK("https://fema.maps.arcgis.com/apps/mapviewer/index.html?find="&amp;$F9&amp;"%2C"&amp;$E9&amp;"&amp;marker="&amp;$F9&amp;","&amp;$E9&amp;",4326&amp;level=16","FEMA AGOL Map Viewer"),HYPERLINK(_xlfn.SINGLE(JobAgolMap)&amp;IF(ISNUMBER(FIND("?",_xlfn.SINGLE(JobAgolMap))),"&amp;","?")&amp;"center="&amp;$F9&amp;","&amp;$E9&amp;"&amp;level=16&amp;marker="&amp;$F9&amp;","&amp;$E9,"Open")))</f>
        <v/>
      </c>
      <c r="Q9" s="4"/>
      <c r="R9" s="4"/>
      <c r="W9" s="6" t="str">
        <f t="shared" si="0"/>
        <v/>
      </c>
      <c r="X9" s="6" t="str">
        <f t="shared" si="1"/>
        <v/>
      </c>
      <c r="Y9" s="6" t="str">
        <f t="shared" si="2"/>
        <v/>
      </c>
      <c r="Z9" s="6" t="str">
        <f t="shared" si="3"/>
        <v/>
      </c>
      <c r="AA9" s="6" t="str">
        <f t="shared" si="4"/>
        <v/>
      </c>
      <c r="AB9" s="6" t="str">
        <f t="shared" si="5"/>
        <v/>
      </c>
      <c r="AC9" s="4"/>
      <c r="AD9" s="4"/>
    </row>
    <row r="10" spans="1:30" x14ac:dyDescent="0.45">
      <c r="A10" s="3"/>
      <c r="B10" s="3"/>
      <c r="C10" s="5" t="str">
        <f>IF($E10="","",COUNT($E$2:$E10))</f>
        <v/>
      </c>
      <c r="D10" s="3"/>
      <c r="E10" s="3"/>
      <c r="F10" s="3"/>
      <c r="G10" s="3"/>
      <c r="H10" s="3"/>
      <c r="I10" s="3"/>
      <c r="J10" s="3"/>
      <c r="K10" s="3"/>
      <c r="L10" s="4"/>
      <c r="M10" s="6" t="str">
        <f>IF(OR($E10="",$F10=""),"",IF(_xlfn.SINGLE(JobState)="",IF(ROW()=2,HYPERLINK("#JobState","Set State →"),""),HYPERLINK(IF(OR(_xlfn.SINGLE(JobState)="MI",_xlfn.SINGLE(JobState)=""),"https://fema.maps.arcgis.com/apps/mapviewer/index.html?webmap=6a1702b9147243d1a5ee62cd614bc681&amp;center="&amp;$F10&amp;","&amp;$E10&amp;"&amp;level=16&amp;marker="&amp;$F10&amp;","&amp;$E10&amp;"",IF(_xlfn.SINGLE(JobState)="IN","https://fema.maps.arcgis.com/apps/mapviewer/index.html?url=https%3A%2F%2Fgis.indot.in.gov%2Fro%2Frest%2Fservices%2FRAH_GIO_Collaboration%2FLRSE_Functional_Class%2FFeatureServer%2F22&amp;find="&amp;$F10&amp;"%2C"&amp;$E10&amp;"&amp;marker="&amp;$F10&amp;","&amp;$E10&amp;",4326&amp;level=16",IF(_xlfn.SINGLE(JobState)="WI","https://fema.maps.arcgis.com/apps/mapviewer/index.html?url=https://services5.arcgis.com/0pgGLzT0Nh7FVjon/arcgis/rest/services/Functional_Class_Local_Non_Prod/FeatureServer/1&amp;find="&amp;$F10&amp;"%2C"&amp;$E10&amp;"&amp;marker="&amp;$F10&amp;","&amp;$E10&amp;",4326&amp;level=16",IF(_xlfn.SINGLE(JobState)="MN","https://fema.maps.arcgis.com/apps/mapviewer/index.html?url=https%3A%2F%2Fdotapp9.dot.state.mn.us%2Fegis12%2Frest%2Fservices%2FBASEMAP%2Fmndot_commonlayers2%2FMapServer%2F11&amp;find="&amp;$F10&amp;"%2C"&amp;$E10&amp;"&amp;marker="&amp;$F10&amp;","&amp;$E10&amp;",4326&amp;level=16",IF(_xlfn.SINGLE(JobState)="IL","https://fema.maps.arcgis.com/apps/mapviewer/index.html?url=https%3A%2F%2Fgis1.dot.illinois.gov%2Farcgis%2Frest%2Fservices%2FAdministrativeData%2FFunctionalClass%2FMapServer%2F0&amp;find="&amp;$F10&amp;"%2C"&amp;$E10&amp;"&amp;marker="&amp;$F10&amp;","&amp;$E10&amp;",4326&amp;level=16",IF(_xlfn.SINGLE(JobState)="OH","https://fema.maps.arcgis.com/apps/mapviewer/index.html?url=https%3A%2F%2Ftims.dot.state.oh.us%2Fags%2Frest%2Fservices%2FRoadway_Information%2FFunctional_Class%2FMapServer%2F0&amp;find="&amp;$F10&amp;"%2C"&amp;$E10&amp;"&amp;marker="&amp;$F10&amp;","&amp;$E10&amp;",4326&amp;level=16","https://fema.maps.arcgis.com/apps/mapviewer/index.html?find="&amp;$F10&amp;"%2C"&amp;$E10&amp;"&amp;marker="&amp;$F10&amp;","&amp;$E10&amp;",4326&amp;level=16")))))),IF(_xlfn.SINGLE(JobState)="WI","Review Local Roads Layer","Review NFC AGOL Layer"))))</f>
        <v/>
      </c>
      <c r="N10" s="6" t="str">
        <f>IF(OR($E10="",$F10=""),"",IF(_xlfn.SINGLE(JobState)="",IF(ROW()=2,HYPERLINK("#JobState","Set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amp;"%2C"&amp;$E10&amp;"&amp;marker="&amp;$F10&amp;","&amp;$E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 s="6" t="str">
        <f>IF(OR($E10="", $F10=""),"",IF(_xlfn.SINGLE(JobAgolMap)="",HYPERLINK("https://fema.maps.arcgis.com/apps/mapviewer/index.html?find="&amp;$F10&amp;"%2C"&amp;$E10&amp;"&amp;marker="&amp;$F10&amp;","&amp;$E10&amp;",4326&amp;level=16","FEMA AGOL Map Viewer"),HYPERLINK(_xlfn.SINGLE(JobAgolMap)&amp;IF(ISNUMBER(FIND("?",_xlfn.SINGLE(JobAgolMap))),"&amp;","?")&amp;"center="&amp;$F10&amp;","&amp;$E10&amp;"&amp;level=16&amp;marker="&amp;$F10&amp;","&amp;$E10,"Open")))</f>
        <v/>
      </c>
      <c r="Q10" s="4"/>
      <c r="R10" s="4"/>
      <c r="W10" s="6" t="str">
        <f t="shared" si="0"/>
        <v/>
      </c>
      <c r="X10" s="6" t="str">
        <f t="shared" si="1"/>
        <v/>
      </c>
      <c r="Y10" s="6" t="str">
        <f t="shared" si="2"/>
        <v/>
      </c>
      <c r="Z10" s="6" t="str">
        <f t="shared" si="3"/>
        <v/>
      </c>
      <c r="AA10" s="6" t="str">
        <f t="shared" si="4"/>
        <v/>
      </c>
      <c r="AB10" s="6" t="str">
        <f t="shared" si="5"/>
        <v/>
      </c>
      <c r="AC10" s="4"/>
      <c r="AD10" s="4"/>
    </row>
    <row r="11" spans="1:30" x14ac:dyDescent="0.45">
      <c r="A11" s="3"/>
      <c r="B11" s="3"/>
      <c r="C11" s="5" t="str">
        <f>IF($E11="","",COUNT($E$2:$E11))</f>
        <v/>
      </c>
      <c r="D11" s="3"/>
      <c r="E11" s="3"/>
      <c r="F11" s="3"/>
      <c r="G11" s="3"/>
      <c r="H11" s="3"/>
      <c r="I11" s="3"/>
      <c r="J11" s="3"/>
      <c r="K11" s="3"/>
      <c r="L11" s="4"/>
      <c r="M11" s="6" t="str">
        <f>IF(OR($E11="",$F11=""),"",IF(_xlfn.SINGLE(JobState)="",IF(ROW()=2,HYPERLINK("#JobState","Set State →"),""),HYPERLINK(IF(OR(_xlfn.SINGLE(JobState)="MI",_xlfn.SINGLE(JobState)=""),"https://fema.maps.arcgis.com/apps/mapviewer/index.html?webmap=6a1702b9147243d1a5ee62cd614bc681&amp;center="&amp;$F11&amp;","&amp;$E11&amp;"&amp;level=16&amp;marker="&amp;$F11&amp;","&amp;$E11&amp;"",IF(_xlfn.SINGLE(JobState)="IN","https://fema.maps.arcgis.com/apps/mapviewer/index.html?url=https%3A%2F%2Fgis.indot.in.gov%2Fro%2Frest%2Fservices%2FRAH_GIO_Collaboration%2FLRSE_Functional_Class%2FFeatureServer%2F22&amp;find="&amp;$F11&amp;"%2C"&amp;$E11&amp;"&amp;marker="&amp;$F11&amp;","&amp;$E11&amp;",4326&amp;level=16",IF(_xlfn.SINGLE(JobState)="WI","https://fema.maps.arcgis.com/apps/mapviewer/index.html?url=https://services5.arcgis.com/0pgGLzT0Nh7FVjon/arcgis/rest/services/Functional_Class_Local_Non_Prod/FeatureServer/1&amp;find="&amp;$F11&amp;"%2C"&amp;$E11&amp;"&amp;marker="&amp;$F11&amp;","&amp;$E11&amp;",4326&amp;level=16",IF(_xlfn.SINGLE(JobState)="MN","https://fema.maps.arcgis.com/apps/mapviewer/index.html?url=https%3A%2F%2Fdotapp9.dot.state.mn.us%2Fegis12%2Frest%2Fservices%2FBASEMAP%2Fmndot_commonlayers2%2FMapServer%2F11&amp;find="&amp;$F11&amp;"%2C"&amp;$E11&amp;"&amp;marker="&amp;$F11&amp;","&amp;$E11&amp;",4326&amp;level=16",IF(_xlfn.SINGLE(JobState)="IL","https://fema.maps.arcgis.com/apps/mapviewer/index.html?url=https%3A%2F%2Fgis1.dot.illinois.gov%2Farcgis%2Frest%2Fservices%2FAdministrativeData%2FFunctionalClass%2FMapServer%2F0&amp;find="&amp;$F11&amp;"%2C"&amp;$E11&amp;"&amp;marker="&amp;$F11&amp;","&amp;$E11&amp;",4326&amp;level=16",IF(_xlfn.SINGLE(JobState)="OH","https://fema.maps.arcgis.com/apps/mapviewer/index.html?url=https%3A%2F%2Ftims.dot.state.oh.us%2Fags%2Frest%2Fservices%2FRoadway_Information%2FFunctional_Class%2FMapServer%2F0&amp;find="&amp;$F11&amp;"%2C"&amp;$E11&amp;"&amp;marker="&amp;$F11&amp;","&amp;$E11&amp;",4326&amp;level=16","https://fema.maps.arcgis.com/apps/mapviewer/index.html?find="&amp;$F11&amp;"%2C"&amp;$E11&amp;"&amp;marker="&amp;$F11&amp;","&amp;$E11&amp;",4326&amp;level=16")))))),IF(_xlfn.SINGLE(JobState)="WI","Review Local Roads Layer","Review NFC AGOL Layer"))))</f>
        <v/>
      </c>
      <c r="N11" s="6" t="str">
        <f>IF(OR($E11="",$F11=""),"",IF(_xlfn.SINGLE(JobState)="",IF(ROW()=2,HYPERLINK("#JobState","Set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amp;"%2C"&amp;$E11&amp;"&amp;marker="&amp;$F11&amp;","&amp;$E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 s="6" t="str">
        <f>IF(OR($E11="", $F11=""),"",IF(_xlfn.SINGLE(JobAgolMap)="",HYPERLINK("https://fema.maps.arcgis.com/apps/mapviewer/index.html?find="&amp;$F11&amp;"%2C"&amp;$E11&amp;"&amp;marker="&amp;$F11&amp;","&amp;$E11&amp;",4326&amp;level=16","FEMA AGOL Map Viewer"),HYPERLINK(_xlfn.SINGLE(JobAgolMap)&amp;IF(ISNUMBER(FIND("?",_xlfn.SINGLE(JobAgolMap))),"&amp;","?")&amp;"center="&amp;$F11&amp;","&amp;$E11&amp;"&amp;level=16&amp;marker="&amp;$F11&amp;","&amp;$E11,"Open")))</f>
        <v/>
      </c>
      <c r="Q11" s="4"/>
      <c r="R11" s="4"/>
      <c r="W11" s="6" t="str">
        <f t="shared" si="0"/>
        <v/>
      </c>
      <c r="X11" s="6" t="str">
        <f t="shared" si="1"/>
        <v/>
      </c>
      <c r="Y11" s="6" t="str">
        <f t="shared" si="2"/>
        <v/>
      </c>
      <c r="Z11" s="6" t="str">
        <f t="shared" si="3"/>
        <v/>
      </c>
      <c r="AA11" s="6" t="str">
        <f t="shared" si="4"/>
        <v/>
      </c>
      <c r="AB11" s="6" t="str">
        <f t="shared" si="5"/>
        <v/>
      </c>
      <c r="AC11" s="4"/>
      <c r="AD11" s="4"/>
    </row>
    <row r="12" spans="1:30" x14ac:dyDescent="0.45">
      <c r="A12" s="3"/>
      <c r="B12" s="3"/>
      <c r="C12" s="5" t="str">
        <f>IF($E12="","",COUNT($E$2:$E12))</f>
        <v/>
      </c>
      <c r="D12" s="3"/>
      <c r="E12" s="3"/>
      <c r="F12" s="3"/>
      <c r="G12" s="3"/>
      <c r="H12" s="3"/>
      <c r="I12" s="3"/>
      <c r="J12" s="3"/>
      <c r="K12" s="3"/>
      <c r="L12" s="4"/>
      <c r="M12" s="6" t="str">
        <f>IF(OR($E12="",$F12=""),"",IF(_xlfn.SINGLE(JobState)="",IF(ROW()=2,HYPERLINK("#JobState","Set State →"),""),HYPERLINK(IF(OR(_xlfn.SINGLE(JobState)="MI",_xlfn.SINGLE(JobState)=""),"https://fema.maps.arcgis.com/apps/mapviewer/index.html?webmap=6a1702b9147243d1a5ee62cd614bc681&amp;center="&amp;$F12&amp;","&amp;$E12&amp;"&amp;level=16&amp;marker="&amp;$F12&amp;","&amp;$E12&amp;"",IF(_xlfn.SINGLE(JobState)="IN","https://fema.maps.arcgis.com/apps/mapviewer/index.html?url=https%3A%2F%2Fgis.indot.in.gov%2Fro%2Frest%2Fservices%2FRAH_GIO_Collaboration%2FLRSE_Functional_Class%2FFeatureServer%2F22&amp;find="&amp;$F12&amp;"%2C"&amp;$E12&amp;"&amp;marker="&amp;$F12&amp;","&amp;$E12&amp;",4326&amp;level=16",IF(_xlfn.SINGLE(JobState)="WI","https://fema.maps.arcgis.com/apps/mapviewer/index.html?url=https://services5.arcgis.com/0pgGLzT0Nh7FVjon/arcgis/rest/services/Functional_Class_Local_Non_Prod/FeatureServer/1&amp;find="&amp;$F12&amp;"%2C"&amp;$E12&amp;"&amp;marker="&amp;$F12&amp;","&amp;$E12&amp;",4326&amp;level=16",IF(_xlfn.SINGLE(JobState)="MN","https://fema.maps.arcgis.com/apps/mapviewer/index.html?url=https%3A%2F%2Fdotapp9.dot.state.mn.us%2Fegis12%2Frest%2Fservices%2FBASEMAP%2Fmndot_commonlayers2%2FMapServer%2F11&amp;find="&amp;$F12&amp;"%2C"&amp;$E12&amp;"&amp;marker="&amp;$F12&amp;","&amp;$E12&amp;",4326&amp;level=16",IF(_xlfn.SINGLE(JobState)="IL","https://fema.maps.arcgis.com/apps/mapviewer/index.html?url=https%3A%2F%2Fgis1.dot.illinois.gov%2Farcgis%2Frest%2Fservices%2FAdministrativeData%2FFunctionalClass%2FMapServer%2F0&amp;find="&amp;$F12&amp;"%2C"&amp;$E12&amp;"&amp;marker="&amp;$F12&amp;","&amp;$E12&amp;",4326&amp;level=16",IF(_xlfn.SINGLE(JobState)="OH","https://fema.maps.arcgis.com/apps/mapviewer/index.html?url=https%3A%2F%2Ftims.dot.state.oh.us%2Fags%2Frest%2Fservices%2FRoadway_Information%2FFunctional_Class%2FMapServer%2F0&amp;find="&amp;$F12&amp;"%2C"&amp;$E12&amp;"&amp;marker="&amp;$F12&amp;","&amp;$E12&amp;",4326&amp;level=16","https://fema.maps.arcgis.com/apps/mapviewer/index.html?find="&amp;$F12&amp;"%2C"&amp;$E12&amp;"&amp;marker="&amp;$F12&amp;","&amp;$E12&amp;",4326&amp;level=16")))))),IF(_xlfn.SINGLE(JobState)="WI","Review Local Roads Layer","Review NFC AGOL Layer"))))</f>
        <v/>
      </c>
      <c r="N12" s="6" t="str">
        <f>IF(OR($E12="",$F12=""),"",IF(_xlfn.SINGLE(JobState)="",IF(ROW()=2,HYPERLINK("#JobState","Set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amp;"%2C"&amp;$E12&amp;"&amp;marker="&amp;$F12&amp;","&amp;$E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 s="6" t="str">
        <f>IF(OR($E12="", $F12=""),"",IF(_xlfn.SINGLE(JobAgolMap)="",HYPERLINK("https://fema.maps.arcgis.com/apps/mapviewer/index.html?find="&amp;$F12&amp;"%2C"&amp;$E12&amp;"&amp;marker="&amp;$F12&amp;","&amp;$E12&amp;",4326&amp;level=16","FEMA AGOL Map Viewer"),HYPERLINK(_xlfn.SINGLE(JobAgolMap)&amp;IF(ISNUMBER(FIND("?",_xlfn.SINGLE(JobAgolMap))),"&amp;","?")&amp;"center="&amp;$F12&amp;","&amp;$E12&amp;"&amp;level=16&amp;marker="&amp;$F12&amp;","&amp;$E12,"Open")))</f>
        <v/>
      </c>
      <c r="Q12" s="4"/>
      <c r="R12" s="4"/>
      <c r="W12" s="6" t="str">
        <f t="shared" si="0"/>
        <v/>
      </c>
      <c r="X12" s="6" t="str">
        <f t="shared" si="1"/>
        <v/>
      </c>
      <c r="Y12" s="6" t="str">
        <f t="shared" si="2"/>
        <v/>
      </c>
      <c r="Z12" s="6" t="str">
        <f t="shared" si="3"/>
        <v/>
      </c>
      <c r="AA12" s="6" t="str">
        <f t="shared" si="4"/>
        <v/>
      </c>
      <c r="AB12" s="6" t="str">
        <f t="shared" si="5"/>
        <v/>
      </c>
      <c r="AC12" s="4"/>
      <c r="AD12" s="4"/>
    </row>
    <row r="13" spans="1:30" x14ac:dyDescent="0.45">
      <c r="A13" s="3"/>
      <c r="B13" s="3"/>
      <c r="C13" s="5" t="str">
        <f>IF($E13="","",COUNT($E$2:$E13))</f>
        <v/>
      </c>
      <c r="D13" s="3"/>
      <c r="E13" s="3"/>
      <c r="F13" s="3"/>
      <c r="G13" s="3"/>
      <c r="H13" s="3"/>
      <c r="I13" s="3"/>
      <c r="J13" s="3"/>
      <c r="K13" s="3"/>
      <c r="L13" s="4"/>
      <c r="M13" s="6" t="str">
        <f>IF(OR($E13="",$F13=""),"",IF(_xlfn.SINGLE(JobState)="",IF(ROW()=2,HYPERLINK("#JobState","Set State →"),""),HYPERLINK(IF(OR(_xlfn.SINGLE(JobState)="MI",_xlfn.SINGLE(JobState)=""),"https://fema.maps.arcgis.com/apps/mapviewer/index.html?webmap=6a1702b9147243d1a5ee62cd614bc681&amp;center="&amp;$F13&amp;","&amp;$E13&amp;"&amp;level=16&amp;marker="&amp;$F13&amp;","&amp;$E13&amp;"",IF(_xlfn.SINGLE(JobState)="IN","https://fema.maps.arcgis.com/apps/mapviewer/index.html?url=https%3A%2F%2Fgis.indot.in.gov%2Fro%2Frest%2Fservices%2FRAH_GIO_Collaboration%2FLRSE_Functional_Class%2FFeatureServer%2F22&amp;find="&amp;$F13&amp;"%2C"&amp;$E13&amp;"&amp;marker="&amp;$F13&amp;","&amp;$E13&amp;",4326&amp;level=16",IF(_xlfn.SINGLE(JobState)="WI","https://fema.maps.arcgis.com/apps/mapviewer/index.html?url=https://services5.arcgis.com/0pgGLzT0Nh7FVjon/arcgis/rest/services/Functional_Class_Local_Non_Prod/FeatureServer/1&amp;find="&amp;$F13&amp;"%2C"&amp;$E13&amp;"&amp;marker="&amp;$F13&amp;","&amp;$E13&amp;",4326&amp;level=16",IF(_xlfn.SINGLE(JobState)="MN","https://fema.maps.arcgis.com/apps/mapviewer/index.html?url=https%3A%2F%2Fdotapp9.dot.state.mn.us%2Fegis12%2Frest%2Fservices%2FBASEMAP%2Fmndot_commonlayers2%2FMapServer%2F11&amp;find="&amp;$F13&amp;"%2C"&amp;$E13&amp;"&amp;marker="&amp;$F13&amp;","&amp;$E13&amp;",4326&amp;level=16",IF(_xlfn.SINGLE(JobState)="IL","https://fema.maps.arcgis.com/apps/mapviewer/index.html?url=https%3A%2F%2Fgis1.dot.illinois.gov%2Farcgis%2Frest%2Fservices%2FAdministrativeData%2FFunctionalClass%2FMapServer%2F0&amp;find="&amp;$F13&amp;"%2C"&amp;$E13&amp;"&amp;marker="&amp;$F13&amp;","&amp;$E13&amp;",4326&amp;level=16",IF(_xlfn.SINGLE(JobState)="OH","https://fema.maps.arcgis.com/apps/mapviewer/index.html?url=https%3A%2F%2Ftims.dot.state.oh.us%2Fags%2Frest%2Fservices%2FRoadway_Information%2FFunctional_Class%2FMapServer%2F0&amp;find="&amp;$F13&amp;"%2C"&amp;$E13&amp;"&amp;marker="&amp;$F13&amp;","&amp;$E13&amp;",4326&amp;level=16","https://fema.maps.arcgis.com/apps/mapviewer/index.html?find="&amp;$F13&amp;"%2C"&amp;$E13&amp;"&amp;marker="&amp;$F13&amp;","&amp;$E13&amp;",4326&amp;level=16")))))),IF(_xlfn.SINGLE(JobState)="WI","Review Local Roads Layer","Review NFC AGOL Layer"))))</f>
        <v/>
      </c>
      <c r="N13" s="6" t="str">
        <f>IF(OR($E13="",$F13=""),"",IF(_xlfn.SINGLE(JobState)="",IF(ROW()=2,HYPERLINK("#JobState","Set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amp;"%2C"&amp;$E13&amp;"&amp;marker="&amp;$F13&amp;","&amp;$E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 s="6" t="str">
        <f>IF(OR($E13="", $F13=""),"",IF(_xlfn.SINGLE(JobAgolMap)="",HYPERLINK("https://fema.maps.arcgis.com/apps/mapviewer/index.html?find="&amp;$F13&amp;"%2C"&amp;$E13&amp;"&amp;marker="&amp;$F13&amp;","&amp;$E13&amp;",4326&amp;level=16","FEMA AGOL Map Viewer"),HYPERLINK(_xlfn.SINGLE(JobAgolMap)&amp;IF(ISNUMBER(FIND("?",_xlfn.SINGLE(JobAgolMap))),"&amp;","?")&amp;"center="&amp;$F13&amp;","&amp;$E13&amp;"&amp;level=16&amp;marker="&amp;$F13&amp;","&amp;$E13,"Open")))</f>
        <v/>
      </c>
      <c r="Q13" s="4"/>
      <c r="R13" s="4"/>
      <c r="W13" s="6" t="str">
        <f t="shared" si="0"/>
        <v/>
      </c>
      <c r="X13" s="6" t="str">
        <f t="shared" si="1"/>
        <v/>
      </c>
      <c r="Y13" s="6" t="str">
        <f t="shared" si="2"/>
        <v/>
      </c>
      <c r="Z13" s="6" t="str">
        <f t="shared" si="3"/>
        <v/>
      </c>
      <c r="AA13" s="6" t="str">
        <f t="shared" si="4"/>
        <v/>
      </c>
      <c r="AB13" s="6" t="str">
        <f t="shared" si="5"/>
        <v/>
      </c>
      <c r="AC13" s="4"/>
      <c r="AD13" s="4"/>
    </row>
    <row r="14" spans="1:30" x14ac:dyDescent="0.45">
      <c r="A14" s="3"/>
      <c r="B14" s="3"/>
      <c r="C14" s="5" t="str">
        <f>IF($E14="","",COUNT($E$2:$E14))</f>
        <v/>
      </c>
      <c r="D14" s="3"/>
      <c r="E14" s="3"/>
      <c r="F14" s="3"/>
      <c r="G14" s="3"/>
      <c r="H14" s="3"/>
      <c r="I14" s="3"/>
      <c r="J14" s="3"/>
      <c r="K14" s="3"/>
      <c r="L14" s="4"/>
      <c r="M14" s="6" t="str">
        <f>IF(OR($E14="",$F14=""),"",IF(_xlfn.SINGLE(JobState)="",IF(ROW()=2,HYPERLINK("#JobState","Set State →"),""),HYPERLINK(IF(OR(_xlfn.SINGLE(JobState)="MI",_xlfn.SINGLE(JobState)=""),"https://fema.maps.arcgis.com/apps/mapviewer/index.html?webmap=6a1702b9147243d1a5ee62cd614bc681&amp;center="&amp;$F14&amp;","&amp;$E14&amp;"&amp;level=16&amp;marker="&amp;$F14&amp;","&amp;$E14&amp;"",IF(_xlfn.SINGLE(JobState)="IN","https://fema.maps.arcgis.com/apps/mapviewer/index.html?url=https%3A%2F%2Fgis.indot.in.gov%2Fro%2Frest%2Fservices%2FRAH_GIO_Collaboration%2FLRSE_Functional_Class%2FFeatureServer%2F22&amp;find="&amp;$F14&amp;"%2C"&amp;$E14&amp;"&amp;marker="&amp;$F14&amp;","&amp;$E14&amp;",4326&amp;level=16",IF(_xlfn.SINGLE(JobState)="WI","https://fema.maps.arcgis.com/apps/mapviewer/index.html?url=https://services5.arcgis.com/0pgGLzT0Nh7FVjon/arcgis/rest/services/Functional_Class_Local_Non_Prod/FeatureServer/1&amp;find="&amp;$F14&amp;"%2C"&amp;$E14&amp;"&amp;marker="&amp;$F14&amp;","&amp;$E14&amp;",4326&amp;level=16",IF(_xlfn.SINGLE(JobState)="MN","https://fema.maps.arcgis.com/apps/mapviewer/index.html?url=https%3A%2F%2Fdotapp9.dot.state.mn.us%2Fegis12%2Frest%2Fservices%2FBASEMAP%2Fmndot_commonlayers2%2FMapServer%2F11&amp;find="&amp;$F14&amp;"%2C"&amp;$E14&amp;"&amp;marker="&amp;$F14&amp;","&amp;$E14&amp;",4326&amp;level=16",IF(_xlfn.SINGLE(JobState)="IL","https://fema.maps.arcgis.com/apps/mapviewer/index.html?url=https%3A%2F%2Fgis1.dot.illinois.gov%2Farcgis%2Frest%2Fservices%2FAdministrativeData%2FFunctionalClass%2FMapServer%2F0&amp;find="&amp;$F14&amp;"%2C"&amp;$E14&amp;"&amp;marker="&amp;$F14&amp;","&amp;$E14&amp;",4326&amp;level=16",IF(_xlfn.SINGLE(JobState)="OH","https://fema.maps.arcgis.com/apps/mapviewer/index.html?url=https%3A%2F%2Ftims.dot.state.oh.us%2Fags%2Frest%2Fservices%2FRoadway_Information%2FFunctional_Class%2FMapServer%2F0&amp;find="&amp;$F14&amp;"%2C"&amp;$E14&amp;"&amp;marker="&amp;$F14&amp;","&amp;$E14&amp;",4326&amp;level=16","https://fema.maps.arcgis.com/apps/mapviewer/index.html?find="&amp;$F14&amp;"%2C"&amp;$E14&amp;"&amp;marker="&amp;$F14&amp;","&amp;$E14&amp;",4326&amp;level=16")))))),IF(_xlfn.SINGLE(JobState)="WI","Review Local Roads Layer","Review NFC AGOL Layer"))))</f>
        <v/>
      </c>
      <c r="N14" s="6" t="str">
        <f>IF(OR($E14="",$F14=""),"",IF(_xlfn.SINGLE(JobState)="",IF(ROW()=2,HYPERLINK("#JobState","Set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amp;"%2C"&amp;$E14&amp;"&amp;marker="&amp;$F14&amp;","&amp;$E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 s="6" t="str">
        <f>IF(OR($E14="", $F14=""),"",IF(_xlfn.SINGLE(JobAgolMap)="",HYPERLINK("https://fema.maps.arcgis.com/apps/mapviewer/index.html?find="&amp;$F14&amp;"%2C"&amp;$E14&amp;"&amp;marker="&amp;$F14&amp;","&amp;$E14&amp;",4326&amp;level=16","FEMA AGOL Map Viewer"),HYPERLINK(_xlfn.SINGLE(JobAgolMap)&amp;IF(ISNUMBER(FIND("?",_xlfn.SINGLE(JobAgolMap))),"&amp;","?")&amp;"center="&amp;$F14&amp;","&amp;$E14&amp;"&amp;level=16&amp;marker="&amp;$F14&amp;","&amp;$E14,"Open")))</f>
        <v/>
      </c>
      <c r="Q14" s="4"/>
      <c r="R14" s="4"/>
      <c r="W14" s="6" t="str">
        <f t="shared" si="0"/>
        <v/>
      </c>
      <c r="X14" s="6" t="str">
        <f t="shared" si="1"/>
        <v/>
      </c>
      <c r="Y14" s="6" t="str">
        <f t="shared" si="2"/>
        <v/>
      </c>
      <c r="Z14" s="6" t="str">
        <f t="shared" si="3"/>
        <v/>
      </c>
      <c r="AA14" s="6" t="str">
        <f t="shared" si="4"/>
        <v/>
      </c>
      <c r="AB14" s="6" t="str">
        <f t="shared" si="5"/>
        <v/>
      </c>
      <c r="AC14" s="4"/>
      <c r="AD14" s="4"/>
    </row>
    <row r="15" spans="1:30" x14ac:dyDescent="0.45">
      <c r="A15" s="3"/>
      <c r="B15" s="3"/>
      <c r="C15" s="5" t="str">
        <f>IF($E15="","",COUNT($E$2:$E15))</f>
        <v/>
      </c>
      <c r="D15" s="3"/>
      <c r="E15" s="3"/>
      <c r="F15" s="3"/>
      <c r="G15" s="3"/>
      <c r="H15" s="3"/>
      <c r="I15" s="3"/>
      <c r="J15" s="3"/>
      <c r="K15" s="3"/>
      <c r="L15" s="4"/>
      <c r="M15" s="6" t="str">
        <f>IF(OR($E15="",$F15=""),"",IF(_xlfn.SINGLE(JobState)="",IF(ROW()=2,HYPERLINK("#JobState","Set State →"),""),HYPERLINK(IF(OR(_xlfn.SINGLE(JobState)="MI",_xlfn.SINGLE(JobState)=""),"https://fema.maps.arcgis.com/apps/mapviewer/index.html?webmap=6a1702b9147243d1a5ee62cd614bc681&amp;center="&amp;$F15&amp;","&amp;$E15&amp;"&amp;level=16&amp;marker="&amp;$F15&amp;","&amp;$E15&amp;"",IF(_xlfn.SINGLE(JobState)="IN","https://fema.maps.arcgis.com/apps/mapviewer/index.html?url=https%3A%2F%2Fgis.indot.in.gov%2Fro%2Frest%2Fservices%2FRAH_GIO_Collaboration%2FLRSE_Functional_Class%2FFeatureServer%2F22&amp;find="&amp;$F15&amp;"%2C"&amp;$E15&amp;"&amp;marker="&amp;$F15&amp;","&amp;$E15&amp;",4326&amp;level=16",IF(_xlfn.SINGLE(JobState)="WI","https://fema.maps.arcgis.com/apps/mapviewer/index.html?url=https://services5.arcgis.com/0pgGLzT0Nh7FVjon/arcgis/rest/services/Functional_Class_Local_Non_Prod/FeatureServer/1&amp;find="&amp;$F15&amp;"%2C"&amp;$E15&amp;"&amp;marker="&amp;$F15&amp;","&amp;$E15&amp;",4326&amp;level=16",IF(_xlfn.SINGLE(JobState)="MN","https://fema.maps.arcgis.com/apps/mapviewer/index.html?url=https%3A%2F%2Fdotapp9.dot.state.mn.us%2Fegis12%2Frest%2Fservices%2FBASEMAP%2Fmndot_commonlayers2%2FMapServer%2F11&amp;find="&amp;$F15&amp;"%2C"&amp;$E15&amp;"&amp;marker="&amp;$F15&amp;","&amp;$E15&amp;",4326&amp;level=16",IF(_xlfn.SINGLE(JobState)="IL","https://fema.maps.arcgis.com/apps/mapviewer/index.html?url=https%3A%2F%2Fgis1.dot.illinois.gov%2Farcgis%2Frest%2Fservices%2FAdministrativeData%2FFunctionalClass%2FMapServer%2F0&amp;find="&amp;$F15&amp;"%2C"&amp;$E15&amp;"&amp;marker="&amp;$F15&amp;","&amp;$E15&amp;",4326&amp;level=16",IF(_xlfn.SINGLE(JobState)="OH","https://fema.maps.arcgis.com/apps/mapviewer/index.html?url=https%3A%2F%2Ftims.dot.state.oh.us%2Fags%2Frest%2Fservices%2FRoadway_Information%2FFunctional_Class%2FMapServer%2F0&amp;find="&amp;$F15&amp;"%2C"&amp;$E15&amp;"&amp;marker="&amp;$F15&amp;","&amp;$E15&amp;",4326&amp;level=16","https://fema.maps.arcgis.com/apps/mapviewer/index.html?find="&amp;$F15&amp;"%2C"&amp;$E15&amp;"&amp;marker="&amp;$F15&amp;","&amp;$E15&amp;",4326&amp;level=16")))))),IF(_xlfn.SINGLE(JobState)="WI","Review Local Roads Layer","Review NFC AGOL Layer"))))</f>
        <v/>
      </c>
      <c r="N15" s="6" t="str">
        <f>IF(OR($E15="",$F15=""),"",IF(_xlfn.SINGLE(JobState)="",IF(ROW()=2,HYPERLINK("#JobState","Set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amp;"%2C"&amp;$E15&amp;"&amp;marker="&amp;$F15&amp;","&amp;$E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 s="6" t="str">
        <f>IF(OR($E15="", $F15=""),"",IF(_xlfn.SINGLE(JobAgolMap)="",HYPERLINK("https://fema.maps.arcgis.com/apps/mapviewer/index.html?find="&amp;$F15&amp;"%2C"&amp;$E15&amp;"&amp;marker="&amp;$F15&amp;","&amp;$E15&amp;",4326&amp;level=16","FEMA AGOL Map Viewer"),HYPERLINK(_xlfn.SINGLE(JobAgolMap)&amp;IF(ISNUMBER(FIND("?",_xlfn.SINGLE(JobAgolMap))),"&amp;","?")&amp;"center="&amp;$F15&amp;","&amp;$E15&amp;"&amp;level=16&amp;marker="&amp;$F15&amp;","&amp;$E15,"Open")))</f>
        <v/>
      </c>
      <c r="Q15" s="4"/>
      <c r="R15" s="4"/>
      <c r="W15" s="6" t="str">
        <f t="shared" si="0"/>
        <v/>
      </c>
      <c r="X15" s="6" t="str">
        <f t="shared" si="1"/>
        <v/>
      </c>
      <c r="Y15" s="6" t="str">
        <f t="shared" si="2"/>
        <v/>
      </c>
      <c r="Z15" s="6" t="str">
        <f t="shared" si="3"/>
        <v/>
      </c>
      <c r="AA15" s="6" t="str">
        <f t="shared" si="4"/>
        <v/>
      </c>
      <c r="AB15" s="6" t="str">
        <f t="shared" si="5"/>
        <v/>
      </c>
      <c r="AC15" s="4"/>
      <c r="AD15" s="4"/>
    </row>
    <row r="16" spans="1:30" x14ac:dyDescent="0.45">
      <c r="A16" s="3"/>
      <c r="B16" s="3"/>
      <c r="C16" s="5" t="str">
        <f>IF($E16="","",COUNT($E$2:$E16))</f>
        <v/>
      </c>
      <c r="D16" s="3"/>
      <c r="E16" s="3"/>
      <c r="F16" s="3"/>
      <c r="G16" s="3"/>
      <c r="H16" s="3"/>
      <c r="I16" s="3"/>
      <c r="J16" s="3"/>
      <c r="K16" s="3"/>
      <c r="L16" s="4"/>
      <c r="M16" s="6" t="str">
        <f>IF(OR($E16="",$F16=""),"",IF(_xlfn.SINGLE(JobState)="",IF(ROW()=2,HYPERLINK("#JobState","Set State →"),""),HYPERLINK(IF(OR(_xlfn.SINGLE(JobState)="MI",_xlfn.SINGLE(JobState)=""),"https://fema.maps.arcgis.com/apps/mapviewer/index.html?webmap=6a1702b9147243d1a5ee62cd614bc681&amp;center="&amp;$F16&amp;","&amp;$E16&amp;"&amp;level=16&amp;marker="&amp;$F16&amp;","&amp;$E16&amp;"",IF(_xlfn.SINGLE(JobState)="IN","https://fema.maps.arcgis.com/apps/mapviewer/index.html?url=https%3A%2F%2Fgis.indot.in.gov%2Fro%2Frest%2Fservices%2FRAH_GIO_Collaboration%2FLRSE_Functional_Class%2FFeatureServer%2F22&amp;find="&amp;$F16&amp;"%2C"&amp;$E16&amp;"&amp;marker="&amp;$F16&amp;","&amp;$E16&amp;",4326&amp;level=16",IF(_xlfn.SINGLE(JobState)="WI","https://fema.maps.arcgis.com/apps/mapviewer/index.html?url=https://services5.arcgis.com/0pgGLzT0Nh7FVjon/arcgis/rest/services/Functional_Class_Local_Non_Prod/FeatureServer/1&amp;find="&amp;$F16&amp;"%2C"&amp;$E16&amp;"&amp;marker="&amp;$F16&amp;","&amp;$E16&amp;",4326&amp;level=16",IF(_xlfn.SINGLE(JobState)="MN","https://fema.maps.arcgis.com/apps/mapviewer/index.html?url=https%3A%2F%2Fdotapp9.dot.state.mn.us%2Fegis12%2Frest%2Fservices%2FBASEMAP%2Fmndot_commonlayers2%2FMapServer%2F11&amp;find="&amp;$F16&amp;"%2C"&amp;$E16&amp;"&amp;marker="&amp;$F16&amp;","&amp;$E16&amp;",4326&amp;level=16",IF(_xlfn.SINGLE(JobState)="IL","https://fema.maps.arcgis.com/apps/mapviewer/index.html?url=https%3A%2F%2Fgis1.dot.illinois.gov%2Farcgis%2Frest%2Fservices%2FAdministrativeData%2FFunctionalClass%2FMapServer%2F0&amp;find="&amp;$F16&amp;"%2C"&amp;$E16&amp;"&amp;marker="&amp;$F16&amp;","&amp;$E16&amp;",4326&amp;level=16",IF(_xlfn.SINGLE(JobState)="OH","https://fema.maps.arcgis.com/apps/mapviewer/index.html?url=https%3A%2F%2Ftims.dot.state.oh.us%2Fags%2Frest%2Fservices%2FRoadway_Information%2FFunctional_Class%2FMapServer%2F0&amp;find="&amp;$F16&amp;"%2C"&amp;$E16&amp;"&amp;marker="&amp;$F16&amp;","&amp;$E16&amp;",4326&amp;level=16","https://fema.maps.arcgis.com/apps/mapviewer/index.html?find="&amp;$F16&amp;"%2C"&amp;$E16&amp;"&amp;marker="&amp;$F16&amp;","&amp;$E16&amp;",4326&amp;level=16")))))),IF(_xlfn.SINGLE(JobState)="WI","Review Local Roads Layer","Review NFC AGOL Layer"))))</f>
        <v/>
      </c>
      <c r="N16" s="6" t="str">
        <f>IF(OR($E16="",$F16=""),"",IF(_xlfn.SINGLE(JobState)="",IF(ROW()=2,HYPERLINK("#JobState","Set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amp;"%2C"&amp;$E16&amp;"&amp;marker="&amp;$F16&amp;","&amp;$E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 s="6" t="str">
        <f>IF(OR($E16="", $F16=""),"",IF(_xlfn.SINGLE(JobAgolMap)="",HYPERLINK("https://fema.maps.arcgis.com/apps/mapviewer/index.html?find="&amp;$F16&amp;"%2C"&amp;$E16&amp;"&amp;marker="&amp;$F16&amp;","&amp;$E16&amp;",4326&amp;level=16","FEMA AGOL Map Viewer"),HYPERLINK(_xlfn.SINGLE(JobAgolMap)&amp;IF(ISNUMBER(FIND("?",_xlfn.SINGLE(JobAgolMap))),"&amp;","?")&amp;"center="&amp;$F16&amp;","&amp;$E16&amp;"&amp;level=16&amp;marker="&amp;$F16&amp;","&amp;$E16,"Open")))</f>
        <v/>
      </c>
      <c r="Q16" s="4"/>
      <c r="R16" s="4"/>
      <c r="W16" s="6" t="str">
        <f t="shared" si="0"/>
        <v/>
      </c>
      <c r="X16" s="6" t="str">
        <f t="shared" si="1"/>
        <v/>
      </c>
      <c r="Y16" s="6" t="str">
        <f t="shared" si="2"/>
        <v/>
      </c>
      <c r="Z16" s="6" t="str">
        <f t="shared" si="3"/>
        <v/>
      </c>
      <c r="AA16" s="6" t="str">
        <f t="shared" si="4"/>
        <v/>
      </c>
      <c r="AB16" s="6" t="str">
        <f t="shared" si="5"/>
        <v/>
      </c>
      <c r="AC16" s="4"/>
      <c r="AD16" s="4"/>
    </row>
    <row r="17" spans="1:30" x14ac:dyDescent="0.45">
      <c r="A17" s="3"/>
      <c r="B17" s="3"/>
      <c r="C17" s="5" t="str">
        <f>IF($E17="","",COUNT($E$2:$E17))</f>
        <v/>
      </c>
      <c r="D17" s="3"/>
      <c r="E17" s="3"/>
      <c r="F17" s="3"/>
      <c r="G17" s="3"/>
      <c r="H17" s="3"/>
      <c r="I17" s="3"/>
      <c r="J17" s="3"/>
      <c r="K17" s="3"/>
      <c r="L17" s="4"/>
      <c r="M17" s="6" t="str">
        <f>IF(OR($E17="",$F17=""),"",IF(_xlfn.SINGLE(JobState)="",IF(ROW()=2,HYPERLINK("#JobState","Set State →"),""),HYPERLINK(IF(OR(_xlfn.SINGLE(JobState)="MI",_xlfn.SINGLE(JobState)=""),"https://fema.maps.arcgis.com/apps/mapviewer/index.html?webmap=6a1702b9147243d1a5ee62cd614bc681&amp;center="&amp;$F17&amp;","&amp;$E17&amp;"&amp;level=16&amp;marker="&amp;$F17&amp;","&amp;$E17&amp;"",IF(_xlfn.SINGLE(JobState)="IN","https://fema.maps.arcgis.com/apps/mapviewer/index.html?url=https%3A%2F%2Fgis.indot.in.gov%2Fro%2Frest%2Fservices%2FRAH_GIO_Collaboration%2FLRSE_Functional_Class%2FFeatureServer%2F22&amp;find="&amp;$F17&amp;"%2C"&amp;$E17&amp;"&amp;marker="&amp;$F17&amp;","&amp;$E17&amp;",4326&amp;level=16",IF(_xlfn.SINGLE(JobState)="WI","https://fema.maps.arcgis.com/apps/mapviewer/index.html?url=https://services5.arcgis.com/0pgGLzT0Nh7FVjon/arcgis/rest/services/Functional_Class_Local_Non_Prod/FeatureServer/1&amp;find="&amp;$F17&amp;"%2C"&amp;$E17&amp;"&amp;marker="&amp;$F17&amp;","&amp;$E17&amp;",4326&amp;level=16",IF(_xlfn.SINGLE(JobState)="MN","https://fema.maps.arcgis.com/apps/mapviewer/index.html?url=https%3A%2F%2Fdotapp9.dot.state.mn.us%2Fegis12%2Frest%2Fservices%2FBASEMAP%2Fmndot_commonlayers2%2FMapServer%2F11&amp;find="&amp;$F17&amp;"%2C"&amp;$E17&amp;"&amp;marker="&amp;$F17&amp;","&amp;$E17&amp;",4326&amp;level=16",IF(_xlfn.SINGLE(JobState)="IL","https://fema.maps.arcgis.com/apps/mapviewer/index.html?url=https%3A%2F%2Fgis1.dot.illinois.gov%2Farcgis%2Frest%2Fservices%2FAdministrativeData%2FFunctionalClass%2FMapServer%2F0&amp;find="&amp;$F17&amp;"%2C"&amp;$E17&amp;"&amp;marker="&amp;$F17&amp;","&amp;$E17&amp;",4326&amp;level=16",IF(_xlfn.SINGLE(JobState)="OH","https://fema.maps.arcgis.com/apps/mapviewer/index.html?url=https%3A%2F%2Ftims.dot.state.oh.us%2Fags%2Frest%2Fservices%2FRoadway_Information%2FFunctional_Class%2FMapServer%2F0&amp;find="&amp;$F17&amp;"%2C"&amp;$E17&amp;"&amp;marker="&amp;$F17&amp;","&amp;$E17&amp;",4326&amp;level=16","https://fema.maps.arcgis.com/apps/mapviewer/index.html?find="&amp;$F17&amp;"%2C"&amp;$E17&amp;"&amp;marker="&amp;$F17&amp;","&amp;$E17&amp;",4326&amp;level=16")))))),IF(_xlfn.SINGLE(JobState)="WI","Review Local Roads Layer","Review NFC AGOL Layer"))))</f>
        <v/>
      </c>
      <c r="N17" s="6" t="str">
        <f>IF(OR($E17="",$F17=""),"",IF(_xlfn.SINGLE(JobState)="",IF(ROW()=2,HYPERLINK("#JobState","Set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amp;"%2C"&amp;$E17&amp;"&amp;marker="&amp;$F17&amp;","&amp;$E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 s="6" t="str">
        <f>IF(OR($E17="", $F17=""),"",IF(_xlfn.SINGLE(JobAgolMap)="",HYPERLINK("https://fema.maps.arcgis.com/apps/mapviewer/index.html?find="&amp;$F17&amp;"%2C"&amp;$E17&amp;"&amp;marker="&amp;$F17&amp;","&amp;$E17&amp;",4326&amp;level=16","FEMA AGOL Map Viewer"),HYPERLINK(_xlfn.SINGLE(JobAgolMap)&amp;IF(ISNUMBER(FIND("?",_xlfn.SINGLE(JobAgolMap))),"&amp;","?")&amp;"center="&amp;$F17&amp;","&amp;$E17&amp;"&amp;level=16&amp;marker="&amp;$F17&amp;","&amp;$E17,"Open")))</f>
        <v/>
      </c>
      <c r="Q17" s="4"/>
      <c r="R17" s="4"/>
      <c r="W17" s="6" t="str">
        <f t="shared" si="0"/>
        <v/>
      </c>
      <c r="X17" s="6" t="str">
        <f t="shared" si="1"/>
        <v/>
      </c>
      <c r="Y17" s="6" t="str">
        <f t="shared" si="2"/>
        <v/>
      </c>
      <c r="Z17" s="6" t="str">
        <f t="shared" si="3"/>
        <v/>
      </c>
      <c r="AA17" s="6" t="str">
        <f t="shared" si="4"/>
        <v/>
      </c>
      <c r="AB17" s="6" t="str">
        <f t="shared" si="5"/>
        <v/>
      </c>
      <c r="AC17" s="4"/>
      <c r="AD17" s="4"/>
    </row>
    <row r="18" spans="1:30" x14ac:dyDescent="0.45">
      <c r="A18" s="3"/>
      <c r="B18" s="3"/>
      <c r="C18" s="5" t="str">
        <f>IF($E18="","",COUNT($E$2:$E18))</f>
        <v/>
      </c>
      <c r="D18" s="3"/>
      <c r="E18" s="3"/>
      <c r="F18" s="3"/>
      <c r="G18" s="3"/>
      <c r="H18" s="3"/>
      <c r="I18" s="3"/>
      <c r="J18" s="3"/>
      <c r="K18" s="3"/>
      <c r="L18" s="4"/>
      <c r="M18" s="6" t="str">
        <f>IF(OR($E18="",$F18=""),"",IF(_xlfn.SINGLE(JobState)="",IF(ROW()=2,HYPERLINK("#JobState","Set State →"),""),HYPERLINK(IF(OR(_xlfn.SINGLE(JobState)="MI",_xlfn.SINGLE(JobState)=""),"https://fema.maps.arcgis.com/apps/mapviewer/index.html?webmap=6a1702b9147243d1a5ee62cd614bc681&amp;center="&amp;$F18&amp;","&amp;$E18&amp;"&amp;level=16&amp;marker="&amp;$F18&amp;","&amp;$E18&amp;"",IF(_xlfn.SINGLE(JobState)="IN","https://fema.maps.arcgis.com/apps/mapviewer/index.html?url=https%3A%2F%2Fgis.indot.in.gov%2Fro%2Frest%2Fservices%2FRAH_GIO_Collaboration%2FLRSE_Functional_Class%2FFeatureServer%2F22&amp;find="&amp;$F18&amp;"%2C"&amp;$E18&amp;"&amp;marker="&amp;$F18&amp;","&amp;$E18&amp;",4326&amp;level=16",IF(_xlfn.SINGLE(JobState)="WI","https://fema.maps.arcgis.com/apps/mapviewer/index.html?url=https://services5.arcgis.com/0pgGLzT0Nh7FVjon/arcgis/rest/services/Functional_Class_Local_Non_Prod/FeatureServer/1&amp;find="&amp;$F18&amp;"%2C"&amp;$E18&amp;"&amp;marker="&amp;$F18&amp;","&amp;$E18&amp;",4326&amp;level=16",IF(_xlfn.SINGLE(JobState)="MN","https://fema.maps.arcgis.com/apps/mapviewer/index.html?url=https%3A%2F%2Fdotapp9.dot.state.mn.us%2Fegis12%2Frest%2Fservices%2FBASEMAP%2Fmndot_commonlayers2%2FMapServer%2F11&amp;find="&amp;$F18&amp;"%2C"&amp;$E18&amp;"&amp;marker="&amp;$F18&amp;","&amp;$E18&amp;",4326&amp;level=16",IF(_xlfn.SINGLE(JobState)="IL","https://fema.maps.arcgis.com/apps/mapviewer/index.html?url=https%3A%2F%2Fgis1.dot.illinois.gov%2Farcgis%2Frest%2Fservices%2FAdministrativeData%2FFunctionalClass%2FMapServer%2F0&amp;find="&amp;$F18&amp;"%2C"&amp;$E18&amp;"&amp;marker="&amp;$F18&amp;","&amp;$E18&amp;",4326&amp;level=16",IF(_xlfn.SINGLE(JobState)="OH","https://fema.maps.arcgis.com/apps/mapviewer/index.html?url=https%3A%2F%2Ftims.dot.state.oh.us%2Fags%2Frest%2Fservices%2FRoadway_Information%2FFunctional_Class%2FMapServer%2F0&amp;find="&amp;$F18&amp;"%2C"&amp;$E18&amp;"&amp;marker="&amp;$F18&amp;","&amp;$E18&amp;",4326&amp;level=16","https://fema.maps.arcgis.com/apps/mapviewer/index.html?find="&amp;$F18&amp;"%2C"&amp;$E18&amp;"&amp;marker="&amp;$F18&amp;","&amp;$E18&amp;",4326&amp;level=16")))))),IF(_xlfn.SINGLE(JobState)="WI","Review Local Roads Layer","Review NFC AGOL Layer"))))</f>
        <v/>
      </c>
      <c r="N18" s="6" t="str">
        <f>IF(OR($E18="",$F18=""),"",IF(_xlfn.SINGLE(JobState)="",IF(ROW()=2,HYPERLINK("#JobState","Set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amp;"%2C"&amp;$E18&amp;"&amp;marker="&amp;$F18&amp;","&amp;$E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 s="6" t="str">
        <f>IF(OR($E18="", $F18=""),"",IF(_xlfn.SINGLE(JobAgolMap)="",HYPERLINK("https://fema.maps.arcgis.com/apps/mapviewer/index.html?find="&amp;$F18&amp;"%2C"&amp;$E18&amp;"&amp;marker="&amp;$F18&amp;","&amp;$E18&amp;",4326&amp;level=16","FEMA AGOL Map Viewer"),HYPERLINK(_xlfn.SINGLE(JobAgolMap)&amp;IF(ISNUMBER(FIND("?",_xlfn.SINGLE(JobAgolMap))),"&amp;","?")&amp;"center="&amp;$F18&amp;","&amp;$E18&amp;"&amp;level=16&amp;marker="&amp;$F18&amp;","&amp;$E18,"Open")))</f>
        <v/>
      </c>
      <c r="Q18" s="4"/>
      <c r="R18" s="4"/>
      <c r="W18" s="6" t="str">
        <f t="shared" si="0"/>
        <v/>
      </c>
      <c r="X18" s="6" t="str">
        <f t="shared" si="1"/>
        <v/>
      </c>
      <c r="Y18" s="6" t="str">
        <f t="shared" si="2"/>
        <v/>
      </c>
      <c r="Z18" s="6" t="str">
        <f t="shared" si="3"/>
        <v/>
      </c>
      <c r="AA18" s="6" t="str">
        <f t="shared" si="4"/>
        <v/>
      </c>
      <c r="AB18" s="6" t="str">
        <f t="shared" si="5"/>
        <v/>
      </c>
      <c r="AC18" s="4"/>
      <c r="AD18" s="4"/>
    </row>
    <row r="19" spans="1:30" x14ac:dyDescent="0.45">
      <c r="A19" s="3"/>
      <c r="B19" s="3"/>
      <c r="C19" s="5" t="str">
        <f>IF($E19="","",COUNT($E$2:$E19))</f>
        <v/>
      </c>
      <c r="D19" s="3"/>
      <c r="E19" s="3"/>
      <c r="F19" s="3"/>
      <c r="G19" s="3"/>
      <c r="H19" s="3"/>
      <c r="I19" s="3"/>
      <c r="J19" s="3"/>
      <c r="K19" s="3"/>
      <c r="L19" s="4"/>
      <c r="M19" s="6" t="str">
        <f>IF(OR($E19="",$F19=""),"",IF(_xlfn.SINGLE(JobState)="",IF(ROW()=2,HYPERLINK("#JobState","Set State →"),""),HYPERLINK(IF(OR(_xlfn.SINGLE(JobState)="MI",_xlfn.SINGLE(JobState)=""),"https://fema.maps.arcgis.com/apps/mapviewer/index.html?webmap=6a1702b9147243d1a5ee62cd614bc681&amp;center="&amp;$F19&amp;","&amp;$E19&amp;"&amp;level=16&amp;marker="&amp;$F19&amp;","&amp;$E19&amp;"",IF(_xlfn.SINGLE(JobState)="IN","https://fema.maps.arcgis.com/apps/mapviewer/index.html?url=https%3A%2F%2Fgis.indot.in.gov%2Fro%2Frest%2Fservices%2FRAH_GIO_Collaboration%2FLRSE_Functional_Class%2FFeatureServer%2F22&amp;find="&amp;$F19&amp;"%2C"&amp;$E19&amp;"&amp;marker="&amp;$F19&amp;","&amp;$E19&amp;",4326&amp;level=16",IF(_xlfn.SINGLE(JobState)="WI","https://fema.maps.arcgis.com/apps/mapviewer/index.html?url=https://services5.arcgis.com/0pgGLzT0Nh7FVjon/arcgis/rest/services/Functional_Class_Local_Non_Prod/FeatureServer/1&amp;find="&amp;$F19&amp;"%2C"&amp;$E19&amp;"&amp;marker="&amp;$F19&amp;","&amp;$E19&amp;",4326&amp;level=16",IF(_xlfn.SINGLE(JobState)="MN","https://fema.maps.arcgis.com/apps/mapviewer/index.html?url=https%3A%2F%2Fdotapp9.dot.state.mn.us%2Fegis12%2Frest%2Fservices%2FBASEMAP%2Fmndot_commonlayers2%2FMapServer%2F11&amp;find="&amp;$F19&amp;"%2C"&amp;$E19&amp;"&amp;marker="&amp;$F19&amp;","&amp;$E19&amp;",4326&amp;level=16",IF(_xlfn.SINGLE(JobState)="IL","https://fema.maps.arcgis.com/apps/mapviewer/index.html?url=https%3A%2F%2Fgis1.dot.illinois.gov%2Farcgis%2Frest%2Fservices%2FAdministrativeData%2FFunctionalClass%2FMapServer%2F0&amp;find="&amp;$F19&amp;"%2C"&amp;$E19&amp;"&amp;marker="&amp;$F19&amp;","&amp;$E19&amp;",4326&amp;level=16",IF(_xlfn.SINGLE(JobState)="OH","https://fema.maps.arcgis.com/apps/mapviewer/index.html?url=https%3A%2F%2Ftims.dot.state.oh.us%2Fags%2Frest%2Fservices%2FRoadway_Information%2FFunctional_Class%2FMapServer%2F0&amp;find="&amp;$F19&amp;"%2C"&amp;$E19&amp;"&amp;marker="&amp;$F19&amp;","&amp;$E19&amp;",4326&amp;level=16","https://fema.maps.arcgis.com/apps/mapviewer/index.html?find="&amp;$F19&amp;"%2C"&amp;$E19&amp;"&amp;marker="&amp;$F19&amp;","&amp;$E19&amp;",4326&amp;level=16")))))),IF(_xlfn.SINGLE(JobState)="WI","Review Local Roads Layer","Review NFC AGOL Layer"))))</f>
        <v/>
      </c>
      <c r="N19" s="6" t="str">
        <f>IF(OR($E19="",$F19=""),"",IF(_xlfn.SINGLE(JobState)="",IF(ROW()=2,HYPERLINK("#JobState","Set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amp;"%2C"&amp;$E19&amp;"&amp;marker="&amp;$F19&amp;","&amp;$E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 s="6" t="str">
        <f>IF(OR($E19="", $F19=""),"",IF(_xlfn.SINGLE(JobAgolMap)="",HYPERLINK("https://fema.maps.arcgis.com/apps/mapviewer/index.html?find="&amp;$F19&amp;"%2C"&amp;$E19&amp;"&amp;marker="&amp;$F19&amp;","&amp;$E19&amp;",4326&amp;level=16","FEMA AGOL Map Viewer"),HYPERLINK(_xlfn.SINGLE(JobAgolMap)&amp;IF(ISNUMBER(FIND("?",_xlfn.SINGLE(JobAgolMap))),"&amp;","?")&amp;"center="&amp;$F19&amp;","&amp;$E19&amp;"&amp;level=16&amp;marker="&amp;$F19&amp;","&amp;$E19,"Open")))</f>
        <v/>
      </c>
      <c r="Q19" s="4"/>
      <c r="R19" s="4"/>
      <c r="W19" s="6" t="str">
        <f t="shared" si="0"/>
        <v/>
      </c>
      <c r="X19" s="6" t="str">
        <f t="shared" si="1"/>
        <v/>
      </c>
      <c r="Y19" s="6" t="str">
        <f t="shared" si="2"/>
        <v/>
      </c>
      <c r="Z19" s="6" t="str">
        <f t="shared" si="3"/>
        <v/>
      </c>
      <c r="AA19" s="6" t="str">
        <f t="shared" si="4"/>
        <v/>
      </c>
      <c r="AB19" s="6" t="str">
        <f t="shared" si="5"/>
        <v/>
      </c>
      <c r="AC19" s="4"/>
      <c r="AD19" s="4"/>
    </row>
    <row r="20" spans="1:30" x14ac:dyDescent="0.45">
      <c r="A20" s="3"/>
      <c r="B20" s="3"/>
      <c r="C20" s="5" t="str">
        <f>IF($E20="","",COUNT($E$2:$E20))</f>
        <v/>
      </c>
      <c r="D20" s="3"/>
      <c r="E20" s="3"/>
      <c r="F20" s="3"/>
      <c r="G20" s="3"/>
      <c r="H20" s="3"/>
      <c r="I20" s="3"/>
      <c r="J20" s="3"/>
      <c r="K20" s="3"/>
      <c r="L20" s="4"/>
      <c r="M20" s="6" t="str">
        <f>IF(OR($E20="",$F20=""),"",IF(_xlfn.SINGLE(JobState)="",IF(ROW()=2,HYPERLINK("#JobState","Set State →"),""),HYPERLINK(IF(OR(_xlfn.SINGLE(JobState)="MI",_xlfn.SINGLE(JobState)=""),"https://fema.maps.arcgis.com/apps/mapviewer/index.html?webmap=6a1702b9147243d1a5ee62cd614bc681&amp;center="&amp;$F20&amp;","&amp;$E20&amp;"&amp;level=16&amp;marker="&amp;$F20&amp;","&amp;$E20&amp;"",IF(_xlfn.SINGLE(JobState)="IN","https://fema.maps.arcgis.com/apps/mapviewer/index.html?url=https%3A%2F%2Fgis.indot.in.gov%2Fro%2Frest%2Fservices%2FRAH_GIO_Collaboration%2FLRSE_Functional_Class%2FFeatureServer%2F22&amp;find="&amp;$F20&amp;"%2C"&amp;$E20&amp;"&amp;marker="&amp;$F20&amp;","&amp;$E20&amp;",4326&amp;level=16",IF(_xlfn.SINGLE(JobState)="WI","https://fema.maps.arcgis.com/apps/mapviewer/index.html?url=https://services5.arcgis.com/0pgGLzT0Nh7FVjon/arcgis/rest/services/Functional_Class_Local_Non_Prod/FeatureServer/1&amp;find="&amp;$F20&amp;"%2C"&amp;$E20&amp;"&amp;marker="&amp;$F20&amp;","&amp;$E20&amp;",4326&amp;level=16",IF(_xlfn.SINGLE(JobState)="MN","https://fema.maps.arcgis.com/apps/mapviewer/index.html?url=https%3A%2F%2Fdotapp9.dot.state.mn.us%2Fegis12%2Frest%2Fservices%2FBASEMAP%2Fmndot_commonlayers2%2FMapServer%2F11&amp;find="&amp;$F20&amp;"%2C"&amp;$E20&amp;"&amp;marker="&amp;$F20&amp;","&amp;$E20&amp;",4326&amp;level=16",IF(_xlfn.SINGLE(JobState)="IL","https://fema.maps.arcgis.com/apps/mapviewer/index.html?url=https%3A%2F%2Fgis1.dot.illinois.gov%2Farcgis%2Frest%2Fservices%2FAdministrativeData%2FFunctionalClass%2FMapServer%2F0&amp;find="&amp;$F20&amp;"%2C"&amp;$E20&amp;"&amp;marker="&amp;$F20&amp;","&amp;$E20&amp;",4326&amp;level=16",IF(_xlfn.SINGLE(JobState)="OH","https://fema.maps.arcgis.com/apps/mapviewer/index.html?url=https%3A%2F%2Ftims.dot.state.oh.us%2Fags%2Frest%2Fservices%2FRoadway_Information%2FFunctional_Class%2FMapServer%2F0&amp;find="&amp;$F20&amp;"%2C"&amp;$E20&amp;"&amp;marker="&amp;$F20&amp;","&amp;$E20&amp;",4326&amp;level=16","https://fema.maps.arcgis.com/apps/mapviewer/index.html?find="&amp;$F20&amp;"%2C"&amp;$E20&amp;"&amp;marker="&amp;$F20&amp;","&amp;$E20&amp;",4326&amp;level=16")))))),IF(_xlfn.SINGLE(JobState)="WI","Review Local Roads Layer","Review NFC AGOL Layer"))))</f>
        <v/>
      </c>
      <c r="N20" s="6" t="str">
        <f>IF(OR($E20="",$F20=""),"",IF(_xlfn.SINGLE(JobState)="",IF(ROW()=2,HYPERLINK("#JobState","Set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amp;"%2C"&amp;$E20&amp;"&amp;marker="&amp;$F20&amp;","&amp;$E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 s="6" t="str">
        <f>IF(OR($E20="", $F20=""),"",IF(_xlfn.SINGLE(JobAgolMap)="",HYPERLINK("https://fema.maps.arcgis.com/apps/mapviewer/index.html?find="&amp;$F20&amp;"%2C"&amp;$E20&amp;"&amp;marker="&amp;$F20&amp;","&amp;$E20&amp;",4326&amp;level=16","FEMA AGOL Map Viewer"),HYPERLINK(_xlfn.SINGLE(JobAgolMap)&amp;IF(ISNUMBER(FIND("?",_xlfn.SINGLE(JobAgolMap))),"&amp;","?")&amp;"center="&amp;$F20&amp;","&amp;$E20&amp;"&amp;level=16&amp;marker="&amp;$F20&amp;","&amp;$E20,"Open")))</f>
        <v/>
      </c>
      <c r="Q20" s="4"/>
      <c r="R20" s="4"/>
      <c r="W20" s="6" t="str">
        <f t="shared" si="0"/>
        <v/>
      </c>
      <c r="X20" s="6" t="str">
        <f t="shared" si="1"/>
        <v/>
      </c>
      <c r="Y20" s="6" t="str">
        <f t="shared" si="2"/>
        <v/>
      </c>
      <c r="Z20" s="6" t="str">
        <f t="shared" si="3"/>
        <v/>
      </c>
      <c r="AA20" s="6" t="str">
        <f t="shared" si="4"/>
        <v/>
      </c>
      <c r="AB20" s="6" t="str">
        <f t="shared" si="5"/>
        <v/>
      </c>
      <c r="AC20" s="4"/>
      <c r="AD20" s="4"/>
    </row>
    <row r="21" spans="1:30" x14ac:dyDescent="0.45">
      <c r="A21" s="3"/>
      <c r="B21" s="3"/>
      <c r="C21" s="5" t="str">
        <f>IF($E21="","",COUNT($E$2:$E21))</f>
        <v/>
      </c>
      <c r="D21" s="3"/>
      <c r="E21" s="3"/>
      <c r="F21" s="3"/>
      <c r="G21" s="3"/>
      <c r="H21" s="3"/>
      <c r="I21" s="3"/>
      <c r="J21" s="3"/>
      <c r="K21" s="3"/>
      <c r="L21" s="4"/>
      <c r="M21" s="6" t="str">
        <f>IF(OR($E21="",$F21=""),"",IF(_xlfn.SINGLE(JobState)="",IF(ROW()=2,HYPERLINK("#JobState","Set State →"),""),HYPERLINK(IF(OR(_xlfn.SINGLE(JobState)="MI",_xlfn.SINGLE(JobState)=""),"https://fema.maps.arcgis.com/apps/mapviewer/index.html?webmap=6a1702b9147243d1a5ee62cd614bc681&amp;center="&amp;$F21&amp;","&amp;$E21&amp;"&amp;level=16&amp;marker="&amp;$F21&amp;","&amp;$E21&amp;"",IF(_xlfn.SINGLE(JobState)="IN","https://fema.maps.arcgis.com/apps/mapviewer/index.html?url=https%3A%2F%2Fgis.indot.in.gov%2Fro%2Frest%2Fservices%2FRAH_GIO_Collaboration%2FLRSE_Functional_Class%2FFeatureServer%2F22&amp;find="&amp;$F21&amp;"%2C"&amp;$E21&amp;"&amp;marker="&amp;$F21&amp;","&amp;$E21&amp;",4326&amp;level=16",IF(_xlfn.SINGLE(JobState)="WI","https://fema.maps.arcgis.com/apps/mapviewer/index.html?url=https://services5.arcgis.com/0pgGLzT0Nh7FVjon/arcgis/rest/services/Functional_Class_Local_Non_Prod/FeatureServer/1&amp;find="&amp;$F21&amp;"%2C"&amp;$E21&amp;"&amp;marker="&amp;$F21&amp;","&amp;$E21&amp;",4326&amp;level=16",IF(_xlfn.SINGLE(JobState)="MN","https://fema.maps.arcgis.com/apps/mapviewer/index.html?url=https%3A%2F%2Fdotapp9.dot.state.mn.us%2Fegis12%2Frest%2Fservices%2FBASEMAP%2Fmndot_commonlayers2%2FMapServer%2F11&amp;find="&amp;$F21&amp;"%2C"&amp;$E21&amp;"&amp;marker="&amp;$F21&amp;","&amp;$E21&amp;",4326&amp;level=16",IF(_xlfn.SINGLE(JobState)="IL","https://fema.maps.arcgis.com/apps/mapviewer/index.html?url=https%3A%2F%2Fgis1.dot.illinois.gov%2Farcgis%2Frest%2Fservices%2FAdministrativeData%2FFunctionalClass%2FMapServer%2F0&amp;find="&amp;$F21&amp;"%2C"&amp;$E21&amp;"&amp;marker="&amp;$F21&amp;","&amp;$E21&amp;",4326&amp;level=16",IF(_xlfn.SINGLE(JobState)="OH","https://fema.maps.arcgis.com/apps/mapviewer/index.html?url=https%3A%2F%2Ftims.dot.state.oh.us%2Fags%2Frest%2Fservices%2FRoadway_Information%2FFunctional_Class%2FMapServer%2F0&amp;find="&amp;$F21&amp;"%2C"&amp;$E21&amp;"&amp;marker="&amp;$F21&amp;","&amp;$E21&amp;",4326&amp;level=16","https://fema.maps.arcgis.com/apps/mapviewer/index.html?find="&amp;$F21&amp;"%2C"&amp;$E21&amp;"&amp;marker="&amp;$F21&amp;","&amp;$E21&amp;",4326&amp;level=16")))))),IF(_xlfn.SINGLE(JobState)="WI","Review Local Roads Layer","Review NFC AGOL Layer"))))</f>
        <v/>
      </c>
      <c r="N21" s="6" t="str">
        <f>IF(OR($E21="",$F21=""),"",IF(_xlfn.SINGLE(JobState)="",IF(ROW()=2,HYPERLINK("#JobState","Set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amp;"%2C"&amp;$E21&amp;"&amp;marker="&amp;$F21&amp;","&amp;$E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 s="6" t="str">
        <f>IF(OR($E21="", $F21=""),"",IF(_xlfn.SINGLE(JobAgolMap)="",HYPERLINK("https://fema.maps.arcgis.com/apps/mapviewer/index.html?find="&amp;$F21&amp;"%2C"&amp;$E21&amp;"&amp;marker="&amp;$F21&amp;","&amp;$E21&amp;",4326&amp;level=16","FEMA AGOL Map Viewer"),HYPERLINK(_xlfn.SINGLE(JobAgolMap)&amp;IF(ISNUMBER(FIND("?",_xlfn.SINGLE(JobAgolMap))),"&amp;","?")&amp;"center="&amp;$F21&amp;","&amp;$E21&amp;"&amp;level=16&amp;marker="&amp;$F21&amp;","&amp;$E21,"Open")))</f>
        <v/>
      </c>
      <c r="Q21" s="4"/>
      <c r="R21" s="4"/>
      <c r="W21" s="6" t="str">
        <f t="shared" si="0"/>
        <v/>
      </c>
      <c r="X21" s="6" t="str">
        <f t="shared" si="1"/>
        <v/>
      </c>
      <c r="Y21" s="6" t="str">
        <f t="shared" si="2"/>
        <v/>
      </c>
      <c r="Z21" s="6" t="str">
        <f t="shared" si="3"/>
        <v/>
      </c>
      <c r="AA21" s="6" t="str">
        <f t="shared" si="4"/>
        <v/>
      </c>
      <c r="AB21" s="6" t="str">
        <f t="shared" si="5"/>
        <v/>
      </c>
      <c r="AC21" s="4"/>
      <c r="AD21" s="4"/>
    </row>
    <row r="22" spans="1:30" x14ac:dyDescent="0.45">
      <c r="A22" s="3"/>
      <c r="B22" s="3"/>
      <c r="C22" s="5" t="str">
        <f>IF($E22="","",COUNT($E$2:$E22))</f>
        <v/>
      </c>
      <c r="D22" s="3"/>
      <c r="E22" s="3"/>
      <c r="F22" s="3"/>
      <c r="G22" s="3"/>
      <c r="H22" s="3"/>
      <c r="I22" s="3"/>
      <c r="J22" s="3"/>
      <c r="K22" s="3"/>
      <c r="L22" s="4"/>
      <c r="M22" s="6" t="str">
        <f>IF(OR($E22="",$F22=""),"",IF(_xlfn.SINGLE(JobState)="",IF(ROW()=2,HYPERLINK("#JobState","Set State →"),""),HYPERLINK(IF(OR(_xlfn.SINGLE(JobState)="MI",_xlfn.SINGLE(JobState)=""),"https://fema.maps.arcgis.com/apps/mapviewer/index.html?webmap=6a1702b9147243d1a5ee62cd614bc681&amp;center="&amp;$F22&amp;","&amp;$E22&amp;"&amp;level=16&amp;marker="&amp;$F22&amp;","&amp;$E22&amp;"",IF(_xlfn.SINGLE(JobState)="IN","https://fema.maps.arcgis.com/apps/mapviewer/index.html?url=https%3A%2F%2Fgis.indot.in.gov%2Fro%2Frest%2Fservices%2FRAH_GIO_Collaboration%2FLRSE_Functional_Class%2FFeatureServer%2F22&amp;find="&amp;$F22&amp;"%2C"&amp;$E22&amp;"&amp;marker="&amp;$F22&amp;","&amp;$E22&amp;",4326&amp;level=16",IF(_xlfn.SINGLE(JobState)="WI","https://fema.maps.arcgis.com/apps/mapviewer/index.html?url=https://services5.arcgis.com/0pgGLzT0Nh7FVjon/arcgis/rest/services/Functional_Class_Local_Non_Prod/FeatureServer/1&amp;find="&amp;$F22&amp;"%2C"&amp;$E22&amp;"&amp;marker="&amp;$F22&amp;","&amp;$E22&amp;",4326&amp;level=16",IF(_xlfn.SINGLE(JobState)="MN","https://fema.maps.arcgis.com/apps/mapviewer/index.html?url=https%3A%2F%2Fdotapp9.dot.state.mn.us%2Fegis12%2Frest%2Fservices%2FBASEMAP%2Fmndot_commonlayers2%2FMapServer%2F11&amp;find="&amp;$F22&amp;"%2C"&amp;$E22&amp;"&amp;marker="&amp;$F22&amp;","&amp;$E22&amp;",4326&amp;level=16",IF(_xlfn.SINGLE(JobState)="IL","https://fema.maps.arcgis.com/apps/mapviewer/index.html?url=https%3A%2F%2Fgis1.dot.illinois.gov%2Farcgis%2Frest%2Fservices%2FAdministrativeData%2FFunctionalClass%2FMapServer%2F0&amp;find="&amp;$F22&amp;"%2C"&amp;$E22&amp;"&amp;marker="&amp;$F22&amp;","&amp;$E22&amp;",4326&amp;level=16",IF(_xlfn.SINGLE(JobState)="OH","https://fema.maps.arcgis.com/apps/mapviewer/index.html?url=https%3A%2F%2Ftims.dot.state.oh.us%2Fags%2Frest%2Fservices%2FRoadway_Information%2FFunctional_Class%2FMapServer%2F0&amp;find="&amp;$F22&amp;"%2C"&amp;$E22&amp;"&amp;marker="&amp;$F22&amp;","&amp;$E22&amp;",4326&amp;level=16","https://fema.maps.arcgis.com/apps/mapviewer/index.html?find="&amp;$F22&amp;"%2C"&amp;$E22&amp;"&amp;marker="&amp;$F22&amp;","&amp;$E22&amp;",4326&amp;level=16")))))),IF(_xlfn.SINGLE(JobState)="WI","Review Local Roads Layer","Review NFC AGOL Layer"))))</f>
        <v/>
      </c>
      <c r="N22" s="6" t="str">
        <f>IF(OR($E22="",$F22=""),"",IF(_xlfn.SINGLE(JobState)="",IF(ROW()=2,HYPERLINK("#JobState","Set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amp;"%2C"&amp;$E22&amp;"&amp;marker="&amp;$F22&amp;","&amp;$E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 s="6" t="str">
        <f>IF(OR($E22="", $F22=""),"",IF(_xlfn.SINGLE(JobAgolMap)="",HYPERLINK("https://fema.maps.arcgis.com/apps/mapviewer/index.html?find="&amp;$F22&amp;"%2C"&amp;$E22&amp;"&amp;marker="&amp;$F22&amp;","&amp;$E22&amp;",4326&amp;level=16","FEMA AGOL Map Viewer"),HYPERLINK(_xlfn.SINGLE(JobAgolMap)&amp;IF(ISNUMBER(FIND("?",_xlfn.SINGLE(JobAgolMap))),"&amp;","?")&amp;"center="&amp;$F22&amp;","&amp;$E22&amp;"&amp;level=16&amp;marker="&amp;$F22&amp;","&amp;$E22,"Open")))</f>
        <v/>
      </c>
      <c r="Q22" s="4"/>
      <c r="R22" s="4"/>
      <c r="W22" s="6" t="str">
        <f t="shared" si="0"/>
        <v/>
      </c>
      <c r="X22" s="6" t="str">
        <f t="shared" si="1"/>
        <v/>
      </c>
      <c r="Y22" s="6" t="str">
        <f t="shared" si="2"/>
        <v/>
      </c>
      <c r="Z22" s="6" t="str">
        <f t="shared" si="3"/>
        <v/>
      </c>
      <c r="AA22" s="6" t="str">
        <f t="shared" si="4"/>
        <v/>
      </c>
      <c r="AB22" s="6" t="str">
        <f t="shared" si="5"/>
        <v/>
      </c>
      <c r="AC22" s="4"/>
      <c r="AD22" s="4"/>
    </row>
    <row r="23" spans="1:30" x14ac:dyDescent="0.45">
      <c r="A23" s="3"/>
      <c r="B23" s="3"/>
      <c r="C23" s="5" t="str">
        <f>IF($E23="","",COUNT($E$2:$E23))</f>
        <v/>
      </c>
      <c r="D23" s="3"/>
      <c r="E23" s="3"/>
      <c r="F23" s="3"/>
      <c r="G23" s="3"/>
      <c r="H23" s="3"/>
      <c r="I23" s="3"/>
      <c r="J23" s="3"/>
      <c r="K23" s="3"/>
      <c r="L23" s="4"/>
      <c r="M23" s="6" t="str">
        <f>IF(OR($E23="",$F23=""),"",IF(_xlfn.SINGLE(JobState)="",IF(ROW()=2,HYPERLINK("#JobState","Set State →"),""),HYPERLINK(IF(OR(_xlfn.SINGLE(JobState)="MI",_xlfn.SINGLE(JobState)=""),"https://fema.maps.arcgis.com/apps/mapviewer/index.html?webmap=6a1702b9147243d1a5ee62cd614bc681&amp;center="&amp;$F23&amp;","&amp;$E23&amp;"&amp;level=16&amp;marker="&amp;$F23&amp;","&amp;$E23&amp;"",IF(_xlfn.SINGLE(JobState)="IN","https://fema.maps.arcgis.com/apps/mapviewer/index.html?url=https%3A%2F%2Fgis.indot.in.gov%2Fro%2Frest%2Fservices%2FRAH_GIO_Collaboration%2FLRSE_Functional_Class%2FFeatureServer%2F22&amp;find="&amp;$F23&amp;"%2C"&amp;$E23&amp;"&amp;marker="&amp;$F23&amp;","&amp;$E23&amp;",4326&amp;level=16",IF(_xlfn.SINGLE(JobState)="WI","https://fema.maps.arcgis.com/apps/mapviewer/index.html?url=https://services5.arcgis.com/0pgGLzT0Nh7FVjon/arcgis/rest/services/Functional_Class_Local_Non_Prod/FeatureServer/1&amp;find="&amp;$F23&amp;"%2C"&amp;$E23&amp;"&amp;marker="&amp;$F23&amp;","&amp;$E23&amp;",4326&amp;level=16",IF(_xlfn.SINGLE(JobState)="MN","https://fema.maps.arcgis.com/apps/mapviewer/index.html?url=https%3A%2F%2Fdotapp9.dot.state.mn.us%2Fegis12%2Frest%2Fservices%2FBASEMAP%2Fmndot_commonlayers2%2FMapServer%2F11&amp;find="&amp;$F23&amp;"%2C"&amp;$E23&amp;"&amp;marker="&amp;$F23&amp;","&amp;$E23&amp;",4326&amp;level=16",IF(_xlfn.SINGLE(JobState)="IL","https://fema.maps.arcgis.com/apps/mapviewer/index.html?url=https%3A%2F%2Fgis1.dot.illinois.gov%2Farcgis%2Frest%2Fservices%2FAdministrativeData%2FFunctionalClass%2FMapServer%2F0&amp;find="&amp;$F23&amp;"%2C"&amp;$E23&amp;"&amp;marker="&amp;$F23&amp;","&amp;$E23&amp;",4326&amp;level=16",IF(_xlfn.SINGLE(JobState)="OH","https://fema.maps.arcgis.com/apps/mapviewer/index.html?url=https%3A%2F%2Ftims.dot.state.oh.us%2Fags%2Frest%2Fservices%2FRoadway_Information%2FFunctional_Class%2FMapServer%2F0&amp;find="&amp;$F23&amp;"%2C"&amp;$E23&amp;"&amp;marker="&amp;$F23&amp;","&amp;$E23&amp;",4326&amp;level=16","https://fema.maps.arcgis.com/apps/mapviewer/index.html?find="&amp;$F23&amp;"%2C"&amp;$E23&amp;"&amp;marker="&amp;$F23&amp;","&amp;$E23&amp;",4326&amp;level=16")))))),IF(_xlfn.SINGLE(JobState)="WI","Review Local Roads Layer","Review NFC AGOL Layer"))))</f>
        <v/>
      </c>
      <c r="N23" s="6" t="str">
        <f>IF(OR($E23="",$F23=""),"",IF(_xlfn.SINGLE(JobState)="",IF(ROW()=2,HYPERLINK("#JobState","Set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amp;"%2C"&amp;$E23&amp;"&amp;marker="&amp;$F23&amp;","&amp;$E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 s="6" t="str">
        <f>IF(OR($E23="", $F23=""),"",IF(_xlfn.SINGLE(JobAgolMap)="",HYPERLINK("https://fema.maps.arcgis.com/apps/mapviewer/index.html?find="&amp;$F23&amp;"%2C"&amp;$E23&amp;"&amp;marker="&amp;$F23&amp;","&amp;$E23&amp;",4326&amp;level=16","FEMA AGOL Map Viewer"),HYPERLINK(_xlfn.SINGLE(JobAgolMap)&amp;IF(ISNUMBER(FIND("?",_xlfn.SINGLE(JobAgolMap))),"&amp;","?")&amp;"center="&amp;$F23&amp;","&amp;$E23&amp;"&amp;level=16&amp;marker="&amp;$F23&amp;","&amp;$E23,"Open")))</f>
        <v/>
      </c>
      <c r="Q23" s="4"/>
      <c r="R23" s="4"/>
      <c r="W23" s="6" t="str">
        <f t="shared" si="0"/>
        <v/>
      </c>
      <c r="X23" s="6" t="str">
        <f t="shared" si="1"/>
        <v/>
      </c>
      <c r="Y23" s="6" t="str">
        <f t="shared" si="2"/>
        <v/>
      </c>
      <c r="Z23" s="6" t="str">
        <f t="shared" si="3"/>
        <v/>
      </c>
      <c r="AA23" s="6" t="str">
        <f t="shared" si="4"/>
        <v/>
      </c>
      <c r="AB23" s="6" t="str">
        <f t="shared" si="5"/>
        <v/>
      </c>
      <c r="AC23" s="4"/>
      <c r="AD23" s="4"/>
    </row>
    <row r="24" spans="1:30" x14ac:dyDescent="0.45">
      <c r="A24" s="3"/>
      <c r="B24" s="3"/>
      <c r="C24" s="5" t="str">
        <f>IF($E24="","",COUNT($E$2:$E24))</f>
        <v/>
      </c>
      <c r="D24" s="3"/>
      <c r="E24" s="3"/>
      <c r="F24" s="3"/>
      <c r="G24" s="3"/>
      <c r="H24" s="3"/>
      <c r="I24" s="3"/>
      <c r="J24" s="3"/>
      <c r="K24" s="3"/>
      <c r="L24" s="4"/>
      <c r="M24" s="6" t="str">
        <f>IF(OR($E24="",$F24=""),"",IF(_xlfn.SINGLE(JobState)="",IF(ROW()=2,HYPERLINK("#JobState","Set State →"),""),HYPERLINK(IF(OR(_xlfn.SINGLE(JobState)="MI",_xlfn.SINGLE(JobState)=""),"https://fema.maps.arcgis.com/apps/mapviewer/index.html?webmap=6a1702b9147243d1a5ee62cd614bc681&amp;center="&amp;$F24&amp;","&amp;$E24&amp;"&amp;level=16&amp;marker="&amp;$F24&amp;","&amp;$E24&amp;"",IF(_xlfn.SINGLE(JobState)="IN","https://fema.maps.arcgis.com/apps/mapviewer/index.html?url=https%3A%2F%2Fgis.indot.in.gov%2Fro%2Frest%2Fservices%2FRAH_GIO_Collaboration%2FLRSE_Functional_Class%2FFeatureServer%2F22&amp;find="&amp;$F24&amp;"%2C"&amp;$E24&amp;"&amp;marker="&amp;$F24&amp;","&amp;$E24&amp;",4326&amp;level=16",IF(_xlfn.SINGLE(JobState)="WI","https://fema.maps.arcgis.com/apps/mapviewer/index.html?url=https://services5.arcgis.com/0pgGLzT0Nh7FVjon/arcgis/rest/services/Functional_Class_Local_Non_Prod/FeatureServer/1&amp;find="&amp;$F24&amp;"%2C"&amp;$E24&amp;"&amp;marker="&amp;$F24&amp;","&amp;$E24&amp;",4326&amp;level=16",IF(_xlfn.SINGLE(JobState)="MN","https://fema.maps.arcgis.com/apps/mapviewer/index.html?url=https%3A%2F%2Fdotapp9.dot.state.mn.us%2Fegis12%2Frest%2Fservices%2FBASEMAP%2Fmndot_commonlayers2%2FMapServer%2F11&amp;find="&amp;$F24&amp;"%2C"&amp;$E24&amp;"&amp;marker="&amp;$F24&amp;","&amp;$E24&amp;",4326&amp;level=16",IF(_xlfn.SINGLE(JobState)="IL","https://fema.maps.arcgis.com/apps/mapviewer/index.html?url=https%3A%2F%2Fgis1.dot.illinois.gov%2Farcgis%2Frest%2Fservices%2FAdministrativeData%2FFunctionalClass%2FMapServer%2F0&amp;find="&amp;$F24&amp;"%2C"&amp;$E24&amp;"&amp;marker="&amp;$F24&amp;","&amp;$E24&amp;",4326&amp;level=16",IF(_xlfn.SINGLE(JobState)="OH","https://fema.maps.arcgis.com/apps/mapviewer/index.html?url=https%3A%2F%2Ftims.dot.state.oh.us%2Fags%2Frest%2Fservices%2FRoadway_Information%2FFunctional_Class%2FMapServer%2F0&amp;find="&amp;$F24&amp;"%2C"&amp;$E24&amp;"&amp;marker="&amp;$F24&amp;","&amp;$E24&amp;",4326&amp;level=16","https://fema.maps.arcgis.com/apps/mapviewer/index.html?find="&amp;$F24&amp;"%2C"&amp;$E24&amp;"&amp;marker="&amp;$F24&amp;","&amp;$E24&amp;",4326&amp;level=16")))))),IF(_xlfn.SINGLE(JobState)="WI","Review Local Roads Layer","Review NFC AGOL Layer"))))</f>
        <v/>
      </c>
      <c r="N24" s="6" t="str">
        <f>IF(OR($E24="",$F24=""),"",IF(_xlfn.SINGLE(JobState)="",IF(ROW()=2,HYPERLINK("#JobState","Set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amp;"%2C"&amp;$E24&amp;"&amp;marker="&amp;$F24&amp;","&amp;$E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 s="6" t="str">
        <f>IF(OR($E24="", $F24=""),"",IF(_xlfn.SINGLE(JobAgolMap)="",HYPERLINK("https://fema.maps.arcgis.com/apps/mapviewer/index.html?find="&amp;$F24&amp;"%2C"&amp;$E24&amp;"&amp;marker="&amp;$F24&amp;","&amp;$E24&amp;",4326&amp;level=16","FEMA AGOL Map Viewer"),HYPERLINK(_xlfn.SINGLE(JobAgolMap)&amp;IF(ISNUMBER(FIND("?",_xlfn.SINGLE(JobAgolMap))),"&amp;","?")&amp;"center="&amp;$F24&amp;","&amp;$E24&amp;"&amp;level=16&amp;marker="&amp;$F24&amp;","&amp;$E24,"Open")))</f>
        <v/>
      </c>
      <c r="Q24" s="4"/>
      <c r="R24" s="4"/>
      <c r="W24" s="6" t="str">
        <f t="shared" si="0"/>
        <v/>
      </c>
      <c r="X24" s="6" t="str">
        <f t="shared" si="1"/>
        <v/>
      </c>
      <c r="Y24" s="6" t="str">
        <f t="shared" si="2"/>
        <v/>
      </c>
      <c r="Z24" s="6" t="str">
        <f t="shared" si="3"/>
        <v/>
      </c>
      <c r="AA24" s="6" t="str">
        <f t="shared" si="4"/>
        <v/>
      </c>
      <c r="AB24" s="6" t="str">
        <f t="shared" si="5"/>
        <v/>
      </c>
      <c r="AC24" s="4"/>
      <c r="AD24" s="4"/>
    </row>
    <row r="25" spans="1:30" x14ac:dyDescent="0.45">
      <c r="A25" s="3"/>
      <c r="B25" s="3"/>
      <c r="C25" s="5" t="str">
        <f>IF($E25="","",COUNT($E$2:$E25))</f>
        <v/>
      </c>
      <c r="D25" s="3"/>
      <c r="E25" s="3"/>
      <c r="F25" s="3"/>
      <c r="G25" s="3"/>
      <c r="H25" s="3"/>
      <c r="I25" s="3"/>
      <c r="J25" s="3"/>
      <c r="K25" s="3"/>
      <c r="L25" s="4"/>
      <c r="M25" s="6" t="str">
        <f>IF(OR($E25="",$F25=""),"",IF(_xlfn.SINGLE(JobState)="",IF(ROW()=2,HYPERLINK("#JobState","Set State →"),""),HYPERLINK(IF(OR(_xlfn.SINGLE(JobState)="MI",_xlfn.SINGLE(JobState)=""),"https://fema.maps.arcgis.com/apps/mapviewer/index.html?webmap=6a1702b9147243d1a5ee62cd614bc681&amp;center="&amp;$F25&amp;","&amp;$E25&amp;"&amp;level=16&amp;marker="&amp;$F25&amp;","&amp;$E25&amp;"",IF(_xlfn.SINGLE(JobState)="IN","https://fema.maps.arcgis.com/apps/mapviewer/index.html?url=https%3A%2F%2Fgis.indot.in.gov%2Fro%2Frest%2Fservices%2FRAH_GIO_Collaboration%2FLRSE_Functional_Class%2FFeatureServer%2F22&amp;find="&amp;$F25&amp;"%2C"&amp;$E25&amp;"&amp;marker="&amp;$F25&amp;","&amp;$E25&amp;",4326&amp;level=16",IF(_xlfn.SINGLE(JobState)="WI","https://fema.maps.arcgis.com/apps/mapviewer/index.html?url=https://services5.arcgis.com/0pgGLzT0Nh7FVjon/arcgis/rest/services/Functional_Class_Local_Non_Prod/FeatureServer/1&amp;find="&amp;$F25&amp;"%2C"&amp;$E25&amp;"&amp;marker="&amp;$F25&amp;","&amp;$E25&amp;",4326&amp;level=16",IF(_xlfn.SINGLE(JobState)="MN","https://fema.maps.arcgis.com/apps/mapviewer/index.html?url=https%3A%2F%2Fdotapp9.dot.state.mn.us%2Fegis12%2Frest%2Fservices%2FBASEMAP%2Fmndot_commonlayers2%2FMapServer%2F11&amp;find="&amp;$F25&amp;"%2C"&amp;$E25&amp;"&amp;marker="&amp;$F25&amp;","&amp;$E25&amp;",4326&amp;level=16",IF(_xlfn.SINGLE(JobState)="IL","https://fema.maps.arcgis.com/apps/mapviewer/index.html?url=https%3A%2F%2Fgis1.dot.illinois.gov%2Farcgis%2Frest%2Fservices%2FAdministrativeData%2FFunctionalClass%2FMapServer%2F0&amp;find="&amp;$F25&amp;"%2C"&amp;$E25&amp;"&amp;marker="&amp;$F25&amp;","&amp;$E25&amp;",4326&amp;level=16",IF(_xlfn.SINGLE(JobState)="OH","https://fema.maps.arcgis.com/apps/mapviewer/index.html?url=https%3A%2F%2Ftims.dot.state.oh.us%2Fags%2Frest%2Fservices%2FRoadway_Information%2FFunctional_Class%2FMapServer%2F0&amp;find="&amp;$F25&amp;"%2C"&amp;$E25&amp;"&amp;marker="&amp;$F25&amp;","&amp;$E25&amp;",4326&amp;level=16","https://fema.maps.arcgis.com/apps/mapviewer/index.html?find="&amp;$F25&amp;"%2C"&amp;$E25&amp;"&amp;marker="&amp;$F25&amp;","&amp;$E25&amp;",4326&amp;level=16")))))),IF(_xlfn.SINGLE(JobState)="WI","Review Local Roads Layer","Review NFC AGOL Layer"))))</f>
        <v/>
      </c>
      <c r="N25" s="6" t="str">
        <f>IF(OR($E25="",$F25=""),"",IF(_xlfn.SINGLE(JobState)="",IF(ROW()=2,HYPERLINK("#JobState","Set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amp;"%2C"&amp;$E25&amp;"&amp;marker="&amp;$F25&amp;","&amp;$E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 s="6" t="str">
        <f>IF(OR($E25="", $F25=""),"",IF(_xlfn.SINGLE(JobAgolMap)="",HYPERLINK("https://fema.maps.arcgis.com/apps/mapviewer/index.html?find="&amp;$F25&amp;"%2C"&amp;$E25&amp;"&amp;marker="&amp;$F25&amp;","&amp;$E25&amp;",4326&amp;level=16","FEMA AGOL Map Viewer"),HYPERLINK(_xlfn.SINGLE(JobAgolMap)&amp;IF(ISNUMBER(FIND("?",_xlfn.SINGLE(JobAgolMap))),"&amp;","?")&amp;"center="&amp;$F25&amp;","&amp;$E25&amp;"&amp;level=16&amp;marker="&amp;$F25&amp;","&amp;$E25,"Open")))</f>
        <v/>
      </c>
      <c r="Q25" s="4"/>
      <c r="R25" s="4"/>
      <c r="W25" s="6" t="str">
        <f t="shared" si="0"/>
        <v/>
      </c>
      <c r="X25" s="6" t="str">
        <f t="shared" si="1"/>
        <v/>
      </c>
      <c r="Y25" s="6" t="str">
        <f t="shared" si="2"/>
        <v/>
      </c>
      <c r="Z25" s="6" t="str">
        <f t="shared" si="3"/>
        <v/>
      </c>
      <c r="AA25" s="6" t="str">
        <f t="shared" si="4"/>
        <v/>
      </c>
      <c r="AB25" s="6" t="str">
        <f t="shared" si="5"/>
        <v/>
      </c>
      <c r="AC25" s="4"/>
      <c r="AD25" s="4"/>
    </row>
    <row r="26" spans="1:30" x14ac:dyDescent="0.45">
      <c r="A26" s="3"/>
      <c r="B26" s="3"/>
      <c r="C26" s="5" t="str">
        <f>IF($E26="","",COUNT($E$2:$E26))</f>
        <v/>
      </c>
      <c r="D26" s="3"/>
      <c r="E26" s="3"/>
      <c r="F26" s="3"/>
      <c r="G26" s="3"/>
      <c r="H26" s="3"/>
      <c r="I26" s="3"/>
      <c r="J26" s="3"/>
      <c r="K26" s="3"/>
      <c r="L26" s="4"/>
      <c r="M26" s="6" t="str">
        <f>IF(OR($E26="",$F26=""),"",IF(_xlfn.SINGLE(JobState)="",IF(ROW()=2,HYPERLINK("#JobState","Set State →"),""),HYPERLINK(IF(OR(_xlfn.SINGLE(JobState)="MI",_xlfn.SINGLE(JobState)=""),"https://fema.maps.arcgis.com/apps/mapviewer/index.html?webmap=6a1702b9147243d1a5ee62cd614bc681&amp;center="&amp;$F26&amp;","&amp;$E26&amp;"&amp;level=16&amp;marker="&amp;$F26&amp;","&amp;$E26&amp;"",IF(_xlfn.SINGLE(JobState)="IN","https://fema.maps.arcgis.com/apps/mapviewer/index.html?url=https%3A%2F%2Fgis.indot.in.gov%2Fro%2Frest%2Fservices%2FRAH_GIO_Collaboration%2FLRSE_Functional_Class%2FFeatureServer%2F22&amp;find="&amp;$F26&amp;"%2C"&amp;$E26&amp;"&amp;marker="&amp;$F26&amp;","&amp;$E26&amp;",4326&amp;level=16",IF(_xlfn.SINGLE(JobState)="WI","https://fema.maps.arcgis.com/apps/mapviewer/index.html?url=https://services5.arcgis.com/0pgGLzT0Nh7FVjon/arcgis/rest/services/Functional_Class_Local_Non_Prod/FeatureServer/1&amp;find="&amp;$F26&amp;"%2C"&amp;$E26&amp;"&amp;marker="&amp;$F26&amp;","&amp;$E26&amp;",4326&amp;level=16",IF(_xlfn.SINGLE(JobState)="MN","https://fema.maps.arcgis.com/apps/mapviewer/index.html?url=https%3A%2F%2Fdotapp9.dot.state.mn.us%2Fegis12%2Frest%2Fservices%2FBASEMAP%2Fmndot_commonlayers2%2FMapServer%2F11&amp;find="&amp;$F26&amp;"%2C"&amp;$E26&amp;"&amp;marker="&amp;$F26&amp;","&amp;$E26&amp;",4326&amp;level=16",IF(_xlfn.SINGLE(JobState)="IL","https://fema.maps.arcgis.com/apps/mapviewer/index.html?url=https%3A%2F%2Fgis1.dot.illinois.gov%2Farcgis%2Frest%2Fservices%2FAdministrativeData%2FFunctionalClass%2FMapServer%2F0&amp;find="&amp;$F26&amp;"%2C"&amp;$E26&amp;"&amp;marker="&amp;$F26&amp;","&amp;$E26&amp;",4326&amp;level=16",IF(_xlfn.SINGLE(JobState)="OH","https://fema.maps.arcgis.com/apps/mapviewer/index.html?url=https%3A%2F%2Ftims.dot.state.oh.us%2Fags%2Frest%2Fservices%2FRoadway_Information%2FFunctional_Class%2FMapServer%2F0&amp;find="&amp;$F26&amp;"%2C"&amp;$E26&amp;"&amp;marker="&amp;$F26&amp;","&amp;$E26&amp;",4326&amp;level=16","https://fema.maps.arcgis.com/apps/mapviewer/index.html?find="&amp;$F26&amp;"%2C"&amp;$E26&amp;"&amp;marker="&amp;$F26&amp;","&amp;$E26&amp;",4326&amp;level=16")))))),IF(_xlfn.SINGLE(JobState)="WI","Review Local Roads Layer","Review NFC AGOL Layer"))))</f>
        <v/>
      </c>
      <c r="N26" s="6" t="str">
        <f>IF(OR($E26="",$F26=""),"",IF(_xlfn.SINGLE(JobState)="",IF(ROW()=2,HYPERLINK("#JobState","Set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amp;"%2C"&amp;$E26&amp;"&amp;marker="&amp;$F26&amp;","&amp;$E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 s="6" t="str">
        <f>IF(OR($E26="", $F26=""),"",IF(_xlfn.SINGLE(JobAgolMap)="",HYPERLINK("https://fema.maps.arcgis.com/apps/mapviewer/index.html?find="&amp;$F26&amp;"%2C"&amp;$E26&amp;"&amp;marker="&amp;$F26&amp;","&amp;$E26&amp;",4326&amp;level=16","FEMA AGOL Map Viewer"),HYPERLINK(_xlfn.SINGLE(JobAgolMap)&amp;IF(ISNUMBER(FIND("?",_xlfn.SINGLE(JobAgolMap))),"&amp;","?")&amp;"center="&amp;$F26&amp;","&amp;$E26&amp;"&amp;level=16&amp;marker="&amp;$F26&amp;","&amp;$E26,"Open")))</f>
        <v/>
      </c>
      <c r="Q26" s="4"/>
      <c r="R26" s="4"/>
      <c r="W26" s="6" t="str">
        <f t="shared" si="0"/>
        <v/>
      </c>
      <c r="X26" s="6" t="str">
        <f t="shared" si="1"/>
        <v/>
      </c>
      <c r="Y26" s="6" t="str">
        <f t="shared" si="2"/>
        <v/>
      </c>
      <c r="Z26" s="6" t="str">
        <f t="shared" si="3"/>
        <v/>
      </c>
      <c r="AA26" s="6" t="str">
        <f t="shared" si="4"/>
        <v/>
      </c>
      <c r="AB26" s="6" t="str">
        <f t="shared" si="5"/>
        <v/>
      </c>
      <c r="AC26" s="4"/>
      <c r="AD26" s="4"/>
    </row>
    <row r="27" spans="1:30" x14ac:dyDescent="0.45">
      <c r="A27" s="3"/>
      <c r="B27" s="3"/>
      <c r="C27" s="5" t="str">
        <f>IF($E27="","",COUNT($E$2:$E27))</f>
        <v/>
      </c>
      <c r="D27" s="3"/>
      <c r="E27" s="3"/>
      <c r="F27" s="3"/>
      <c r="G27" s="3"/>
      <c r="H27" s="3"/>
      <c r="I27" s="3"/>
      <c r="J27" s="3"/>
      <c r="K27" s="3"/>
      <c r="L27" s="4"/>
      <c r="M27" s="6" t="str">
        <f>IF(OR($E27="",$F27=""),"",IF(_xlfn.SINGLE(JobState)="",IF(ROW()=2,HYPERLINK("#JobState","Set State →"),""),HYPERLINK(IF(OR(_xlfn.SINGLE(JobState)="MI",_xlfn.SINGLE(JobState)=""),"https://fema.maps.arcgis.com/apps/mapviewer/index.html?webmap=6a1702b9147243d1a5ee62cd614bc681&amp;center="&amp;$F27&amp;","&amp;$E27&amp;"&amp;level=16&amp;marker="&amp;$F27&amp;","&amp;$E27&amp;"",IF(_xlfn.SINGLE(JobState)="IN","https://fema.maps.arcgis.com/apps/mapviewer/index.html?url=https%3A%2F%2Fgis.indot.in.gov%2Fro%2Frest%2Fservices%2FRAH_GIO_Collaboration%2FLRSE_Functional_Class%2FFeatureServer%2F22&amp;find="&amp;$F27&amp;"%2C"&amp;$E27&amp;"&amp;marker="&amp;$F27&amp;","&amp;$E27&amp;",4326&amp;level=16",IF(_xlfn.SINGLE(JobState)="WI","https://fema.maps.arcgis.com/apps/mapviewer/index.html?url=https://services5.arcgis.com/0pgGLzT0Nh7FVjon/arcgis/rest/services/Functional_Class_Local_Non_Prod/FeatureServer/1&amp;find="&amp;$F27&amp;"%2C"&amp;$E27&amp;"&amp;marker="&amp;$F27&amp;","&amp;$E27&amp;",4326&amp;level=16",IF(_xlfn.SINGLE(JobState)="MN","https://fema.maps.arcgis.com/apps/mapviewer/index.html?url=https%3A%2F%2Fdotapp9.dot.state.mn.us%2Fegis12%2Frest%2Fservices%2FBASEMAP%2Fmndot_commonlayers2%2FMapServer%2F11&amp;find="&amp;$F27&amp;"%2C"&amp;$E27&amp;"&amp;marker="&amp;$F27&amp;","&amp;$E27&amp;",4326&amp;level=16",IF(_xlfn.SINGLE(JobState)="IL","https://fema.maps.arcgis.com/apps/mapviewer/index.html?url=https%3A%2F%2Fgis1.dot.illinois.gov%2Farcgis%2Frest%2Fservices%2FAdministrativeData%2FFunctionalClass%2FMapServer%2F0&amp;find="&amp;$F27&amp;"%2C"&amp;$E27&amp;"&amp;marker="&amp;$F27&amp;","&amp;$E27&amp;",4326&amp;level=16",IF(_xlfn.SINGLE(JobState)="OH","https://fema.maps.arcgis.com/apps/mapviewer/index.html?url=https%3A%2F%2Ftims.dot.state.oh.us%2Fags%2Frest%2Fservices%2FRoadway_Information%2FFunctional_Class%2FMapServer%2F0&amp;find="&amp;$F27&amp;"%2C"&amp;$E27&amp;"&amp;marker="&amp;$F27&amp;","&amp;$E27&amp;",4326&amp;level=16","https://fema.maps.arcgis.com/apps/mapviewer/index.html?find="&amp;$F27&amp;"%2C"&amp;$E27&amp;"&amp;marker="&amp;$F27&amp;","&amp;$E27&amp;",4326&amp;level=16")))))),IF(_xlfn.SINGLE(JobState)="WI","Review Local Roads Layer","Review NFC AGOL Layer"))))</f>
        <v/>
      </c>
      <c r="N27" s="6" t="str">
        <f>IF(OR($E27="",$F27=""),"",IF(_xlfn.SINGLE(JobState)="",IF(ROW()=2,HYPERLINK("#JobState","Set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amp;"%2C"&amp;$E27&amp;"&amp;marker="&amp;$F27&amp;","&amp;$E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 s="6" t="str">
        <f>IF(OR($E27="", $F27=""),"",IF(_xlfn.SINGLE(JobAgolMap)="",HYPERLINK("https://fema.maps.arcgis.com/apps/mapviewer/index.html?find="&amp;$F27&amp;"%2C"&amp;$E27&amp;"&amp;marker="&amp;$F27&amp;","&amp;$E27&amp;",4326&amp;level=16","FEMA AGOL Map Viewer"),HYPERLINK(_xlfn.SINGLE(JobAgolMap)&amp;IF(ISNUMBER(FIND("?",_xlfn.SINGLE(JobAgolMap))),"&amp;","?")&amp;"center="&amp;$F27&amp;","&amp;$E27&amp;"&amp;level=16&amp;marker="&amp;$F27&amp;","&amp;$E27,"Open")))</f>
        <v/>
      </c>
      <c r="Q27" s="4"/>
      <c r="R27" s="4"/>
      <c r="W27" s="6" t="str">
        <f t="shared" si="0"/>
        <v/>
      </c>
      <c r="X27" s="6" t="str">
        <f t="shared" si="1"/>
        <v/>
      </c>
      <c r="Y27" s="6" t="str">
        <f t="shared" si="2"/>
        <v/>
      </c>
      <c r="Z27" s="6" t="str">
        <f t="shared" si="3"/>
        <v/>
      </c>
      <c r="AA27" s="6" t="str">
        <f t="shared" si="4"/>
        <v/>
      </c>
      <c r="AB27" s="6" t="str">
        <f t="shared" si="5"/>
        <v/>
      </c>
      <c r="AC27" s="4"/>
      <c r="AD27" s="4"/>
    </row>
    <row r="28" spans="1:30" x14ac:dyDescent="0.45">
      <c r="A28" s="3"/>
      <c r="B28" s="3"/>
      <c r="C28" s="5" t="str">
        <f>IF($E28="","",COUNT($E$2:$E28))</f>
        <v/>
      </c>
      <c r="D28" s="3"/>
      <c r="E28" s="3"/>
      <c r="F28" s="3"/>
      <c r="G28" s="3"/>
      <c r="H28" s="3"/>
      <c r="I28" s="3"/>
      <c r="J28" s="3"/>
      <c r="K28" s="3"/>
      <c r="L28" s="4"/>
      <c r="M28" s="6" t="str">
        <f>IF(OR($E28="",$F28=""),"",IF(_xlfn.SINGLE(JobState)="",IF(ROW()=2,HYPERLINK("#JobState","Set State →"),""),HYPERLINK(IF(OR(_xlfn.SINGLE(JobState)="MI",_xlfn.SINGLE(JobState)=""),"https://fema.maps.arcgis.com/apps/mapviewer/index.html?webmap=6a1702b9147243d1a5ee62cd614bc681&amp;center="&amp;$F28&amp;","&amp;$E28&amp;"&amp;level=16&amp;marker="&amp;$F28&amp;","&amp;$E28&amp;"",IF(_xlfn.SINGLE(JobState)="IN","https://fema.maps.arcgis.com/apps/mapviewer/index.html?url=https%3A%2F%2Fgis.indot.in.gov%2Fro%2Frest%2Fservices%2FRAH_GIO_Collaboration%2FLRSE_Functional_Class%2FFeatureServer%2F22&amp;find="&amp;$F28&amp;"%2C"&amp;$E28&amp;"&amp;marker="&amp;$F28&amp;","&amp;$E28&amp;",4326&amp;level=16",IF(_xlfn.SINGLE(JobState)="WI","https://fema.maps.arcgis.com/apps/mapviewer/index.html?url=https://services5.arcgis.com/0pgGLzT0Nh7FVjon/arcgis/rest/services/Functional_Class_Local_Non_Prod/FeatureServer/1&amp;find="&amp;$F28&amp;"%2C"&amp;$E28&amp;"&amp;marker="&amp;$F28&amp;","&amp;$E28&amp;",4326&amp;level=16",IF(_xlfn.SINGLE(JobState)="MN","https://fema.maps.arcgis.com/apps/mapviewer/index.html?url=https%3A%2F%2Fdotapp9.dot.state.mn.us%2Fegis12%2Frest%2Fservices%2FBASEMAP%2Fmndot_commonlayers2%2FMapServer%2F11&amp;find="&amp;$F28&amp;"%2C"&amp;$E28&amp;"&amp;marker="&amp;$F28&amp;","&amp;$E28&amp;",4326&amp;level=16",IF(_xlfn.SINGLE(JobState)="IL","https://fema.maps.arcgis.com/apps/mapviewer/index.html?url=https%3A%2F%2Fgis1.dot.illinois.gov%2Farcgis%2Frest%2Fservices%2FAdministrativeData%2FFunctionalClass%2FMapServer%2F0&amp;find="&amp;$F28&amp;"%2C"&amp;$E28&amp;"&amp;marker="&amp;$F28&amp;","&amp;$E28&amp;",4326&amp;level=16",IF(_xlfn.SINGLE(JobState)="OH","https://fema.maps.arcgis.com/apps/mapviewer/index.html?url=https%3A%2F%2Ftims.dot.state.oh.us%2Fags%2Frest%2Fservices%2FRoadway_Information%2FFunctional_Class%2FMapServer%2F0&amp;find="&amp;$F28&amp;"%2C"&amp;$E28&amp;"&amp;marker="&amp;$F28&amp;","&amp;$E28&amp;",4326&amp;level=16","https://fema.maps.arcgis.com/apps/mapviewer/index.html?find="&amp;$F28&amp;"%2C"&amp;$E28&amp;"&amp;marker="&amp;$F28&amp;","&amp;$E28&amp;",4326&amp;level=16")))))),IF(_xlfn.SINGLE(JobState)="WI","Review Local Roads Layer","Review NFC AGOL Layer"))))</f>
        <v/>
      </c>
      <c r="N28" s="6" t="str">
        <f>IF(OR($E28="",$F28=""),"",IF(_xlfn.SINGLE(JobState)="",IF(ROW()=2,HYPERLINK("#JobState","Set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amp;"%2C"&amp;$E28&amp;"&amp;marker="&amp;$F28&amp;","&amp;$E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 s="6" t="str">
        <f>IF(OR($E28="", $F28=""),"",IF(_xlfn.SINGLE(JobAgolMap)="",HYPERLINK("https://fema.maps.arcgis.com/apps/mapviewer/index.html?find="&amp;$F28&amp;"%2C"&amp;$E28&amp;"&amp;marker="&amp;$F28&amp;","&amp;$E28&amp;",4326&amp;level=16","FEMA AGOL Map Viewer"),HYPERLINK(_xlfn.SINGLE(JobAgolMap)&amp;IF(ISNUMBER(FIND("?",_xlfn.SINGLE(JobAgolMap))),"&amp;","?")&amp;"center="&amp;$F28&amp;","&amp;$E28&amp;"&amp;level=16&amp;marker="&amp;$F28&amp;","&amp;$E28,"Open")))</f>
        <v/>
      </c>
      <c r="Q28" s="4"/>
      <c r="R28" s="4"/>
      <c r="W28" s="6" t="str">
        <f t="shared" si="0"/>
        <v/>
      </c>
      <c r="X28" s="6" t="str">
        <f t="shared" si="1"/>
        <v/>
      </c>
      <c r="Y28" s="6" t="str">
        <f t="shared" si="2"/>
        <v/>
      </c>
      <c r="Z28" s="6" t="str">
        <f t="shared" si="3"/>
        <v/>
      </c>
      <c r="AA28" s="6" t="str">
        <f t="shared" si="4"/>
        <v/>
      </c>
      <c r="AB28" s="6" t="str">
        <f t="shared" si="5"/>
        <v/>
      </c>
      <c r="AC28" s="4"/>
      <c r="AD28" s="4"/>
    </row>
    <row r="29" spans="1:30" x14ac:dyDescent="0.45">
      <c r="A29" s="3"/>
      <c r="B29" s="3"/>
      <c r="C29" s="5" t="str">
        <f>IF($E29="","",COUNT($E$2:$E29))</f>
        <v/>
      </c>
      <c r="D29" s="3"/>
      <c r="E29" s="3"/>
      <c r="F29" s="3"/>
      <c r="G29" s="3"/>
      <c r="H29" s="3"/>
      <c r="I29" s="3"/>
      <c r="J29" s="3"/>
      <c r="K29" s="3"/>
      <c r="L29" s="4"/>
      <c r="M29" s="6" t="str">
        <f>IF(OR($E29="",$F29=""),"",IF(_xlfn.SINGLE(JobState)="",IF(ROW()=2,HYPERLINK("#JobState","Set State →"),""),HYPERLINK(IF(OR(_xlfn.SINGLE(JobState)="MI",_xlfn.SINGLE(JobState)=""),"https://fema.maps.arcgis.com/apps/mapviewer/index.html?webmap=6a1702b9147243d1a5ee62cd614bc681&amp;center="&amp;$F29&amp;","&amp;$E29&amp;"&amp;level=16&amp;marker="&amp;$F29&amp;","&amp;$E29&amp;"",IF(_xlfn.SINGLE(JobState)="IN","https://fema.maps.arcgis.com/apps/mapviewer/index.html?url=https%3A%2F%2Fgis.indot.in.gov%2Fro%2Frest%2Fservices%2FRAH_GIO_Collaboration%2FLRSE_Functional_Class%2FFeatureServer%2F22&amp;find="&amp;$F29&amp;"%2C"&amp;$E29&amp;"&amp;marker="&amp;$F29&amp;","&amp;$E29&amp;",4326&amp;level=16",IF(_xlfn.SINGLE(JobState)="WI","https://fema.maps.arcgis.com/apps/mapviewer/index.html?url=https://services5.arcgis.com/0pgGLzT0Nh7FVjon/arcgis/rest/services/Functional_Class_Local_Non_Prod/FeatureServer/1&amp;find="&amp;$F29&amp;"%2C"&amp;$E29&amp;"&amp;marker="&amp;$F29&amp;","&amp;$E29&amp;",4326&amp;level=16",IF(_xlfn.SINGLE(JobState)="MN","https://fema.maps.arcgis.com/apps/mapviewer/index.html?url=https%3A%2F%2Fdotapp9.dot.state.mn.us%2Fegis12%2Frest%2Fservices%2FBASEMAP%2Fmndot_commonlayers2%2FMapServer%2F11&amp;find="&amp;$F29&amp;"%2C"&amp;$E29&amp;"&amp;marker="&amp;$F29&amp;","&amp;$E29&amp;",4326&amp;level=16",IF(_xlfn.SINGLE(JobState)="IL","https://fema.maps.arcgis.com/apps/mapviewer/index.html?url=https%3A%2F%2Fgis1.dot.illinois.gov%2Farcgis%2Frest%2Fservices%2FAdministrativeData%2FFunctionalClass%2FMapServer%2F0&amp;find="&amp;$F29&amp;"%2C"&amp;$E29&amp;"&amp;marker="&amp;$F29&amp;","&amp;$E29&amp;",4326&amp;level=16",IF(_xlfn.SINGLE(JobState)="OH","https://fema.maps.arcgis.com/apps/mapviewer/index.html?url=https%3A%2F%2Ftims.dot.state.oh.us%2Fags%2Frest%2Fservices%2FRoadway_Information%2FFunctional_Class%2FMapServer%2F0&amp;find="&amp;$F29&amp;"%2C"&amp;$E29&amp;"&amp;marker="&amp;$F29&amp;","&amp;$E29&amp;",4326&amp;level=16","https://fema.maps.arcgis.com/apps/mapviewer/index.html?find="&amp;$F29&amp;"%2C"&amp;$E29&amp;"&amp;marker="&amp;$F29&amp;","&amp;$E29&amp;",4326&amp;level=16")))))),IF(_xlfn.SINGLE(JobState)="WI","Review Local Roads Layer","Review NFC AGOL Layer"))))</f>
        <v/>
      </c>
      <c r="N29" s="6" t="str">
        <f>IF(OR($E29="",$F29=""),"",IF(_xlfn.SINGLE(JobState)="",IF(ROW()=2,HYPERLINK("#JobState","Set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amp;"%2C"&amp;$E29&amp;"&amp;marker="&amp;$F29&amp;","&amp;$E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 s="6" t="str">
        <f>IF(OR($E29="", $F29=""),"",IF(_xlfn.SINGLE(JobAgolMap)="",HYPERLINK("https://fema.maps.arcgis.com/apps/mapviewer/index.html?find="&amp;$F29&amp;"%2C"&amp;$E29&amp;"&amp;marker="&amp;$F29&amp;","&amp;$E29&amp;",4326&amp;level=16","FEMA AGOL Map Viewer"),HYPERLINK(_xlfn.SINGLE(JobAgolMap)&amp;IF(ISNUMBER(FIND("?",_xlfn.SINGLE(JobAgolMap))),"&amp;","?")&amp;"center="&amp;$F29&amp;","&amp;$E29&amp;"&amp;level=16&amp;marker="&amp;$F29&amp;","&amp;$E29,"Open")))</f>
        <v/>
      </c>
      <c r="Q29" s="4"/>
      <c r="R29" s="4"/>
      <c r="W29" s="6" t="str">
        <f t="shared" si="0"/>
        <v/>
      </c>
      <c r="X29" s="6" t="str">
        <f t="shared" si="1"/>
        <v/>
      </c>
      <c r="Y29" s="6" t="str">
        <f t="shared" si="2"/>
        <v/>
      </c>
      <c r="Z29" s="6" t="str">
        <f t="shared" si="3"/>
        <v/>
      </c>
      <c r="AA29" s="6" t="str">
        <f t="shared" si="4"/>
        <v/>
      </c>
      <c r="AB29" s="6" t="str">
        <f t="shared" si="5"/>
        <v/>
      </c>
      <c r="AC29" s="4"/>
      <c r="AD29" s="4"/>
    </row>
    <row r="30" spans="1:30" x14ac:dyDescent="0.45">
      <c r="A30" s="3"/>
      <c r="B30" s="3"/>
      <c r="C30" s="5" t="str">
        <f>IF($E30="","",COUNT($E$2:$E30))</f>
        <v/>
      </c>
      <c r="D30" s="3"/>
      <c r="E30" s="3"/>
      <c r="F30" s="3"/>
      <c r="G30" s="3"/>
      <c r="H30" s="3"/>
      <c r="I30" s="3"/>
      <c r="J30" s="3"/>
      <c r="K30" s="3"/>
      <c r="L30" s="4"/>
      <c r="M30" s="6" t="str">
        <f>IF(OR($E30="",$F30=""),"",IF(_xlfn.SINGLE(JobState)="",IF(ROW()=2,HYPERLINK("#JobState","Set State →"),""),HYPERLINK(IF(OR(_xlfn.SINGLE(JobState)="MI",_xlfn.SINGLE(JobState)=""),"https://fema.maps.arcgis.com/apps/mapviewer/index.html?webmap=6a1702b9147243d1a5ee62cd614bc681&amp;center="&amp;$F30&amp;","&amp;$E30&amp;"&amp;level=16&amp;marker="&amp;$F30&amp;","&amp;$E30&amp;"",IF(_xlfn.SINGLE(JobState)="IN","https://fema.maps.arcgis.com/apps/mapviewer/index.html?url=https%3A%2F%2Fgis.indot.in.gov%2Fro%2Frest%2Fservices%2FRAH_GIO_Collaboration%2FLRSE_Functional_Class%2FFeatureServer%2F22&amp;find="&amp;$F30&amp;"%2C"&amp;$E30&amp;"&amp;marker="&amp;$F30&amp;","&amp;$E30&amp;",4326&amp;level=16",IF(_xlfn.SINGLE(JobState)="WI","https://fema.maps.arcgis.com/apps/mapviewer/index.html?url=https://services5.arcgis.com/0pgGLzT0Nh7FVjon/arcgis/rest/services/Functional_Class_Local_Non_Prod/FeatureServer/1&amp;find="&amp;$F30&amp;"%2C"&amp;$E30&amp;"&amp;marker="&amp;$F30&amp;","&amp;$E30&amp;",4326&amp;level=16",IF(_xlfn.SINGLE(JobState)="MN","https://fema.maps.arcgis.com/apps/mapviewer/index.html?url=https%3A%2F%2Fdotapp9.dot.state.mn.us%2Fegis12%2Frest%2Fservices%2FBASEMAP%2Fmndot_commonlayers2%2FMapServer%2F11&amp;find="&amp;$F30&amp;"%2C"&amp;$E30&amp;"&amp;marker="&amp;$F30&amp;","&amp;$E30&amp;",4326&amp;level=16",IF(_xlfn.SINGLE(JobState)="IL","https://fema.maps.arcgis.com/apps/mapviewer/index.html?url=https%3A%2F%2Fgis1.dot.illinois.gov%2Farcgis%2Frest%2Fservices%2FAdministrativeData%2FFunctionalClass%2FMapServer%2F0&amp;find="&amp;$F30&amp;"%2C"&amp;$E30&amp;"&amp;marker="&amp;$F30&amp;","&amp;$E30&amp;",4326&amp;level=16",IF(_xlfn.SINGLE(JobState)="OH","https://fema.maps.arcgis.com/apps/mapviewer/index.html?url=https%3A%2F%2Ftims.dot.state.oh.us%2Fags%2Frest%2Fservices%2FRoadway_Information%2FFunctional_Class%2FMapServer%2F0&amp;find="&amp;$F30&amp;"%2C"&amp;$E30&amp;"&amp;marker="&amp;$F30&amp;","&amp;$E30&amp;",4326&amp;level=16","https://fema.maps.arcgis.com/apps/mapviewer/index.html?find="&amp;$F30&amp;"%2C"&amp;$E30&amp;"&amp;marker="&amp;$F30&amp;","&amp;$E30&amp;",4326&amp;level=16")))))),IF(_xlfn.SINGLE(JobState)="WI","Review Local Roads Layer","Review NFC AGOL Layer"))))</f>
        <v/>
      </c>
      <c r="N30" s="6" t="str">
        <f>IF(OR($E30="",$F30=""),"",IF(_xlfn.SINGLE(JobState)="",IF(ROW()=2,HYPERLINK("#JobState","Set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amp;"%2C"&amp;$E30&amp;"&amp;marker="&amp;$F30&amp;","&amp;$E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 s="6" t="str">
        <f>IF(OR($E30="", $F30=""),"",IF(_xlfn.SINGLE(JobAgolMap)="",HYPERLINK("https://fema.maps.arcgis.com/apps/mapviewer/index.html?find="&amp;$F30&amp;"%2C"&amp;$E30&amp;"&amp;marker="&amp;$F30&amp;","&amp;$E30&amp;",4326&amp;level=16","FEMA AGOL Map Viewer"),HYPERLINK(_xlfn.SINGLE(JobAgolMap)&amp;IF(ISNUMBER(FIND("?",_xlfn.SINGLE(JobAgolMap))),"&amp;","?")&amp;"center="&amp;$F30&amp;","&amp;$E30&amp;"&amp;level=16&amp;marker="&amp;$F30&amp;","&amp;$E30,"Open")))</f>
        <v/>
      </c>
      <c r="Q30" s="4"/>
      <c r="R30" s="4"/>
      <c r="W30" s="6" t="str">
        <f t="shared" si="0"/>
        <v/>
      </c>
      <c r="X30" s="6" t="str">
        <f t="shared" si="1"/>
        <v/>
      </c>
      <c r="Y30" s="6" t="str">
        <f t="shared" si="2"/>
        <v/>
      </c>
      <c r="Z30" s="6" t="str">
        <f t="shared" si="3"/>
        <v/>
      </c>
      <c r="AA30" s="6" t="str">
        <f t="shared" si="4"/>
        <v/>
      </c>
      <c r="AB30" s="6" t="str">
        <f t="shared" si="5"/>
        <v/>
      </c>
      <c r="AC30" s="4"/>
      <c r="AD30" s="4"/>
    </row>
    <row r="31" spans="1:30" x14ac:dyDescent="0.45">
      <c r="A31" s="3"/>
      <c r="B31" s="3"/>
      <c r="C31" s="5" t="str">
        <f>IF($E31="","",COUNT($E$2:$E31))</f>
        <v/>
      </c>
      <c r="D31" s="3"/>
      <c r="E31" s="3"/>
      <c r="F31" s="3"/>
      <c r="G31" s="3"/>
      <c r="H31" s="3"/>
      <c r="I31" s="3"/>
      <c r="J31" s="3"/>
      <c r="K31" s="3"/>
      <c r="L31" s="4"/>
      <c r="M31" s="6" t="str">
        <f>IF(OR($E31="",$F31=""),"",IF(_xlfn.SINGLE(JobState)="",IF(ROW()=2,HYPERLINK("#JobState","Set State →"),""),HYPERLINK(IF(OR(_xlfn.SINGLE(JobState)="MI",_xlfn.SINGLE(JobState)=""),"https://fema.maps.arcgis.com/apps/mapviewer/index.html?webmap=6a1702b9147243d1a5ee62cd614bc681&amp;center="&amp;$F31&amp;","&amp;$E31&amp;"&amp;level=16&amp;marker="&amp;$F31&amp;","&amp;$E31&amp;"",IF(_xlfn.SINGLE(JobState)="IN","https://fema.maps.arcgis.com/apps/mapviewer/index.html?url=https%3A%2F%2Fgis.indot.in.gov%2Fro%2Frest%2Fservices%2FRAH_GIO_Collaboration%2FLRSE_Functional_Class%2FFeatureServer%2F22&amp;find="&amp;$F31&amp;"%2C"&amp;$E31&amp;"&amp;marker="&amp;$F31&amp;","&amp;$E31&amp;",4326&amp;level=16",IF(_xlfn.SINGLE(JobState)="WI","https://fema.maps.arcgis.com/apps/mapviewer/index.html?url=https://services5.arcgis.com/0pgGLzT0Nh7FVjon/arcgis/rest/services/Functional_Class_Local_Non_Prod/FeatureServer/1&amp;find="&amp;$F31&amp;"%2C"&amp;$E31&amp;"&amp;marker="&amp;$F31&amp;","&amp;$E31&amp;",4326&amp;level=16",IF(_xlfn.SINGLE(JobState)="MN","https://fema.maps.arcgis.com/apps/mapviewer/index.html?url=https%3A%2F%2Fdotapp9.dot.state.mn.us%2Fegis12%2Frest%2Fservices%2FBASEMAP%2Fmndot_commonlayers2%2FMapServer%2F11&amp;find="&amp;$F31&amp;"%2C"&amp;$E31&amp;"&amp;marker="&amp;$F31&amp;","&amp;$E31&amp;",4326&amp;level=16",IF(_xlfn.SINGLE(JobState)="IL","https://fema.maps.arcgis.com/apps/mapviewer/index.html?url=https%3A%2F%2Fgis1.dot.illinois.gov%2Farcgis%2Frest%2Fservices%2FAdministrativeData%2FFunctionalClass%2FMapServer%2F0&amp;find="&amp;$F31&amp;"%2C"&amp;$E31&amp;"&amp;marker="&amp;$F31&amp;","&amp;$E31&amp;",4326&amp;level=16",IF(_xlfn.SINGLE(JobState)="OH","https://fema.maps.arcgis.com/apps/mapviewer/index.html?url=https%3A%2F%2Ftims.dot.state.oh.us%2Fags%2Frest%2Fservices%2FRoadway_Information%2FFunctional_Class%2FMapServer%2F0&amp;find="&amp;$F31&amp;"%2C"&amp;$E31&amp;"&amp;marker="&amp;$F31&amp;","&amp;$E31&amp;",4326&amp;level=16","https://fema.maps.arcgis.com/apps/mapviewer/index.html?find="&amp;$F31&amp;"%2C"&amp;$E31&amp;"&amp;marker="&amp;$F31&amp;","&amp;$E31&amp;",4326&amp;level=16")))))),IF(_xlfn.SINGLE(JobState)="WI","Review Local Roads Layer","Review NFC AGOL Layer"))))</f>
        <v/>
      </c>
      <c r="N31" s="6" t="str">
        <f>IF(OR($E31="",$F31=""),"",IF(_xlfn.SINGLE(JobState)="",IF(ROW()=2,HYPERLINK("#JobState","Set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amp;"%2C"&amp;$E31&amp;"&amp;marker="&amp;$F31&amp;","&amp;$E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 s="6" t="str">
        <f>IF(OR($E31="", $F31=""),"",IF(_xlfn.SINGLE(JobAgolMap)="",HYPERLINK("https://fema.maps.arcgis.com/apps/mapviewer/index.html?find="&amp;$F31&amp;"%2C"&amp;$E31&amp;"&amp;marker="&amp;$F31&amp;","&amp;$E31&amp;",4326&amp;level=16","FEMA AGOL Map Viewer"),HYPERLINK(_xlfn.SINGLE(JobAgolMap)&amp;IF(ISNUMBER(FIND("?",_xlfn.SINGLE(JobAgolMap))),"&amp;","?")&amp;"center="&amp;$F31&amp;","&amp;$E31&amp;"&amp;level=16&amp;marker="&amp;$F31&amp;","&amp;$E31,"Open")))</f>
        <v/>
      </c>
      <c r="Q31" s="4"/>
      <c r="R31" s="4"/>
      <c r="W31" s="6" t="str">
        <f t="shared" si="0"/>
        <v/>
      </c>
      <c r="X31" s="6" t="str">
        <f t="shared" si="1"/>
        <v/>
      </c>
      <c r="Y31" s="6" t="str">
        <f t="shared" si="2"/>
        <v/>
      </c>
      <c r="Z31" s="6" t="str">
        <f t="shared" si="3"/>
        <v/>
      </c>
      <c r="AA31" s="6" t="str">
        <f t="shared" si="4"/>
        <v/>
      </c>
      <c r="AB31" s="6" t="str">
        <f t="shared" si="5"/>
        <v/>
      </c>
      <c r="AC31" s="4"/>
      <c r="AD31" s="4"/>
    </row>
    <row r="32" spans="1:30" x14ac:dyDescent="0.45">
      <c r="A32" s="3"/>
      <c r="B32" s="3"/>
      <c r="C32" s="5" t="str">
        <f>IF($E32="","",COUNT($E$2:$E32))</f>
        <v/>
      </c>
      <c r="D32" s="3"/>
      <c r="E32" s="3"/>
      <c r="F32" s="3"/>
      <c r="G32" s="3"/>
      <c r="H32" s="3"/>
      <c r="I32" s="3"/>
      <c r="J32" s="3"/>
      <c r="K32" s="3"/>
      <c r="L32" s="4"/>
      <c r="M32" s="6" t="str">
        <f>IF(OR($E32="",$F32=""),"",IF(_xlfn.SINGLE(JobState)="",IF(ROW()=2,HYPERLINK("#JobState","Set State →"),""),HYPERLINK(IF(OR(_xlfn.SINGLE(JobState)="MI",_xlfn.SINGLE(JobState)=""),"https://fema.maps.arcgis.com/apps/mapviewer/index.html?webmap=6a1702b9147243d1a5ee62cd614bc681&amp;center="&amp;$F32&amp;","&amp;$E32&amp;"&amp;level=16&amp;marker="&amp;$F32&amp;","&amp;$E32&amp;"",IF(_xlfn.SINGLE(JobState)="IN","https://fema.maps.arcgis.com/apps/mapviewer/index.html?url=https%3A%2F%2Fgis.indot.in.gov%2Fro%2Frest%2Fservices%2FRAH_GIO_Collaboration%2FLRSE_Functional_Class%2FFeatureServer%2F22&amp;find="&amp;$F32&amp;"%2C"&amp;$E32&amp;"&amp;marker="&amp;$F32&amp;","&amp;$E32&amp;",4326&amp;level=16",IF(_xlfn.SINGLE(JobState)="WI","https://fema.maps.arcgis.com/apps/mapviewer/index.html?url=https://services5.arcgis.com/0pgGLzT0Nh7FVjon/arcgis/rest/services/Functional_Class_Local_Non_Prod/FeatureServer/1&amp;find="&amp;$F32&amp;"%2C"&amp;$E32&amp;"&amp;marker="&amp;$F32&amp;","&amp;$E32&amp;",4326&amp;level=16",IF(_xlfn.SINGLE(JobState)="MN","https://fema.maps.arcgis.com/apps/mapviewer/index.html?url=https%3A%2F%2Fdotapp9.dot.state.mn.us%2Fegis12%2Frest%2Fservices%2FBASEMAP%2Fmndot_commonlayers2%2FMapServer%2F11&amp;find="&amp;$F32&amp;"%2C"&amp;$E32&amp;"&amp;marker="&amp;$F32&amp;","&amp;$E32&amp;",4326&amp;level=16",IF(_xlfn.SINGLE(JobState)="IL","https://fema.maps.arcgis.com/apps/mapviewer/index.html?url=https%3A%2F%2Fgis1.dot.illinois.gov%2Farcgis%2Frest%2Fservices%2FAdministrativeData%2FFunctionalClass%2FMapServer%2F0&amp;find="&amp;$F32&amp;"%2C"&amp;$E32&amp;"&amp;marker="&amp;$F32&amp;","&amp;$E32&amp;",4326&amp;level=16",IF(_xlfn.SINGLE(JobState)="OH","https://fema.maps.arcgis.com/apps/mapviewer/index.html?url=https%3A%2F%2Ftims.dot.state.oh.us%2Fags%2Frest%2Fservices%2FRoadway_Information%2FFunctional_Class%2FMapServer%2F0&amp;find="&amp;$F32&amp;"%2C"&amp;$E32&amp;"&amp;marker="&amp;$F32&amp;","&amp;$E32&amp;",4326&amp;level=16","https://fema.maps.arcgis.com/apps/mapviewer/index.html?find="&amp;$F32&amp;"%2C"&amp;$E32&amp;"&amp;marker="&amp;$F32&amp;","&amp;$E32&amp;",4326&amp;level=16")))))),IF(_xlfn.SINGLE(JobState)="WI","Review Local Roads Layer","Review NFC AGOL Layer"))))</f>
        <v/>
      </c>
      <c r="N32" s="6" t="str">
        <f>IF(OR($E32="",$F32=""),"",IF(_xlfn.SINGLE(JobState)="",IF(ROW()=2,HYPERLINK("#JobState","Set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amp;"%2C"&amp;$E32&amp;"&amp;marker="&amp;$F32&amp;","&amp;$E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 s="6" t="str">
        <f>IF(OR($E32="", $F32=""),"",IF(_xlfn.SINGLE(JobAgolMap)="",HYPERLINK("https://fema.maps.arcgis.com/apps/mapviewer/index.html?find="&amp;$F32&amp;"%2C"&amp;$E32&amp;"&amp;marker="&amp;$F32&amp;","&amp;$E32&amp;",4326&amp;level=16","FEMA AGOL Map Viewer"),HYPERLINK(_xlfn.SINGLE(JobAgolMap)&amp;IF(ISNUMBER(FIND("?",_xlfn.SINGLE(JobAgolMap))),"&amp;","?")&amp;"center="&amp;$F32&amp;","&amp;$E32&amp;"&amp;level=16&amp;marker="&amp;$F32&amp;","&amp;$E32,"Open")))</f>
        <v/>
      </c>
      <c r="Q32" s="4"/>
      <c r="R32" s="4"/>
      <c r="W32" s="6" t="str">
        <f t="shared" si="0"/>
        <v/>
      </c>
      <c r="X32" s="6" t="str">
        <f t="shared" si="1"/>
        <v/>
      </c>
      <c r="Y32" s="6" t="str">
        <f t="shared" si="2"/>
        <v/>
      </c>
      <c r="Z32" s="6" t="str">
        <f t="shared" si="3"/>
        <v/>
      </c>
      <c r="AA32" s="6" t="str">
        <f t="shared" si="4"/>
        <v/>
      </c>
      <c r="AB32" s="6" t="str">
        <f t="shared" si="5"/>
        <v/>
      </c>
      <c r="AC32" s="4"/>
      <c r="AD32" s="4"/>
    </row>
    <row r="33" spans="1:30" x14ac:dyDescent="0.45">
      <c r="A33" s="3"/>
      <c r="B33" s="3"/>
      <c r="C33" s="5" t="str">
        <f>IF($E33="","",COUNT($E$2:$E33))</f>
        <v/>
      </c>
      <c r="D33" s="3"/>
      <c r="E33" s="3"/>
      <c r="F33" s="3"/>
      <c r="G33" s="3"/>
      <c r="H33" s="3"/>
      <c r="I33" s="3"/>
      <c r="J33" s="3"/>
      <c r="K33" s="3"/>
      <c r="L33" s="4"/>
      <c r="M33" s="6" t="str">
        <f>IF(OR($E33="",$F33=""),"",IF(_xlfn.SINGLE(JobState)="",IF(ROW()=2,HYPERLINK("#JobState","Set State →"),""),HYPERLINK(IF(OR(_xlfn.SINGLE(JobState)="MI",_xlfn.SINGLE(JobState)=""),"https://fema.maps.arcgis.com/apps/mapviewer/index.html?webmap=6a1702b9147243d1a5ee62cd614bc681&amp;center="&amp;$F33&amp;","&amp;$E33&amp;"&amp;level=16&amp;marker="&amp;$F33&amp;","&amp;$E33&amp;"",IF(_xlfn.SINGLE(JobState)="IN","https://fema.maps.arcgis.com/apps/mapviewer/index.html?url=https%3A%2F%2Fgis.indot.in.gov%2Fro%2Frest%2Fservices%2FRAH_GIO_Collaboration%2FLRSE_Functional_Class%2FFeatureServer%2F22&amp;find="&amp;$F33&amp;"%2C"&amp;$E33&amp;"&amp;marker="&amp;$F33&amp;","&amp;$E33&amp;",4326&amp;level=16",IF(_xlfn.SINGLE(JobState)="WI","https://fema.maps.arcgis.com/apps/mapviewer/index.html?url=https://services5.arcgis.com/0pgGLzT0Nh7FVjon/arcgis/rest/services/Functional_Class_Local_Non_Prod/FeatureServer/1&amp;find="&amp;$F33&amp;"%2C"&amp;$E33&amp;"&amp;marker="&amp;$F33&amp;","&amp;$E33&amp;",4326&amp;level=16",IF(_xlfn.SINGLE(JobState)="MN","https://fema.maps.arcgis.com/apps/mapviewer/index.html?url=https%3A%2F%2Fdotapp9.dot.state.mn.us%2Fegis12%2Frest%2Fservices%2FBASEMAP%2Fmndot_commonlayers2%2FMapServer%2F11&amp;find="&amp;$F33&amp;"%2C"&amp;$E33&amp;"&amp;marker="&amp;$F33&amp;","&amp;$E33&amp;",4326&amp;level=16",IF(_xlfn.SINGLE(JobState)="IL","https://fema.maps.arcgis.com/apps/mapviewer/index.html?url=https%3A%2F%2Fgis1.dot.illinois.gov%2Farcgis%2Frest%2Fservices%2FAdministrativeData%2FFunctionalClass%2FMapServer%2F0&amp;find="&amp;$F33&amp;"%2C"&amp;$E33&amp;"&amp;marker="&amp;$F33&amp;","&amp;$E33&amp;",4326&amp;level=16",IF(_xlfn.SINGLE(JobState)="OH","https://fema.maps.arcgis.com/apps/mapviewer/index.html?url=https%3A%2F%2Ftims.dot.state.oh.us%2Fags%2Frest%2Fservices%2FRoadway_Information%2FFunctional_Class%2FMapServer%2F0&amp;find="&amp;$F33&amp;"%2C"&amp;$E33&amp;"&amp;marker="&amp;$F33&amp;","&amp;$E33&amp;",4326&amp;level=16","https://fema.maps.arcgis.com/apps/mapviewer/index.html?find="&amp;$F33&amp;"%2C"&amp;$E33&amp;"&amp;marker="&amp;$F33&amp;","&amp;$E33&amp;",4326&amp;level=16")))))),IF(_xlfn.SINGLE(JobState)="WI","Review Local Roads Layer","Review NFC AGOL Layer"))))</f>
        <v/>
      </c>
      <c r="N33" s="6" t="str">
        <f>IF(OR($E33="",$F33=""),"",IF(_xlfn.SINGLE(JobState)="",IF(ROW()=2,HYPERLINK("#JobState","Set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amp;"%2C"&amp;$E33&amp;"&amp;marker="&amp;$F33&amp;","&amp;$E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 s="6" t="str">
        <f>IF(OR($E33="", $F33=""),"",IF(_xlfn.SINGLE(JobAgolMap)="",HYPERLINK("https://fema.maps.arcgis.com/apps/mapviewer/index.html?find="&amp;$F33&amp;"%2C"&amp;$E33&amp;"&amp;marker="&amp;$F33&amp;","&amp;$E33&amp;",4326&amp;level=16","FEMA AGOL Map Viewer"),HYPERLINK(_xlfn.SINGLE(JobAgolMap)&amp;IF(ISNUMBER(FIND("?",_xlfn.SINGLE(JobAgolMap))),"&amp;","?")&amp;"center="&amp;$F33&amp;","&amp;$E33&amp;"&amp;level=16&amp;marker="&amp;$F33&amp;","&amp;$E33,"Open")))</f>
        <v/>
      </c>
      <c r="Q33" s="4"/>
      <c r="R33" s="4"/>
      <c r="W33" s="6" t="str">
        <f t="shared" si="0"/>
        <v/>
      </c>
      <c r="X33" s="6" t="str">
        <f t="shared" si="1"/>
        <v/>
      </c>
      <c r="Y33" s="6" t="str">
        <f t="shared" si="2"/>
        <v/>
      </c>
      <c r="Z33" s="6" t="str">
        <f t="shared" si="3"/>
        <v/>
      </c>
      <c r="AA33" s="6" t="str">
        <f t="shared" si="4"/>
        <v/>
      </c>
      <c r="AB33" s="6" t="str">
        <f t="shared" si="5"/>
        <v/>
      </c>
      <c r="AC33" s="4"/>
      <c r="AD33" s="4"/>
    </row>
    <row r="34" spans="1:30" x14ac:dyDescent="0.45">
      <c r="A34" s="3"/>
      <c r="B34" s="3"/>
      <c r="C34" s="5" t="str">
        <f>IF($E34="","",COUNT($E$2:$E34))</f>
        <v/>
      </c>
      <c r="D34" s="3"/>
      <c r="E34" s="3"/>
      <c r="F34" s="3"/>
      <c r="G34" s="3"/>
      <c r="H34" s="3"/>
      <c r="I34" s="3"/>
      <c r="J34" s="3"/>
      <c r="K34" s="3"/>
      <c r="L34" s="4"/>
      <c r="M34" s="6" t="str">
        <f>IF(OR($E34="",$F34=""),"",IF(_xlfn.SINGLE(JobState)="",IF(ROW()=2,HYPERLINK("#JobState","Set State →"),""),HYPERLINK(IF(OR(_xlfn.SINGLE(JobState)="MI",_xlfn.SINGLE(JobState)=""),"https://fema.maps.arcgis.com/apps/mapviewer/index.html?webmap=6a1702b9147243d1a5ee62cd614bc681&amp;center="&amp;$F34&amp;","&amp;$E34&amp;"&amp;level=16&amp;marker="&amp;$F34&amp;","&amp;$E34&amp;"",IF(_xlfn.SINGLE(JobState)="IN","https://fema.maps.arcgis.com/apps/mapviewer/index.html?url=https%3A%2F%2Fgis.indot.in.gov%2Fro%2Frest%2Fservices%2FRAH_GIO_Collaboration%2FLRSE_Functional_Class%2FFeatureServer%2F22&amp;find="&amp;$F34&amp;"%2C"&amp;$E34&amp;"&amp;marker="&amp;$F34&amp;","&amp;$E34&amp;",4326&amp;level=16",IF(_xlfn.SINGLE(JobState)="WI","https://fema.maps.arcgis.com/apps/mapviewer/index.html?url=https://services5.arcgis.com/0pgGLzT0Nh7FVjon/arcgis/rest/services/Functional_Class_Local_Non_Prod/FeatureServer/1&amp;find="&amp;$F34&amp;"%2C"&amp;$E34&amp;"&amp;marker="&amp;$F34&amp;","&amp;$E34&amp;",4326&amp;level=16",IF(_xlfn.SINGLE(JobState)="MN","https://fema.maps.arcgis.com/apps/mapviewer/index.html?url=https%3A%2F%2Fdotapp9.dot.state.mn.us%2Fegis12%2Frest%2Fservices%2FBASEMAP%2Fmndot_commonlayers2%2FMapServer%2F11&amp;find="&amp;$F34&amp;"%2C"&amp;$E34&amp;"&amp;marker="&amp;$F34&amp;","&amp;$E34&amp;",4326&amp;level=16",IF(_xlfn.SINGLE(JobState)="IL","https://fema.maps.arcgis.com/apps/mapviewer/index.html?url=https%3A%2F%2Fgis1.dot.illinois.gov%2Farcgis%2Frest%2Fservices%2FAdministrativeData%2FFunctionalClass%2FMapServer%2F0&amp;find="&amp;$F34&amp;"%2C"&amp;$E34&amp;"&amp;marker="&amp;$F34&amp;","&amp;$E34&amp;",4326&amp;level=16",IF(_xlfn.SINGLE(JobState)="OH","https://fema.maps.arcgis.com/apps/mapviewer/index.html?url=https%3A%2F%2Ftims.dot.state.oh.us%2Fags%2Frest%2Fservices%2FRoadway_Information%2FFunctional_Class%2FMapServer%2F0&amp;find="&amp;$F34&amp;"%2C"&amp;$E34&amp;"&amp;marker="&amp;$F34&amp;","&amp;$E34&amp;",4326&amp;level=16","https://fema.maps.arcgis.com/apps/mapviewer/index.html?find="&amp;$F34&amp;"%2C"&amp;$E34&amp;"&amp;marker="&amp;$F34&amp;","&amp;$E34&amp;",4326&amp;level=16")))))),IF(_xlfn.SINGLE(JobState)="WI","Review Local Roads Layer","Review NFC AGOL Layer"))))</f>
        <v/>
      </c>
      <c r="N34" s="6" t="str">
        <f>IF(OR($E34="",$F34=""),"",IF(_xlfn.SINGLE(JobState)="",IF(ROW()=2,HYPERLINK("#JobState","Set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amp;"%2C"&amp;$E34&amp;"&amp;marker="&amp;$F34&amp;","&amp;$E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 s="6" t="str">
        <f>IF(OR($E34="", $F34=""),"",IF(_xlfn.SINGLE(JobAgolMap)="",HYPERLINK("https://fema.maps.arcgis.com/apps/mapviewer/index.html?find="&amp;$F34&amp;"%2C"&amp;$E34&amp;"&amp;marker="&amp;$F34&amp;","&amp;$E34&amp;",4326&amp;level=16","FEMA AGOL Map Viewer"),HYPERLINK(_xlfn.SINGLE(JobAgolMap)&amp;IF(ISNUMBER(FIND("?",_xlfn.SINGLE(JobAgolMap))),"&amp;","?")&amp;"center="&amp;$F34&amp;","&amp;$E34&amp;"&amp;level=16&amp;marker="&amp;$F34&amp;","&amp;$E34,"Open")))</f>
        <v/>
      </c>
      <c r="Q34" s="4"/>
      <c r="R34" s="4"/>
      <c r="W34" s="6" t="str">
        <f t="shared" si="0"/>
        <v/>
      </c>
      <c r="X34" s="6" t="str">
        <f t="shared" si="1"/>
        <v/>
      </c>
      <c r="Y34" s="6" t="str">
        <f t="shared" si="2"/>
        <v/>
      </c>
      <c r="Z34" s="6" t="str">
        <f t="shared" si="3"/>
        <v/>
      </c>
      <c r="AA34" s="6" t="str">
        <f t="shared" si="4"/>
        <v/>
      </c>
      <c r="AB34" s="6" t="str">
        <f t="shared" si="5"/>
        <v/>
      </c>
      <c r="AC34" s="4"/>
      <c r="AD34" s="4"/>
    </row>
    <row r="35" spans="1:30" x14ac:dyDescent="0.45">
      <c r="A35" s="3"/>
      <c r="B35" s="3"/>
      <c r="C35" s="5" t="str">
        <f>IF($E35="","",COUNT($E$2:$E35))</f>
        <v/>
      </c>
      <c r="D35" s="3"/>
      <c r="E35" s="3"/>
      <c r="F35" s="3"/>
      <c r="G35" s="3"/>
      <c r="H35" s="3"/>
      <c r="I35" s="3"/>
      <c r="J35" s="3"/>
      <c r="K35" s="3"/>
      <c r="L35" s="4"/>
      <c r="M35" s="6" t="str">
        <f>IF(OR($E35="",$F35=""),"",IF(_xlfn.SINGLE(JobState)="",IF(ROW()=2,HYPERLINK("#JobState","Set State →"),""),HYPERLINK(IF(OR(_xlfn.SINGLE(JobState)="MI",_xlfn.SINGLE(JobState)=""),"https://fema.maps.arcgis.com/apps/mapviewer/index.html?webmap=6a1702b9147243d1a5ee62cd614bc681&amp;center="&amp;$F35&amp;","&amp;$E35&amp;"&amp;level=16&amp;marker="&amp;$F35&amp;","&amp;$E35&amp;"",IF(_xlfn.SINGLE(JobState)="IN","https://fema.maps.arcgis.com/apps/mapviewer/index.html?url=https%3A%2F%2Fgis.indot.in.gov%2Fro%2Frest%2Fservices%2FRAH_GIO_Collaboration%2FLRSE_Functional_Class%2FFeatureServer%2F22&amp;find="&amp;$F35&amp;"%2C"&amp;$E35&amp;"&amp;marker="&amp;$F35&amp;","&amp;$E35&amp;",4326&amp;level=16",IF(_xlfn.SINGLE(JobState)="WI","https://fema.maps.arcgis.com/apps/mapviewer/index.html?url=https://services5.arcgis.com/0pgGLzT0Nh7FVjon/arcgis/rest/services/Functional_Class_Local_Non_Prod/FeatureServer/1&amp;find="&amp;$F35&amp;"%2C"&amp;$E35&amp;"&amp;marker="&amp;$F35&amp;","&amp;$E35&amp;",4326&amp;level=16",IF(_xlfn.SINGLE(JobState)="MN","https://fema.maps.arcgis.com/apps/mapviewer/index.html?url=https%3A%2F%2Fdotapp9.dot.state.mn.us%2Fegis12%2Frest%2Fservices%2FBASEMAP%2Fmndot_commonlayers2%2FMapServer%2F11&amp;find="&amp;$F35&amp;"%2C"&amp;$E35&amp;"&amp;marker="&amp;$F35&amp;","&amp;$E35&amp;",4326&amp;level=16",IF(_xlfn.SINGLE(JobState)="IL","https://fema.maps.arcgis.com/apps/mapviewer/index.html?url=https%3A%2F%2Fgis1.dot.illinois.gov%2Farcgis%2Frest%2Fservices%2FAdministrativeData%2FFunctionalClass%2FMapServer%2F0&amp;find="&amp;$F35&amp;"%2C"&amp;$E35&amp;"&amp;marker="&amp;$F35&amp;","&amp;$E35&amp;",4326&amp;level=16",IF(_xlfn.SINGLE(JobState)="OH","https://fema.maps.arcgis.com/apps/mapviewer/index.html?url=https%3A%2F%2Ftims.dot.state.oh.us%2Fags%2Frest%2Fservices%2FRoadway_Information%2FFunctional_Class%2FMapServer%2F0&amp;find="&amp;$F35&amp;"%2C"&amp;$E35&amp;"&amp;marker="&amp;$F35&amp;","&amp;$E35&amp;",4326&amp;level=16","https://fema.maps.arcgis.com/apps/mapviewer/index.html?find="&amp;$F35&amp;"%2C"&amp;$E35&amp;"&amp;marker="&amp;$F35&amp;","&amp;$E35&amp;",4326&amp;level=16")))))),IF(_xlfn.SINGLE(JobState)="WI","Review Local Roads Layer","Review NFC AGOL Layer"))))</f>
        <v/>
      </c>
      <c r="N35" s="6" t="str">
        <f>IF(OR($E35="",$F35=""),"",IF(_xlfn.SINGLE(JobState)="",IF(ROW()=2,HYPERLINK("#JobState","Set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amp;"%2C"&amp;$E35&amp;"&amp;marker="&amp;$F35&amp;","&amp;$E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 s="6" t="str">
        <f>IF(OR($E35="", $F35=""),"",IF(_xlfn.SINGLE(JobAgolMap)="",HYPERLINK("https://fema.maps.arcgis.com/apps/mapviewer/index.html?find="&amp;$F35&amp;"%2C"&amp;$E35&amp;"&amp;marker="&amp;$F35&amp;","&amp;$E35&amp;",4326&amp;level=16","FEMA AGOL Map Viewer"),HYPERLINK(_xlfn.SINGLE(JobAgolMap)&amp;IF(ISNUMBER(FIND("?",_xlfn.SINGLE(JobAgolMap))),"&amp;","?")&amp;"center="&amp;$F35&amp;","&amp;$E35&amp;"&amp;level=16&amp;marker="&amp;$F35&amp;","&amp;$E35,"Open")))</f>
        <v/>
      </c>
      <c r="Q35" s="4"/>
      <c r="R35" s="4"/>
      <c r="W35" s="6" t="str">
        <f t="shared" si="0"/>
        <v/>
      </c>
      <c r="X35" s="6" t="str">
        <f t="shared" si="1"/>
        <v/>
      </c>
      <c r="Y35" s="6" t="str">
        <f t="shared" si="2"/>
        <v/>
      </c>
      <c r="Z35" s="6" t="str">
        <f t="shared" si="3"/>
        <v/>
      </c>
      <c r="AA35" s="6" t="str">
        <f t="shared" si="4"/>
        <v/>
      </c>
      <c r="AB35" s="6" t="str">
        <f t="shared" si="5"/>
        <v/>
      </c>
      <c r="AC35" s="4"/>
      <c r="AD35" s="4"/>
    </row>
    <row r="36" spans="1:30" x14ac:dyDescent="0.45">
      <c r="A36" s="3"/>
      <c r="B36" s="3"/>
      <c r="C36" s="5" t="str">
        <f>IF($E36="","",COUNT($E$2:$E36))</f>
        <v/>
      </c>
      <c r="D36" s="3"/>
      <c r="E36" s="3"/>
      <c r="F36" s="3"/>
      <c r="G36" s="3"/>
      <c r="H36" s="3"/>
      <c r="I36" s="3"/>
      <c r="J36" s="3"/>
      <c r="K36" s="3"/>
      <c r="L36" s="4"/>
      <c r="M36" s="6" t="str">
        <f>IF(OR($E36="",$F36=""),"",IF(_xlfn.SINGLE(JobState)="",IF(ROW()=2,HYPERLINK("#JobState","Set State →"),""),HYPERLINK(IF(OR(_xlfn.SINGLE(JobState)="MI",_xlfn.SINGLE(JobState)=""),"https://fema.maps.arcgis.com/apps/mapviewer/index.html?webmap=6a1702b9147243d1a5ee62cd614bc681&amp;center="&amp;$F36&amp;","&amp;$E36&amp;"&amp;level=16&amp;marker="&amp;$F36&amp;","&amp;$E36&amp;"",IF(_xlfn.SINGLE(JobState)="IN","https://fema.maps.arcgis.com/apps/mapviewer/index.html?url=https%3A%2F%2Fgis.indot.in.gov%2Fro%2Frest%2Fservices%2FRAH_GIO_Collaboration%2FLRSE_Functional_Class%2FFeatureServer%2F22&amp;find="&amp;$F36&amp;"%2C"&amp;$E36&amp;"&amp;marker="&amp;$F36&amp;","&amp;$E36&amp;",4326&amp;level=16",IF(_xlfn.SINGLE(JobState)="WI","https://fema.maps.arcgis.com/apps/mapviewer/index.html?url=https://services5.arcgis.com/0pgGLzT0Nh7FVjon/arcgis/rest/services/Functional_Class_Local_Non_Prod/FeatureServer/1&amp;find="&amp;$F36&amp;"%2C"&amp;$E36&amp;"&amp;marker="&amp;$F36&amp;","&amp;$E36&amp;",4326&amp;level=16",IF(_xlfn.SINGLE(JobState)="MN","https://fema.maps.arcgis.com/apps/mapviewer/index.html?url=https%3A%2F%2Fdotapp9.dot.state.mn.us%2Fegis12%2Frest%2Fservices%2FBASEMAP%2Fmndot_commonlayers2%2FMapServer%2F11&amp;find="&amp;$F36&amp;"%2C"&amp;$E36&amp;"&amp;marker="&amp;$F36&amp;","&amp;$E36&amp;",4326&amp;level=16",IF(_xlfn.SINGLE(JobState)="IL","https://fema.maps.arcgis.com/apps/mapviewer/index.html?url=https%3A%2F%2Fgis1.dot.illinois.gov%2Farcgis%2Frest%2Fservices%2FAdministrativeData%2FFunctionalClass%2FMapServer%2F0&amp;find="&amp;$F36&amp;"%2C"&amp;$E36&amp;"&amp;marker="&amp;$F36&amp;","&amp;$E36&amp;",4326&amp;level=16",IF(_xlfn.SINGLE(JobState)="OH","https://fema.maps.arcgis.com/apps/mapviewer/index.html?url=https%3A%2F%2Ftims.dot.state.oh.us%2Fags%2Frest%2Fservices%2FRoadway_Information%2FFunctional_Class%2FMapServer%2F0&amp;find="&amp;$F36&amp;"%2C"&amp;$E36&amp;"&amp;marker="&amp;$F36&amp;","&amp;$E36&amp;",4326&amp;level=16","https://fema.maps.arcgis.com/apps/mapviewer/index.html?find="&amp;$F36&amp;"%2C"&amp;$E36&amp;"&amp;marker="&amp;$F36&amp;","&amp;$E36&amp;",4326&amp;level=16")))))),IF(_xlfn.SINGLE(JobState)="WI","Review Local Roads Layer","Review NFC AGOL Layer"))))</f>
        <v/>
      </c>
      <c r="N36" s="6" t="str">
        <f>IF(OR($E36="",$F36=""),"",IF(_xlfn.SINGLE(JobState)="",IF(ROW()=2,HYPERLINK("#JobState","Set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amp;"%2C"&amp;$E36&amp;"&amp;marker="&amp;$F36&amp;","&amp;$E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 s="6" t="str">
        <f>IF(OR($E36="", $F36=""),"",IF(_xlfn.SINGLE(JobAgolMap)="",HYPERLINK("https://fema.maps.arcgis.com/apps/mapviewer/index.html?find="&amp;$F36&amp;"%2C"&amp;$E36&amp;"&amp;marker="&amp;$F36&amp;","&amp;$E36&amp;",4326&amp;level=16","FEMA AGOL Map Viewer"),HYPERLINK(_xlfn.SINGLE(JobAgolMap)&amp;IF(ISNUMBER(FIND("?",_xlfn.SINGLE(JobAgolMap))),"&amp;","?")&amp;"center="&amp;$F36&amp;","&amp;$E36&amp;"&amp;level=16&amp;marker="&amp;$F36&amp;","&amp;$E36,"Open")))</f>
        <v/>
      </c>
      <c r="Q36" s="4"/>
      <c r="R36" s="4"/>
      <c r="W36" s="6" t="str">
        <f t="shared" si="0"/>
        <v/>
      </c>
      <c r="X36" s="6" t="str">
        <f t="shared" si="1"/>
        <v/>
      </c>
      <c r="Y36" s="6" t="str">
        <f t="shared" si="2"/>
        <v/>
      </c>
      <c r="Z36" s="6" t="str">
        <f t="shared" si="3"/>
        <v/>
      </c>
      <c r="AA36" s="6" t="str">
        <f t="shared" si="4"/>
        <v/>
      </c>
      <c r="AB36" s="6" t="str">
        <f t="shared" si="5"/>
        <v/>
      </c>
      <c r="AC36" s="4"/>
      <c r="AD36" s="4"/>
    </row>
    <row r="37" spans="1:30" x14ac:dyDescent="0.45">
      <c r="A37" s="3"/>
      <c r="B37" s="3"/>
      <c r="C37" s="5" t="str">
        <f>IF($E37="","",COUNT($E$2:$E37))</f>
        <v/>
      </c>
      <c r="D37" s="3"/>
      <c r="E37" s="3"/>
      <c r="F37" s="3"/>
      <c r="G37" s="3"/>
      <c r="H37" s="3"/>
      <c r="I37" s="3"/>
      <c r="J37" s="3"/>
      <c r="K37" s="3"/>
      <c r="L37" s="4"/>
      <c r="M37" s="6" t="str">
        <f>IF(OR($E37="",$F37=""),"",IF(_xlfn.SINGLE(JobState)="",IF(ROW()=2,HYPERLINK("#JobState","Set State →"),""),HYPERLINK(IF(OR(_xlfn.SINGLE(JobState)="MI",_xlfn.SINGLE(JobState)=""),"https://fema.maps.arcgis.com/apps/mapviewer/index.html?webmap=6a1702b9147243d1a5ee62cd614bc681&amp;center="&amp;$F37&amp;","&amp;$E37&amp;"&amp;level=16&amp;marker="&amp;$F37&amp;","&amp;$E37&amp;"",IF(_xlfn.SINGLE(JobState)="IN","https://fema.maps.arcgis.com/apps/mapviewer/index.html?url=https%3A%2F%2Fgis.indot.in.gov%2Fro%2Frest%2Fservices%2FRAH_GIO_Collaboration%2FLRSE_Functional_Class%2FFeatureServer%2F22&amp;find="&amp;$F37&amp;"%2C"&amp;$E37&amp;"&amp;marker="&amp;$F37&amp;","&amp;$E37&amp;",4326&amp;level=16",IF(_xlfn.SINGLE(JobState)="WI","https://fema.maps.arcgis.com/apps/mapviewer/index.html?url=https://services5.arcgis.com/0pgGLzT0Nh7FVjon/arcgis/rest/services/Functional_Class_Local_Non_Prod/FeatureServer/1&amp;find="&amp;$F37&amp;"%2C"&amp;$E37&amp;"&amp;marker="&amp;$F37&amp;","&amp;$E37&amp;",4326&amp;level=16",IF(_xlfn.SINGLE(JobState)="MN","https://fema.maps.arcgis.com/apps/mapviewer/index.html?url=https%3A%2F%2Fdotapp9.dot.state.mn.us%2Fegis12%2Frest%2Fservices%2FBASEMAP%2Fmndot_commonlayers2%2FMapServer%2F11&amp;find="&amp;$F37&amp;"%2C"&amp;$E37&amp;"&amp;marker="&amp;$F37&amp;","&amp;$E37&amp;",4326&amp;level=16",IF(_xlfn.SINGLE(JobState)="IL","https://fema.maps.arcgis.com/apps/mapviewer/index.html?url=https%3A%2F%2Fgis1.dot.illinois.gov%2Farcgis%2Frest%2Fservices%2FAdministrativeData%2FFunctionalClass%2FMapServer%2F0&amp;find="&amp;$F37&amp;"%2C"&amp;$E37&amp;"&amp;marker="&amp;$F37&amp;","&amp;$E37&amp;",4326&amp;level=16",IF(_xlfn.SINGLE(JobState)="OH","https://fema.maps.arcgis.com/apps/mapviewer/index.html?url=https%3A%2F%2Ftims.dot.state.oh.us%2Fags%2Frest%2Fservices%2FRoadway_Information%2FFunctional_Class%2FMapServer%2F0&amp;find="&amp;$F37&amp;"%2C"&amp;$E37&amp;"&amp;marker="&amp;$F37&amp;","&amp;$E37&amp;",4326&amp;level=16","https://fema.maps.arcgis.com/apps/mapviewer/index.html?find="&amp;$F37&amp;"%2C"&amp;$E37&amp;"&amp;marker="&amp;$F37&amp;","&amp;$E37&amp;",4326&amp;level=16")))))),IF(_xlfn.SINGLE(JobState)="WI","Review Local Roads Layer","Review NFC AGOL Layer"))))</f>
        <v/>
      </c>
      <c r="N37" s="6" t="str">
        <f>IF(OR($E37="",$F37=""),"",IF(_xlfn.SINGLE(JobState)="",IF(ROW()=2,HYPERLINK("#JobState","Set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amp;"%2C"&amp;$E37&amp;"&amp;marker="&amp;$F37&amp;","&amp;$E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 s="6" t="str">
        <f>IF(OR($E37="", $F37=""),"",IF(_xlfn.SINGLE(JobAgolMap)="",HYPERLINK("https://fema.maps.arcgis.com/apps/mapviewer/index.html?find="&amp;$F37&amp;"%2C"&amp;$E37&amp;"&amp;marker="&amp;$F37&amp;","&amp;$E37&amp;",4326&amp;level=16","FEMA AGOL Map Viewer"),HYPERLINK(_xlfn.SINGLE(JobAgolMap)&amp;IF(ISNUMBER(FIND("?",_xlfn.SINGLE(JobAgolMap))),"&amp;","?")&amp;"center="&amp;$F37&amp;","&amp;$E37&amp;"&amp;level=16&amp;marker="&amp;$F37&amp;","&amp;$E37,"Open")))</f>
        <v/>
      </c>
      <c r="Q37" s="4"/>
      <c r="R37" s="4"/>
      <c r="W37" s="6" t="str">
        <f t="shared" si="0"/>
        <v/>
      </c>
      <c r="X37" s="6" t="str">
        <f t="shared" si="1"/>
        <v/>
      </c>
      <c r="Y37" s="6" t="str">
        <f t="shared" si="2"/>
        <v/>
      </c>
      <c r="Z37" s="6" t="str">
        <f t="shared" si="3"/>
        <v/>
      </c>
      <c r="AA37" s="6" t="str">
        <f t="shared" si="4"/>
        <v/>
      </c>
      <c r="AB37" s="6" t="str">
        <f t="shared" si="5"/>
        <v/>
      </c>
      <c r="AC37" s="4"/>
      <c r="AD37" s="4"/>
    </row>
    <row r="38" spans="1:30" x14ac:dyDescent="0.45">
      <c r="A38" s="3"/>
      <c r="B38" s="3"/>
      <c r="C38" s="5" t="str">
        <f>IF($E38="","",COUNT($E$2:$E38))</f>
        <v/>
      </c>
      <c r="D38" s="3"/>
      <c r="E38" s="3"/>
      <c r="F38" s="3"/>
      <c r="G38" s="3"/>
      <c r="H38" s="3"/>
      <c r="I38" s="3"/>
      <c r="J38" s="3"/>
      <c r="K38" s="3"/>
      <c r="L38" s="4"/>
      <c r="M38" s="6" t="str">
        <f>IF(OR($E38="",$F38=""),"",IF(_xlfn.SINGLE(JobState)="",IF(ROW()=2,HYPERLINK("#JobState","Set State →"),""),HYPERLINK(IF(OR(_xlfn.SINGLE(JobState)="MI",_xlfn.SINGLE(JobState)=""),"https://fema.maps.arcgis.com/apps/mapviewer/index.html?webmap=6a1702b9147243d1a5ee62cd614bc681&amp;center="&amp;$F38&amp;","&amp;$E38&amp;"&amp;level=16&amp;marker="&amp;$F38&amp;","&amp;$E38&amp;"",IF(_xlfn.SINGLE(JobState)="IN","https://fema.maps.arcgis.com/apps/mapviewer/index.html?url=https%3A%2F%2Fgis.indot.in.gov%2Fro%2Frest%2Fservices%2FRAH_GIO_Collaboration%2FLRSE_Functional_Class%2FFeatureServer%2F22&amp;find="&amp;$F38&amp;"%2C"&amp;$E38&amp;"&amp;marker="&amp;$F38&amp;","&amp;$E38&amp;",4326&amp;level=16",IF(_xlfn.SINGLE(JobState)="WI","https://fema.maps.arcgis.com/apps/mapviewer/index.html?url=https://services5.arcgis.com/0pgGLzT0Nh7FVjon/arcgis/rest/services/Functional_Class_Local_Non_Prod/FeatureServer/1&amp;find="&amp;$F38&amp;"%2C"&amp;$E38&amp;"&amp;marker="&amp;$F38&amp;","&amp;$E38&amp;",4326&amp;level=16",IF(_xlfn.SINGLE(JobState)="MN","https://fema.maps.arcgis.com/apps/mapviewer/index.html?url=https%3A%2F%2Fdotapp9.dot.state.mn.us%2Fegis12%2Frest%2Fservices%2FBASEMAP%2Fmndot_commonlayers2%2FMapServer%2F11&amp;find="&amp;$F38&amp;"%2C"&amp;$E38&amp;"&amp;marker="&amp;$F38&amp;","&amp;$E38&amp;",4326&amp;level=16",IF(_xlfn.SINGLE(JobState)="IL","https://fema.maps.arcgis.com/apps/mapviewer/index.html?url=https%3A%2F%2Fgis1.dot.illinois.gov%2Farcgis%2Frest%2Fservices%2FAdministrativeData%2FFunctionalClass%2FMapServer%2F0&amp;find="&amp;$F38&amp;"%2C"&amp;$E38&amp;"&amp;marker="&amp;$F38&amp;","&amp;$E38&amp;",4326&amp;level=16",IF(_xlfn.SINGLE(JobState)="OH","https://fema.maps.arcgis.com/apps/mapviewer/index.html?url=https%3A%2F%2Ftims.dot.state.oh.us%2Fags%2Frest%2Fservices%2FRoadway_Information%2FFunctional_Class%2FMapServer%2F0&amp;find="&amp;$F38&amp;"%2C"&amp;$E38&amp;"&amp;marker="&amp;$F38&amp;","&amp;$E38&amp;",4326&amp;level=16","https://fema.maps.arcgis.com/apps/mapviewer/index.html?find="&amp;$F38&amp;"%2C"&amp;$E38&amp;"&amp;marker="&amp;$F38&amp;","&amp;$E38&amp;",4326&amp;level=16")))))),IF(_xlfn.SINGLE(JobState)="WI","Review Local Roads Layer","Review NFC AGOL Layer"))))</f>
        <v/>
      </c>
      <c r="N38" s="6" t="str">
        <f>IF(OR($E38="",$F38=""),"",IF(_xlfn.SINGLE(JobState)="",IF(ROW()=2,HYPERLINK("#JobState","Set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amp;"%2C"&amp;$E38&amp;"&amp;marker="&amp;$F38&amp;","&amp;$E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 s="6" t="str">
        <f>IF(OR($E38="", $F38=""),"",IF(_xlfn.SINGLE(JobAgolMap)="",HYPERLINK("https://fema.maps.arcgis.com/apps/mapviewer/index.html?find="&amp;$F38&amp;"%2C"&amp;$E38&amp;"&amp;marker="&amp;$F38&amp;","&amp;$E38&amp;",4326&amp;level=16","FEMA AGOL Map Viewer"),HYPERLINK(_xlfn.SINGLE(JobAgolMap)&amp;IF(ISNUMBER(FIND("?",_xlfn.SINGLE(JobAgolMap))),"&amp;","?")&amp;"center="&amp;$F38&amp;","&amp;$E38&amp;"&amp;level=16&amp;marker="&amp;$F38&amp;","&amp;$E38,"Open")))</f>
        <v/>
      </c>
      <c r="Q38" s="4"/>
      <c r="R38" s="4"/>
      <c r="W38" s="6" t="str">
        <f t="shared" si="0"/>
        <v/>
      </c>
      <c r="X38" s="6" t="str">
        <f t="shared" si="1"/>
        <v/>
      </c>
      <c r="Y38" s="6" t="str">
        <f t="shared" si="2"/>
        <v/>
      </c>
      <c r="Z38" s="6" t="str">
        <f t="shared" si="3"/>
        <v/>
      </c>
      <c r="AA38" s="6" t="str">
        <f t="shared" si="4"/>
        <v/>
      </c>
      <c r="AB38" s="6" t="str">
        <f t="shared" si="5"/>
        <v/>
      </c>
      <c r="AC38" s="4"/>
      <c r="AD38" s="4"/>
    </row>
    <row r="39" spans="1:30" x14ac:dyDescent="0.45">
      <c r="A39" s="3"/>
      <c r="B39" s="3"/>
      <c r="C39" s="5" t="str">
        <f>IF($E39="","",COUNT($E$2:$E39))</f>
        <v/>
      </c>
      <c r="D39" s="3"/>
      <c r="E39" s="3"/>
      <c r="F39" s="3"/>
      <c r="G39" s="3"/>
      <c r="H39" s="3"/>
      <c r="I39" s="3"/>
      <c r="J39" s="3"/>
      <c r="K39" s="3"/>
      <c r="L39" s="4"/>
      <c r="M39" s="6" t="str">
        <f>IF(OR($E39="",$F39=""),"",IF(_xlfn.SINGLE(JobState)="",IF(ROW()=2,HYPERLINK("#JobState","Set State →"),""),HYPERLINK(IF(OR(_xlfn.SINGLE(JobState)="MI",_xlfn.SINGLE(JobState)=""),"https://fema.maps.arcgis.com/apps/mapviewer/index.html?webmap=6a1702b9147243d1a5ee62cd614bc681&amp;center="&amp;$F39&amp;","&amp;$E39&amp;"&amp;level=16&amp;marker="&amp;$F39&amp;","&amp;$E39&amp;"",IF(_xlfn.SINGLE(JobState)="IN","https://fema.maps.arcgis.com/apps/mapviewer/index.html?url=https%3A%2F%2Fgis.indot.in.gov%2Fro%2Frest%2Fservices%2FRAH_GIO_Collaboration%2FLRSE_Functional_Class%2FFeatureServer%2F22&amp;find="&amp;$F39&amp;"%2C"&amp;$E39&amp;"&amp;marker="&amp;$F39&amp;","&amp;$E39&amp;",4326&amp;level=16",IF(_xlfn.SINGLE(JobState)="WI","https://fema.maps.arcgis.com/apps/mapviewer/index.html?url=https://services5.arcgis.com/0pgGLzT0Nh7FVjon/arcgis/rest/services/Functional_Class_Local_Non_Prod/FeatureServer/1&amp;find="&amp;$F39&amp;"%2C"&amp;$E39&amp;"&amp;marker="&amp;$F39&amp;","&amp;$E39&amp;",4326&amp;level=16",IF(_xlfn.SINGLE(JobState)="MN","https://fema.maps.arcgis.com/apps/mapviewer/index.html?url=https%3A%2F%2Fdotapp9.dot.state.mn.us%2Fegis12%2Frest%2Fservices%2FBASEMAP%2Fmndot_commonlayers2%2FMapServer%2F11&amp;find="&amp;$F39&amp;"%2C"&amp;$E39&amp;"&amp;marker="&amp;$F39&amp;","&amp;$E39&amp;",4326&amp;level=16",IF(_xlfn.SINGLE(JobState)="IL","https://fema.maps.arcgis.com/apps/mapviewer/index.html?url=https%3A%2F%2Fgis1.dot.illinois.gov%2Farcgis%2Frest%2Fservices%2FAdministrativeData%2FFunctionalClass%2FMapServer%2F0&amp;find="&amp;$F39&amp;"%2C"&amp;$E39&amp;"&amp;marker="&amp;$F39&amp;","&amp;$E39&amp;",4326&amp;level=16",IF(_xlfn.SINGLE(JobState)="OH","https://fema.maps.arcgis.com/apps/mapviewer/index.html?url=https%3A%2F%2Ftims.dot.state.oh.us%2Fags%2Frest%2Fservices%2FRoadway_Information%2FFunctional_Class%2FMapServer%2F0&amp;find="&amp;$F39&amp;"%2C"&amp;$E39&amp;"&amp;marker="&amp;$F39&amp;","&amp;$E39&amp;",4326&amp;level=16","https://fema.maps.arcgis.com/apps/mapviewer/index.html?find="&amp;$F39&amp;"%2C"&amp;$E39&amp;"&amp;marker="&amp;$F39&amp;","&amp;$E39&amp;",4326&amp;level=16")))))),IF(_xlfn.SINGLE(JobState)="WI","Review Local Roads Layer","Review NFC AGOL Layer"))))</f>
        <v/>
      </c>
      <c r="N39" s="6" t="str">
        <f>IF(OR($E39="",$F39=""),"",IF(_xlfn.SINGLE(JobState)="",IF(ROW()=2,HYPERLINK("#JobState","Set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amp;"%2C"&amp;$E39&amp;"&amp;marker="&amp;$F39&amp;","&amp;$E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 s="6" t="str">
        <f>IF(OR($E39="", $F39=""),"",IF(_xlfn.SINGLE(JobAgolMap)="",HYPERLINK("https://fema.maps.arcgis.com/apps/mapviewer/index.html?find="&amp;$F39&amp;"%2C"&amp;$E39&amp;"&amp;marker="&amp;$F39&amp;","&amp;$E39&amp;",4326&amp;level=16","FEMA AGOL Map Viewer"),HYPERLINK(_xlfn.SINGLE(JobAgolMap)&amp;IF(ISNUMBER(FIND("?",_xlfn.SINGLE(JobAgolMap))),"&amp;","?")&amp;"center="&amp;$F39&amp;","&amp;$E39&amp;"&amp;level=16&amp;marker="&amp;$F39&amp;","&amp;$E39,"Open")))</f>
        <v/>
      </c>
      <c r="Q39" s="4"/>
      <c r="R39" s="4"/>
      <c r="W39" s="6" t="str">
        <f t="shared" si="0"/>
        <v/>
      </c>
      <c r="X39" s="6" t="str">
        <f t="shared" si="1"/>
        <v/>
      </c>
      <c r="Y39" s="6" t="str">
        <f t="shared" si="2"/>
        <v/>
      </c>
      <c r="Z39" s="6" t="str">
        <f t="shared" si="3"/>
        <v/>
      </c>
      <c r="AA39" s="6" t="str">
        <f t="shared" si="4"/>
        <v/>
      </c>
      <c r="AB39" s="6" t="str">
        <f t="shared" si="5"/>
        <v/>
      </c>
      <c r="AC39" s="4"/>
      <c r="AD39" s="4"/>
    </row>
    <row r="40" spans="1:30" x14ac:dyDescent="0.45">
      <c r="A40" s="3"/>
      <c r="B40" s="3"/>
      <c r="C40" s="5" t="str">
        <f>IF($E40="","",COUNT($E$2:$E40))</f>
        <v/>
      </c>
      <c r="D40" s="3"/>
      <c r="E40" s="3"/>
      <c r="F40" s="3"/>
      <c r="G40" s="3"/>
      <c r="H40" s="3"/>
      <c r="I40" s="3"/>
      <c r="J40" s="3"/>
      <c r="K40" s="3"/>
      <c r="L40" s="4"/>
      <c r="M40" s="6" t="str">
        <f>IF(OR($E40="",$F40=""),"",IF(_xlfn.SINGLE(JobState)="",IF(ROW()=2,HYPERLINK("#JobState","Set State →"),""),HYPERLINK(IF(OR(_xlfn.SINGLE(JobState)="MI",_xlfn.SINGLE(JobState)=""),"https://fema.maps.arcgis.com/apps/mapviewer/index.html?webmap=6a1702b9147243d1a5ee62cd614bc681&amp;center="&amp;$F40&amp;","&amp;$E40&amp;"&amp;level=16&amp;marker="&amp;$F40&amp;","&amp;$E40&amp;"",IF(_xlfn.SINGLE(JobState)="IN","https://fema.maps.arcgis.com/apps/mapviewer/index.html?url=https%3A%2F%2Fgis.indot.in.gov%2Fro%2Frest%2Fservices%2FRAH_GIO_Collaboration%2FLRSE_Functional_Class%2FFeatureServer%2F22&amp;find="&amp;$F40&amp;"%2C"&amp;$E40&amp;"&amp;marker="&amp;$F40&amp;","&amp;$E40&amp;",4326&amp;level=16",IF(_xlfn.SINGLE(JobState)="WI","https://fema.maps.arcgis.com/apps/mapviewer/index.html?url=https://services5.arcgis.com/0pgGLzT0Nh7FVjon/arcgis/rest/services/Functional_Class_Local_Non_Prod/FeatureServer/1&amp;find="&amp;$F40&amp;"%2C"&amp;$E40&amp;"&amp;marker="&amp;$F40&amp;","&amp;$E40&amp;",4326&amp;level=16",IF(_xlfn.SINGLE(JobState)="MN","https://fema.maps.arcgis.com/apps/mapviewer/index.html?url=https%3A%2F%2Fdotapp9.dot.state.mn.us%2Fegis12%2Frest%2Fservices%2FBASEMAP%2Fmndot_commonlayers2%2FMapServer%2F11&amp;find="&amp;$F40&amp;"%2C"&amp;$E40&amp;"&amp;marker="&amp;$F40&amp;","&amp;$E40&amp;",4326&amp;level=16",IF(_xlfn.SINGLE(JobState)="IL","https://fema.maps.arcgis.com/apps/mapviewer/index.html?url=https%3A%2F%2Fgis1.dot.illinois.gov%2Farcgis%2Frest%2Fservices%2FAdministrativeData%2FFunctionalClass%2FMapServer%2F0&amp;find="&amp;$F40&amp;"%2C"&amp;$E40&amp;"&amp;marker="&amp;$F40&amp;","&amp;$E40&amp;",4326&amp;level=16",IF(_xlfn.SINGLE(JobState)="OH","https://fema.maps.arcgis.com/apps/mapviewer/index.html?url=https%3A%2F%2Ftims.dot.state.oh.us%2Fags%2Frest%2Fservices%2FRoadway_Information%2FFunctional_Class%2FMapServer%2F0&amp;find="&amp;$F40&amp;"%2C"&amp;$E40&amp;"&amp;marker="&amp;$F40&amp;","&amp;$E40&amp;",4326&amp;level=16","https://fema.maps.arcgis.com/apps/mapviewer/index.html?find="&amp;$F40&amp;"%2C"&amp;$E40&amp;"&amp;marker="&amp;$F40&amp;","&amp;$E40&amp;",4326&amp;level=16")))))),IF(_xlfn.SINGLE(JobState)="WI","Review Local Roads Layer","Review NFC AGOL Layer"))))</f>
        <v/>
      </c>
      <c r="N40" s="6" t="str">
        <f>IF(OR($E40="",$F40=""),"",IF(_xlfn.SINGLE(JobState)="",IF(ROW()=2,HYPERLINK("#JobState","Set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amp;"%2C"&amp;$E40&amp;"&amp;marker="&amp;$F40&amp;","&amp;$E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 s="6" t="str">
        <f>IF(OR($E40="", $F40=""),"",IF(_xlfn.SINGLE(JobAgolMap)="",HYPERLINK("https://fema.maps.arcgis.com/apps/mapviewer/index.html?find="&amp;$F40&amp;"%2C"&amp;$E40&amp;"&amp;marker="&amp;$F40&amp;","&amp;$E40&amp;",4326&amp;level=16","FEMA AGOL Map Viewer"),HYPERLINK(_xlfn.SINGLE(JobAgolMap)&amp;IF(ISNUMBER(FIND("?",_xlfn.SINGLE(JobAgolMap))),"&amp;","?")&amp;"center="&amp;$F40&amp;","&amp;$E40&amp;"&amp;level=16&amp;marker="&amp;$F40&amp;","&amp;$E40,"Open")))</f>
        <v/>
      </c>
      <c r="Q40" s="4"/>
      <c r="R40" s="4"/>
      <c r="W40" s="6" t="str">
        <f t="shared" si="0"/>
        <v/>
      </c>
      <c r="X40" s="6" t="str">
        <f t="shared" si="1"/>
        <v/>
      </c>
      <c r="Y40" s="6" t="str">
        <f t="shared" si="2"/>
        <v/>
      </c>
      <c r="Z40" s="6" t="str">
        <f t="shared" si="3"/>
        <v/>
      </c>
      <c r="AA40" s="6" t="str">
        <f t="shared" si="4"/>
        <v/>
      </c>
      <c r="AB40" s="6" t="str">
        <f t="shared" si="5"/>
        <v/>
      </c>
      <c r="AC40" s="4"/>
      <c r="AD40" s="4"/>
    </row>
    <row r="41" spans="1:30" x14ac:dyDescent="0.45">
      <c r="A41" s="3"/>
      <c r="B41" s="3"/>
      <c r="C41" s="5" t="str">
        <f>IF($E41="","",COUNT($E$2:$E41))</f>
        <v/>
      </c>
      <c r="D41" s="3"/>
      <c r="E41" s="3"/>
      <c r="F41" s="3"/>
      <c r="G41" s="3"/>
      <c r="H41" s="3"/>
      <c r="I41" s="3"/>
      <c r="J41" s="3"/>
      <c r="K41" s="3"/>
      <c r="L41" s="4"/>
      <c r="M41" s="6" t="str">
        <f>IF(OR($E41="",$F41=""),"",IF(_xlfn.SINGLE(JobState)="",IF(ROW()=2,HYPERLINK("#JobState","Set State →"),""),HYPERLINK(IF(OR(_xlfn.SINGLE(JobState)="MI",_xlfn.SINGLE(JobState)=""),"https://fema.maps.arcgis.com/apps/mapviewer/index.html?webmap=6a1702b9147243d1a5ee62cd614bc681&amp;center="&amp;$F41&amp;","&amp;$E41&amp;"&amp;level=16&amp;marker="&amp;$F41&amp;","&amp;$E41&amp;"",IF(_xlfn.SINGLE(JobState)="IN","https://fema.maps.arcgis.com/apps/mapviewer/index.html?url=https%3A%2F%2Fgis.indot.in.gov%2Fro%2Frest%2Fservices%2FRAH_GIO_Collaboration%2FLRSE_Functional_Class%2FFeatureServer%2F22&amp;find="&amp;$F41&amp;"%2C"&amp;$E41&amp;"&amp;marker="&amp;$F41&amp;","&amp;$E41&amp;",4326&amp;level=16",IF(_xlfn.SINGLE(JobState)="WI","https://fema.maps.arcgis.com/apps/mapviewer/index.html?url=https://services5.arcgis.com/0pgGLzT0Nh7FVjon/arcgis/rest/services/Functional_Class_Local_Non_Prod/FeatureServer/1&amp;find="&amp;$F41&amp;"%2C"&amp;$E41&amp;"&amp;marker="&amp;$F41&amp;","&amp;$E41&amp;",4326&amp;level=16",IF(_xlfn.SINGLE(JobState)="MN","https://fema.maps.arcgis.com/apps/mapviewer/index.html?url=https%3A%2F%2Fdotapp9.dot.state.mn.us%2Fegis12%2Frest%2Fservices%2FBASEMAP%2Fmndot_commonlayers2%2FMapServer%2F11&amp;find="&amp;$F41&amp;"%2C"&amp;$E41&amp;"&amp;marker="&amp;$F41&amp;","&amp;$E41&amp;",4326&amp;level=16",IF(_xlfn.SINGLE(JobState)="IL","https://fema.maps.arcgis.com/apps/mapviewer/index.html?url=https%3A%2F%2Fgis1.dot.illinois.gov%2Farcgis%2Frest%2Fservices%2FAdministrativeData%2FFunctionalClass%2FMapServer%2F0&amp;find="&amp;$F41&amp;"%2C"&amp;$E41&amp;"&amp;marker="&amp;$F41&amp;","&amp;$E41&amp;",4326&amp;level=16",IF(_xlfn.SINGLE(JobState)="OH","https://fema.maps.arcgis.com/apps/mapviewer/index.html?url=https%3A%2F%2Ftims.dot.state.oh.us%2Fags%2Frest%2Fservices%2FRoadway_Information%2FFunctional_Class%2FMapServer%2F0&amp;find="&amp;$F41&amp;"%2C"&amp;$E41&amp;"&amp;marker="&amp;$F41&amp;","&amp;$E41&amp;",4326&amp;level=16","https://fema.maps.arcgis.com/apps/mapviewer/index.html?find="&amp;$F41&amp;"%2C"&amp;$E41&amp;"&amp;marker="&amp;$F41&amp;","&amp;$E41&amp;",4326&amp;level=16")))))),IF(_xlfn.SINGLE(JobState)="WI","Review Local Roads Layer","Review NFC AGOL Layer"))))</f>
        <v/>
      </c>
      <c r="N41" s="6" t="str">
        <f>IF(OR($E41="",$F41=""),"",IF(_xlfn.SINGLE(JobState)="",IF(ROW()=2,HYPERLINK("#JobState","Set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amp;"%2C"&amp;$E41&amp;"&amp;marker="&amp;$F41&amp;","&amp;$E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 s="6" t="str">
        <f>IF(OR($E41="", $F41=""),"",IF(_xlfn.SINGLE(JobAgolMap)="",HYPERLINK("https://fema.maps.arcgis.com/apps/mapviewer/index.html?find="&amp;$F41&amp;"%2C"&amp;$E41&amp;"&amp;marker="&amp;$F41&amp;","&amp;$E41&amp;",4326&amp;level=16","FEMA AGOL Map Viewer"),HYPERLINK(_xlfn.SINGLE(JobAgolMap)&amp;IF(ISNUMBER(FIND("?",_xlfn.SINGLE(JobAgolMap))),"&amp;","?")&amp;"center="&amp;$F41&amp;","&amp;$E41&amp;"&amp;level=16&amp;marker="&amp;$F41&amp;","&amp;$E41,"Open")))</f>
        <v/>
      </c>
      <c r="Q41" s="4"/>
      <c r="R41" s="4"/>
      <c r="W41" s="6" t="str">
        <f t="shared" si="0"/>
        <v/>
      </c>
      <c r="X41" s="6" t="str">
        <f t="shared" si="1"/>
        <v/>
      </c>
      <c r="Y41" s="6" t="str">
        <f t="shared" si="2"/>
        <v/>
      </c>
      <c r="Z41" s="6" t="str">
        <f t="shared" si="3"/>
        <v/>
      </c>
      <c r="AA41" s="6" t="str">
        <f t="shared" si="4"/>
        <v/>
      </c>
      <c r="AB41" s="6" t="str">
        <f t="shared" si="5"/>
        <v/>
      </c>
      <c r="AC41" s="4"/>
      <c r="AD41" s="4"/>
    </row>
    <row r="42" spans="1:30" x14ac:dyDescent="0.45">
      <c r="A42" s="3"/>
      <c r="B42" s="3"/>
      <c r="C42" s="5" t="str">
        <f>IF($E42="","",COUNT($E$2:$E42))</f>
        <v/>
      </c>
      <c r="D42" s="3"/>
      <c r="E42" s="3"/>
      <c r="F42" s="3"/>
      <c r="G42" s="3"/>
      <c r="H42" s="3"/>
      <c r="I42" s="3"/>
      <c r="J42" s="3"/>
      <c r="K42" s="3"/>
      <c r="L42" s="4"/>
      <c r="M42" s="6" t="str">
        <f>IF(OR($E42="",$F42=""),"",IF(_xlfn.SINGLE(JobState)="",IF(ROW()=2,HYPERLINK("#JobState","Set State →"),""),HYPERLINK(IF(OR(_xlfn.SINGLE(JobState)="MI",_xlfn.SINGLE(JobState)=""),"https://fema.maps.arcgis.com/apps/mapviewer/index.html?webmap=6a1702b9147243d1a5ee62cd614bc681&amp;center="&amp;$F42&amp;","&amp;$E42&amp;"&amp;level=16&amp;marker="&amp;$F42&amp;","&amp;$E42&amp;"",IF(_xlfn.SINGLE(JobState)="IN","https://fema.maps.arcgis.com/apps/mapviewer/index.html?url=https%3A%2F%2Fgis.indot.in.gov%2Fro%2Frest%2Fservices%2FRAH_GIO_Collaboration%2FLRSE_Functional_Class%2FFeatureServer%2F22&amp;find="&amp;$F42&amp;"%2C"&amp;$E42&amp;"&amp;marker="&amp;$F42&amp;","&amp;$E42&amp;",4326&amp;level=16",IF(_xlfn.SINGLE(JobState)="WI","https://fema.maps.arcgis.com/apps/mapviewer/index.html?url=https://services5.arcgis.com/0pgGLzT0Nh7FVjon/arcgis/rest/services/Functional_Class_Local_Non_Prod/FeatureServer/1&amp;find="&amp;$F42&amp;"%2C"&amp;$E42&amp;"&amp;marker="&amp;$F42&amp;","&amp;$E42&amp;",4326&amp;level=16",IF(_xlfn.SINGLE(JobState)="MN","https://fema.maps.arcgis.com/apps/mapviewer/index.html?url=https%3A%2F%2Fdotapp9.dot.state.mn.us%2Fegis12%2Frest%2Fservices%2FBASEMAP%2Fmndot_commonlayers2%2FMapServer%2F11&amp;find="&amp;$F42&amp;"%2C"&amp;$E42&amp;"&amp;marker="&amp;$F42&amp;","&amp;$E42&amp;",4326&amp;level=16",IF(_xlfn.SINGLE(JobState)="IL","https://fema.maps.arcgis.com/apps/mapviewer/index.html?url=https%3A%2F%2Fgis1.dot.illinois.gov%2Farcgis%2Frest%2Fservices%2FAdministrativeData%2FFunctionalClass%2FMapServer%2F0&amp;find="&amp;$F42&amp;"%2C"&amp;$E42&amp;"&amp;marker="&amp;$F42&amp;","&amp;$E42&amp;",4326&amp;level=16",IF(_xlfn.SINGLE(JobState)="OH","https://fema.maps.arcgis.com/apps/mapviewer/index.html?url=https%3A%2F%2Ftims.dot.state.oh.us%2Fags%2Frest%2Fservices%2FRoadway_Information%2FFunctional_Class%2FMapServer%2F0&amp;find="&amp;$F42&amp;"%2C"&amp;$E42&amp;"&amp;marker="&amp;$F42&amp;","&amp;$E42&amp;",4326&amp;level=16","https://fema.maps.arcgis.com/apps/mapviewer/index.html?find="&amp;$F42&amp;"%2C"&amp;$E42&amp;"&amp;marker="&amp;$F42&amp;","&amp;$E42&amp;",4326&amp;level=16")))))),IF(_xlfn.SINGLE(JobState)="WI","Review Local Roads Layer","Review NFC AGOL Layer"))))</f>
        <v/>
      </c>
      <c r="N42" s="6" t="str">
        <f>IF(OR($E42="",$F42=""),"",IF(_xlfn.SINGLE(JobState)="",IF(ROW()=2,HYPERLINK("#JobState","Set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amp;"%2C"&amp;$E42&amp;"&amp;marker="&amp;$F42&amp;","&amp;$E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 s="6" t="str">
        <f>IF(OR($E42="", $F42=""),"",IF(_xlfn.SINGLE(JobAgolMap)="",HYPERLINK("https://fema.maps.arcgis.com/apps/mapviewer/index.html?find="&amp;$F42&amp;"%2C"&amp;$E42&amp;"&amp;marker="&amp;$F42&amp;","&amp;$E42&amp;",4326&amp;level=16","FEMA AGOL Map Viewer"),HYPERLINK(_xlfn.SINGLE(JobAgolMap)&amp;IF(ISNUMBER(FIND("?",_xlfn.SINGLE(JobAgolMap))),"&amp;","?")&amp;"center="&amp;$F42&amp;","&amp;$E42&amp;"&amp;level=16&amp;marker="&amp;$F42&amp;","&amp;$E42,"Open")))</f>
        <v/>
      </c>
      <c r="Q42" s="4"/>
      <c r="R42" s="4"/>
      <c r="W42" s="6" t="str">
        <f t="shared" si="0"/>
        <v/>
      </c>
      <c r="X42" s="6" t="str">
        <f t="shared" si="1"/>
        <v/>
      </c>
      <c r="Y42" s="6" t="str">
        <f t="shared" si="2"/>
        <v/>
      </c>
      <c r="Z42" s="6" t="str">
        <f t="shared" si="3"/>
        <v/>
      </c>
      <c r="AA42" s="6" t="str">
        <f t="shared" si="4"/>
        <v/>
      </c>
      <c r="AB42" s="6" t="str">
        <f t="shared" si="5"/>
        <v/>
      </c>
      <c r="AC42" s="4"/>
      <c r="AD42" s="4"/>
    </row>
    <row r="43" spans="1:30" x14ac:dyDescent="0.45">
      <c r="A43" s="3"/>
      <c r="B43" s="3"/>
      <c r="C43" s="5" t="str">
        <f>IF($E43="","",COUNT($E$2:$E43))</f>
        <v/>
      </c>
      <c r="D43" s="3"/>
      <c r="E43" s="3"/>
      <c r="F43" s="3"/>
      <c r="G43" s="3"/>
      <c r="H43" s="3"/>
      <c r="I43" s="3"/>
      <c r="J43" s="3"/>
      <c r="K43" s="3"/>
      <c r="L43" s="4"/>
      <c r="M43" s="6" t="str">
        <f>IF(OR($E43="",$F43=""),"",IF(_xlfn.SINGLE(JobState)="",IF(ROW()=2,HYPERLINK("#JobState","Set State →"),""),HYPERLINK(IF(OR(_xlfn.SINGLE(JobState)="MI",_xlfn.SINGLE(JobState)=""),"https://fema.maps.arcgis.com/apps/mapviewer/index.html?webmap=6a1702b9147243d1a5ee62cd614bc681&amp;center="&amp;$F43&amp;","&amp;$E43&amp;"&amp;level=16&amp;marker="&amp;$F43&amp;","&amp;$E43&amp;"",IF(_xlfn.SINGLE(JobState)="IN","https://fema.maps.arcgis.com/apps/mapviewer/index.html?url=https%3A%2F%2Fgis.indot.in.gov%2Fro%2Frest%2Fservices%2FRAH_GIO_Collaboration%2FLRSE_Functional_Class%2FFeatureServer%2F22&amp;find="&amp;$F43&amp;"%2C"&amp;$E43&amp;"&amp;marker="&amp;$F43&amp;","&amp;$E43&amp;",4326&amp;level=16",IF(_xlfn.SINGLE(JobState)="WI","https://fema.maps.arcgis.com/apps/mapviewer/index.html?url=https://services5.arcgis.com/0pgGLzT0Nh7FVjon/arcgis/rest/services/Functional_Class_Local_Non_Prod/FeatureServer/1&amp;find="&amp;$F43&amp;"%2C"&amp;$E43&amp;"&amp;marker="&amp;$F43&amp;","&amp;$E43&amp;",4326&amp;level=16",IF(_xlfn.SINGLE(JobState)="MN","https://fema.maps.arcgis.com/apps/mapviewer/index.html?url=https%3A%2F%2Fdotapp9.dot.state.mn.us%2Fegis12%2Frest%2Fservices%2FBASEMAP%2Fmndot_commonlayers2%2FMapServer%2F11&amp;find="&amp;$F43&amp;"%2C"&amp;$E43&amp;"&amp;marker="&amp;$F43&amp;","&amp;$E43&amp;",4326&amp;level=16",IF(_xlfn.SINGLE(JobState)="IL","https://fema.maps.arcgis.com/apps/mapviewer/index.html?url=https%3A%2F%2Fgis1.dot.illinois.gov%2Farcgis%2Frest%2Fservices%2FAdministrativeData%2FFunctionalClass%2FMapServer%2F0&amp;find="&amp;$F43&amp;"%2C"&amp;$E43&amp;"&amp;marker="&amp;$F43&amp;","&amp;$E43&amp;",4326&amp;level=16",IF(_xlfn.SINGLE(JobState)="OH","https://fema.maps.arcgis.com/apps/mapviewer/index.html?url=https%3A%2F%2Ftims.dot.state.oh.us%2Fags%2Frest%2Fservices%2FRoadway_Information%2FFunctional_Class%2FMapServer%2F0&amp;find="&amp;$F43&amp;"%2C"&amp;$E43&amp;"&amp;marker="&amp;$F43&amp;","&amp;$E43&amp;",4326&amp;level=16","https://fema.maps.arcgis.com/apps/mapviewer/index.html?find="&amp;$F43&amp;"%2C"&amp;$E43&amp;"&amp;marker="&amp;$F43&amp;","&amp;$E43&amp;",4326&amp;level=16")))))),IF(_xlfn.SINGLE(JobState)="WI","Review Local Roads Layer","Review NFC AGOL Layer"))))</f>
        <v/>
      </c>
      <c r="N43" s="6" t="str">
        <f>IF(OR($E43="",$F43=""),"",IF(_xlfn.SINGLE(JobState)="",IF(ROW()=2,HYPERLINK("#JobState","Set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amp;"%2C"&amp;$E43&amp;"&amp;marker="&amp;$F43&amp;","&amp;$E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 s="6" t="str">
        <f>IF(OR($E43="", $F43=""),"",IF(_xlfn.SINGLE(JobAgolMap)="",HYPERLINK("https://fema.maps.arcgis.com/apps/mapviewer/index.html?find="&amp;$F43&amp;"%2C"&amp;$E43&amp;"&amp;marker="&amp;$F43&amp;","&amp;$E43&amp;",4326&amp;level=16","FEMA AGOL Map Viewer"),HYPERLINK(_xlfn.SINGLE(JobAgolMap)&amp;IF(ISNUMBER(FIND("?",_xlfn.SINGLE(JobAgolMap))),"&amp;","?")&amp;"center="&amp;$F43&amp;","&amp;$E43&amp;"&amp;level=16&amp;marker="&amp;$F43&amp;","&amp;$E43,"Open")))</f>
        <v/>
      </c>
      <c r="Q43" s="4"/>
      <c r="R43" s="4"/>
      <c r="W43" s="6" t="str">
        <f t="shared" si="0"/>
        <v/>
      </c>
      <c r="X43" s="6" t="str">
        <f t="shared" si="1"/>
        <v/>
      </c>
      <c r="Y43" s="6" t="str">
        <f t="shared" si="2"/>
        <v/>
      </c>
      <c r="Z43" s="6" t="str">
        <f t="shared" si="3"/>
        <v/>
      </c>
      <c r="AA43" s="6" t="str">
        <f t="shared" si="4"/>
        <v/>
      </c>
      <c r="AB43" s="6" t="str">
        <f t="shared" si="5"/>
        <v/>
      </c>
      <c r="AC43" s="4"/>
      <c r="AD43" s="4"/>
    </row>
    <row r="44" spans="1:30" x14ac:dyDescent="0.45">
      <c r="A44" s="3"/>
      <c r="B44" s="3"/>
      <c r="C44" s="5" t="str">
        <f>IF($E44="","",COUNT($E$2:$E44))</f>
        <v/>
      </c>
      <c r="D44" s="3"/>
      <c r="E44" s="3"/>
      <c r="F44" s="3"/>
      <c r="G44" s="3"/>
      <c r="H44" s="3"/>
      <c r="I44" s="3"/>
      <c r="J44" s="3"/>
      <c r="K44" s="3"/>
      <c r="L44" s="4"/>
      <c r="M44" s="6" t="str">
        <f>IF(OR($E44="",$F44=""),"",IF(_xlfn.SINGLE(JobState)="",IF(ROW()=2,HYPERLINK("#JobState","Set State →"),""),HYPERLINK(IF(OR(_xlfn.SINGLE(JobState)="MI",_xlfn.SINGLE(JobState)=""),"https://fema.maps.arcgis.com/apps/mapviewer/index.html?webmap=6a1702b9147243d1a5ee62cd614bc681&amp;center="&amp;$F44&amp;","&amp;$E44&amp;"&amp;level=16&amp;marker="&amp;$F44&amp;","&amp;$E44&amp;"",IF(_xlfn.SINGLE(JobState)="IN","https://fema.maps.arcgis.com/apps/mapviewer/index.html?url=https%3A%2F%2Fgis.indot.in.gov%2Fro%2Frest%2Fservices%2FRAH_GIO_Collaboration%2FLRSE_Functional_Class%2FFeatureServer%2F22&amp;find="&amp;$F44&amp;"%2C"&amp;$E44&amp;"&amp;marker="&amp;$F44&amp;","&amp;$E44&amp;",4326&amp;level=16",IF(_xlfn.SINGLE(JobState)="WI","https://fema.maps.arcgis.com/apps/mapviewer/index.html?url=https://services5.arcgis.com/0pgGLzT0Nh7FVjon/arcgis/rest/services/Functional_Class_Local_Non_Prod/FeatureServer/1&amp;find="&amp;$F44&amp;"%2C"&amp;$E44&amp;"&amp;marker="&amp;$F44&amp;","&amp;$E44&amp;",4326&amp;level=16",IF(_xlfn.SINGLE(JobState)="MN","https://fema.maps.arcgis.com/apps/mapviewer/index.html?url=https%3A%2F%2Fdotapp9.dot.state.mn.us%2Fegis12%2Frest%2Fservices%2FBASEMAP%2Fmndot_commonlayers2%2FMapServer%2F11&amp;find="&amp;$F44&amp;"%2C"&amp;$E44&amp;"&amp;marker="&amp;$F44&amp;","&amp;$E44&amp;",4326&amp;level=16",IF(_xlfn.SINGLE(JobState)="IL","https://fema.maps.arcgis.com/apps/mapviewer/index.html?url=https%3A%2F%2Fgis1.dot.illinois.gov%2Farcgis%2Frest%2Fservices%2FAdministrativeData%2FFunctionalClass%2FMapServer%2F0&amp;find="&amp;$F44&amp;"%2C"&amp;$E44&amp;"&amp;marker="&amp;$F44&amp;","&amp;$E44&amp;",4326&amp;level=16",IF(_xlfn.SINGLE(JobState)="OH","https://fema.maps.arcgis.com/apps/mapviewer/index.html?url=https%3A%2F%2Ftims.dot.state.oh.us%2Fags%2Frest%2Fservices%2FRoadway_Information%2FFunctional_Class%2FMapServer%2F0&amp;find="&amp;$F44&amp;"%2C"&amp;$E44&amp;"&amp;marker="&amp;$F44&amp;","&amp;$E44&amp;",4326&amp;level=16","https://fema.maps.arcgis.com/apps/mapviewer/index.html?find="&amp;$F44&amp;"%2C"&amp;$E44&amp;"&amp;marker="&amp;$F44&amp;","&amp;$E44&amp;",4326&amp;level=16")))))),IF(_xlfn.SINGLE(JobState)="WI","Review Local Roads Layer","Review NFC AGOL Layer"))))</f>
        <v/>
      </c>
      <c r="N44" s="6" t="str">
        <f>IF(OR($E44="",$F44=""),"",IF(_xlfn.SINGLE(JobState)="",IF(ROW()=2,HYPERLINK("#JobState","Set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amp;"%2C"&amp;$E44&amp;"&amp;marker="&amp;$F44&amp;","&amp;$E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 s="6" t="str">
        <f>IF(OR($E44="", $F44=""),"",IF(_xlfn.SINGLE(JobAgolMap)="",HYPERLINK("https://fema.maps.arcgis.com/apps/mapviewer/index.html?find="&amp;$F44&amp;"%2C"&amp;$E44&amp;"&amp;marker="&amp;$F44&amp;","&amp;$E44&amp;",4326&amp;level=16","FEMA AGOL Map Viewer"),HYPERLINK(_xlfn.SINGLE(JobAgolMap)&amp;IF(ISNUMBER(FIND("?",_xlfn.SINGLE(JobAgolMap))),"&amp;","?")&amp;"center="&amp;$F44&amp;","&amp;$E44&amp;"&amp;level=16&amp;marker="&amp;$F44&amp;","&amp;$E44,"Open")))</f>
        <v/>
      </c>
      <c r="Q44" s="4"/>
      <c r="R44" s="4"/>
      <c r="W44" s="6" t="str">
        <f t="shared" si="0"/>
        <v/>
      </c>
      <c r="X44" s="6" t="str">
        <f t="shared" si="1"/>
        <v/>
      </c>
      <c r="Y44" s="6" t="str">
        <f t="shared" si="2"/>
        <v/>
      </c>
      <c r="Z44" s="6" t="str">
        <f t="shared" si="3"/>
        <v/>
      </c>
      <c r="AA44" s="6" t="str">
        <f t="shared" si="4"/>
        <v/>
      </c>
      <c r="AB44" s="6" t="str">
        <f t="shared" si="5"/>
        <v/>
      </c>
      <c r="AC44" s="4"/>
      <c r="AD44" s="4"/>
    </row>
    <row r="45" spans="1:30" x14ac:dyDescent="0.45">
      <c r="A45" s="3"/>
      <c r="B45" s="3"/>
      <c r="C45" s="5" t="str">
        <f>IF($E45="","",COUNT($E$2:$E45))</f>
        <v/>
      </c>
      <c r="D45" s="3"/>
      <c r="E45" s="3"/>
      <c r="F45" s="3"/>
      <c r="G45" s="3"/>
      <c r="H45" s="3"/>
      <c r="I45" s="3"/>
      <c r="J45" s="3"/>
      <c r="K45" s="3"/>
      <c r="L45" s="4"/>
      <c r="M45" s="6" t="str">
        <f>IF(OR($E45="",$F45=""),"",IF(_xlfn.SINGLE(JobState)="",IF(ROW()=2,HYPERLINK("#JobState","Set State →"),""),HYPERLINK(IF(OR(_xlfn.SINGLE(JobState)="MI",_xlfn.SINGLE(JobState)=""),"https://fema.maps.arcgis.com/apps/mapviewer/index.html?webmap=6a1702b9147243d1a5ee62cd614bc681&amp;center="&amp;$F45&amp;","&amp;$E45&amp;"&amp;level=16&amp;marker="&amp;$F45&amp;","&amp;$E45&amp;"",IF(_xlfn.SINGLE(JobState)="IN","https://fema.maps.arcgis.com/apps/mapviewer/index.html?url=https%3A%2F%2Fgis.indot.in.gov%2Fro%2Frest%2Fservices%2FRAH_GIO_Collaboration%2FLRSE_Functional_Class%2FFeatureServer%2F22&amp;find="&amp;$F45&amp;"%2C"&amp;$E45&amp;"&amp;marker="&amp;$F45&amp;","&amp;$E45&amp;",4326&amp;level=16",IF(_xlfn.SINGLE(JobState)="WI","https://fema.maps.arcgis.com/apps/mapviewer/index.html?url=https://services5.arcgis.com/0pgGLzT0Nh7FVjon/arcgis/rest/services/Functional_Class_Local_Non_Prod/FeatureServer/1&amp;find="&amp;$F45&amp;"%2C"&amp;$E45&amp;"&amp;marker="&amp;$F45&amp;","&amp;$E45&amp;",4326&amp;level=16",IF(_xlfn.SINGLE(JobState)="MN","https://fema.maps.arcgis.com/apps/mapviewer/index.html?url=https%3A%2F%2Fdotapp9.dot.state.mn.us%2Fegis12%2Frest%2Fservices%2FBASEMAP%2Fmndot_commonlayers2%2FMapServer%2F11&amp;find="&amp;$F45&amp;"%2C"&amp;$E45&amp;"&amp;marker="&amp;$F45&amp;","&amp;$E45&amp;",4326&amp;level=16",IF(_xlfn.SINGLE(JobState)="IL","https://fema.maps.arcgis.com/apps/mapviewer/index.html?url=https%3A%2F%2Fgis1.dot.illinois.gov%2Farcgis%2Frest%2Fservices%2FAdministrativeData%2FFunctionalClass%2FMapServer%2F0&amp;find="&amp;$F45&amp;"%2C"&amp;$E45&amp;"&amp;marker="&amp;$F45&amp;","&amp;$E45&amp;",4326&amp;level=16",IF(_xlfn.SINGLE(JobState)="OH","https://fema.maps.arcgis.com/apps/mapviewer/index.html?url=https%3A%2F%2Ftims.dot.state.oh.us%2Fags%2Frest%2Fservices%2FRoadway_Information%2FFunctional_Class%2FMapServer%2F0&amp;find="&amp;$F45&amp;"%2C"&amp;$E45&amp;"&amp;marker="&amp;$F45&amp;","&amp;$E45&amp;",4326&amp;level=16","https://fema.maps.arcgis.com/apps/mapviewer/index.html?find="&amp;$F45&amp;"%2C"&amp;$E45&amp;"&amp;marker="&amp;$F45&amp;","&amp;$E45&amp;",4326&amp;level=16")))))),IF(_xlfn.SINGLE(JobState)="WI","Review Local Roads Layer","Review NFC AGOL Layer"))))</f>
        <v/>
      </c>
      <c r="N45" s="6" t="str">
        <f>IF(OR($E45="",$F45=""),"",IF(_xlfn.SINGLE(JobState)="",IF(ROW()=2,HYPERLINK("#JobState","Set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amp;"%2C"&amp;$E45&amp;"&amp;marker="&amp;$F45&amp;","&amp;$E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 s="6" t="str">
        <f>IF(OR($E45="", $F45=""),"",IF(_xlfn.SINGLE(JobAgolMap)="",HYPERLINK("https://fema.maps.arcgis.com/apps/mapviewer/index.html?find="&amp;$F45&amp;"%2C"&amp;$E45&amp;"&amp;marker="&amp;$F45&amp;","&amp;$E45&amp;",4326&amp;level=16","FEMA AGOL Map Viewer"),HYPERLINK(_xlfn.SINGLE(JobAgolMap)&amp;IF(ISNUMBER(FIND("?",_xlfn.SINGLE(JobAgolMap))),"&amp;","?")&amp;"center="&amp;$F45&amp;","&amp;$E45&amp;"&amp;level=16&amp;marker="&amp;$F45&amp;","&amp;$E45,"Open")))</f>
        <v/>
      </c>
      <c r="Q45" s="4"/>
      <c r="R45" s="4"/>
      <c r="W45" s="6" t="str">
        <f t="shared" si="0"/>
        <v/>
      </c>
      <c r="X45" s="6" t="str">
        <f t="shared" si="1"/>
        <v/>
      </c>
      <c r="Y45" s="6" t="str">
        <f t="shared" si="2"/>
        <v/>
      </c>
      <c r="Z45" s="6" t="str">
        <f t="shared" si="3"/>
        <v/>
      </c>
      <c r="AA45" s="6" t="str">
        <f t="shared" si="4"/>
        <v/>
      </c>
      <c r="AB45" s="6" t="str">
        <f t="shared" si="5"/>
        <v/>
      </c>
      <c r="AC45" s="4"/>
      <c r="AD45" s="4"/>
    </row>
    <row r="46" spans="1:30" x14ac:dyDescent="0.45">
      <c r="A46" s="3"/>
      <c r="B46" s="3"/>
      <c r="C46" s="5" t="str">
        <f>IF($E46="","",COUNT($E$2:$E46))</f>
        <v/>
      </c>
      <c r="D46" s="3"/>
      <c r="E46" s="3"/>
      <c r="F46" s="3"/>
      <c r="G46" s="3"/>
      <c r="H46" s="3"/>
      <c r="I46" s="3"/>
      <c r="J46" s="3"/>
      <c r="K46" s="3"/>
      <c r="L46" s="4"/>
      <c r="M46" s="6" t="str">
        <f>IF(OR($E46="",$F46=""),"",IF(_xlfn.SINGLE(JobState)="",IF(ROW()=2,HYPERLINK("#JobState","Set State →"),""),HYPERLINK(IF(OR(_xlfn.SINGLE(JobState)="MI",_xlfn.SINGLE(JobState)=""),"https://fema.maps.arcgis.com/apps/mapviewer/index.html?webmap=6a1702b9147243d1a5ee62cd614bc681&amp;center="&amp;$F46&amp;","&amp;$E46&amp;"&amp;level=16&amp;marker="&amp;$F46&amp;","&amp;$E46&amp;"",IF(_xlfn.SINGLE(JobState)="IN","https://fema.maps.arcgis.com/apps/mapviewer/index.html?url=https%3A%2F%2Fgis.indot.in.gov%2Fro%2Frest%2Fservices%2FRAH_GIO_Collaboration%2FLRSE_Functional_Class%2FFeatureServer%2F22&amp;find="&amp;$F46&amp;"%2C"&amp;$E46&amp;"&amp;marker="&amp;$F46&amp;","&amp;$E46&amp;",4326&amp;level=16",IF(_xlfn.SINGLE(JobState)="WI","https://fema.maps.arcgis.com/apps/mapviewer/index.html?url=https://services5.arcgis.com/0pgGLzT0Nh7FVjon/arcgis/rest/services/Functional_Class_Local_Non_Prod/FeatureServer/1&amp;find="&amp;$F46&amp;"%2C"&amp;$E46&amp;"&amp;marker="&amp;$F46&amp;","&amp;$E46&amp;",4326&amp;level=16",IF(_xlfn.SINGLE(JobState)="MN","https://fema.maps.arcgis.com/apps/mapviewer/index.html?url=https%3A%2F%2Fdotapp9.dot.state.mn.us%2Fegis12%2Frest%2Fservices%2FBASEMAP%2Fmndot_commonlayers2%2FMapServer%2F11&amp;find="&amp;$F46&amp;"%2C"&amp;$E46&amp;"&amp;marker="&amp;$F46&amp;","&amp;$E46&amp;",4326&amp;level=16",IF(_xlfn.SINGLE(JobState)="IL","https://fema.maps.arcgis.com/apps/mapviewer/index.html?url=https%3A%2F%2Fgis1.dot.illinois.gov%2Farcgis%2Frest%2Fservices%2FAdministrativeData%2FFunctionalClass%2FMapServer%2F0&amp;find="&amp;$F46&amp;"%2C"&amp;$E46&amp;"&amp;marker="&amp;$F46&amp;","&amp;$E46&amp;",4326&amp;level=16",IF(_xlfn.SINGLE(JobState)="OH","https://fema.maps.arcgis.com/apps/mapviewer/index.html?url=https%3A%2F%2Ftims.dot.state.oh.us%2Fags%2Frest%2Fservices%2FRoadway_Information%2FFunctional_Class%2FMapServer%2F0&amp;find="&amp;$F46&amp;"%2C"&amp;$E46&amp;"&amp;marker="&amp;$F46&amp;","&amp;$E46&amp;",4326&amp;level=16","https://fema.maps.arcgis.com/apps/mapviewer/index.html?find="&amp;$F46&amp;"%2C"&amp;$E46&amp;"&amp;marker="&amp;$F46&amp;","&amp;$E46&amp;",4326&amp;level=16")))))),IF(_xlfn.SINGLE(JobState)="WI","Review Local Roads Layer","Review NFC AGOL Layer"))))</f>
        <v/>
      </c>
      <c r="N46" s="6" t="str">
        <f>IF(OR($E46="",$F46=""),"",IF(_xlfn.SINGLE(JobState)="",IF(ROW()=2,HYPERLINK("#JobState","Set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amp;"%2C"&amp;$E46&amp;"&amp;marker="&amp;$F46&amp;","&amp;$E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 s="6" t="str">
        <f>IF(OR($E46="", $F46=""),"",IF(_xlfn.SINGLE(JobAgolMap)="",HYPERLINK("https://fema.maps.arcgis.com/apps/mapviewer/index.html?find="&amp;$F46&amp;"%2C"&amp;$E46&amp;"&amp;marker="&amp;$F46&amp;","&amp;$E46&amp;",4326&amp;level=16","FEMA AGOL Map Viewer"),HYPERLINK(_xlfn.SINGLE(JobAgolMap)&amp;IF(ISNUMBER(FIND("?",_xlfn.SINGLE(JobAgolMap))),"&amp;","?")&amp;"center="&amp;$F46&amp;","&amp;$E46&amp;"&amp;level=16&amp;marker="&amp;$F46&amp;","&amp;$E46,"Open")))</f>
        <v/>
      </c>
      <c r="Q46" s="4"/>
      <c r="R46" s="4"/>
      <c r="W46" s="6" t="str">
        <f t="shared" si="0"/>
        <v/>
      </c>
      <c r="X46" s="6" t="str">
        <f t="shared" si="1"/>
        <v/>
      </c>
      <c r="Y46" s="6" t="str">
        <f t="shared" si="2"/>
        <v/>
      </c>
      <c r="Z46" s="6" t="str">
        <f t="shared" si="3"/>
        <v/>
      </c>
      <c r="AA46" s="6" t="str">
        <f t="shared" si="4"/>
        <v/>
      </c>
      <c r="AB46" s="6" t="str">
        <f t="shared" si="5"/>
        <v/>
      </c>
      <c r="AC46" s="4"/>
      <c r="AD46" s="4"/>
    </row>
    <row r="47" spans="1:30" x14ac:dyDescent="0.45">
      <c r="A47" s="3"/>
      <c r="B47" s="3"/>
      <c r="C47" s="5" t="str">
        <f>IF($E47="","",COUNT($E$2:$E47))</f>
        <v/>
      </c>
      <c r="D47" s="3"/>
      <c r="E47" s="3"/>
      <c r="F47" s="3"/>
      <c r="G47" s="3"/>
      <c r="H47" s="3"/>
      <c r="I47" s="3"/>
      <c r="J47" s="3"/>
      <c r="K47" s="3"/>
      <c r="L47" s="4"/>
      <c r="M47" s="6" t="str">
        <f>IF(OR($E47="",$F47=""),"",IF(_xlfn.SINGLE(JobState)="",IF(ROW()=2,HYPERLINK("#JobState","Set State →"),""),HYPERLINK(IF(OR(_xlfn.SINGLE(JobState)="MI",_xlfn.SINGLE(JobState)=""),"https://fema.maps.arcgis.com/apps/mapviewer/index.html?webmap=6a1702b9147243d1a5ee62cd614bc681&amp;center="&amp;$F47&amp;","&amp;$E47&amp;"&amp;level=16&amp;marker="&amp;$F47&amp;","&amp;$E47&amp;"",IF(_xlfn.SINGLE(JobState)="IN","https://fema.maps.arcgis.com/apps/mapviewer/index.html?url=https%3A%2F%2Fgis.indot.in.gov%2Fro%2Frest%2Fservices%2FRAH_GIO_Collaboration%2FLRSE_Functional_Class%2FFeatureServer%2F22&amp;find="&amp;$F47&amp;"%2C"&amp;$E47&amp;"&amp;marker="&amp;$F47&amp;","&amp;$E47&amp;",4326&amp;level=16",IF(_xlfn.SINGLE(JobState)="WI","https://fema.maps.arcgis.com/apps/mapviewer/index.html?url=https://services5.arcgis.com/0pgGLzT0Nh7FVjon/arcgis/rest/services/Functional_Class_Local_Non_Prod/FeatureServer/1&amp;find="&amp;$F47&amp;"%2C"&amp;$E47&amp;"&amp;marker="&amp;$F47&amp;","&amp;$E47&amp;",4326&amp;level=16",IF(_xlfn.SINGLE(JobState)="MN","https://fema.maps.arcgis.com/apps/mapviewer/index.html?url=https%3A%2F%2Fdotapp9.dot.state.mn.us%2Fegis12%2Frest%2Fservices%2FBASEMAP%2Fmndot_commonlayers2%2FMapServer%2F11&amp;find="&amp;$F47&amp;"%2C"&amp;$E47&amp;"&amp;marker="&amp;$F47&amp;","&amp;$E47&amp;",4326&amp;level=16",IF(_xlfn.SINGLE(JobState)="IL","https://fema.maps.arcgis.com/apps/mapviewer/index.html?url=https%3A%2F%2Fgis1.dot.illinois.gov%2Farcgis%2Frest%2Fservices%2FAdministrativeData%2FFunctionalClass%2FMapServer%2F0&amp;find="&amp;$F47&amp;"%2C"&amp;$E47&amp;"&amp;marker="&amp;$F47&amp;","&amp;$E47&amp;",4326&amp;level=16",IF(_xlfn.SINGLE(JobState)="OH","https://fema.maps.arcgis.com/apps/mapviewer/index.html?url=https%3A%2F%2Ftims.dot.state.oh.us%2Fags%2Frest%2Fservices%2FRoadway_Information%2FFunctional_Class%2FMapServer%2F0&amp;find="&amp;$F47&amp;"%2C"&amp;$E47&amp;"&amp;marker="&amp;$F47&amp;","&amp;$E47&amp;",4326&amp;level=16","https://fema.maps.arcgis.com/apps/mapviewer/index.html?find="&amp;$F47&amp;"%2C"&amp;$E47&amp;"&amp;marker="&amp;$F47&amp;","&amp;$E47&amp;",4326&amp;level=16")))))),IF(_xlfn.SINGLE(JobState)="WI","Review Local Roads Layer","Review NFC AGOL Layer"))))</f>
        <v/>
      </c>
      <c r="N47" s="6" t="str">
        <f>IF(OR($E47="",$F47=""),"",IF(_xlfn.SINGLE(JobState)="",IF(ROW()=2,HYPERLINK("#JobState","Set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amp;"%2C"&amp;$E47&amp;"&amp;marker="&amp;$F47&amp;","&amp;$E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 s="6" t="str">
        <f>IF(OR($E47="", $F47=""),"",IF(_xlfn.SINGLE(JobAgolMap)="",HYPERLINK("https://fema.maps.arcgis.com/apps/mapviewer/index.html?find="&amp;$F47&amp;"%2C"&amp;$E47&amp;"&amp;marker="&amp;$F47&amp;","&amp;$E47&amp;",4326&amp;level=16","FEMA AGOL Map Viewer"),HYPERLINK(_xlfn.SINGLE(JobAgolMap)&amp;IF(ISNUMBER(FIND("?",_xlfn.SINGLE(JobAgolMap))),"&amp;","?")&amp;"center="&amp;$F47&amp;","&amp;$E47&amp;"&amp;level=16&amp;marker="&amp;$F47&amp;","&amp;$E47,"Open")))</f>
        <v/>
      </c>
      <c r="Q47" s="4"/>
      <c r="R47" s="4"/>
      <c r="W47" s="6" t="str">
        <f t="shared" si="0"/>
        <v/>
      </c>
      <c r="X47" s="6" t="str">
        <f t="shared" si="1"/>
        <v/>
      </c>
      <c r="Y47" s="6" t="str">
        <f t="shared" si="2"/>
        <v/>
      </c>
      <c r="Z47" s="6" t="str">
        <f t="shared" si="3"/>
        <v/>
      </c>
      <c r="AA47" s="6" t="str">
        <f t="shared" si="4"/>
        <v/>
      </c>
      <c r="AB47" s="6" t="str">
        <f t="shared" si="5"/>
        <v/>
      </c>
      <c r="AC47" s="4"/>
      <c r="AD47" s="4"/>
    </row>
    <row r="48" spans="1:30" x14ac:dyDescent="0.45">
      <c r="A48" s="3"/>
      <c r="B48" s="3"/>
      <c r="C48" s="5" t="str">
        <f>IF($E48="","",COUNT($E$2:$E48))</f>
        <v/>
      </c>
      <c r="D48" s="3"/>
      <c r="E48" s="3"/>
      <c r="F48" s="3"/>
      <c r="G48" s="3"/>
      <c r="H48" s="3"/>
      <c r="I48" s="3"/>
      <c r="J48" s="3"/>
      <c r="K48" s="3"/>
      <c r="L48" s="4"/>
      <c r="M48" s="6" t="str">
        <f>IF(OR($E48="",$F48=""),"",IF(_xlfn.SINGLE(JobState)="",IF(ROW()=2,HYPERLINK("#JobState","Set State →"),""),HYPERLINK(IF(OR(_xlfn.SINGLE(JobState)="MI",_xlfn.SINGLE(JobState)=""),"https://fema.maps.arcgis.com/apps/mapviewer/index.html?webmap=6a1702b9147243d1a5ee62cd614bc681&amp;center="&amp;$F48&amp;","&amp;$E48&amp;"&amp;level=16&amp;marker="&amp;$F48&amp;","&amp;$E48&amp;"",IF(_xlfn.SINGLE(JobState)="IN","https://fema.maps.arcgis.com/apps/mapviewer/index.html?url=https%3A%2F%2Fgis.indot.in.gov%2Fro%2Frest%2Fservices%2FRAH_GIO_Collaboration%2FLRSE_Functional_Class%2FFeatureServer%2F22&amp;find="&amp;$F48&amp;"%2C"&amp;$E48&amp;"&amp;marker="&amp;$F48&amp;","&amp;$E48&amp;",4326&amp;level=16",IF(_xlfn.SINGLE(JobState)="WI","https://fema.maps.arcgis.com/apps/mapviewer/index.html?url=https://services5.arcgis.com/0pgGLzT0Nh7FVjon/arcgis/rest/services/Functional_Class_Local_Non_Prod/FeatureServer/1&amp;find="&amp;$F48&amp;"%2C"&amp;$E48&amp;"&amp;marker="&amp;$F48&amp;","&amp;$E48&amp;",4326&amp;level=16",IF(_xlfn.SINGLE(JobState)="MN","https://fema.maps.arcgis.com/apps/mapviewer/index.html?url=https%3A%2F%2Fdotapp9.dot.state.mn.us%2Fegis12%2Frest%2Fservices%2FBASEMAP%2Fmndot_commonlayers2%2FMapServer%2F11&amp;find="&amp;$F48&amp;"%2C"&amp;$E48&amp;"&amp;marker="&amp;$F48&amp;","&amp;$E48&amp;",4326&amp;level=16",IF(_xlfn.SINGLE(JobState)="IL","https://fema.maps.arcgis.com/apps/mapviewer/index.html?url=https%3A%2F%2Fgis1.dot.illinois.gov%2Farcgis%2Frest%2Fservices%2FAdministrativeData%2FFunctionalClass%2FMapServer%2F0&amp;find="&amp;$F48&amp;"%2C"&amp;$E48&amp;"&amp;marker="&amp;$F48&amp;","&amp;$E48&amp;",4326&amp;level=16",IF(_xlfn.SINGLE(JobState)="OH","https://fema.maps.arcgis.com/apps/mapviewer/index.html?url=https%3A%2F%2Ftims.dot.state.oh.us%2Fags%2Frest%2Fservices%2FRoadway_Information%2FFunctional_Class%2FMapServer%2F0&amp;find="&amp;$F48&amp;"%2C"&amp;$E48&amp;"&amp;marker="&amp;$F48&amp;","&amp;$E48&amp;",4326&amp;level=16","https://fema.maps.arcgis.com/apps/mapviewer/index.html?find="&amp;$F48&amp;"%2C"&amp;$E48&amp;"&amp;marker="&amp;$F48&amp;","&amp;$E48&amp;",4326&amp;level=16")))))),IF(_xlfn.SINGLE(JobState)="WI","Review Local Roads Layer","Review NFC AGOL Layer"))))</f>
        <v/>
      </c>
      <c r="N48" s="6" t="str">
        <f>IF(OR($E48="",$F48=""),"",IF(_xlfn.SINGLE(JobState)="",IF(ROW()=2,HYPERLINK("#JobState","Set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amp;"%2C"&amp;$E48&amp;"&amp;marker="&amp;$F48&amp;","&amp;$E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 s="6" t="str">
        <f>IF(OR($E48="", $F48=""),"",IF(_xlfn.SINGLE(JobAgolMap)="",HYPERLINK("https://fema.maps.arcgis.com/apps/mapviewer/index.html?find="&amp;$F48&amp;"%2C"&amp;$E48&amp;"&amp;marker="&amp;$F48&amp;","&amp;$E48&amp;",4326&amp;level=16","FEMA AGOL Map Viewer"),HYPERLINK(_xlfn.SINGLE(JobAgolMap)&amp;IF(ISNUMBER(FIND("?",_xlfn.SINGLE(JobAgolMap))),"&amp;","?")&amp;"center="&amp;$F48&amp;","&amp;$E48&amp;"&amp;level=16&amp;marker="&amp;$F48&amp;","&amp;$E48,"Open")))</f>
        <v/>
      </c>
      <c r="Q48" s="4"/>
      <c r="R48" s="4"/>
      <c r="W48" s="6" t="str">
        <f t="shared" si="0"/>
        <v/>
      </c>
      <c r="X48" s="6" t="str">
        <f t="shared" si="1"/>
        <v/>
      </c>
      <c r="Y48" s="6" t="str">
        <f t="shared" si="2"/>
        <v/>
      </c>
      <c r="Z48" s="6" t="str">
        <f t="shared" si="3"/>
        <v/>
      </c>
      <c r="AA48" s="6" t="str">
        <f t="shared" si="4"/>
        <v/>
      </c>
      <c r="AB48" s="6" t="str">
        <f t="shared" si="5"/>
        <v/>
      </c>
      <c r="AC48" s="4"/>
      <c r="AD48" s="4"/>
    </row>
    <row r="49" spans="1:30" x14ac:dyDescent="0.45">
      <c r="A49" s="3"/>
      <c r="B49" s="3"/>
      <c r="C49" s="5" t="str">
        <f>IF($E49="","",COUNT($E$2:$E49))</f>
        <v/>
      </c>
      <c r="D49" s="3"/>
      <c r="E49" s="3"/>
      <c r="F49" s="3"/>
      <c r="G49" s="3"/>
      <c r="H49" s="3"/>
      <c r="I49" s="3"/>
      <c r="J49" s="3"/>
      <c r="K49" s="3"/>
      <c r="L49" s="4"/>
      <c r="M49" s="6" t="str">
        <f>IF(OR($E49="",$F49=""),"",IF(_xlfn.SINGLE(JobState)="",IF(ROW()=2,HYPERLINK("#JobState","Set State →"),""),HYPERLINK(IF(OR(_xlfn.SINGLE(JobState)="MI",_xlfn.SINGLE(JobState)=""),"https://fema.maps.arcgis.com/apps/mapviewer/index.html?webmap=6a1702b9147243d1a5ee62cd614bc681&amp;center="&amp;$F49&amp;","&amp;$E49&amp;"&amp;level=16&amp;marker="&amp;$F49&amp;","&amp;$E49&amp;"",IF(_xlfn.SINGLE(JobState)="IN","https://fema.maps.arcgis.com/apps/mapviewer/index.html?url=https%3A%2F%2Fgis.indot.in.gov%2Fro%2Frest%2Fservices%2FRAH_GIO_Collaboration%2FLRSE_Functional_Class%2FFeatureServer%2F22&amp;find="&amp;$F49&amp;"%2C"&amp;$E49&amp;"&amp;marker="&amp;$F49&amp;","&amp;$E49&amp;",4326&amp;level=16",IF(_xlfn.SINGLE(JobState)="WI","https://fema.maps.arcgis.com/apps/mapviewer/index.html?url=https://services5.arcgis.com/0pgGLzT0Nh7FVjon/arcgis/rest/services/Functional_Class_Local_Non_Prod/FeatureServer/1&amp;find="&amp;$F49&amp;"%2C"&amp;$E49&amp;"&amp;marker="&amp;$F49&amp;","&amp;$E49&amp;",4326&amp;level=16",IF(_xlfn.SINGLE(JobState)="MN","https://fema.maps.arcgis.com/apps/mapviewer/index.html?url=https%3A%2F%2Fdotapp9.dot.state.mn.us%2Fegis12%2Frest%2Fservices%2FBASEMAP%2Fmndot_commonlayers2%2FMapServer%2F11&amp;find="&amp;$F49&amp;"%2C"&amp;$E49&amp;"&amp;marker="&amp;$F49&amp;","&amp;$E49&amp;",4326&amp;level=16",IF(_xlfn.SINGLE(JobState)="IL","https://fema.maps.arcgis.com/apps/mapviewer/index.html?url=https%3A%2F%2Fgis1.dot.illinois.gov%2Farcgis%2Frest%2Fservices%2FAdministrativeData%2FFunctionalClass%2FMapServer%2F0&amp;find="&amp;$F49&amp;"%2C"&amp;$E49&amp;"&amp;marker="&amp;$F49&amp;","&amp;$E49&amp;",4326&amp;level=16",IF(_xlfn.SINGLE(JobState)="OH","https://fema.maps.arcgis.com/apps/mapviewer/index.html?url=https%3A%2F%2Ftims.dot.state.oh.us%2Fags%2Frest%2Fservices%2FRoadway_Information%2FFunctional_Class%2FMapServer%2F0&amp;find="&amp;$F49&amp;"%2C"&amp;$E49&amp;"&amp;marker="&amp;$F49&amp;","&amp;$E49&amp;",4326&amp;level=16","https://fema.maps.arcgis.com/apps/mapviewer/index.html?find="&amp;$F49&amp;"%2C"&amp;$E49&amp;"&amp;marker="&amp;$F49&amp;","&amp;$E49&amp;",4326&amp;level=16")))))),IF(_xlfn.SINGLE(JobState)="WI","Review Local Roads Layer","Review NFC AGOL Layer"))))</f>
        <v/>
      </c>
      <c r="N49" s="6" t="str">
        <f>IF(OR($E49="",$F49=""),"",IF(_xlfn.SINGLE(JobState)="",IF(ROW()=2,HYPERLINK("#JobState","Set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amp;"%2C"&amp;$E49&amp;"&amp;marker="&amp;$F49&amp;","&amp;$E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 s="6" t="str">
        <f>IF(OR($E49="", $F49=""),"",IF(_xlfn.SINGLE(JobAgolMap)="",HYPERLINK("https://fema.maps.arcgis.com/apps/mapviewer/index.html?find="&amp;$F49&amp;"%2C"&amp;$E49&amp;"&amp;marker="&amp;$F49&amp;","&amp;$E49&amp;",4326&amp;level=16","FEMA AGOL Map Viewer"),HYPERLINK(_xlfn.SINGLE(JobAgolMap)&amp;IF(ISNUMBER(FIND("?",_xlfn.SINGLE(JobAgolMap))),"&amp;","?")&amp;"center="&amp;$F49&amp;","&amp;$E49&amp;"&amp;level=16&amp;marker="&amp;$F49&amp;","&amp;$E49,"Open")))</f>
        <v/>
      </c>
      <c r="Q49" s="4"/>
      <c r="R49" s="4"/>
      <c r="W49" s="6" t="str">
        <f t="shared" si="0"/>
        <v/>
      </c>
      <c r="X49" s="6" t="str">
        <f t="shared" si="1"/>
        <v/>
      </c>
      <c r="Y49" s="6" t="str">
        <f t="shared" si="2"/>
        <v/>
      </c>
      <c r="Z49" s="6" t="str">
        <f t="shared" si="3"/>
        <v/>
      </c>
      <c r="AA49" s="6" t="str">
        <f t="shared" si="4"/>
        <v/>
      </c>
      <c r="AB49" s="6" t="str">
        <f t="shared" si="5"/>
        <v/>
      </c>
      <c r="AC49" s="4"/>
      <c r="AD49" s="4"/>
    </row>
    <row r="50" spans="1:30" x14ac:dyDescent="0.45">
      <c r="A50" s="3"/>
      <c r="B50" s="3"/>
      <c r="C50" s="5" t="str">
        <f>IF($E50="","",COUNT($E$2:$E50))</f>
        <v/>
      </c>
      <c r="D50" s="3"/>
      <c r="E50" s="3"/>
      <c r="F50" s="3"/>
      <c r="G50" s="3"/>
      <c r="H50" s="3"/>
      <c r="I50" s="3"/>
      <c r="J50" s="3"/>
      <c r="K50" s="3"/>
      <c r="L50" s="4"/>
      <c r="M50" s="6" t="str">
        <f>IF(OR($E50="",$F50=""),"",IF(_xlfn.SINGLE(JobState)="",IF(ROW()=2,HYPERLINK("#JobState","Set State →"),""),HYPERLINK(IF(OR(_xlfn.SINGLE(JobState)="MI",_xlfn.SINGLE(JobState)=""),"https://fema.maps.arcgis.com/apps/mapviewer/index.html?webmap=6a1702b9147243d1a5ee62cd614bc681&amp;center="&amp;$F50&amp;","&amp;$E50&amp;"&amp;level=16&amp;marker="&amp;$F50&amp;","&amp;$E50&amp;"",IF(_xlfn.SINGLE(JobState)="IN","https://fema.maps.arcgis.com/apps/mapviewer/index.html?url=https%3A%2F%2Fgis.indot.in.gov%2Fro%2Frest%2Fservices%2FRAH_GIO_Collaboration%2FLRSE_Functional_Class%2FFeatureServer%2F22&amp;find="&amp;$F50&amp;"%2C"&amp;$E50&amp;"&amp;marker="&amp;$F50&amp;","&amp;$E50&amp;",4326&amp;level=16",IF(_xlfn.SINGLE(JobState)="WI","https://fema.maps.arcgis.com/apps/mapviewer/index.html?url=https://services5.arcgis.com/0pgGLzT0Nh7FVjon/arcgis/rest/services/Functional_Class_Local_Non_Prod/FeatureServer/1&amp;find="&amp;$F50&amp;"%2C"&amp;$E50&amp;"&amp;marker="&amp;$F50&amp;","&amp;$E50&amp;",4326&amp;level=16",IF(_xlfn.SINGLE(JobState)="MN","https://fema.maps.arcgis.com/apps/mapviewer/index.html?url=https%3A%2F%2Fdotapp9.dot.state.mn.us%2Fegis12%2Frest%2Fservices%2FBASEMAP%2Fmndot_commonlayers2%2FMapServer%2F11&amp;find="&amp;$F50&amp;"%2C"&amp;$E50&amp;"&amp;marker="&amp;$F50&amp;","&amp;$E50&amp;",4326&amp;level=16",IF(_xlfn.SINGLE(JobState)="IL","https://fema.maps.arcgis.com/apps/mapviewer/index.html?url=https%3A%2F%2Fgis1.dot.illinois.gov%2Farcgis%2Frest%2Fservices%2FAdministrativeData%2FFunctionalClass%2FMapServer%2F0&amp;find="&amp;$F50&amp;"%2C"&amp;$E50&amp;"&amp;marker="&amp;$F50&amp;","&amp;$E50&amp;",4326&amp;level=16",IF(_xlfn.SINGLE(JobState)="OH","https://fema.maps.arcgis.com/apps/mapviewer/index.html?url=https%3A%2F%2Ftims.dot.state.oh.us%2Fags%2Frest%2Fservices%2FRoadway_Information%2FFunctional_Class%2FMapServer%2F0&amp;find="&amp;$F50&amp;"%2C"&amp;$E50&amp;"&amp;marker="&amp;$F50&amp;","&amp;$E50&amp;",4326&amp;level=16","https://fema.maps.arcgis.com/apps/mapviewer/index.html?find="&amp;$F50&amp;"%2C"&amp;$E50&amp;"&amp;marker="&amp;$F50&amp;","&amp;$E50&amp;",4326&amp;level=16")))))),IF(_xlfn.SINGLE(JobState)="WI","Review Local Roads Layer","Review NFC AGOL Layer"))))</f>
        <v/>
      </c>
      <c r="N50" s="6" t="str">
        <f>IF(OR($E50="",$F50=""),"",IF(_xlfn.SINGLE(JobState)="",IF(ROW()=2,HYPERLINK("#JobState","Set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50&amp;"%2C"&amp;$E50&amp;"&amp;marker="&amp;$F50&amp;","&amp;$E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0" s="6" t="str">
        <f>IF(OR($E50="", $F50=""),"",IF(_xlfn.SINGLE(JobAgolMap)="",HYPERLINK("https://fema.maps.arcgis.com/apps/mapviewer/index.html?find="&amp;$F50&amp;"%2C"&amp;$E50&amp;"&amp;marker="&amp;$F50&amp;","&amp;$E50&amp;",4326&amp;level=16","FEMA AGOL Map Viewer"),HYPERLINK(_xlfn.SINGLE(JobAgolMap)&amp;IF(ISNUMBER(FIND("?",_xlfn.SINGLE(JobAgolMap))),"&amp;","?")&amp;"center="&amp;$F50&amp;","&amp;$E50&amp;"&amp;level=16&amp;marker="&amp;$F50&amp;","&amp;$E50,"Open")))</f>
        <v/>
      </c>
      <c r="Q50" s="4"/>
      <c r="R50" s="4"/>
      <c r="W50" s="6" t="str">
        <f t="shared" si="0"/>
        <v/>
      </c>
      <c r="X50" s="6" t="str">
        <f t="shared" si="1"/>
        <v/>
      </c>
      <c r="Y50" s="6" t="str">
        <f t="shared" si="2"/>
        <v/>
      </c>
      <c r="Z50" s="6" t="str">
        <f t="shared" si="3"/>
        <v/>
      </c>
      <c r="AA50" s="6" t="str">
        <f t="shared" si="4"/>
        <v/>
      </c>
      <c r="AB50" s="6" t="str">
        <f t="shared" si="5"/>
        <v/>
      </c>
      <c r="AC50" s="4"/>
      <c r="AD50" s="4"/>
    </row>
    <row r="51" spans="1:30" x14ac:dyDescent="0.45">
      <c r="A51" s="3"/>
      <c r="B51" s="3"/>
      <c r="C51" s="5" t="str">
        <f>IF($E51="","",COUNT($E$2:$E51))</f>
        <v/>
      </c>
      <c r="D51" s="3"/>
      <c r="E51" s="3"/>
      <c r="F51" s="3"/>
      <c r="G51" s="3"/>
      <c r="H51" s="3"/>
      <c r="I51" s="3"/>
      <c r="J51" s="3"/>
      <c r="K51" s="3"/>
      <c r="L51" s="4"/>
      <c r="M51" s="6" t="str">
        <f>IF(OR($E51="",$F51=""),"",IF(_xlfn.SINGLE(JobState)="",IF(ROW()=2,HYPERLINK("#JobState","Set State →"),""),HYPERLINK(IF(OR(_xlfn.SINGLE(JobState)="MI",_xlfn.SINGLE(JobState)=""),"https://fema.maps.arcgis.com/apps/mapviewer/index.html?webmap=6a1702b9147243d1a5ee62cd614bc681&amp;center="&amp;$F51&amp;","&amp;$E51&amp;"&amp;level=16&amp;marker="&amp;$F51&amp;","&amp;$E51&amp;"",IF(_xlfn.SINGLE(JobState)="IN","https://fema.maps.arcgis.com/apps/mapviewer/index.html?url=https%3A%2F%2Fgis.indot.in.gov%2Fro%2Frest%2Fservices%2FRAH_GIO_Collaboration%2FLRSE_Functional_Class%2FFeatureServer%2F22&amp;find="&amp;$F51&amp;"%2C"&amp;$E51&amp;"&amp;marker="&amp;$F51&amp;","&amp;$E51&amp;",4326&amp;level=16",IF(_xlfn.SINGLE(JobState)="WI","https://fema.maps.arcgis.com/apps/mapviewer/index.html?url=https://services5.arcgis.com/0pgGLzT0Nh7FVjon/arcgis/rest/services/Functional_Class_Local_Non_Prod/FeatureServer/1&amp;find="&amp;$F51&amp;"%2C"&amp;$E51&amp;"&amp;marker="&amp;$F51&amp;","&amp;$E51&amp;",4326&amp;level=16",IF(_xlfn.SINGLE(JobState)="MN","https://fema.maps.arcgis.com/apps/mapviewer/index.html?url=https%3A%2F%2Fdotapp9.dot.state.mn.us%2Fegis12%2Frest%2Fservices%2FBASEMAP%2Fmndot_commonlayers2%2FMapServer%2F11&amp;find="&amp;$F51&amp;"%2C"&amp;$E51&amp;"&amp;marker="&amp;$F51&amp;","&amp;$E51&amp;",4326&amp;level=16",IF(_xlfn.SINGLE(JobState)="IL","https://fema.maps.arcgis.com/apps/mapviewer/index.html?url=https%3A%2F%2Fgis1.dot.illinois.gov%2Farcgis%2Frest%2Fservices%2FAdministrativeData%2FFunctionalClass%2FMapServer%2F0&amp;find="&amp;$F51&amp;"%2C"&amp;$E51&amp;"&amp;marker="&amp;$F51&amp;","&amp;$E51&amp;",4326&amp;level=16",IF(_xlfn.SINGLE(JobState)="OH","https://fema.maps.arcgis.com/apps/mapviewer/index.html?url=https%3A%2F%2Ftims.dot.state.oh.us%2Fags%2Frest%2Fservices%2FRoadway_Information%2FFunctional_Class%2FMapServer%2F0&amp;find="&amp;$F51&amp;"%2C"&amp;$E51&amp;"&amp;marker="&amp;$F51&amp;","&amp;$E51&amp;",4326&amp;level=16","https://fema.maps.arcgis.com/apps/mapviewer/index.html?find="&amp;$F51&amp;"%2C"&amp;$E51&amp;"&amp;marker="&amp;$F51&amp;","&amp;$E51&amp;",4326&amp;level=16")))))),IF(_xlfn.SINGLE(JobState)="WI","Review Local Roads Layer","Review NFC AGOL Layer"))))</f>
        <v/>
      </c>
      <c r="N51" s="6" t="str">
        <f>IF(OR($E51="",$F51=""),"",IF(_xlfn.SINGLE(JobState)="",IF(ROW()=2,HYPERLINK("#JobState","Set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51&amp;"%2C"&amp;$E51&amp;"&amp;marker="&amp;$F51&amp;","&amp;$E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1" s="6" t="str">
        <f>IF(OR($E51="", $F51=""),"",IF(_xlfn.SINGLE(JobAgolMap)="",HYPERLINK("https://fema.maps.arcgis.com/apps/mapviewer/index.html?find="&amp;$F51&amp;"%2C"&amp;$E51&amp;"&amp;marker="&amp;$F51&amp;","&amp;$E51&amp;",4326&amp;level=16","FEMA AGOL Map Viewer"),HYPERLINK(_xlfn.SINGLE(JobAgolMap)&amp;IF(ISNUMBER(FIND("?",_xlfn.SINGLE(JobAgolMap))),"&amp;","?")&amp;"center="&amp;$F51&amp;","&amp;$E51&amp;"&amp;level=16&amp;marker="&amp;$F51&amp;","&amp;$E51,"Open")))</f>
        <v/>
      </c>
      <c r="Q51" s="4"/>
      <c r="R51" s="4"/>
      <c r="W51" s="6" t="str">
        <f t="shared" si="0"/>
        <v/>
      </c>
      <c r="X51" s="6" t="str">
        <f t="shared" si="1"/>
        <v/>
      </c>
      <c r="Y51" s="6" t="str">
        <f t="shared" si="2"/>
        <v/>
      </c>
      <c r="Z51" s="6" t="str">
        <f t="shared" si="3"/>
        <v/>
      </c>
      <c r="AA51" s="6" t="str">
        <f t="shared" si="4"/>
        <v/>
      </c>
      <c r="AB51" s="6" t="str">
        <f t="shared" si="5"/>
        <v/>
      </c>
      <c r="AC51" s="4"/>
      <c r="AD51" s="4"/>
    </row>
    <row r="52" spans="1:30" x14ac:dyDescent="0.45">
      <c r="A52" s="3"/>
      <c r="B52" s="3"/>
      <c r="C52" s="5" t="str">
        <f>IF($E52="","",COUNT($E$2:$E52))</f>
        <v/>
      </c>
      <c r="D52" s="3"/>
      <c r="E52" s="3"/>
      <c r="F52" s="3"/>
      <c r="G52" s="3"/>
      <c r="H52" s="3"/>
      <c r="I52" s="3"/>
      <c r="J52" s="3"/>
      <c r="K52" s="3"/>
      <c r="L52" s="4"/>
      <c r="M52" s="6" t="str">
        <f>IF(OR($E52="",$F52=""),"",IF(_xlfn.SINGLE(JobState)="",IF(ROW()=2,HYPERLINK("#JobState","Set State →"),""),HYPERLINK(IF(OR(_xlfn.SINGLE(JobState)="MI",_xlfn.SINGLE(JobState)=""),"https://fema.maps.arcgis.com/apps/mapviewer/index.html?webmap=6a1702b9147243d1a5ee62cd614bc681&amp;center="&amp;$F52&amp;","&amp;$E52&amp;"&amp;level=16&amp;marker="&amp;$F52&amp;","&amp;$E52&amp;"",IF(_xlfn.SINGLE(JobState)="IN","https://fema.maps.arcgis.com/apps/mapviewer/index.html?url=https%3A%2F%2Fgis.indot.in.gov%2Fro%2Frest%2Fservices%2FRAH_GIO_Collaboration%2FLRSE_Functional_Class%2FFeatureServer%2F22&amp;find="&amp;$F52&amp;"%2C"&amp;$E52&amp;"&amp;marker="&amp;$F52&amp;","&amp;$E52&amp;",4326&amp;level=16",IF(_xlfn.SINGLE(JobState)="WI","https://fema.maps.arcgis.com/apps/mapviewer/index.html?url=https://services5.arcgis.com/0pgGLzT0Nh7FVjon/arcgis/rest/services/Functional_Class_Local_Non_Prod/FeatureServer/1&amp;find="&amp;$F52&amp;"%2C"&amp;$E52&amp;"&amp;marker="&amp;$F52&amp;","&amp;$E52&amp;",4326&amp;level=16",IF(_xlfn.SINGLE(JobState)="MN","https://fema.maps.arcgis.com/apps/mapviewer/index.html?url=https%3A%2F%2Fdotapp9.dot.state.mn.us%2Fegis12%2Frest%2Fservices%2FBASEMAP%2Fmndot_commonlayers2%2FMapServer%2F11&amp;find="&amp;$F52&amp;"%2C"&amp;$E52&amp;"&amp;marker="&amp;$F52&amp;","&amp;$E52&amp;",4326&amp;level=16",IF(_xlfn.SINGLE(JobState)="IL","https://fema.maps.arcgis.com/apps/mapviewer/index.html?url=https%3A%2F%2Fgis1.dot.illinois.gov%2Farcgis%2Frest%2Fservices%2FAdministrativeData%2FFunctionalClass%2FMapServer%2F0&amp;find="&amp;$F52&amp;"%2C"&amp;$E52&amp;"&amp;marker="&amp;$F52&amp;","&amp;$E52&amp;",4326&amp;level=16",IF(_xlfn.SINGLE(JobState)="OH","https://fema.maps.arcgis.com/apps/mapviewer/index.html?url=https%3A%2F%2Ftims.dot.state.oh.us%2Fags%2Frest%2Fservices%2FRoadway_Information%2FFunctional_Class%2FMapServer%2F0&amp;find="&amp;$F52&amp;"%2C"&amp;$E52&amp;"&amp;marker="&amp;$F52&amp;","&amp;$E52&amp;",4326&amp;level=16","https://fema.maps.arcgis.com/apps/mapviewer/index.html?find="&amp;$F52&amp;"%2C"&amp;$E52&amp;"&amp;marker="&amp;$F52&amp;","&amp;$E52&amp;",4326&amp;level=16")))))),IF(_xlfn.SINGLE(JobState)="WI","Review Local Roads Layer","Review NFC AGOL Layer"))))</f>
        <v/>
      </c>
      <c r="N52" s="6" t="str">
        <f>IF(OR($E52="",$F52=""),"",IF(_xlfn.SINGLE(JobState)="",IF(ROW()=2,HYPERLINK("#JobState","Set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52&amp;"%2C"&amp;$E52&amp;"&amp;marker="&amp;$F52&amp;","&amp;$E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2" s="6" t="str">
        <f>IF(OR($E52="", $F52=""),"",IF(_xlfn.SINGLE(JobAgolMap)="",HYPERLINK("https://fema.maps.arcgis.com/apps/mapviewer/index.html?find="&amp;$F52&amp;"%2C"&amp;$E52&amp;"&amp;marker="&amp;$F52&amp;","&amp;$E52&amp;",4326&amp;level=16","FEMA AGOL Map Viewer"),HYPERLINK(_xlfn.SINGLE(JobAgolMap)&amp;IF(ISNUMBER(FIND("?",_xlfn.SINGLE(JobAgolMap))),"&amp;","?")&amp;"center="&amp;$F52&amp;","&amp;$E52&amp;"&amp;level=16&amp;marker="&amp;$F52&amp;","&amp;$E52,"Open")))</f>
        <v/>
      </c>
      <c r="Q52" s="4"/>
      <c r="R52" s="4"/>
      <c r="W52" s="6" t="str">
        <f t="shared" si="0"/>
        <v/>
      </c>
      <c r="X52" s="6" t="str">
        <f t="shared" si="1"/>
        <v/>
      </c>
      <c r="Y52" s="6" t="str">
        <f t="shared" si="2"/>
        <v/>
      </c>
      <c r="Z52" s="6" t="str">
        <f t="shared" si="3"/>
        <v/>
      </c>
      <c r="AA52" s="6" t="str">
        <f t="shared" si="4"/>
        <v/>
      </c>
      <c r="AB52" s="6" t="str">
        <f t="shared" si="5"/>
        <v/>
      </c>
      <c r="AC52" s="4"/>
      <c r="AD52" s="4"/>
    </row>
    <row r="53" spans="1:30" x14ac:dyDescent="0.45">
      <c r="A53" s="3"/>
      <c r="B53" s="3"/>
      <c r="C53" s="5" t="str">
        <f>IF($E53="","",COUNT($E$2:$E53))</f>
        <v/>
      </c>
      <c r="D53" s="3"/>
      <c r="E53" s="3"/>
      <c r="F53" s="3"/>
      <c r="G53" s="3"/>
      <c r="H53" s="3"/>
      <c r="I53" s="3"/>
      <c r="J53" s="3"/>
      <c r="K53" s="3"/>
      <c r="L53" s="4"/>
      <c r="M53" s="6" t="str">
        <f>IF(OR($E53="",$F53=""),"",IF(_xlfn.SINGLE(JobState)="",IF(ROW()=2,HYPERLINK("#JobState","Set State →"),""),HYPERLINK(IF(OR(_xlfn.SINGLE(JobState)="MI",_xlfn.SINGLE(JobState)=""),"https://fema.maps.arcgis.com/apps/mapviewer/index.html?webmap=6a1702b9147243d1a5ee62cd614bc681&amp;center="&amp;$F53&amp;","&amp;$E53&amp;"&amp;level=16&amp;marker="&amp;$F53&amp;","&amp;$E53&amp;"",IF(_xlfn.SINGLE(JobState)="IN","https://fema.maps.arcgis.com/apps/mapviewer/index.html?url=https%3A%2F%2Fgis.indot.in.gov%2Fro%2Frest%2Fservices%2FRAH_GIO_Collaboration%2FLRSE_Functional_Class%2FFeatureServer%2F22&amp;find="&amp;$F53&amp;"%2C"&amp;$E53&amp;"&amp;marker="&amp;$F53&amp;","&amp;$E53&amp;",4326&amp;level=16",IF(_xlfn.SINGLE(JobState)="WI","https://fema.maps.arcgis.com/apps/mapviewer/index.html?url=https://services5.arcgis.com/0pgGLzT0Nh7FVjon/arcgis/rest/services/Functional_Class_Local_Non_Prod/FeatureServer/1&amp;find="&amp;$F53&amp;"%2C"&amp;$E53&amp;"&amp;marker="&amp;$F53&amp;","&amp;$E53&amp;",4326&amp;level=16",IF(_xlfn.SINGLE(JobState)="MN","https://fema.maps.arcgis.com/apps/mapviewer/index.html?url=https%3A%2F%2Fdotapp9.dot.state.mn.us%2Fegis12%2Frest%2Fservices%2FBASEMAP%2Fmndot_commonlayers2%2FMapServer%2F11&amp;find="&amp;$F53&amp;"%2C"&amp;$E53&amp;"&amp;marker="&amp;$F53&amp;","&amp;$E53&amp;",4326&amp;level=16",IF(_xlfn.SINGLE(JobState)="IL","https://fema.maps.arcgis.com/apps/mapviewer/index.html?url=https%3A%2F%2Fgis1.dot.illinois.gov%2Farcgis%2Frest%2Fservices%2FAdministrativeData%2FFunctionalClass%2FMapServer%2F0&amp;find="&amp;$F53&amp;"%2C"&amp;$E53&amp;"&amp;marker="&amp;$F53&amp;","&amp;$E53&amp;",4326&amp;level=16",IF(_xlfn.SINGLE(JobState)="OH","https://fema.maps.arcgis.com/apps/mapviewer/index.html?url=https%3A%2F%2Ftims.dot.state.oh.us%2Fags%2Frest%2Fservices%2FRoadway_Information%2FFunctional_Class%2FMapServer%2F0&amp;find="&amp;$F53&amp;"%2C"&amp;$E53&amp;"&amp;marker="&amp;$F53&amp;","&amp;$E53&amp;",4326&amp;level=16","https://fema.maps.arcgis.com/apps/mapviewer/index.html?find="&amp;$F53&amp;"%2C"&amp;$E53&amp;"&amp;marker="&amp;$F53&amp;","&amp;$E53&amp;",4326&amp;level=16")))))),IF(_xlfn.SINGLE(JobState)="WI","Review Local Roads Layer","Review NFC AGOL Layer"))))</f>
        <v/>
      </c>
      <c r="N53" s="6" t="str">
        <f>IF(OR($E53="",$F53=""),"",IF(_xlfn.SINGLE(JobState)="",IF(ROW()=2,HYPERLINK("#JobState","Set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53&amp;"%2C"&amp;$E53&amp;"&amp;marker="&amp;$F53&amp;","&amp;$E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3" s="6" t="str">
        <f>IF(OR($E53="", $F53=""),"",IF(_xlfn.SINGLE(JobAgolMap)="",HYPERLINK("https://fema.maps.arcgis.com/apps/mapviewer/index.html?find="&amp;$F53&amp;"%2C"&amp;$E53&amp;"&amp;marker="&amp;$F53&amp;","&amp;$E53&amp;",4326&amp;level=16","FEMA AGOL Map Viewer"),HYPERLINK(_xlfn.SINGLE(JobAgolMap)&amp;IF(ISNUMBER(FIND("?",_xlfn.SINGLE(JobAgolMap))),"&amp;","?")&amp;"center="&amp;$F53&amp;","&amp;$E53&amp;"&amp;level=16&amp;marker="&amp;$F53&amp;","&amp;$E53,"Open")))</f>
        <v/>
      </c>
      <c r="Q53" s="4"/>
      <c r="R53" s="4"/>
      <c r="W53" s="6" t="str">
        <f t="shared" si="0"/>
        <v/>
      </c>
      <c r="X53" s="6" t="str">
        <f t="shared" si="1"/>
        <v/>
      </c>
      <c r="Y53" s="6" t="str">
        <f t="shared" si="2"/>
        <v/>
      </c>
      <c r="Z53" s="6" t="str">
        <f t="shared" si="3"/>
        <v/>
      </c>
      <c r="AA53" s="6" t="str">
        <f t="shared" si="4"/>
        <v/>
      </c>
      <c r="AB53" s="6" t="str">
        <f t="shared" si="5"/>
        <v/>
      </c>
      <c r="AC53" s="4"/>
      <c r="AD53" s="4"/>
    </row>
    <row r="54" spans="1:30" x14ac:dyDescent="0.45">
      <c r="A54" s="3"/>
      <c r="B54" s="3"/>
      <c r="C54" s="5" t="str">
        <f>IF($E54="","",COUNT($E$2:$E54))</f>
        <v/>
      </c>
      <c r="D54" s="3"/>
      <c r="E54" s="3"/>
      <c r="F54" s="3"/>
      <c r="G54" s="3"/>
      <c r="H54" s="3"/>
      <c r="I54" s="3"/>
      <c r="J54" s="3"/>
      <c r="K54" s="3"/>
      <c r="L54" s="4"/>
      <c r="M54" s="6" t="str">
        <f>IF(OR($E54="",$F54=""),"",IF(_xlfn.SINGLE(JobState)="",IF(ROW()=2,HYPERLINK("#JobState","Set State →"),""),HYPERLINK(IF(OR(_xlfn.SINGLE(JobState)="MI",_xlfn.SINGLE(JobState)=""),"https://fema.maps.arcgis.com/apps/mapviewer/index.html?webmap=6a1702b9147243d1a5ee62cd614bc681&amp;center="&amp;$F54&amp;","&amp;$E54&amp;"&amp;level=16&amp;marker="&amp;$F54&amp;","&amp;$E54&amp;"",IF(_xlfn.SINGLE(JobState)="IN","https://fema.maps.arcgis.com/apps/mapviewer/index.html?url=https%3A%2F%2Fgis.indot.in.gov%2Fro%2Frest%2Fservices%2FRAH_GIO_Collaboration%2FLRSE_Functional_Class%2FFeatureServer%2F22&amp;find="&amp;$F54&amp;"%2C"&amp;$E54&amp;"&amp;marker="&amp;$F54&amp;","&amp;$E54&amp;",4326&amp;level=16",IF(_xlfn.SINGLE(JobState)="WI","https://fema.maps.arcgis.com/apps/mapviewer/index.html?url=https://services5.arcgis.com/0pgGLzT0Nh7FVjon/arcgis/rest/services/Functional_Class_Local_Non_Prod/FeatureServer/1&amp;find="&amp;$F54&amp;"%2C"&amp;$E54&amp;"&amp;marker="&amp;$F54&amp;","&amp;$E54&amp;",4326&amp;level=16",IF(_xlfn.SINGLE(JobState)="MN","https://fema.maps.arcgis.com/apps/mapviewer/index.html?url=https%3A%2F%2Fdotapp9.dot.state.mn.us%2Fegis12%2Frest%2Fservices%2FBASEMAP%2Fmndot_commonlayers2%2FMapServer%2F11&amp;find="&amp;$F54&amp;"%2C"&amp;$E54&amp;"&amp;marker="&amp;$F54&amp;","&amp;$E54&amp;",4326&amp;level=16",IF(_xlfn.SINGLE(JobState)="IL","https://fema.maps.arcgis.com/apps/mapviewer/index.html?url=https%3A%2F%2Fgis1.dot.illinois.gov%2Farcgis%2Frest%2Fservices%2FAdministrativeData%2FFunctionalClass%2FMapServer%2F0&amp;find="&amp;$F54&amp;"%2C"&amp;$E54&amp;"&amp;marker="&amp;$F54&amp;","&amp;$E54&amp;",4326&amp;level=16",IF(_xlfn.SINGLE(JobState)="OH","https://fema.maps.arcgis.com/apps/mapviewer/index.html?url=https%3A%2F%2Ftims.dot.state.oh.us%2Fags%2Frest%2Fservices%2FRoadway_Information%2FFunctional_Class%2FMapServer%2F0&amp;find="&amp;$F54&amp;"%2C"&amp;$E54&amp;"&amp;marker="&amp;$F54&amp;","&amp;$E54&amp;",4326&amp;level=16","https://fema.maps.arcgis.com/apps/mapviewer/index.html?find="&amp;$F54&amp;"%2C"&amp;$E54&amp;"&amp;marker="&amp;$F54&amp;","&amp;$E54&amp;",4326&amp;level=16")))))),IF(_xlfn.SINGLE(JobState)="WI","Review Local Roads Layer","Review NFC AGOL Layer"))))</f>
        <v/>
      </c>
      <c r="N54" s="6" t="str">
        <f>IF(OR($E54="",$F54=""),"",IF(_xlfn.SINGLE(JobState)="",IF(ROW()=2,HYPERLINK("#JobState","Set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54&amp;"%2C"&amp;$E54&amp;"&amp;marker="&amp;$F54&amp;","&amp;$E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4" s="6" t="str">
        <f>IF(OR($E54="", $F54=""),"",IF(_xlfn.SINGLE(JobAgolMap)="",HYPERLINK("https://fema.maps.arcgis.com/apps/mapviewer/index.html?find="&amp;$F54&amp;"%2C"&amp;$E54&amp;"&amp;marker="&amp;$F54&amp;","&amp;$E54&amp;",4326&amp;level=16","FEMA AGOL Map Viewer"),HYPERLINK(_xlfn.SINGLE(JobAgolMap)&amp;IF(ISNUMBER(FIND("?",_xlfn.SINGLE(JobAgolMap))),"&amp;","?")&amp;"center="&amp;$F54&amp;","&amp;$E54&amp;"&amp;level=16&amp;marker="&amp;$F54&amp;","&amp;$E54,"Open")))</f>
        <v/>
      </c>
      <c r="Q54" s="4"/>
      <c r="R54" s="4"/>
      <c r="W54" s="6" t="str">
        <f t="shared" si="0"/>
        <v/>
      </c>
      <c r="X54" s="6" t="str">
        <f t="shared" si="1"/>
        <v/>
      </c>
      <c r="Y54" s="6" t="str">
        <f t="shared" si="2"/>
        <v/>
      </c>
      <c r="Z54" s="6" t="str">
        <f t="shared" si="3"/>
        <v/>
      </c>
      <c r="AA54" s="6" t="str">
        <f t="shared" si="4"/>
        <v/>
      </c>
      <c r="AB54" s="6" t="str">
        <f t="shared" si="5"/>
        <v/>
      </c>
      <c r="AC54" s="4"/>
      <c r="AD54" s="4"/>
    </row>
    <row r="55" spans="1:30" x14ac:dyDescent="0.45">
      <c r="A55" s="3"/>
      <c r="B55" s="3"/>
      <c r="C55" s="5" t="str">
        <f>IF($E55="","",COUNT($E$2:$E55))</f>
        <v/>
      </c>
      <c r="D55" s="3"/>
      <c r="E55" s="3"/>
      <c r="F55" s="3"/>
      <c r="G55" s="3"/>
      <c r="H55" s="3"/>
      <c r="I55" s="3"/>
      <c r="J55" s="3"/>
      <c r="K55" s="3"/>
      <c r="L55" s="4"/>
      <c r="M55" s="6" t="str">
        <f>IF(OR($E55="",$F55=""),"",IF(_xlfn.SINGLE(JobState)="",IF(ROW()=2,HYPERLINK("#JobState","Set State →"),""),HYPERLINK(IF(OR(_xlfn.SINGLE(JobState)="MI",_xlfn.SINGLE(JobState)=""),"https://fema.maps.arcgis.com/apps/mapviewer/index.html?webmap=6a1702b9147243d1a5ee62cd614bc681&amp;center="&amp;$F55&amp;","&amp;$E55&amp;"&amp;level=16&amp;marker="&amp;$F55&amp;","&amp;$E55&amp;"",IF(_xlfn.SINGLE(JobState)="IN","https://fema.maps.arcgis.com/apps/mapviewer/index.html?url=https%3A%2F%2Fgis.indot.in.gov%2Fro%2Frest%2Fservices%2FRAH_GIO_Collaboration%2FLRSE_Functional_Class%2FFeatureServer%2F22&amp;find="&amp;$F55&amp;"%2C"&amp;$E55&amp;"&amp;marker="&amp;$F55&amp;","&amp;$E55&amp;",4326&amp;level=16",IF(_xlfn.SINGLE(JobState)="WI","https://fema.maps.arcgis.com/apps/mapviewer/index.html?url=https://services5.arcgis.com/0pgGLzT0Nh7FVjon/arcgis/rest/services/Functional_Class_Local_Non_Prod/FeatureServer/1&amp;find="&amp;$F55&amp;"%2C"&amp;$E55&amp;"&amp;marker="&amp;$F55&amp;","&amp;$E55&amp;",4326&amp;level=16",IF(_xlfn.SINGLE(JobState)="MN","https://fema.maps.arcgis.com/apps/mapviewer/index.html?url=https%3A%2F%2Fdotapp9.dot.state.mn.us%2Fegis12%2Frest%2Fservices%2FBASEMAP%2Fmndot_commonlayers2%2FMapServer%2F11&amp;find="&amp;$F55&amp;"%2C"&amp;$E55&amp;"&amp;marker="&amp;$F55&amp;","&amp;$E55&amp;",4326&amp;level=16",IF(_xlfn.SINGLE(JobState)="IL","https://fema.maps.arcgis.com/apps/mapviewer/index.html?url=https%3A%2F%2Fgis1.dot.illinois.gov%2Farcgis%2Frest%2Fservices%2FAdministrativeData%2FFunctionalClass%2FMapServer%2F0&amp;find="&amp;$F55&amp;"%2C"&amp;$E55&amp;"&amp;marker="&amp;$F55&amp;","&amp;$E55&amp;",4326&amp;level=16",IF(_xlfn.SINGLE(JobState)="OH","https://fema.maps.arcgis.com/apps/mapviewer/index.html?url=https%3A%2F%2Ftims.dot.state.oh.us%2Fags%2Frest%2Fservices%2FRoadway_Information%2FFunctional_Class%2FMapServer%2F0&amp;find="&amp;$F55&amp;"%2C"&amp;$E55&amp;"&amp;marker="&amp;$F55&amp;","&amp;$E55&amp;",4326&amp;level=16","https://fema.maps.arcgis.com/apps/mapviewer/index.html?find="&amp;$F55&amp;"%2C"&amp;$E55&amp;"&amp;marker="&amp;$F55&amp;","&amp;$E55&amp;",4326&amp;level=16")))))),IF(_xlfn.SINGLE(JobState)="WI","Review Local Roads Layer","Review NFC AGOL Layer"))))</f>
        <v/>
      </c>
      <c r="N55" s="6" t="str">
        <f>IF(OR($E55="",$F55=""),"",IF(_xlfn.SINGLE(JobState)="",IF(ROW()=2,HYPERLINK("#JobState","Set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55&amp;"%2C"&amp;$E55&amp;"&amp;marker="&amp;$F55&amp;","&amp;$E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5" s="6" t="str">
        <f>IF(OR($E55="", $F55=""),"",IF(_xlfn.SINGLE(JobAgolMap)="",HYPERLINK("https://fema.maps.arcgis.com/apps/mapviewer/index.html?find="&amp;$F55&amp;"%2C"&amp;$E55&amp;"&amp;marker="&amp;$F55&amp;","&amp;$E55&amp;",4326&amp;level=16","FEMA AGOL Map Viewer"),HYPERLINK(_xlfn.SINGLE(JobAgolMap)&amp;IF(ISNUMBER(FIND("?",_xlfn.SINGLE(JobAgolMap))),"&amp;","?")&amp;"center="&amp;$F55&amp;","&amp;$E55&amp;"&amp;level=16&amp;marker="&amp;$F55&amp;","&amp;$E55,"Open")))</f>
        <v/>
      </c>
      <c r="Q55" s="4"/>
      <c r="R55" s="4"/>
      <c r="W55" s="6" t="str">
        <f t="shared" si="0"/>
        <v/>
      </c>
      <c r="X55" s="6" t="str">
        <f t="shared" si="1"/>
        <v/>
      </c>
      <c r="Y55" s="6" t="str">
        <f t="shared" si="2"/>
        <v/>
      </c>
      <c r="Z55" s="6" t="str">
        <f t="shared" si="3"/>
        <v/>
      </c>
      <c r="AA55" s="6" t="str">
        <f t="shared" si="4"/>
        <v/>
      </c>
      <c r="AB55" s="6" t="str">
        <f t="shared" si="5"/>
        <v/>
      </c>
      <c r="AC55" s="4"/>
      <c r="AD55" s="4"/>
    </row>
    <row r="56" spans="1:30" x14ac:dyDescent="0.45">
      <c r="A56" s="3"/>
      <c r="B56" s="3"/>
      <c r="C56" s="5" t="str">
        <f>IF($E56="","",COUNT($E$2:$E56))</f>
        <v/>
      </c>
      <c r="D56" s="3"/>
      <c r="E56" s="3"/>
      <c r="F56" s="3"/>
      <c r="G56" s="3"/>
      <c r="H56" s="3"/>
      <c r="I56" s="3"/>
      <c r="J56" s="3"/>
      <c r="K56" s="3"/>
      <c r="L56" s="4"/>
      <c r="M56" s="6" t="str">
        <f>IF(OR($E56="",$F56=""),"",IF(_xlfn.SINGLE(JobState)="",IF(ROW()=2,HYPERLINK("#JobState","Set State →"),""),HYPERLINK(IF(OR(_xlfn.SINGLE(JobState)="MI",_xlfn.SINGLE(JobState)=""),"https://fema.maps.arcgis.com/apps/mapviewer/index.html?webmap=6a1702b9147243d1a5ee62cd614bc681&amp;center="&amp;$F56&amp;","&amp;$E56&amp;"&amp;level=16&amp;marker="&amp;$F56&amp;","&amp;$E56&amp;"",IF(_xlfn.SINGLE(JobState)="IN","https://fema.maps.arcgis.com/apps/mapviewer/index.html?url=https%3A%2F%2Fgis.indot.in.gov%2Fro%2Frest%2Fservices%2FRAH_GIO_Collaboration%2FLRSE_Functional_Class%2FFeatureServer%2F22&amp;find="&amp;$F56&amp;"%2C"&amp;$E56&amp;"&amp;marker="&amp;$F56&amp;","&amp;$E56&amp;",4326&amp;level=16",IF(_xlfn.SINGLE(JobState)="WI","https://fema.maps.arcgis.com/apps/mapviewer/index.html?url=https://services5.arcgis.com/0pgGLzT0Nh7FVjon/arcgis/rest/services/Functional_Class_Local_Non_Prod/FeatureServer/1&amp;find="&amp;$F56&amp;"%2C"&amp;$E56&amp;"&amp;marker="&amp;$F56&amp;","&amp;$E56&amp;",4326&amp;level=16",IF(_xlfn.SINGLE(JobState)="MN","https://fema.maps.arcgis.com/apps/mapviewer/index.html?url=https%3A%2F%2Fdotapp9.dot.state.mn.us%2Fegis12%2Frest%2Fservices%2FBASEMAP%2Fmndot_commonlayers2%2FMapServer%2F11&amp;find="&amp;$F56&amp;"%2C"&amp;$E56&amp;"&amp;marker="&amp;$F56&amp;","&amp;$E56&amp;",4326&amp;level=16",IF(_xlfn.SINGLE(JobState)="IL","https://fema.maps.arcgis.com/apps/mapviewer/index.html?url=https%3A%2F%2Fgis1.dot.illinois.gov%2Farcgis%2Frest%2Fservices%2FAdministrativeData%2FFunctionalClass%2FMapServer%2F0&amp;find="&amp;$F56&amp;"%2C"&amp;$E56&amp;"&amp;marker="&amp;$F56&amp;","&amp;$E56&amp;",4326&amp;level=16",IF(_xlfn.SINGLE(JobState)="OH","https://fema.maps.arcgis.com/apps/mapviewer/index.html?url=https%3A%2F%2Ftims.dot.state.oh.us%2Fags%2Frest%2Fservices%2FRoadway_Information%2FFunctional_Class%2FMapServer%2F0&amp;find="&amp;$F56&amp;"%2C"&amp;$E56&amp;"&amp;marker="&amp;$F56&amp;","&amp;$E56&amp;",4326&amp;level=16","https://fema.maps.arcgis.com/apps/mapviewer/index.html?find="&amp;$F56&amp;"%2C"&amp;$E56&amp;"&amp;marker="&amp;$F56&amp;","&amp;$E56&amp;",4326&amp;level=16")))))),IF(_xlfn.SINGLE(JobState)="WI","Review Local Roads Layer","Review NFC AGOL Layer"))))</f>
        <v/>
      </c>
      <c r="N56" s="6" t="str">
        <f>IF(OR($E56="",$F56=""),"",IF(_xlfn.SINGLE(JobState)="",IF(ROW()=2,HYPERLINK("#JobState","Set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56&amp;"%2C"&amp;$E56&amp;"&amp;marker="&amp;$F56&amp;","&amp;$E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6" s="6" t="str">
        <f>IF(OR($E56="", $F56=""),"",IF(_xlfn.SINGLE(JobAgolMap)="",HYPERLINK("https://fema.maps.arcgis.com/apps/mapviewer/index.html?find="&amp;$F56&amp;"%2C"&amp;$E56&amp;"&amp;marker="&amp;$F56&amp;","&amp;$E56&amp;",4326&amp;level=16","FEMA AGOL Map Viewer"),HYPERLINK(_xlfn.SINGLE(JobAgolMap)&amp;IF(ISNUMBER(FIND("?",_xlfn.SINGLE(JobAgolMap))),"&amp;","?")&amp;"center="&amp;$F56&amp;","&amp;$E56&amp;"&amp;level=16&amp;marker="&amp;$F56&amp;","&amp;$E56,"Open")))</f>
        <v/>
      </c>
      <c r="Q56" s="4"/>
      <c r="R56" s="4"/>
      <c r="W56" s="6" t="str">
        <f t="shared" si="0"/>
        <v/>
      </c>
      <c r="X56" s="6" t="str">
        <f t="shared" si="1"/>
        <v/>
      </c>
      <c r="Y56" s="6" t="str">
        <f t="shared" si="2"/>
        <v/>
      </c>
      <c r="Z56" s="6" t="str">
        <f t="shared" si="3"/>
        <v/>
      </c>
      <c r="AA56" s="6" t="str">
        <f t="shared" si="4"/>
        <v/>
      </c>
      <c r="AB56" s="6" t="str">
        <f t="shared" si="5"/>
        <v/>
      </c>
      <c r="AC56" s="4"/>
      <c r="AD56" s="4"/>
    </row>
    <row r="57" spans="1:30" x14ac:dyDescent="0.45">
      <c r="A57" s="3"/>
      <c r="B57" s="3"/>
      <c r="C57" s="5" t="str">
        <f>IF($E57="","",COUNT($E$2:$E57))</f>
        <v/>
      </c>
      <c r="D57" s="3"/>
      <c r="E57" s="3"/>
      <c r="F57" s="3"/>
      <c r="G57" s="3"/>
      <c r="H57" s="3"/>
      <c r="I57" s="3"/>
      <c r="J57" s="3"/>
      <c r="K57" s="3"/>
      <c r="L57" s="4"/>
      <c r="M57" s="6" t="str">
        <f>IF(OR($E57="",$F57=""),"",IF(_xlfn.SINGLE(JobState)="",IF(ROW()=2,HYPERLINK("#JobState","Set State →"),""),HYPERLINK(IF(OR(_xlfn.SINGLE(JobState)="MI",_xlfn.SINGLE(JobState)=""),"https://fema.maps.arcgis.com/apps/mapviewer/index.html?webmap=6a1702b9147243d1a5ee62cd614bc681&amp;center="&amp;$F57&amp;","&amp;$E57&amp;"&amp;level=16&amp;marker="&amp;$F57&amp;","&amp;$E57&amp;"",IF(_xlfn.SINGLE(JobState)="IN","https://fema.maps.arcgis.com/apps/mapviewer/index.html?url=https%3A%2F%2Fgis.indot.in.gov%2Fro%2Frest%2Fservices%2FRAH_GIO_Collaboration%2FLRSE_Functional_Class%2FFeatureServer%2F22&amp;find="&amp;$F57&amp;"%2C"&amp;$E57&amp;"&amp;marker="&amp;$F57&amp;","&amp;$E57&amp;",4326&amp;level=16",IF(_xlfn.SINGLE(JobState)="WI","https://fema.maps.arcgis.com/apps/mapviewer/index.html?url=https://services5.arcgis.com/0pgGLzT0Nh7FVjon/arcgis/rest/services/Functional_Class_Local_Non_Prod/FeatureServer/1&amp;find="&amp;$F57&amp;"%2C"&amp;$E57&amp;"&amp;marker="&amp;$F57&amp;","&amp;$E57&amp;",4326&amp;level=16",IF(_xlfn.SINGLE(JobState)="MN","https://fema.maps.arcgis.com/apps/mapviewer/index.html?url=https%3A%2F%2Fdotapp9.dot.state.mn.us%2Fegis12%2Frest%2Fservices%2FBASEMAP%2Fmndot_commonlayers2%2FMapServer%2F11&amp;find="&amp;$F57&amp;"%2C"&amp;$E57&amp;"&amp;marker="&amp;$F57&amp;","&amp;$E57&amp;",4326&amp;level=16",IF(_xlfn.SINGLE(JobState)="IL","https://fema.maps.arcgis.com/apps/mapviewer/index.html?url=https%3A%2F%2Fgis1.dot.illinois.gov%2Farcgis%2Frest%2Fservices%2FAdministrativeData%2FFunctionalClass%2FMapServer%2F0&amp;find="&amp;$F57&amp;"%2C"&amp;$E57&amp;"&amp;marker="&amp;$F57&amp;","&amp;$E57&amp;",4326&amp;level=16",IF(_xlfn.SINGLE(JobState)="OH","https://fema.maps.arcgis.com/apps/mapviewer/index.html?url=https%3A%2F%2Ftims.dot.state.oh.us%2Fags%2Frest%2Fservices%2FRoadway_Information%2FFunctional_Class%2FMapServer%2F0&amp;find="&amp;$F57&amp;"%2C"&amp;$E57&amp;"&amp;marker="&amp;$F57&amp;","&amp;$E57&amp;",4326&amp;level=16","https://fema.maps.arcgis.com/apps/mapviewer/index.html?find="&amp;$F57&amp;"%2C"&amp;$E57&amp;"&amp;marker="&amp;$F57&amp;","&amp;$E57&amp;",4326&amp;level=16")))))),IF(_xlfn.SINGLE(JobState)="WI","Review Local Roads Layer","Review NFC AGOL Layer"))))</f>
        <v/>
      </c>
      <c r="N57" s="6" t="str">
        <f>IF(OR($E57="",$F57=""),"",IF(_xlfn.SINGLE(JobState)="",IF(ROW()=2,HYPERLINK("#JobState","Set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57&amp;"%2C"&amp;$E57&amp;"&amp;marker="&amp;$F57&amp;","&amp;$E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7" s="6" t="str">
        <f>IF(OR($E57="", $F57=""),"",IF(_xlfn.SINGLE(JobAgolMap)="",HYPERLINK("https://fema.maps.arcgis.com/apps/mapviewer/index.html?find="&amp;$F57&amp;"%2C"&amp;$E57&amp;"&amp;marker="&amp;$F57&amp;","&amp;$E57&amp;",4326&amp;level=16","FEMA AGOL Map Viewer"),HYPERLINK(_xlfn.SINGLE(JobAgolMap)&amp;IF(ISNUMBER(FIND("?",_xlfn.SINGLE(JobAgolMap))),"&amp;","?")&amp;"center="&amp;$F57&amp;","&amp;$E57&amp;"&amp;level=16&amp;marker="&amp;$F57&amp;","&amp;$E57,"Open")))</f>
        <v/>
      </c>
      <c r="Q57" s="4"/>
      <c r="R57" s="4"/>
      <c r="W57" s="6" t="str">
        <f t="shared" si="0"/>
        <v/>
      </c>
      <c r="X57" s="6" t="str">
        <f t="shared" si="1"/>
        <v/>
      </c>
      <c r="Y57" s="6" t="str">
        <f t="shared" si="2"/>
        <v/>
      </c>
      <c r="Z57" s="6" t="str">
        <f t="shared" si="3"/>
        <v/>
      </c>
      <c r="AA57" s="6" t="str">
        <f t="shared" si="4"/>
        <v/>
      </c>
      <c r="AB57" s="6" t="str">
        <f t="shared" si="5"/>
        <v/>
      </c>
      <c r="AC57" s="4"/>
      <c r="AD57" s="4"/>
    </row>
    <row r="58" spans="1:30" x14ac:dyDescent="0.45">
      <c r="A58" s="3"/>
      <c r="B58" s="3"/>
      <c r="C58" s="5" t="str">
        <f>IF($E58="","",COUNT($E$2:$E58))</f>
        <v/>
      </c>
      <c r="D58" s="3"/>
      <c r="E58" s="3"/>
      <c r="F58" s="3"/>
      <c r="G58" s="3"/>
      <c r="H58" s="3"/>
      <c r="I58" s="3"/>
      <c r="J58" s="3"/>
      <c r="K58" s="3"/>
      <c r="L58" s="4"/>
      <c r="M58" s="6" t="str">
        <f>IF(OR($E58="",$F58=""),"",IF(_xlfn.SINGLE(JobState)="",IF(ROW()=2,HYPERLINK("#JobState","Set State →"),""),HYPERLINK(IF(OR(_xlfn.SINGLE(JobState)="MI",_xlfn.SINGLE(JobState)=""),"https://fema.maps.arcgis.com/apps/mapviewer/index.html?webmap=6a1702b9147243d1a5ee62cd614bc681&amp;center="&amp;$F58&amp;","&amp;$E58&amp;"&amp;level=16&amp;marker="&amp;$F58&amp;","&amp;$E58&amp;"",IF(_xlfn.SINGLE(JobState)="IN","https://fema.maps.arcgis.com/apps/mapviewer/index.html?url=https%3A%2F%2Fgis.indot.in.gov%2Fro%2Frest%2Fservices%2FRAH_GIO_Collaboration%2FLRSE_Functional_Class%2FFeatureServer%2F22&amp;find="&amp;$F58&amp;"%2C"&amp;$E58&amp;"&amp;marker="&amp;$F58&amp;","&amp;$E58&amp;",4326&amp;level=16",IF(_xlfn.SINGLE(JobState)="WI","https://fema.maps.arcgis.com/apps/mapviewer/index.html?url=https://services5.arcgis.com/0pgGLzT0Nh7FVjon/arcgis/rest/services/Functional_Class_Local_Non_Prod/FeatureServer/1&amp;find="&amp;$F58&amp;"%2C"&amp;$E58&amp;"&amp;marker="&amp;$F58&amp;","&amp;$E58&amp;",4326&amp;level=16",IF(_xlfn.SINGLE(JobState)="MN","https://fema.maps.arcgis.com/apps/mapviewer/index.html?url=https%3A%2F%2Fdotapp9.dot.state.mn.us%2Fegis12%2Frest%2Fservices%2FBASEMAP%2Fmndot_commonlayers2%2FMapServer%2F11&amp;find="&amp;$F58&amp;"%2C"&amp;$E58&amp;"&amp;marker="&amp;$F58&amp;","&amp;$E58&amp;",4326&amp;level=16",IF(_xlfn.SINGLE(JobState)="IL","https://fema.maps.arcgis.com/apps/mapviewer/index.html?url=https%3A%2F%2Fgis1.dot.illinois.gov%2Farcgis%2Frest%2Fservices%2FAdministrativeData%2FFunctionalClass%2FMapServer%2F0&amp;find="&amp;$F58&amp;"%2C"&amp;$E58&amp;"&amp;marker="&amp;$F58&amp;","&amp;$E58&amp;",4326&amp;level=16",IF(_xlfn.SINGLE(JobState)="OH","https://fema.maps.arcgis.com/apps/mapviewer/index.html?url=https%3A%2F%2Ftims.dot.state.oh.us%2Fags%2Frest%2Fservices%2FRoadway_Information%2FFunctional_Class%2FMapServer%2F0&amp;find="&amp;$F58&amp;"%2C"&amp;$E58&amp;"&amp;marker="&amp;$F58&amp;","&amp;$E58&amp;",4326&amp;level=16","https://fema.maps.arcgis.com/apps/mapviewer/index.html?find="&amp;$F58&amp;"%2C"&amp;$E58&amp;"&amp;marker="&amp;$F58&amp;","&amp;$E58&amp;",4326&amp;level=16")))))),IF(_xlfn.SINGLE(JobState)="WI","Review Local Roads Layer","Review NFC AGOL Layer"))))</f>
        <v/>
      </c>
      <c r="N58" s="6" t="str">
        <f>IF(OR($E58="",$F58=""),"",IF(_xlfn.SINGLE(JobState)="",IF(ROW()=2,HYPERLINK("#JobState","Set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58&amp;"%2C"&amp;$E58&amp;"&amp;marker="&amp;$F58&amp;","&amp;$E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8" s="6" t="str">
        <f>IF(OR($E58="", $F58=""),"",IF(_xlfn.SINGLE(JobAgolMap)="",HYPERLINK("https://fema.maps.arcgis.com/apps/mapviewer/index.html?find="&amp;$F58&amp;"%2C"&amp;$E58&amp;"&amp;marker="&amp;$F58&amp;","&amp;$E58&amp;",4326&amp;level=16","FEMA AGOL Map Viewer"),HYPERLINK(_xlfn.SINGLE(JobAgolMap)&amp;IF(ISNUMBER(FIND("?",_xlfn.SINGLE(JobAgolMap))),"&amp;","?")&amp;"center="&amp;$F58&amp;","&amp;$E58&amp;"&amp;level=16&amp;marker="&amp;$F58&amp;","&amp;$E58,"Open")))</f>
        <v/>
      </c>
      <c r="Q58" s="4"/>
      <c r="R58" s="4"/>
      <c r="W58" s="6" t="str">
        <f t="shared" si="0"/>
        <v/>
      </c>
      <c r="X58" s="6" t="str">
        <f t="shared" si="1"/>
        <v/>
      </c>
      <c r="Y58" s="6" t="str">
        <f t="shared" si="2"/>
        <v/>
      </c>
      <c r="Z58" s="6" t="str">
        <f t="shared" si="3"/>
        <v/>
      </c>
      <c r="AA58" s="6" t="str">
        <f t="shared" si="4"/>
        <v/>
      </c>
      <c r="AB58" s="6" t="str">
        <f t="shared" si="5"/>
        <v/>
      </c>
      <c r="AC58" s="4"/>
      <c r="AD58" s="4"/>
    </row>
    <row r="59" spans="1:30" x14ac:dyDescent="0.45">
      <c r="A59" s="3"/>
      <c r="B59" s="3"/>
      <c r="C59" s="5" t="str">
        <f>IF($E59="","",COUNT($E$2:$E59))</f>
        <v/>
      </c>
      <c r="D59" s="3"/>
      <c r="E59" s="3"/>
      <c r="F59" s="3"/>
      <c r="G59" s="3"/>
      <c r="H59" s="3"/>
      <c r="I59" s="3"/>
      <c r="J59" s="3"/>
      <c r="K59" s="3"/>
      <c r="L59" s="4"/>
      <c r="M59" s="6" t="str">
        <f>IF(OR($E59="",$F59=""),"",IF(_xlfn.SINGLE(JobState)="",IF(ROW()=2,HYPERLINK("#JobState","Set State →"),""),HYPERLINK(IF(OR(_xlfn.SINGLE(JobState)="MI",_xlfn.SINGLE(JobState)=""),"https://fema.maps.arcgis.com/apps/mapviewer/index.html?webmap=6a1702b9147243d1a5ee62cd614bc681&amp;center="&amp;$F59&amp;","&amp;$E59&amp;"&amp;level=16&amp;marker="&amp;$F59&amp;","&amp;$E59&amp;"",IF(_xlfn.SINGLE(JobState)="IN","https://fema.maps.arcgis.com/apps/mapviewer/index.html?url=https%3A%2F%2Fgis.indot.in.gov%2Fro%2Frest%2Fservices%2FRAH_GIO_Collaboration%2FLRSE_Functional_Class%2FFeatureServer%2F22&amp;find="&amp;$F59&amp;"%2C"&amp;$E59&amp;"&amp;marker="&amp;$F59&amp;","&amp;$E59&amp;",4326&amp;level=16",IF(_xlfn.SINGLE(JobState)="WI","https://fema.maps.arcgis.com/apps/mapviewer/index.html?url=https://services5.arcgis.com/0pgGLzT0Nh7FVjon/arcgis/rest/services/Functional_Class_Local_Non_Prod/FeatureServer/1&amp;find="&amp;$F59&amp;"%2C"&amp;$E59&amp;"&amp;marker="&amp;$F59&amp;","&amp;$E59&amp;",4326&amp;level=16",IF(_xlfn.SINGLE(JobState)="MN","https://fema.maps.arcgis.com/apps/mapviewer/index.html?url=https%3A%2F%2Fdotapp9.dot.state.mn.us%2Fegis12%2Frest%2Fservices%2FBASEMAP%2Fmndot_commonlayers2%2FMapServer%2F11&amp;find="&amp;$F59&amp;"%2C"&amp;$E59&amp;"&amp;marker="&amp;$F59&amp;","&amp;$E59&amp;",4326&amp;level=16",IF(_xlfn.SINGLE(JobState)="IL","https://fema.maps.arcgis.com/apps/mapviewer/index.html?url=https%3A%2F%2Fgis1.dot.illinois.gov%2Farcgis%2Frest%2Fservices%2FAdministrativeData%2FFunctionalClass%2FMapServer%2F0&amp;find="&amp;$F59&amp;"%2C"&amp;$E59&amp;"&amp;marker="&amp;$F59&amp;","&amp;$E59&amp;",4326&amp;level=16",IF(_xlfn.SINGLE(JobState)="OH","https://fema.maps.arcgis.com/apps/mapviewer/index.html?url=https%3A%2F%2Ftims.dot.state.oh.us%2Fags%2Frest%2Fservices%2FRoadway_Information%2FFunctional_Class%2FMapServer%2F0&amp;find="&amp;$F59&amp;"%2C"&amp;$E59&amp;"&amp;marker="&amp;$F59&amp;","&amp;$E59&amp;",4326&amp;level=16","https://fema.maps.arcgis.com/apps/mapviewer/index.html?find="&amp;$F59&amp;"%2C"&amp;$E59&amp;"&amp;marker="&amp;$F59&amp;","&amp;$E59&amp;",4326&amp;level=16")))))),IF(_xlfn.SINGLE(JobState)="WI","Review Local Roads Layer","Review NFC AGOL Layer"))))</f>
        <v/>
      </c>
      <c r="N59" s="6" t="str">
        <f>IF(OR($E59="",$F59=""),"",IF(_xlfn.SINGLE(JobState)="",IF(ROW()=2,HYPERLINK("#JobState","Set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59&amp;"%2C"&amp;$E59&amp;"&amp;marker="&amp;$F59&amp;","&amp;$E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9" s="6" t="str">
        <f>IF(OR($E59="", $F59=""),"",IF(_xlfn.SINGLE(JobAgolMap)="",HYPERLINK("https://fema.maps.arcgis.com/apps/mapviewer/index.html?find="&amp;$F59&amp;"%2C"&amp;$E59&amp;"&amp;marker="&amp;$F59&amp;","&amp;$E59&amp;",4326&amp;level=16","FEMA AGOL Map Viewer"),HYPERLINK(_xlfn.SINGLE(JobAgolMap)&amp;IF(ISNUMBER(FIND("?",_xlfn.SINGLE(JobAgolMap))),"&amp;","?")&amp;"center="&amp;$F59&amp;","&amp;$E59&amp;"&amp;level=16&amp;marker="&amp;$F59&amp;","&amp;$E59,"Open")))</f>
        <v/>
      </c>
      <c r="Q59" s="4"/>
      <c r="R59" s="4"/>
      <c r="W59" s="6" t="str">
        <f t="shared" si="0"/>
        <v/>
      </c>
      <c r="X59" s="6" t="str">
        <f t="shared" si="1"/>
        <v/>
      </c>
      <c r="Y59" s="6" t="str">
        <f t="shared" si="2"/>
        <v/>
      </c>
      <c r="Z59" s="6" t="str">
        <f t="shared" si="3"/>
        <v/>
      </c>
      <c r="AA59" s="6" t="str">
        <f t="shared" si="4"/>
        <v/>
      </c>
      <c r="AB59" s="6" t="str">
        <f t="shared" si="5"/>
        <v/>
      </c>
      <c r="AC59" s="4"/>
      <c r="AD59" s="4"/>
    </row>
    <row r="60" spans="1:30" x14ac:dyDescent="0.45">
      <c r="A60" s="3"/>
      <c r="B60" s="3"/>
      <c r="C60" s="5" t="str">
        <f>IF($E60="","",COUNT($E$2:$E60))</f>
        <v/>
      </c>
      <c r="D60" s="3"/>
      <c r="E60" s="3"/>
      <c r="F60" s="3"/>
      <c r="G60" s="3"/>
      <c r="H60" s="3"/>
      <c r="I60" s="3"/>
      <c r="J60" s="3"/>
      <c r="K60" s="3"/>
      <c r="L60" s="4"/>
      <c r="M60" s="6" t="str">
        <f>IF(OR($E60="",$F60=""),"",IF(_xlfn.SINGLE(JobState)="",IF(ROW()=2,HYPERLINK("#JobState","Set State →"),""),HYPERLINK(IF(OR(_xlfn.SINGLE(JobState)="MI",_xlfn.SINGLE(JobState)=""),"https://fema.maps.arcgis.com/apps/mapviewer/index.html?webmap=6a1702b9147243d1a5ee62cd614bc681&amp;center="&amp;$F60&amp;","&amp;$E60&amp;"&amp;level=16&amp;marker="&amp;$F60&amp;","&amp;$E60&amp;"",IF(_xlfn.SINGLE(JobState)="IN","https://fema.maps.arcgis.com/apps/mapviewer/index.html?url=https%3A%2F%2Fgis.indot.in.gov%2Fro%2Frest%2Fservices%2FRAH_GIO_Collaboration%2FLRSE_Functional_Class%2FFeatureServer%2F22&amp;find="&amp;$F60&amp;"%2C"&amp;$E60&amp;"&amp;marker="&amp;$F60&amp;","&amp;$E60&amp;",4326&amp;level=16",IF(_xlfn.SINGLE(JobState)="WI","https://fema.maps.arcgis.com/apps/mapviewer/index.html?url=https://services5.arcgis.com/0pgGLzT0Nh7FVjon/arcgis/rest/services/Functional_Class_Local_Non_Prod/FeatureServer/1&amp;find="&amp;$F60&amp;"%2C"&amp;$E60&amp;"&amp;marker="&amp;$F60&amp;","&amp;$E60&amp;",4326&amp;level=16",IF(_xlfn.SINGLE(JobState)="MN","https://fema.maps.arcgis.com/apps/mapviewer/index.html?url=https%3A%2F%2Fdotapp9.dot.state.mn.us%2Fegis12%2Frest%2Fservices%2FBASEMAP%2Fmndot_commonlayers2%2FMapServer%2F11&amp;find="&amp;$F60&amp;"%2C"&amp;$E60&amp;"&amp;marker="&amp;$F60&amp;","&amp;$E60&amp;",4326&amp;level=16",IF(_xlfn.SINGLE(JobState)="IL","https://fema.maps.arcgis.com/apps/mapviewer/index.html?url=https%3A%2F%2Fgis1.dot.illinois.gov%2Farcgis%2Frest%2Fservices%2FAdministrativeData%2FFunctionalClass%2FMapServer%2F0&amp;find="&amp;$F60&amp;"%2C"&amp;$E60&amp;"&amp;marker="&amp;$F60&amp;","&amp;$E60&amp;",4326&amp;level=16",IF(_xlfn.SINGLE(JobState)="OH","https://fema.maps.arcgis.com/apps/mapviewer/index.html?url=https%3A%2F%2Ftims.dot.state.oh.us%2Fags%2Frest%2Fservices%2FRoadway_Information%2FFunctional_Class%2FMapServer%2F0&amp;find="&amp;$F60&amp;"%2C"&amp;$E60&amp;"&amp;marker="&amp;$F60&amp;","&amp;$E60&amp;",4326&amp;level=16","https://fema.maps.arcgis.com/apps/mapviewer/index.html?find="&amp;$F60&amp;"%2C"&amp;$E60&amp;"&amp;marker="&amp;$F60&amp;","&amp;$E60&amp;",4326&amp;level=16")))))),IF(_xlfn.SINGLE(JobState)="WI","Review Local Roads Layer","Review NFC AGOL Layer"))))</f>
        <v/>
      </c>
      <c r="N60" s="6" t="str">
        <f>IF(OR($E60="",$F60=""),"",IF(_xlfn.SINGLE(JobState)="",IF(ROW()=2,HYPERLINK("#JobState","Set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60&amp;"%2C"&amp;$E60&amp;"&amp;marker="&amp;$F60&amp;","&amp;$E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0" s="6" t="str">
        <f>IF(OR($E60="", $F60=""),"",IF(_xlfn.SINGLE(JobAgolMap)="",HYPERLINK("https://fema.maps.arcgis.com/apps/mapviewer/index.html?find="&amp;$F60&amp;"%2C"&amp;$E60&amp;"&amp;marker="&amp;$F60&amp;","&amp;$E60&amp;",4326&amp;level=16","FEMA AGOL Map Viewer"),HYPERLINK(_xlfn.SINGLE(JobAgolMap)&amp;IF(ISNUMBER(FIND("?",_xlfn.SINGLE(JobAgolMap))),"&amp;","?")&amp;"center="&amp;$F60&amp;","&amp;$E60&amp;"&amp;level=16&amp;marker="&amp;$F60&amp;","&amp;$E60,"Open")))</f>
        <v/>
      </c>
      <c r="Q60" s="4"/>
      <c r="R60" s="4"/>
      <c r="W60" s="6" t="str">
        <f t="shared" si="0"/>
        <v/>
      </c>
      <c r="X60" s="6" t="str">
        <f t="shared" si="1"/>
        <v/>
      </c>
      <c r="Y60" s="6" t="str">
        <f t="shared" si="2"/>
        <v/>
      </c>
      <c r="Z60" s="6" t="str">
        <f t="shared" si="3"/>
        <v/>
      </c>
      <c r="AA60" s="6" t="str">
        <f t="shared" si="4"/>
        <v/>
      </c>
      <c r="AB60" s="6" t="str">
        <f t="shared" si="5"/>
        <v/>
      </c>
      <c r="AC60" s="4"/>
      <c r="AD60" s="4"/>
    </row>
    <row r="61" spans="1:30" x14ac:dyDescent="0.45">
      <c r="A61" s="3"/>
      <c r="B61" s="3"/>
      <c r="C61" s="5" t="str">
        <f>IF($E61="","",COUNT($E$2:$E61))</f>
        <v/>
      </c>
      <c r="D61" s="3"/>
      <c r="E61" s="3"/>
      <c r="F61" s="3"/>
      <c r="G61" s="3"/>
      <c r="H61" s="3"/>
      <c r="I61" s="3"/>
      <c r="J61" s="3"/>
      <c r="K61" s="3"/>
      <c r="L61" s="4"/>
      <c r="M61" s="6" t="str">
        <f>IF(OR($E61="",$F61=""),"",IF(_xlfn.SINGLE(JobState)="",IF(ROW()=2,HYPERLINK("#JobState","Set State →"),""),HYPERLINK(IF(OR(_xlfn.SINGLE(JobState)="MI",_xlfn.SINGLE(JobState)=""),"https://fema.maps.arcgis.com/apps/mapviewer/index.html?webmap=6a1702b9147243d1a5ee62cd614bc681&amp;center="&amp;$F61&amp;","&amp;$E61&amp;"&amp;level=16&amp;marker="&amp;$F61&amp;","&amp;$E61&amp;"",IF(_xlfn.SINGLE(JobState)="IN","https://fema.maps.arcgis.com/apps/mapviewer/index.html?url=https%3A%2F%2Fgis.indot.in.gov%2Fro%2Frest%2Fservices%2FRAH_GIO_Collaboration%2FLRSE_Functional_Class%2FFeatureServer%2F22&amp;find="&amp;$F61&amp;"%2C"&amp;$E61&amp;"&amp;marker="&amp;$F61&amp;","&amp;$E61&amp;",4326&amp;level=16",IF(_xlfn.SINGLE(JobState)="WI","https://fema.maps.arcgis.com/apps/mapviewer/index.html?url=https://services5.arcgis.com/0pgGLzT0Nh7FVjon/arcgis/rest/services/Functional_Class_Local_Non_Prod/FeatureServer/1&amp;find="&amp;$F61&amp;"%2C"&amp;$E61&amp;"&amp;marker="&amp;$F61&amp;","&amp;$E61&amp;",4326&amp;level=16",IF(_xlfn.SINGLE(JobState)="MN","https://fema.maps.arcgis.com/apps/mapviewer/index.html?url=https%3A%2F%2Fdotapp9.dot.state.mn.us%2Fegis12%2Frest%2Fservices%2FBASEMAP%2Fmndot_commonlayers2%2FMapServer%2F11&amp;find="&amp;$F61&amp;"%2C"&amp;$E61&amp;"&amp;marker="&amp;$F61&amp;","&amp;$E61&amp;",4326&amp;level=16",IF(_xlfn.SINGLE(JobState)="IL","https://fema.maps.arcgis.com/apps/mapviewer/index.html?url=https%3A%2F%2Fgis1.dot.illinois.gov%2Farcgis%2Frest%2Fservices%2FAdministrativeData%2FFunctionalClass%2FMapServer%2F0&amp;find="&amp;$F61&amp;"%2C"&amp;$E61&amp;"&amp;marker="&amp;$F61&amp;","&amp;$E61&amp;",4326&amp;level=16",IF(_xlfn.SINGLE(JobState)="OH","https://fema.maps.arcgis.com/apps/mapviewer/index.html?url=https%3A%2F%2Ftims.dot.state.oh.us%2Fags%2Frest%2Fservices%2FRoadway_Information%2FFunctional_Class%2FMapServer%2F0&amp;find="&amp;$F61&amp;"%2C"&amp;$E61&amp;"&amp;marker="&amp;$F61&amp;","&amp;$E61&amp;",4326&amp;level=16","https://fema.maps.arcgis.com/apps/mapviewer/index.html?find="&amp;$F61&amp;"%2C"&amp;$E61&amp;"&amp;marker="&amp;$F61&amp;","&amp;$E61&amp;",4326&amp;level=16")))))),IF(_xlfn.SINGLE(JobState)="WI","Review Local Roads Layer","Review NFC AGOL Layer"))))</f>
        <v/>
      </c>
      <c r="N61" s="6" t="str">
        <f>IF(OR($E61="",$F61=""),"",IF(_xlfn.SINGLE(JobState)="",IF(ROW()=2,HYPERLINK("#JobState","Set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61&amp;"%2C"&amp;$E61&amp;"&amp;marker="&amp;$F61&amp;","&amp;$E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1" s="6" t="str">
        <f>IF(OR($E61="", $F61=""),"",IF(_xlfn.SINGLE(JobAgolMap)="",HYPERLINK("https://fema.maps.arcgis.com/apps/mapviewer/index.html?find="&amp;$F61&amp;"%2C"&amp;$E61&amp;"&amp;marker="&amp;$F61&amp;","&amp;$E61&amp;",4326&amp;level=16","FEMA AGOL Map Viewer"),HYPERLINK(_xlfn.SINGLE(JobAgolMap)&amp;IF(ISNUMBER(FIND("?",_xlfn.SINGLE(JobAgolMap))),"&amp;","?")&amp;"center="&amp;$F61&amp;","&amp;$E61&amp;"&amp;level=16&amp;marker="&amp;$F61&amp;","&amp;$E61,"Open")))</f>
        <v/>
      </c>
      <c r="Q61" s="4"/>
      <c r="R61" s="4"/>
      <c r="W61" s="6" t="str">
        <f t="shared" si="0"/>
        <v/>
      </c>
      <c r="X61" s="6" t="str">
        <f t="shared" si="1"/>
        <v/>
      </c>
      <c r="Y61" s="6" t="str">
        <f t="shared" si="2"/>
        <v/>
      </c>
      <c r="Z61" s="6" t="str">
        <f t="shared" si="3"/>
        <v/>
      </c>
      <c r="AA61" s="6" t="str">
        <f t="shared" si="4"/>
        <v/>
      </c>
      <c r="AB61" s="6" t="str">
        <f t="shared" si="5"/>
        <v/>
      </c>
      <c r="AC61" s="4"/>
      <c r="AD61" s="4"/>
    </row>
    <row r="62" spans="1:30" x14ac:dyDescent="0.45">
      <c r="A62" s="3"/>
      <c r="B62" s="3"/>
      <c r="C62" s="5" t="str">
        <f>IF($E62="","",COUNT($E$2:$E62))</f>
        <v/>
      </c>
      <c r="D62" s="3"/>
      <c r="E62" s="3"/>
      <c r="F62" s="3"/>
      <c r="G62" s="3"/>
      <c r="H62" s="3"/>
      <c r="I62" s="3"/>
      <c r="J62" s="3"/>
      <c r="K62" s="3"/>
      <c r="L62" s="4"/>
      <c r="M62" s="6" t="str">
        <f>IF(OR($E62="",$F62=""),"",IF(_xlfn.SINGLE(JobState)="",IF(ROW()=2,HYPERLINK("#JobState","Set State →"),""),HYPERLINK(IF(OR(_xlfn.SINGLE(JobState)="MI",_xlfn.SINGLE(JobState)=""),"https://fema.maps.arcgis.com/apps/mapviewer/index.html?webmap=6a1702b9147243d1a5ee62cd614bc681&amp;center="&amp;$F62&amp;","&amp;$E62&amp;"&amp;level=16&amp;marker="&amp;$F62&amp;","&amp;$E62&amp;"",IF(_xlfn.SINGLE(JobState)="IN","https://fema.maps.arcgis.com/apps/mapviewer/index.html?url=https%3A%2F%2Fgis.indot.in.gov%2Fro%2Frest%2Fservices%2FRAH_GIO_Collaboration%2FLRSE_Functional_Class%2FFeatureServer%2F22&amp;find="&amp;$F62&amp;"%2C"&amp;$E62&amp;"&amp;marker="&amp;$F62&amp;","&amp;$E62&amp;",4326&amp;level=16",IF(_xlfn.SINGLE(JobState)="WI","https://fema.maps.arcgis.com/apps/mapviewer/index.html?url=https://services5.arcgis.com/0pgGLzT0Nh7FVjon/arcgis/rest/services/Functional_Class_Local_Non_Prod/FeatureServer/1&amp;find="&amp;$F62&amp;"%2C"&amp;$E62&amp;"&amp;marker="&amp;$F62&amp;","&amp;$E62&amp;",4326&amp;level=16",IF(_xlfn.SINGLE(JobState)="MN","https://fema.maps.arcgis.com/apps/mapviewer/index.html?url=https%3A%2F%2Fdotapp9.dot.state.mn.us%2Fegis12%2Frest%2Fservices%2FBASEMAP%2Fmndot_commonlayers2%2FMapServer%2F11&amp;find="&amp;$F62&amp;"%2C"&amp;$E62&amp;"&amp;marker="&amp;$F62&amp;","&amp;$E62&amp;",4326&amp;level=16",IF(_xlfn.SINGLE(JobState)="IL","https://fema.maps.arcgis.com/apps/mapviewer/index.html?url=https%3A%2F%2Fgis1.dot.illinois.gov%2Farcgis%2Frest%2Fservices%2FAdministrativeData%2FFunctionalClass%2FMapServer%2F0&amp;find="&amp;$F62&amp;"%2C"&amp;$E62&amp;"&amp;marker="&amp;$F62&amp;","&amp;$E62&amp;",4326&amp;level=16",IF(_xlfn.SINGLE(JobState)="OH","https://fema.maps.arcgis.com/apps/mapviewer/index.html?url=https%3A%2F%2Ftims.dot.state.oh.us%2Fags%2Frest%2Fservices%2FRoadway_Information%2FFunctional_Class%2FMapServer%2F0&amp;find="&amp;$F62&amp;"%2C"&amp;$E62&amp;"&amp;marker="&amp;$F62&amp;","&amp;$E62&amp;",4326&amp;level=16","https://fema.maps.arcgis.com/apps/mapviewer/index.html?find="&amp;$F62&amp;"%2C"&amp;$E62&amp;"&amp;marker="&amp;$F62&amp;","&amp;$E62&amp;",4326&amp;level=16")))))),IF(_xlfn.SINGLE(JobState)="WI","Review Local Roads Layer","Review NFC AGOL Layer"))))</f>
        <v/>
      </c>
      <c r="N62" s="6" t="str">
        <f>IF(OR($E62="",$F62=""),"",IF(_xlfn.SINGLE(JobState)="",IF(ROW()=2,HYPERLINK("#JobState","Set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62&amp;"%2C"&amp;$E62&amp;"&amp;marker="&amp;$F62&amp;","&amp;$E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2" s="6" t="str">
        <f>IF(OR($E62="", $F62=""),"",IF(_xlfn.SINGLE(JobAgolMap)="",HYPERLINK("https://fema.maps.arcgis.com/apps/mapviewer/index.html?find="&amp;$F62&amp;"%2C"&amp;$E62&amp;"&amp;marker="&amp;$F62&amp;","&amp;$E62&amp;",4326&amp;level=16","FEMA AGOL Map Viewer"),HYPERLINK(_xlfn.SINGLE(JobAgolMap)&amp;IF(ISNUMBER(FIND("?",_xlfn.SINGLE(JobAgolMap))),"&amp;","?")&amp;"center="&amp;$F62&amp;","&amp;$E62&amp;"&amp;level=16&amp;marker="&amp;$F62&amp;","&amp;$E62,"Open")))</f>
        <v/>
      </c>
      <c r="Q62" s="4"/>
      <c r="R62" s="4"/>
      <c r="W62" s="6" t="str">
        <f t="shared" si="0"/>
        <v/>
      </c>
      <c r="X62" s="6" t="str">
        <f t="shared" si="1"/>
        <v/>
      </c>
      <c r="Y62" s="6" t="str">
        <f t="shared" si="2"/>
        <v/>
      </c>
      <c r="Z62" s="6" t="str">
        <f t="shared" si="3"/>
        <v/>
      </c>
      <c r="AA62" s="6" t="str">
        <f t="shared" si="4"/>
        <v/>
      </c>
      <c r="AB62" s="6" t="str">
        <f t="shared" si="5"/>
        <v/>
      </c>
      <c r="AC62" s="4"/>
      <c r="AD62" s="4"/>
    </row>
    <row r="63" spans="1:30" x14ac:dyDescent="0.45">
      <c r="A63" s="3"/>
      <c r="B63" s="3"/>
      <c r="C63" s="5" t="str">
        <f>IF($E63="","",COUNT($E$2:$E63))</f>
        <v/>
      </c>
      <c r="D63" s="3"/>
      <c r="E63" s="3"/>
      <c r="F63" s="3"/>
      <c r="G63" s="3"/>
      <c r="H63" s="3"/>
      <c r="I63" s="3"/>
      <c r="J63" s="3"/>
      <c r="K63" s="3"/>
      <c r="L63" s="4"/>
      <c r="M63" s="6" t="str">
        <f>IF(OR($E63="",$F63=""),"",IF(_xlfn.SINGLE(JobState)="",IF(ROW()=2,HYPERLINK("#JobState","Set State →"),""),HYPERLINK(IF(OR(_xlfn.SINGLE(JobState)="MI",_xlfn.SINGLE(JobState)=""),"https://fema.maps.arcgis.com/apps/mapviewer/index.html?webmap=6a1702b9147243d1a5ee62cd614bc681&amp;center="&amp;$F63&amp;","&amp;$E63&amp;"&amp;level=16&amp;marker="&amp;$F63&amp;","&amp;$E63&amp;"",IF(_xlfn.SINGLE(JobState)="IN","https://fema.maps.arcgis.com/apps/mapviewer/index.html?url=https%3A%2F%2Fgis.indot.in.gov%2Fro%2Frest%2Fservices%2FRAH_GIO_Collaboration%2FLRSE_Functional_Class%2FFeatureServer%2F22&amp;find="&amp;$F63&amp;"%2C"&amp;$E63&amp;"&amp;marker="&amp;$F63&amp;","&amp;$E63&amp;",4326&amp;level=16",IF(_xlfn.SINGLE(JobState)="WI","https://fema.maps.arcgis.com/apps/mapviewer/index.html?url=https://services5.arcgis.com/0pgGLzT0Nh7FVjon/arcgis/rest/services/Functional_Class_Local_Non_Prod/FeatureServer/1&amp;find="&amp;$F63&amp;"%2C"&amp;$E63&amp;"&amp;marker="&amp;$F63&amp;","&amp;$E63&amp;",4326&amp;level=16",IF(_xlfn.SINGLE(JobState)="MN","https://fema.maps.arcgis.com/apps/mapviewer/index.html?url=https%3A%2F%2Fdotapp9.dot.state.mn.us%2Fegis12%2Frest%2Fservices%2FBASEMAP%2Fmndot_commonlayers2%2FMapServer%2F11&amp;find="&amp;$F63&amp;"%2C"&amp;$E63&amp;"&amp;marker="&amp;$F63&amp;","&amp;$E63&amp;",4326&amp;level=16",IF(_xlfn.SINGLE(JobState)="IL","https://fema.maps.arcgis.com/apps/mapviewer/index.html?url=https%3A%2F%2Fgis1.dot.illinois.gov%2Farcgis%2Frest%2Fservices%2FAdministrativeData%2FFunctionalClass%2FMapServer%2F0&amp;find="&amp;$F63&amp;"%2C"&amp;$E63&amp;"&amp;marker="&amp;$F63&amp;","&amp;$E63&amp;",4326&amp;level=16",IF(_xlfn.SINGLE(JobState)="OH","https://fema.maps.arcgis.com/apps/mapviewer/index.html?url=https%3A%2F%2Ftims.dot.state.oh.us%2Fags%2Frest%2Fservices%2FRoadway_Information%2FFunctional_Class%2FMapServer%2F0&amp;find="&amp;$F63&amp;"%2C"&amp;$E63&amp;"&amp;marker="&amp;$F63&amp;","&amp;$E63&amp;",4326&amp;level=16","https://fema.maps.arcgis.com/apps/mapviewer/index.html?find="&amp;$F63&amp;"%2C"&amp;$E63&amp;"&amp;marker="&amp;$F63&amp;","&amp;$E63&amp;",4326&amp;level=16")))))),IF(_xlfn.SINGLE(JobState)="WI","Review Local Roads Layer","Review NFC AGOL Layer"))))</f>
        <v/>
      </c>
      <c r="N63" s="6" t="str">
        <f>IF(OR($E63="",$F63=""),"",IF(_xlfn.SINGLE(JobState)="",IF(ROW()=2,HYPERLINK("#JobState","Set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63&amp;"%2C"&amp;$E63&amp;"&amp;marker="&amp;$F63&amp;","&amp;$E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3" s="6" t="str">
        <f>IF(OR($E63="", $F63=""),"",IF(_xlfn.SINGLE(JobAgolMap)="",HYPERLINK("https://fema.maps.arcgis.com/apps/mapviewer/index.html?find="&amp;$F63&amp;"%2C"&amp;$E63&amp;"&amp;marker="&amp;$F63&amp;","&amp;$E63&amp;",4326&amp;level=16","FEMA AGOL Map Viewer"),HYPERLINK(_xlfn.SINGLE(JobAgolMap)&amp;IF(ISNUMBER(FIND("?",_xlfn.SINGLE(JobAgolMap))),"&amp;","?")&amp;"center="&amp;$F63&amp;","&amp;$E63&amp;"&amp;level=16&amp;marker="&amp;$F63&amp;","&amp;$E63,"Open")))</f>
        <v/>
      </c>
      <c r="Q63" s="4"/>
      <c r="R63" s="4"/>
      <c r="W63" s="6" t="str">
        <f t="shared" si="0"/>
        <v/>
      </c>
      <c r="X63" s="6" t="str">
        <f t="shared" si="1"/>
        <v/>
      </c>
      <c r="Y63" s="6" t="str">
        <f t="shared" si="2"/>
        <v/>
      </c>
      <c r="Z63" s="6" t="str">
        <f t="shared" si="3"/>
        <v/>
      </c>
      <c r="AA63" s="6" t="str">
        <f t="shared" si="4"/>
        <v/>
      </c>
      <c r="AB63" s="6" t="str">
        <f t="shared" si="5"/>
        <v/>
      </c>
      <c r="AC63" s="4"/>
      <c r="AD63" s="4"/>
    </row>
    <row r="64" spans="1:30" x14ac:dyDescent="0.45">
      <c r="A64" s="3"/>
      <c r="B64" s="3"/>
      <c r="C64" s="5" t="str">
        <f>IF($E64="","",COUNT($E$2:$E64))</f>
        <v/>
      </c>
      <c r="D64" s="3"/>
      <c r="E64" s="3"/>
      <c r="F64" s="3"/>
      <c r="G64" s="3"/>
      <c r="H64" s="3"/>
      <c r="I64" s="3"/>
      <c r="J64" s="3"/>
      <c r="K64" s="3"/>
      <c r="L64" s="4"/>
      <c r="M64" s="6" t="str">
        <f>IF(OR($E64="",$F64=""),"",IF(_xlfn.SINGLE(JobState)="",IF(ROW()=2,HYPERLINK("#JobState","Set State →"),""),HYPERLINK(IF(OR(_xlfn.SINGLE(JobState)="MI",_xlfn.SINGLE(JobState)=""),"https://fema.maps.arcgis.com/apps/mapviewer/index.html?webmap=6a1702b9147243d1a5ee62cd614bc681&amp;center="&amp;$F64&amp;","&amp;$E64&amp;"&amp;level=16&amp;marker="&amp;$F64&amp;","&amp;$E64&amp;"",IF(_xlfn.SINGLE(JobState)="IN","https://fema.maps.arcgis.com/apps/mapviewer/index.html?url=https%3A%2F%2Fgis.indot.in.gov%2Fro%2Frest%2Fservices%2FRAH_GIO_Collaboration%2FLRSE_Functional_Class%2FFeatureServer%2F22&amp;find="&amp;$F64&amp;"%2C"&amp;$E64&amp;"&amp;marker="&amp;$F64&amp;","&amp;$E64&amp;",4326&amp;level=16",IF(_xlfn.SINGLE(JobState)="WI","https://fema.maps.arcgis.com/apps/mapviewer/index.html?url=https://services5.arcgis.com/0pgGLzT0Nh7FVjon/arcgis/rest/services/Functional_Class_Local_Non_Prod/FeatureServer/1&amp;find="&amp;$F64&amp;"%2C"&amp;$E64&amp;"&amp;marker="&amp;$F64&amp;","&amp;$E64&amp;",4326&amp;level=16",IF(_xlfn.SINGLE(JobState)="MN","https://fema.maps.arcgis.com/apps/mapviewer/index.html?url=https%3A%2F%2Fdotapp9.dot.state.mn.us%2Fegis12%2Frest%2Fservices%2FBASEMAP%2Fmndot_commonlayers2%2FMapServer%2F11&amp;find="&amp;$F64&amp;"%2C"&amp;$E64&amp;"&amp;marker="&amp;$F64&amp;","&amp;$E64&amp;",4326&amp;level=16",IF(_xlfn.SINGLE(JobState)="IL","https://fema.maps.arcgis.com/apps/mapviewer/index.html?url=https%3A%2F%2Fgis1.dot.illinois.gov%2Farcgis%2Frest%2Fservices%2FAdministrativeData%2FFunctionalClass%2FMapServer%2F0&amp;find="&amp;$F64&amp;"%2C"&amp;$E64&amp;"&amp;marker="&amp;$F64&amp;","&amp;$E64&amp;",4326&amp;level=16",IF(_xlfn.SINGLE(JobState)="OH","https://fema.maps.arcgis.com/apps/mapviewer/index.html?url=https%3A%2F%2Ftims.dot.state.oh.us%2Fags%2Frest%2Fservices%2FRoadway_Information%2FFunctional_Class%2FMapServer%2F0&amp;find="&amp;$F64&amp;"%2C"&amp;$E64&amp;"&amp;marker="&amp;$F64&amp;","&amp;$E64&amp;",4326&amp;level=16","https://fema.maps.arcgis.com/apps/mapviewer/index.html?find="&amp;$F64&amp;"%2C"&amp;$E64&amp;"&amp;marker="&amp;$F64&amp;","&amp;$E64&amp;",4326&amp;level=16")))))),IF(_xlfn.SINGLE(JobState)="WI","Review Local Roads Layer","Review NFC AGOL Layer"))))</f>
        <v/>
      </c>
      <c r="N64" s="6" t="str">
        <f>IF(OR($E64="",$F64=""),"",IF(_xlfn.SINGLE(JobState)="",IF(ROW()=2,HYPERLINK("#JobState","Set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64&amp;"%2C"&amp;$E64&amp;"&amp;marker="&amp;$F64&amp;","&amp;$E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4" s="6" t="str">
        <f>IF(OR($E64="", $F64=""),"",IF(_xlfn.SINGLE(JobAgolMap)="",HYPERLINK("https://fema.maps.arcgis.com/apps/mapviewer/index.html?find="&amp;$F64&amp;"%2C"&amp;$E64&amp;"&amp;marker="&amp;$F64&amp;","&amp;$E64&amp;",4326&amp;level=16","FEMA AGOL Map Viewer"),HYPERLINK(_xlfn.SINGLE(JobAgolMap)&amp;IF(ISNUMBER(FIND("?",_xlfn.SINGLE(JobAgolMap))),"&amp;","?")&amp;"center="&amp;$F64&amp;","&amp;$E64&amp;"&amp;level=16&amp;marker="&amp;$F64&amp;","&amp;$E64,"Open")))</f>
        <v/>
      </c>
      <c r="Q64" s="4"/>
      <c r="R64" s="4"/>
      <c r="W64" s="6" t="str">
        <f t="shared" si="0"/>
        <v/>
      </c>
      <c r="X64" s="6" t="str">
        <f t="shared" si="1"/>
        <v/>
      </c>
      <c r="Y64" s="6" t="str">
        <f t="shared" si="2"/>
        <v/>
      </c>
      <c r="Z64" s="6" t="str">
        <f t="shared" si="3"/>
        <v/>
      </c>
      <c r="AA64" s="6" t="str">
        <f t="shared" si="4"/>
        <v/>
      </c>
      <c r="AB64" s="6" t="str">
        <f t="shared" si="5"/>
        <v/>
      </c>
      <c r="AC64" s="4"/>
      <c r="AD64" s="4"/>
    </row>
    <row r="65" spans="1:30" x14ac:dyDescent="0.45">
      <c r="A65" s="3"/>
      <c r="B65" s="3"/>
      <c r="C65" s="5" t="str">
        <f>IF($E65="","",COUNT($E$2:$E65))</f>
        <v/>
      </c>
      <c r="D65" s="3"/>
      <c r="E65" s="3"/>
      <c r="F65" s="3"/>
      <c r="G65" s="3"/>
      <c r="H65" s="3"/>
      <c r="I65" s="3"/>
      <c r="J65" s="3"/>
      <c r="K65" s="3"/>
      <c r="L65" s="4"/>
      <c r="M65" s="6" t="str">
        <f>IF(OR($E65="",$F65=""),"",IF(_xlfn.SINGLE(JobState)="",IF(ROW()=2,HYPERLINK("#JobState","Set State →"),""),HYPERLINK(IF(OR(_xlfn.SINGLE(JobState)="MI",_xlfn.SINGLE(JobState)=""),"https://fema.maps.arcgis.com/apps/mapviewer/index.html?webmap=6a1702b9147243d1a5ee62cd614bc681&amp;center="&amp;$F65&amp;","&amp;$E65&amp;"&amp;level=16&amp;marker="&amp;$F65&amp;","&amp;$E65&amp;"",IF(_xlfn.SINGLE(JobState)="IN","https://fema.maps.arcgis.com/apps/mapviewer/index.html?url=https%3A%2F%2Fgis.indot.in.gov%2Fro%2Frest%2Fservices%2FRAH_GIO_Collaboration%2FLRSE_Functional_Class%2FFeatureServer%2F22&amp;find="&amp;$F65&amp;"%2C"&amp;$E65&amp;"&amp;marker="&amp;$F65&amp;","&amp;$E65&amp;",4326&amp;level=16",IF(_xlfn.SINGLE(JobState)="WI","https://fema.maps.arcgis.com/apps/mapviewer/index.html?url=https://services5.arcgis.com/0pgGLzT0Nh7FVjon/arcgis/rest/services/Functional_Class_Local_Non_Prod/FeatureServer/1&amp;find="&amp;$F65&amp;"%2C"&amp;$E65&amp;"&amp;marker="&amp;$F65&amp;","&amp;$E65&amp;",4326&amp;level=16",IF(_xlfn.SINGLE(JobState)="MN","https://fema.maps.arcgis.com/apps/mapviewer/index.html?url=https%3A%2F%2Fdotapp9.dot.state.mn.us%2Fegis12%2Frest%2Fservices%2FBASEMAP%2Fmndot_commonlayers2%2FMapServer%2F11&amp;find="&amp;$F65&amp;"%2C"&amp;$E65&amp;"&amp;marker="&amp;$F65&amp;","&amp;$E65&amp;",4326&amp;level=16",IF(_xlfn.SINGLE(JobState)="IL","https://fema.maps.arcgis.com/apps/mapviewer/index.html?url=https%3A%2F%2Fgis1.dot.illinois.gov%2Farcgis%2Frest%2Fservices%2FAdministrativeData%2FFunctionalClass%2FMapServer%2F0&amp;find="&amp;$F65&amp;"%2C"&amp;$E65&amp;"&amp;marker="&amp;$F65&amp;","&amp;$E65&amp;",4326&amp;level=16",IF(_xlfn.SINGLE(JobState)="OH","https://fema.maps.arcgis.com/apps/mapviewer/index.html?url=https%3A%2F%2Ftims.dot.state.oh.us%2Fags%2Frest%2Fservices%2FRoadway_Information%2FFunctional_Class%2FMapServer%2F0&amp;find="&amp;$F65&amp;"%2C"&amp;$E65&amp;"&amp;marker="&amp;$F65&amp;","&amp;$E65&amp;",4326&amp;level=16","https://fema.maps.arcgis.com/apps/mapviewer/index.html?find="&amp;$F65&amp;"%2C"&amp;$E65&amp;"&amp;marker="&amp;$F65&amp;","&amp;$E65&amp;",4326&amp;level=16")))))),IF(_xlfn.SINGLE(JobState)="WI","Review Local Roads Layer","Review NFC AGOL Layer"))))</f>
        <v/>
      </c>
      <c r="N65" s="6" t="str">
        <f>IF(OR($E65="",$F65=""),"",IF(_xlfn.SINGLE(JobState)="",IF(ROW()=2,HYPERLINK("#JobState","Set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65&amp;"%2C"&amp;$E65&amp;"&amp;marker="&amp;$F65&amp;","&amp;$E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5" s="6" t="str">
        <f>IF(OR($E65="", $F65=""),"",IF(_xlfn.SINGLE(JobAgolMap)="",HYPERLINK("https://fema.maps.arcgis.com/apps/mapviewer/index.html?find="&amp;$F65&amp;"%2C"&amp;$E65&amp;"&amp;marker="&amp;$F65&amp;","&amp;$E65&amp;",4326&amp;level=16","FEMA AGOL Map Viewer"),HYPERLINK(_xlfn.SINGLE(JobAgolMap)&amp;IF(ISNUMBER(FIND("?",_xlfn.SINGLE(JobAgolMap))),"&amp;","?")&amp;"center="&amp;$F65&amp;","&amp;$E65&amp;"&amp;level=16&amp;marker="&amp;$F65&amp;","&amp;$E65,"Open")))</f>
        <v/>
      </c>
      <c r="Q65" s="4"/>
      <c r="R65" s="4"/>
      <c r="W65" s="6" t="str">
        <f t="shared" si="0"/>
        <v/>
      </c>
      <c r="X65" s="6" t="str">
        <f t="shared" si="1"/>
        <v/>
      </c>
      <c r="Y65" s="6" t="str">
        <f t="shared" si="2"/>
        <v/>
      </c>
      <c r="Z65" s="6" t="str">
        <f t="shared" si="3"/>
        <v/>
      </c>
      <c r="AA65" s="6" t="str">
        <f t="shared" si="4"/>
        <v/>
      </c>
      <c r="AB65" s="6" t="str">
        <f t="shared" si="5"/>
        <v/>
      </c>
      <c r="AC65" s="4"/>
      <c r="AD65" s="4"/>
    </row>
    <row r="66" spans="1:30" x14ac:dyDescent="0.45">
      <c r="A66" s="3"/>
      <c r="B66" s="3"/>
      <c r="C66" s="5" t="str">
        <f>IF($E66="","",COUNT($E$2:$E66))</f>
        <v/>
      </c>
      <c r="D66" s="3"/>
      <c r="E66" s="3"/>
      <c r="F66" s="3"/>
      <c r="G66" s="3"/>
      <c r="H66" s="3"/>
      <c r="I66" s="3"/>
      <c r="J66" s="3"/>
      <c r="K66" s="3"/>
      <c r="L66" s="4"/>
      <c r="M66" s="6" t="str">
        <f>IF(OR($E66="",$F66=""),"",IF(_xlfn.SINGLE(JobState)="",IF(ROW()=2,HYPERLINK("#JobState","Set State →"),""),HYPERLINK(IF(OR(_xlfn.SINGLE(JobState)="MI",_xlfn.SINGLE(JobState)=""),"https://fema.maps.arcgis.com/apps/mapviewer/index.html?webmap=6a1702b9147243d1a5ee62cd614bc681&amp;center="&amp;$F66&amp;","&amp;$E66&amp;"&amp;level=16&amp;marker="&amp;$F66&amp;","&amp;$E66&amp;"",IF(_xlfn.SINGLE(JobState)="IN","https://fema.maps.arcgis.com/apps/mapviewer/index.html?url=https%3A%2F%2Fgis.indot.in.gov%2Fro%2Frest%2Fservices%2FRAH_GIO_Collaboration%2FLRSE_Functional_Class%2FFeatureServer%2F22&amp;find="&amp;$F66&amp;"%2C"&amp;$E66&amp;"&amp;marker="&amp;$F66&amp;","&amp;$E66&amp;",4326&amp;level=16",IF(_xlfn.SINGLE(JobState)="WI","https://fema.maps.arcgis.com/apps/mapviewer/index.html?url=https://services5.arcgis.com/0pgGLzT0Nh7FVjon/arcgis/rest/services/Functional_Class_Local_Non_Prod/FeatureServer/1&amp;find="&amp;$F66&amp;"%2C"&amp;$E66&amp;"&amp;marker="&amp;$F66&amp;","&amp;$E66&amp;",4326&amp;level=16",IF(_xlfn.SINGLE(JobState)="MN","https://fema.maps.arcgis.com/apps/mapviewer/index.html?url=https%3A%2F%2Fdotapp9.dot.state.mn.us%2Fegis12%2Frest%2Fservices%2FBASEMAP%2Fmndot_commonlayers2%2FMapServer%2F11&amp;find="&amp;$F66&amp;"%2C"&amp;$E66&amp;"&amp;marker="&amp;$F66&amp;","&amp;$E66&amp;",4326&amp;level=16",IF(_xlfn.SINGLE(JobState)="IL","https://fema.maps.arcgis.com/apps/mapviewer/index.html?url=https%3A%2F%2Fgis1.dot.illinois.gov%2Farcgis%2Frest%2Fservices%2FAdministrativeData%2FFunctionalClass%2FMapServer%2F0&amp;find="&amp;$F66&amp;"%2C"&amp;$E66&amp;"&amp;marker="&amp;$F66&amp;","&amp;$E66&amp;",4326&amp;level=16",IF(_xlfn.SINGLE(JobState)="OH","https://fema.maps.arcgis.com/apps/mapviewer/index.html?url=https%3A%2F%2Ftims.dot.state.oh.us%2Fags%2Frest%2Fservices%2FRoadway_Information%2FFunctional_Class%2FMapServer%2F0&amp;find="&amp;$F66&amp;"%2C"&amp;$E66&amp;"&amp;marker="&amp;$F66&amp;","&amp;$E66&amp;",4326&amp;level=16","https://fema.maps.arcgis.com/apps/mapviewer/index.html?find="&amp;$F66&amp;"%2C"&amp;$E66&amp;"&amp;marker="&amp;$F66&amp;","&amp;$E66&amp;",4326&amp;level=16")))))),IF(_xlfn.SINGLE(JobState)="WI","Review Local Roads Layer","Review NFC AGOL Layer"))))</f>
        <v/>
      </c>
      <c r="N66" s="6" t="str">
        <f>IF(OR($E66="",$F66=""),"",IF(_xlfn.SINGLE(JobState)="",IF(ROW()=2,HYPERLINK("#JobState","Set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66&amp;"%2C"&amp;$E66&amp;"&amp;marker="&amp;$F66&amp;","&amp;$E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6" s="6" t="str">
        <f>IF(OR($E66="", $F66=""),"",IF(_xlfn.SINGLE(JobAgolMap)="",HYPERLINK("https://fema.maps.arcgis.com/apps/mapviewer/index.html?find="&amp;$F66&amp;"%2C"&amp;$E66&amp;"&amp;marker="&amp;$F66&amp;","&amp;$E66&amp;",4326&amp;level=16","FEMA AGOL Map Viewer"),HYPERLINK(_xlfn.SINGLE(JobAgolMap)&amp;IF(ISNUMBER(FIND("?",_xlfn.SINGLE(JobAgolMap))),"&amp;","?")&amp;"center="&amp;$F66&amp;","&amp;$E66&amp;"&amp;level=16&amp;marker="&amp;$F66&amp;","&amp;$E66,"Open")))</f>
        <v/>
      </c>
      <c r="Q66" s="4"/>
      <c r="R66" s="4"/>
      <c r="W66" s="6" t="str">
        <f t="shared" ref="W66:W129" si="6">IF(OR($E66="",$F66=""),"",HYPERLINK("https://www.google.com/maps?q="&amp;$E66&amp;","&amp;$F66&amp;"","Map"))</f>
        <v/>
      </c>
      <c r="X66" s="6" t="str">
        <f t="shared" ref="X66:X129" si="7">IF(OR($E66="",$F66=""),"",HYPERLINK("https://www.google.com/maps?q&amp;layer=c&amp;cbll="&amp;$E66&amp;","&amp;$F66&amp;"","Street"))</f>
        <v/>
      </c>
      <c r="Y66" s="6" t="str">
        <f t="shared" ref="Y66:Y129" si="8">IF(OR($E66="",$F66=""),"",HYPERLINK("https://www.bing.com/maps?cp="&amp;$E66&amp;"~"&amp;$F66&amp;"&amp;lvl=18&amp;style=h","Bing"))</f>
        <v/>
      </c>
      <c r="Z66" s="6" t="str">
        <f t="shared" ref="Z66:Z129" si="9">IF(OR($E66="",$F66=""),"",HYPERLINK("https://earth.google.com/web/search/"&amp;$E66&amp;","&amp;$F66&amp;"","Earth"))</f>
        <v/>
      </c>
      <c r="AA66" s="6" t="str">
        <f t="shared" ref="AA66:AA129" si="10">IF(OR($E66="",$F66=""),"",HYPERLINK("https://fema.maps.arcgis.com/apps/mapviewer/index.html?find="&amp;$F66&amp;"%2C"&amp;$E66&amp;"&amp;marker="&amp;$F66&amp;","&amp;$E66&amp;",4326&amp;level=16","FEMA"))</f>
        <v/>
      </c>
      <c r="AB66" s="6" t="str">
        <f t="shared" ref="AB66:AB129" si="11">IF(OR($E66="",$F66=""),"",HYPERLINK("https://msc.fema.gov/portal/firmette?latitude="&amp;$E66&amp;"&amp;longitude="&amp;$F66&amp;"","FIRMette"))</f>
        <v/>
      </c>
      <c r="AC66" s="4"/>
      <c r="AD66" s="4"/>
    </row>
    <row r="67" spans="1:30" x14ac:dyDescent="0.45">
      <c r="A67" s="3"/>
      <c r="B67" s="3"/>
      <c r="C67" s="5" t="str">
        <f>IF($E67="","",COUNT($E$2:$E67))</f>
        <v/>
      </c>
      <c r="D67" s="3"/>
      <c r="E67" s="3"/>
      <c r="F67" s="3"/>
      <c r="G67" s="3"/>
      <c r="H67" s="3"/>
      <c r="I67" s="3"/>
      <c r="J67" s="3"/>
      <c r="K67" s="3"/>
      <c r="L67" s="4"/>
      <c r="M67" s="6" t="str">
        <f>IF(OR($E67="",$F67=""),"",IF(_xlfn.SINGLE(JobState)="",IF(ROW()=2,HYPERLINK("#JobState","Set State →"),""),HYPERLINK(IF(OR(_xlfn.SINGLE(JobState)="MI",_xlfn.SINGLE(JobState)=""),"https://fema.maps.arcgis.com/apps/mapviewer/index.html?webmap=6a1702b9147243d1a5ee62cd614bc681&amp;center="&amp;$F67&amp;","&amp;$E67&amp;"&amp;level=16&amp;marker="&amp;$F67&amp;","&amp;$E67&amp;"",IF(_xlfn.SINGLE(JobState)="IN","https://fema.maps.arcgis.com/apps/mapviewer/index.html?url=https%3A%2F%2Fgis.indot.in.gov%2Fro%2Frest%2Fservices%2FRAH_GIO_Collaboration%2FLRSE_Functional_Class%2FFeatureServer%2F22&amp;find="&amp;$F67&amp;"%2C"&amp;$E67&amp;"&amp;marker="&amp;$F67&amp;","&amp;$E67&amp;",4326&amp;level=16",IF(_xlfn.SINGLE(JobState)="WI","https://fema.maps.arcgis.com/apps/mapviewer/index.html?url=https://services5.arcgis.com/0pgGLzT0Nh7FVjon/arcgis/rest/services/Functional_Class_Local_Non_Prod/FeatureServer/1&amp;find="&amp;$F67&amp;"%2C"&amp;$E67&amp;"&amp;marker="&amp;$F67&amp;","&amp;$E67&amp;",4326&amp;level=16",IF(_xlfn.SINGLE(JobState)="MN","https://fema.maps.arcgis.com/apps/mapviewer/index.html?url=https%3A%2F%2Fdotapp9.dot.state.mn.us%2Fegis12%2Frest%2Fservices%2FBASEMAP%2Fmndot_commonlayers2%2FMapServer%2F11&amp;find="&amp;$F67&amp;"%2C"&amp;$E67&amp;"&amp;marker="&amp;$F67&amp;","&amp;$E67&amp;",4326&amp;level=16",IF(_xlfn.SINGLE(JobState)="IL","https://fema.maps.arcgis.com/apps/mapviewer/index.html?url=https%3A%2F%2Fgis1.dot.illinois.gov%2Farcgis%2Frest%2Fservices%2FAdministrativeData%2FFunctionalClass%2FMapServer%2F0&amp;find="&amp;$F67&amp;"%2C"&amp;$E67&amp;"&amp;marker="&amp;$F67&amp;","&amp;$E67&amp;",4326&amp;level=16",IF(_xlfn.SINGLE(JobState)="OH","https://fema.maps.arcgis.com/apps/mapviewer/index.html?url=https%3A%2F%2Ftims.dot.state.oh.us%2Fags%2Frest%2Fservices%2FRoadway_Information%2FFunctional_Class%2FMapServer%2F0&amp;find="&amp;$F67&amp;"%2C"&amp;$E67&amp;"&amp;marker="&amp;$F67&amp;","&amp;$E67&amp;",4326&amp;level=16","https://fema.maps.arcgis.com/apps/mapviewer/index.html?find="&amp;$F67&amp;"%2C"&amp;$E67&amp;"&amp;marker="&amp;$F67&amp;","&amp;$E67&amp;",4326&amp;level=16")))))),IF(_xlfn.SINGLE(JobState)="WI","Review Local Roads Layer","Review NFC AGOL Layer"))))</f>
        <v/>
      </c>
      <c r="N67" s="6" t="str">
        <f>IF(OR($E67="",$F67=""),"",IF(_xlfn.SINGLE(JobState)="",IF(ROW()=2,HYPERLINK("#JobState","Set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67&amp;"%2C"&amp;$E67&amp;"&amp;marker="&amp;$F67&amp;","&amp;$E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7" s="6" t="str">
        <f>IF(OR($E67="", $F67=""),"",IF(_xlfn.SINGLE(JobAgolMap)="",HYPERLINK("https://fema.maps.arcgis.com/apps/mapviewer/index.html?find="&amp;$F67&amp;"%2C"&amp;$E67&amp;"&amp;marker="&amp;$F67&amp;","&amp;$E67&amp;",4326&amp;level=16","FEMA AGOL Map Viewer"),HYPERLINK(_xlfn.SINGLE(JobAgolMap)&amp;IF(ISNUMBER(FIND("?",_xlfn.SINGLE(JobAgolMap))),"&amp;","?")&amp;"center="&amp;$F67&amp;","&amp;$E67&amp;"&amp;level=16&amp;marker="&amp;$F67&amp;","&amp;$E67,"Open")))</f>
        <v/>
      </c>
      <c r="Q67" s="4"/>
      <c r="R67" s="4"/>
      <c r="W67" s="6" t="str">
        <f t="shared" si="6"/>
        <v/>
      </c>
      <c r="X67" s="6" t="str">
        <f t="shared" si="7"/>
        <v/>
      </c>
      <c r="Y67" s="6" t="str">
        <f t="shared" si="8"/>
        <v/>
      </c>
      <c r="Z67" s="6" t="str">
        <f t="shared" si="9"/>
        <v/>
      </c>
      <c r="AA67" s="6" t="str">
        <f t="shared" si="10"/>
        <v/>
      </c>
      <c r="AB67" s="6" t="str">
        <f t="shared" si="11"/>
        <v/>
      </c>
      <c r="AC67" s="4"/>
      <c r="AD67" s="4"/>
    </row>
    <row r="68" spans="1:30" x14ac:dyDescent="0.45">
      <c r="A68" s="3"/>
      <c r="B68" s="3"/>
      <c r="C68" s="5" t="str">
        <f>IF($E68="","",COUNT($E$2:$E68))</f>
        <v/>
      </c>
      <c r="D68" s="3"/>
      <c r="E68" s="3"/>
      <c r="F68" s="3"/>
      <c r="G68" s="3"/>
      <c r="H68" s="3"/>
      <c r="I68" s="3"/>
      <c r="J68" s="3"/>
      <c r="K68" s="3"/>
      <c r="L68" s="4"/>
      <c r="M68" s="6" t="str">
        <f>IF(OR($E68="",$F68=""),"",IF(_xlfn.SINGLE(JobState)="",IF(ROW()=2,HYPERLINK("#JobState","Set State →"),""),HYPERLINK(IF(OR(_xlfn.SINGLE(JobState)="MI",_xlfn.SINGLE(JobState)=""),"https://fema.maps.arcgis.com/apps/mapviewer/index.html?webmap=6a1702b9147243d1a5ee62cd614bc681&amp;center="&amp;$F68&amp;","&amp;$E68&amp;"&amp;level=16&amp;marker="&amp;$F68&amp;","&amp;$E68&amp;"",IF(_xlfn.SINGLE(JobState)="IN","https://fema.maps.arcgis.com/apps/mapviewer/index.html?url=https%3A%2F%2Fgis.indot.in.gov%2Fro%2Frest%2Fservices%2FRAH_GIO_Collaboration%2FLRSE_Functional_Class%2FFeatureServer%2F22&amp;find="&amp;$F68&amp;"%2C"&amp;$E68&amp;"&amp;marker="&amp;$F68&amp;","&amp;$E68&amp;",4326&amp;level=16",IF(_xlfn.SINGLE(JobState)="WI","https://fema.maps.arcgis.com/apps/mapviewer/index.html?url=https://services5.arcgis.com/0pgGLzT0Nh7FVjon/arcgis/rest/services/Functional_Class_Local_Non_Prod/FeatureServer/1&amp;find="&amp;$F68&amp;"%2C"&amp;$E68&amp;"&amp;marker="&amp;$F68&amp;","&amp;$E68&amp;",4326&amp;level=16",IF(_xlfn.SINGLE(JobState)="MN","https://fema.maps.arcgis.com/apps/mapviewer/index.html?url=https%3A%2F%2Fdotapp9.dot.state.mn.us%2Fegis12%2Frest%2Fservices%2FBASEMAP%2Fmndot_commonlayers2%2FMapServer%2F11&amp;find="&amp;$F68&amp;"%2C"&amp;$E68&amp;"&amp;marker="&amp;$F68&amp;","&amp;$E68&amp;",4326&amp;level=16",IF(_xlfn.SINGLE(JobState)="IL","https://fema.maps.arcgis.com/apps/mapviewer/index.html?url=https%3A%2F%2Fgis1.dot.illinois.gov%2Farcgis%2Frest%2Fservices%2FAdministrativeData%2FFunctionalClass%2FMapServer%2F0&amp;find="&amp;$F68&amp;"%2C"&amp;$E68&amp;"&amp;marker="&amp;$F68&amp;","&amp;$E68&amp;",4326&amp;level=16",IF(_xlfn.SINGLE(JobState)="OH","https://fema.maps.arcgis.com/apps/mapviewer/index.html?url=https%3A%2F%2Ftims.dot.state.oh.us%2Fags%2Frest%2Fservices%2FRoadway_Information%2FFunctional_Class%2FMapServer%2F0&amp;find="&amp;$F68&amp;"%2C"&amp;$E68&amp;"&amp;marker="&amp;$F68&amp;","&amp;$E68&amp;",4326&amp;level=16","https://fema.maps.arcgis.com/apps/mapviewer/index.html?find="&amp;$F68&amp;"%2C"&amp;$E68&amp;"&amp;marker="&amp;$F68&amp;","&amp;$E68&amp;",4326&amp;level=16")))))),IF(_xlfn.SINGLE(JobState)="WI","Review Local Roads Layer","Review NFC AGOL Layer"))))</f>
        <v/>
      </c>
      <c r="N68" s="6" t="str">
        <f>IF(OR($E68="",$F68=""),"",IF(_xlfn.SINGLE(JobState)="",IF(ROW()=2,HYPERLINK("#JobState","Set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68&amp;"%2C"&amp;$E68&amp;"&amp;marker="&amp;$F68&amp;","&amp;$E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8" s="6" t="str">
        <f>IF(OR($E68="", $F68=""),"",IF(_xlfn.SINGLE(JobAgolMap)="",HYPERLINK("https://fema.maps.arcgis.com/apps/mapviewer/index.html?find="&amp;$F68&amp;"%2C"&amp;$E68&amp;"&amp;marker="&amp;$F68&amp;","&amp;$E68&amp;",4326&amp;level=16","FEMA AGOL Map Viewer"),HYPERLINK(_xlfn.SINGLE(JobAgolMap)&amp;IF(ISNUMBER(FIND("?",_xlfn.SINGLE(JobAgolMap))),"&amp;","?")&amp;"center="&amp;$F68&amp;","&amp;$E68&amp;"&amp;level=16&amp;marker="&amp;$F68&amp;","&amp;$E68,"Open")))</f>
        <v/>
      </c>
      <c r="Q68" s="4"/>
      <c r="R68" s="4"/>
      <c r="W68" s="6" t="str">
        <f t="shared" si="6"/>
        <v/>
      </c>
      <c r="X68" s="6" t="str">
        <f t="shared" si="7"/>
        <v/>
      </c>
      <c r="Y68" s="6" t="str">
        <f t="shared" si="8"/>
        <v/>
      </c>
      <c r="Z68" s="6" t="str">
        <f t="shared" si="9"/>
        <v/>
      </c>
      <c r="AA68" s="6" t="str">
        <f t="shared" si="10"/>
        <v/>
      </c>
      <c r="AB68" s="6" t="str">
        <f t="shared" si="11"/>
        <v/>
      </c>
      <c r="AC68" s="4"/>
      <c r="AD68" s="4"/>
    </row>
    <row r="69" spans="1:30" x14ac:dyDescent="0.45">
      <c r="A69" s="3"/>
      <c r="B69" s="3"/>
      <c r="C69" s="5" t="str">
        <f>IF($E69="","",COUNT($E$2:$E69))</f>
        <v/>
      </c>
      <c r="D69" s="3"/>
      <c r="E69" s="3"/>
      <c r="F69" s="3"/>
      <c r="G69" s="3"/>
      <c r="H69" s="3"/>
      <c r="I69" s="3"/>
      <c r="J69" s="3"/>
      <c r="K69" s="3"/>
      <c r="L69" s="4"/>
      <c r="M69" s="6" t="str">
        <f>IF(OR($E69="",$F69=""),"",IF(_xlfn.SINGLE(JobState)="",IF(ROW()=2,HYPERLINK("#JobState","Set State →"),""),HYPERLINK(IF(OR(_xlfn.SINGLE(JobState)="MI",_xlfn.SINGLE(JobState)=""),"https://fema.maps.arcgis.com/apps/mapviewer/index.html?webmap=6a1702b9147243d1a5ee62cd614bc681&amp;center="&amp;$F69&amp;","&amp;$E69&amp;"&amp;level=16&amp;marker="&amp;$F69&amp;","&amp;$E69&amp;"",IF(_xlfn.SINGLE(JobState)="IN","https://fema.maps.arcgis.com/apps/mapviewer/index.html?url=https%3A%2F%2Fgis.indot.in.gov%2Fro%2Frest%2Fservices%2FRAH_GIO_Collaboration%2FLRSE_Functional_Class%2FFeatureServer%2F22&amp;find="&amp;$F69&amp;"%2C"&amp;$E69&amp;"&amp;marker="&amp;$F69&amp;","&amp;$E69&amp;",4326&amp;level=16",IF(_xlfn.SINGLE(JobState)="WI","https://fema.maps.arcgis.com/apps/mapviewer/index.html?url=https://services5.arcgis.com/0pgGLzT0Nh7FVjon/arcgis/rest/services/Functional_Class_Local_Non_Prod/FeatureServer/1&amp;find="&amp;$F69&amp;"%2C"&amp;$E69&amp;"&amp;marker="&amp;$F69&amp;","&amp;$E69&amp;",4326&amp;level=16",IF(_xlfn.SINGLE(JobState)="MN","https://fema.maps.arcgis.com/apps/mapviewer/index.html?url=https%3A%2F%2Fdotapp9.dot.state.mn.us%2Fegis12%2Frest%2Fservices%2FBASEMAP%2Fmndot_commonlayers2%2FMapServer%2F11&amp;find="&amp;$F69&amp;"%2C"&amp;$E69&amp;"&amp;marker="&amp;$F69&amp;","&amp;$E69&amp;",4326&amp;level=16",IF(_xlfn.SINGLE(JobState)="IL","https://fema.maps.arcgis.com/apps/mapviewer/index.html?url=https%3A%2F%2Fgis1.dot.illinois.gov%2Farcgis%2Frest%2Fservices%2FAdministrativeData%2FFunctionalClass%2FMapServer%2F0&amp;find="&amp;$F69&amp;"%2C"&amp;$E69&amp;"&amp;marker="&amp;$F69&amp;","&amp;$E69&amp;",4326&amp;level=16",IF(_xlfn.SINGLE(JobState)="OH","https://fema.maps.arcgis.com/apps/mapviewer/index.html?url=https%3A%2F%2Ftims.dot.state.oh.us%2Fags%2Frest%2Fservices%2FRoadway_Information%2FFunctional_Class%2FMapServer%2F0&amp;find="&amp;$F69&amp;"%2C"&amp;$E69&amp;"&amp;marker="&amp;$F69&amp;","&amp;$E69&amp;",4326&amp;level=16","https://fema.maps.arcgis.com/apps/mapviewer/index.html?find="&amp;$F69&amp;"%2C"&amp;$E69&amp;"&amp;marker="&amp;$F69&amp;","&amp;$E69&amp;",4326&amp;level=16")))))),IF(_xlfn.SINGLE(JobState)="WI","Review Local Roads Layer","Review NFC AGOL Layer"))))</f>
        <v/>
      </c>
      <c r="N69" s="6" t="str">
        <f>IF(OR($E69="",$F69=""),"",IF(_xlfn.SINGLE(JobState)="",IF(ROW()=2,HYPERLINK("#JobState","Set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69&amp;"%2C"&amp;$E69&amp;"&amp;marker="&amp;$F69&amp;","&amp;$E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9" s="6" t="str">
        <f>IF(OR($E69="", $F69=""),"",IF(_xlfn.SINGLE(JobAgolMap)="",HYPERLINK("https://fema.maps.arcgis.com/apps/mapviewer/index.html?find="&amp;$F69&amp;"%2C"&amp;$E69&amp;"&amp;marker="&amp;$F69&amp;","&amp;$E69&amp;",4326&amp;level=16","FEMA AGOL Map Viewer"),HYPERLINK(_xlfn.SINGLE(JobAgolMap)&amp;IF(ISNUMBER(FIND("?",_xlfn.SINGLE(JobAgolMap))),"&amp;","?")&amp;"center="&amp;$F69&amp;","&amp;$E69&amp;"&amp;level=16&amp;marker="&amp;$F69&amp;","&amp;$E69,"Open")))</f>
        <v/>
      </c>
      <c r="Q69" s="4"/>
      <c r="R69" s="4"/>
      <c r="W69" s="6" t="str">
        <f t="shared" si="6"/>
        <v/>
      </c>
      <c r="X69" s="6" t="str">
        <f t="shared" si="7"/>
        <v/>
      </c>
      <c r="Y69" s="6" t="str">
        <f t="shared" si="8"/>
        <v/>
      </c>
      <c r="Z69" s="6" t="str">
        <f t="shared" si="9"/>
        <v/>
      </c>
      <c r="AA69" s="6" t="str">
        <f t="shared" si="10"/>
        <v/>
      </c>
      <c r="AB69" s="6" t="str">
        <f t="shared" si="11"/>
        <v/>
      </c>
      <c r="AC69" s="4"/>
      <c r="AD69" s="4"/>
    </row>
    <row r="70" spans="1:30" x14ac:dyDescent="0.45">
      <c r="A70" s="3"/>
      <c r="B70" s="3"/>
      <c r="C70" s="5" t="str">
        <f>IF($E70="","",COUNT($E$2:$E70))</f>
        <v/>
      </c>
      <c r="D70" s="3"/>
      <c r="E70" s="3"/>
      <c r="F70" s="3"/>
      <c r="G70" s="3"/>
      <c r="H70" s="3"/>
      <c r="I70" s="3"/>
      <c r="J70" s="3"/>
      <c r="K70" s="3"/>
      <c r="L70" s="4"/>
      <c r="M70" s="6" t="str">
        <f>IF(OR($E70="",$F70=""),"",IF(_xlfn.SINGLE(JobState)="",IF(ROW()=2,HYPERLINK("#JobState","Set State →"),""),HYPERLINK(IF(OR(_xlfn.SINGLE(JobState)="MI",_xlfn.SINGLE(JobState)=""),"https://fema.maps.arcgis.com/apps/mapviewer/index.html?webmap=6a1702b9147243d1a5ee62cd614bc681&amp;center="&amp;$F70&amp;","&amp;$E70&amp;"&amp;level=16&amp;marker="&amp;$F70&amp;","&amp;$E70&amp;"",IF(_xlfn.SINGLE(JobState)="IN","https://fema.maps.arcgis.com/apps/mapviewer/index.html?url=https%3A%2F%2Fgis.indot.in.gov%2Fro%2Frest%2Fservices%2FRAH_GIO_Collaboration%2FLRSE_Functional_Class%2FFeatureServer%2F22&amp;find="&amp;$F70&amp;"%2C"&amp;$E70&amp;"&amp;marker="&amp;$F70&amp;","&amp;$E70&amp;",4326&amp;level=16",IF(_xlfn.SINGLE(JobState)="WI","https://fema.maps.arcgis.com/apps/mapviewer/index.html?url=https://services5.arcgis.com/0pgGLzT0Nh7FVjon/arcgis/rest/services/Functional_Class_Local_Non_Prod/FeatureServer/1&amp;find="&amp;$F70&amp;"%2C"&amp;$E70&amp;"&amp;marker="&amp;$F70&amp;","&amp;$E70&amp;",4326&amp;level=16",IF(_xlfn.SINGLE(JobState)="MN","https://fema.maps.arcgis.com/apps/mapviewer/index.html?url=https%3A%2F%2Fdotapp9.dot.state.mn.us%2Fegis12%2Frest%2Fservices%2FBASEMAP%2Fmndot_commonlayers2%2FMapServer%2F11&amp;find="&amp;$F70&amp;"%2C"&amp;$E70&amp;"&amp;marker="&amp;$F70&amp;","&amp;$E70&amp;",4326&amp;level=16",IF(_xlfn.SINGLE(JobState)="IL","https://fema.maps.arcgis.com/apps/mapviewer/index.html?url=https%3A%2F%2Fgis1.dot.illinois.gov%2Farcgis%2Frest%2Fservices%2FAdministrativeData%2FFunctionalClass%2FMapServer%2F0&amp;find="&amp;$F70&amp;"%2C"&amp;$E70&amp;"&amp;marker="&amp;$F70&amp;","&amp;$E70&amp;",4326&amp;level=16",IF(_xlfn.SINGLE(JobState)="OH","https://fema.maps.arcgis.com/apps/mapviewer/index.html?url=https%3A%2F%2Ftims.dot.state.oh.us%2Fags%2Frest%2Fservices%2FRoadway_Information%2FFunctional_Class%2FMapServer%2F0&amp;find="&amp;$F70&amp;"%2C"&amp;$E70&amp;"&amp;marker="&amp;$F70&amp;","&amp;$E70&amp;",4326&amp;level=16","https://fema.maps.arcgis.com/apps/mapviewer/index.html?find="&amp;$F70&amp;"%2C"&amp;$E70&amp;"&amp;marker="&amp;$F70&amp;","&amp;$E70&amp;",4326&amp;level=16")))))),IF(_xlfn.SINGLE(JobState)="WI","Review Local Roads Layer","Review NFC AGOL Layer"))))</f>
        <v/>
      </c>
      <c r="N70" s="6" t="str">
        <f>IF(OR($E70="",$F70=""),"",IF(_xlfn.SINGLE(JobState)="",IF(ROW()=2,HYPERLINK("#JobState","Set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70&amp;"%2C"&amp;$E70&amp;"&amp;marker="&amp;$F70&amp;","&amp;$E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0" s="6" t="str">
        <f>IF(OR($E70="", $F70=""),"",IF(_xlfn.SINGLE(JobAgolMap)="",HYPERLINK("https://fema.maps.arcgis.com/apps/mapviewer/index.html?find="&amp;$F70&amp;"%2C"&amp;$E70&amp;"&amp;marker="&amp;$F70&amp;","&amp;$E70&amp;",4326&amp;level=16","FEMA AGOL Map Viewer"),HYPERLINK(_xlfn.SINGLE(JobAgolMap)&amp;IF(ISNUMBER(FIND("?",_xlfn.SINGLE(JobAgolMap))),"&amp;","?")&amp;"center="&amp;$F70&amp;","&amp;$E70&amp;"&amp;level=16&amp;marker="&amp;$F70&amp;","&amp;$E70,"Open")))</f>
        <v/>
      </c>
      <c r="Q70" s="4"/>
      <c r="R70" s="4"/>
      <c r="W70" s="6" t="str">
        <f t="shared" si="6"/>
        <v/>
      </c>
      <c r="X70" s="6" t="str">
        <f t="shared" si="7"/>
        <v/>
      </c>
      <c r="Y70" s="6" t="str">
        <f t="shared" si="8"/>
        <v/>
      </c>
      <c r="Z70" s="6" t="str">
        <f t="shared" si="9"/>
        <v/>
      </c>
      <c r="AA70" s="6" t="str">
        <f t="shared" si="10"/>
        <v/>
      </c>
      <c r="AB70" s="6" t="str">
        <f t="shared" si="11"/>
        <v/>
      </c>
      <c r="AC70" s="4"/>
      <c r="AD70" s="4"/>
    </row>
    <row r="71" spans="1:30" x14ac:dyDescent="0.45">
      <c r="A71" s="3"/>
      <c r="B71" s="3"/>
      <c r="C71" s="5" t="str">
        <f>IF($E71="","",COUNT($E$2:$E71))</f>
        <v/>
      </c>
      <c r="D71" s="3"/>
      <c r="E71" s="3"/>
      <c r="F71" s="3"/>
      <c r="G71" s="3"/>
      <c r="H71" s="3"/>
      <c r="I71" s="3"/>
      <c r="J71" s="3"/>
      <c r="K71" s="3"/>
      <c r="L71" s="4"/>
      <c r="M71" s="6" t="str">
        <f>IF(OR($E71="",$F71=""),"",IF(_xlfn.SINGLE(JobState)="",IF(ROW()=2,HYPERLINK("#JobState","Set State →"),""),HYPERLINK(IF(OR(_xlfn.SINGLE(JobState)="MI",_xlfn.SINGLE(JobState)=""),"https://fema.maps.arcgis.com/apps/mapviewer/index.html?webmap=6a1702b9147243d1a5ee62cd614bc681&amp;center="&amp;$F71&amp;","&amp;$E71&amp;"&amp;level=16&amp;marker="&amp;$F71&amp;","&amp;$E71&amp;"",IF(_xlfn.SINGLE(JobState)="IN","https://fema.maps.arcgis.com/apps/mapviewer/index.html?url=https%3A%2F%2Fgis.indot.in.gov%2Fro%2Frest%2Fservices%2FRAH_GIO_Collaboration%2FLRSE_Functional_Class%2FFeatureServer%2F22&amp;find="&amp;$F71&amp;"%2C"&amp;$E71&amp;"&amp;marker="&amp;$F71&amp;","&amp;$E71&amp;",4326&amp;level=16",IF(_xlfn.SINGLE(JobState)="WI","https://fema.maps.arcgis.com/apps/mapviewer/index.html?url=https://services5.arcgis.com/0pgGLzT0Nh7FVjon/arcgis/rest/services/Functional_Class_Local_Non_Prod/FeatureServer/1&amp;find="&amp;$F71&amp;"%2C"&amp;$E71&amp;"&amp;marker="&amp;$F71&amp;","&amp;$E71&amp;",4326&amp;level=16",IF(_xlfn.SINGLE(JobState)="MN","https://fema.maps.arcgis.com/apps/mapviewer/index.html?url=https%3A%2F%2Fdotapp9.dot.state.mn.us%2Fegis12%2Frest%2Fservices%2FBASEMAP%2Fmndot_commonlayers2%2FMapServer%2F11&amp;find="&amp;$F71&amp;"%2C"&amp;$E71&amp;"&amp;marker="&amp;$F71&amp;","&amp;$E71&amp;",4326&amp;level=16",IF(_xlfn.SINGLE(JobState)="IL","https://fema.maps.arcgis.com/apps/mapviewer/index.html?url=https%3A%2F%2Fgis1.dot.illinois.gov%2Farcgis%2Frest%2Fservices%2FAdministrativeData%2FFunctionalClass%2FMapServer%2F0&amp;find="&amp;$F71&amp;"%2C"&amp;$E71&amp;"&amp;marker="&amp;$F71&amp;","&amp;$E71&amp;",4326&amp;level=16",IF(_xlfn.SINGLE(JobState)="OH","https://fema.maps.arcgis.com/apps/mapviewer/index.html?url=https%3A%2F%2Ftims.dot.state.oh.us%2Fags%2Frest%2Fservices%2FRoadway_Information%2FFunctional_Class%2FMapServer%2F0&amp;find="&amp;$F71&amp;"%2C"&amp;$E71&amp;"&amp;marker="&amp;$F71&amp;","&amp;$E71&amp;",4326&amp;level=16","https://fema.maps.arcgis.com/apps/mapviewer/index.html?find="&amp;$F71&amp;"%2C"&amp;$E71&amp;"&amp;marker="&amp;$F71&amp;","&amp;$E71&amp;",4326&amp;level=16")))))),IF(_xlfn.SINGLE(JobState)="WI","Review Local Roads Layer","Review NFC AGOL Layer"))))</f>
        <v/>
      </c>
      <c r="N71" s="6" t="str">
        <f>IF(OR($E71="",$F71=""),"",IF(_xlfn.SINGLE(JobState)="",IF(ROW()=2,HYPERLINK("#JobState","Set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71&amp;"%2C"&amp;$E71&amp;"&amp;marker="&amp;$F71&amp;","&amp;$E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1" s="6" t="str">
        <f>IF(OR($E71="", $F71=""),"",IF(_xlfn.SINGLE(JobAgolMap)="",HYPERLINK("https://fema.maps.arcgis.com/apps/mapviewer/index.html?find="&amp;$F71&amp;"%2C"&amp;$E71&amp;"&amp;marker="&amp;$F71&amp;","&amp;$E71&amp;",4326&amp;level=16","FEMA AGOL Map Viewer"),HYPERLINK(_xlfn.SINGLE(JobAgolMap)&amp;IF(ISNUMBER(FIND("?",_xlfn.SINGLE(JobAgolMap))),"&amp;","?")&amp;"center="&amp;$F71&amp;","&amp;$E71&amp;"&amp;level=16&amp;marker="&amp;$F71&amp;","&amp;$E71,"Open")))</f>
        <v/>
      </c>
      <c r="Q71" s="4"/>
      <c r="R71" s="4"/>
      <c r="W71" s="6" t="str">
        <f t="shared" si="6"/>
        <v/>
      </c>
      <c r="X71" s="6" t="str">
        <f t="shared" si="7"/>
        <v/>
      </c>
      <c r="Y71" s="6" t="str">
        <f t="shared" si="8"/>
        <v/>
      </c>
      <c r="Z71" s="6" t="str">
        <f t="shared" si="9"/>
        <v/>
      </c>
      <c r="AA71" s="6" t="str">
        <f t="shared" si="10"/>
        <v/>
      </c>
      <c r="AB71" s="6" t="str">
        <f t="shared" si="11"/>
        <v/>
      </c>
      <c r="AC71" s="4"/>
      <c r="AD71" s="4"/>
    </row>
    <row r="72" spans="1:30" x14ac:dyDescent="0.45">
      <c r="A72" s="3"/>
      <c r="B72" s="3"/>
      <c r="C72" s="5" t="str">
        <f>IF($E72="","",COUNT($E$2:$E72))</f>
        <v/>
      </c>
      <c r="D72" s="3"/>
      <c r="E72" s="3"/>
      <c r="F72" s="3"/>
      <c r="G72" s="3"/>
      <c r="H72" s="3"/>
      <c r="I72" s="3"/>
      <c r="J72" s="3"/>
      <c r="K72" s="3"/>
      <c r="L72" s="4"/>
      <c r="M72" s="6" t="str">
        <f>IF(OR($E72="",$F72=""),"",IF(_xlfn.SINGLE(JobState)="",IF(ROW()=2,HYPERLINK("#JobState","Set State →"),""),HYPERLINK(IF(OR(_xlfn.SINGLE(JobState)="MI",_xlfn.SINGLE(JobState)=""),"https://fema.maps.arcgis.com/apps/mapviewer/index.html?webmap=6a1702b9147243d1a5ee62cd614bc681&amp;center="&amp;$F72&amp;","&amp;$E72&amp;"&amp;level=16&amp;marker="&amp;$F72&amp;","&amp;$E72&amp;"",IF(_xlfn.SINGLE(JobState)="IN","https://fema.maps.arcgis.com/apps/mapviewer/index.html?url=https%3A%2F%2Fgis.indot.in.gov%2Fro%2Frest%2Fservices%2FRAH_GIO_Collaboration%2FLRSE_Functional_Class%2FFeatureServer%2F22&amp;find="&amp;$F72&amp;"%2C"&amp;$E72&amp;"&amp;marker="&amp;$F72&amp;","&amp;$E72&amp;",4326&amp;level=16",IF(_xlfn.SINGLE(JobState)="WI","https://fema.maps.arcgis.com/apps/mapviewer/index.html?url=https://services5.arcgis.com/0pgGLzT0Nh7FVjon/arcgis/rest/services/Functional_Class_Local_Non_Prod/FeatureServer/1&amp;find="&amp;$F72&amp;"%2C"&amp;$E72&amp;"&amp;marker="&amp;$F72&amp;","&amp;$E72&amp;",4326&amp;level=16",IF(_xlfn.SINGLE(JobState)="MN","https://fema.maps.arcgis.com/apps/mapviewer/index.html?url=https%3A%2F%2Fdotapp9.dot.state.mn.us%2Fegis12%2Frest%2Fservices%2FBASEMAP%2Fmndot_commonlayers2%2FMapServer%2F11&amp;find="&amp;$F72&amp;"%2C"&amp;$E72&amp;"&amp;marker="&amp;$F72&amp;","&amp;$E72&amp;",4326&amp;level=16",IF(_xlfn.SINGLE(JobState)="IL","https://fema.maps.arcgis.com/apps/mapviewer/index.html?url=https%3A%2F%2Fgis1.dot.illinois.gov%2Farcgis%2Frest%2Fservices%2FAdministrativeData%2FFunctionalClass%2FMapServer%2F0&amp;find="&amp;$F72&amp;"%2C"&amp;$E72&amp;"&amp;marker="&amp;$F72&amp;","&amp;$E72&amp;",4326&amp;level=16",IF(_xlfn.SINGLE(JobState)="OH","https://fema.maps.arcgis.com/apps/mapviewer/index.html?url=https%3A%2F%2Ftims.dot.state.oh.us%2Fags%2Frest%2Fservices%2FRoadway_Information%2FFunctional_Class%2FMapServer%2F0&amp;find="&amp;$F72&amp;"%2C"&amp;$E72&amp;"&amp;marker="&amp;$F72&amp;","&amp;$E72&amp;",4326&amp;level=16","https://fema.maps.arcgis.com/apps/mapviewer/index.html?find="&amp;$F72&amp;"%2C"&amp;$E72&amp;"&amp;marker="&amp;$F72&amp;","&amp;$E72&amp;",4326&amp;level=16")))))),IF(_xlfn.SINGLE(JobState)="WI","Review Local Roads Layer","Review NFC AGOL Layer"))))</f>
        <v/>
      </c>
      <c r="N72" s="6" t="str">
        <f>IF(OR($E72="",$F72=""),"",IF(_xlfn.SINGLE(JobState)="",IF(ROW()=2,HYPERLINK("#JobState","Set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72&amp;"%2C"&amp;$E72&amp;"&amp;marker="&amp;$F72&amp;","&amp;$E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2" s="6" t="str">
        <f>IF(OR($E72="", $F72=""),"",IF(_xlfn.SINGLE(JobAgolMap)="",HYPERLINK("https://fema.maps.arcgis.com/apps/mapviewer/index.html?find="&amp;$F72&amp;"%2C"&amp;$E72&amp;"&amp;marker="&amp;$F72&amp;","&amp;$E72&amp;",4326&amp;level=16","FEMA AGOL Map Viewer"),HYPERLINK(_xlfn.SINGLE(JobAgolMap)&amp;IF(ISNUMBER(FIND("?",_xlfn.SINGLE(JobAgolMap))),"&amp;","?")&amp;"center="&amp;$F72&amp;","&amp;$E72&amp;"&amp;level=16&amp;marker="&amp;$F72&amp;","&amp;$E72,"Open")))</f>
        <v/>
      </c>
      <c r="Q72" s="4"/>
      <c r="R72" s="4"/>
      <c r="W72" s="6" t="str">
        <f t="shared" si="6"/>
        <v/>
      </c>
      <c r="X72" s="6" t="str">
        <f t="shared" si="7"/>
        <v/>
      </c>
      <c r="Y72" s="6" t="str">
        <f t="shared" si="8"/>
        <v/>
      </c>
      <c r="Z72" s="6" t="str">
        <f t="shared" si="9"/>
        <v/>
      </c>
      <c r="AA72" s="6" t="str">
        <f t="shared" si="10"/>
        <v/>
      </c>
      <c r="AB72" s="6" t="str">
        <f t="shared" si="11"/>
        <v/>
      </c>
      <c r="AC72" s="4"/>
      <c r="AD72" s="4"/>
    </row>
    <row r="73" spans="1:30" x14ac:dyDescent="0.45">
      <c r="A73" s="3"/>
      <c r="B73" s="3"/>
      <c r="C73" s="5" t="str">
        <f>IF($E73="","",COUNT($E$2:$E73))</f>
        <v/>
      </c>
      <c r="D73" s="3"/>
      <c r="E73" s="3"/>
      <c r="F73" s="3"/>
      <c r="G73" s="3"/>
      <c r="H73" s="3"/>
      <c r="I73" s="3"/>
      <c r="J73" s="3"/>
      <c r="K73" s="3"/>
      <c r="L73" s="4"/>
      <c r="M73" s="6" t="str">
        <f>IF(OR($E73="",$F73=""),"",IF(_xlfn.SINGLE(JobState)="",IF(ROW()=2,HYPERLINK("#JobState","Set State →"),""),HYPERLINK(IF(OR(_xlfn.SINGLE(JobState)="MI",_xlfn.SINGLE(JobState)=""),"https://fema.maps.arcgis.com/apps/mapviewer/index.html?webmap=6a1702b9147243d1a5ee62cd614bc681&amp;center="&amp;$F73&amp;","&amp;$E73&amp;"&amp;level=16&amp;marker="&amp;$F73&amp;","&amp;$E73&amp;"",IF(_xlfn.SINGLE(JobState)="IN","https://fema.maps.arcgis.com/apps/mapviewer/index.html?url=https%3A%2F%2Fgis.indot.in.gov%2Fro%2Frest%2Fservices%2FRAH_GIO_Collaboration%2FLRSE_Functional_Class%2FFeatureServer%2F22&amp;find="&amp;$F73&amp;"%2C"&amp;$E73&amp;"&amp;marker="&amp;$F73&amp;","&amp;$E73&amp;",4326&amp;level=16",IF(_xlfn.SINGLE(JobState)="WI","https://fema.maps.arcgis.com/apps/mapviewer/index.html?url=https://services5.arcgis.com/0pgGLzT0Nh7FVjon/arcgis/rest/services/Functional_Class_Local_Non_Prod/FeatureServer/1&amp;find="&amp;$F73&amp;"%2C"&amp;$E73&amp;"&amp;marker="&amp;$F73&amp;","&amp;$E73&amp;",4326&amp;level=16",IF(_xlfn.SINGLE(JobState)="MN","https://fema.maps.arcgis.com/apps/mapviewer/index.html?url=https%3A%2F%2Fdotapp9.dot.state.mn.us%2Fegis12%2Frest%2Fservices%2FBASEMAP%2Fmndot_commonlayers2%2FMapServer%2F11&amp;find="&amp;$F73&amp;"%2C"&amp;$E73&amp;"&amp;marker="&amp;$F73&amp;","&amp;$E73&amp;",4326&amp;level=16",IF(_xlfn.SINGLE(JobState)="IL","https://fema.maps.arcgis.com/apps/mapviewer/index.html?url=https%3A%2F%2Fgis1.dot.illinois.gov%2Farcgis%2Frest%2Fservices%2FAdministrativeData%2FFunctionalClass%2FMapServer%2F0&amp;find="&amp;$F73&amp;"%2C"&amp;$E73&amp;"&amp;marker="&amp;$F73&amp;","&amp;$E73&amp;",4326&amp;level=16",IF(_xlfn.SINGLE(JobState)="OH","https://fema.maps.arcgis.com/apps/mapviewer/index.html?url=https%3A%2F%2Ftims.dot.state.oh.us%2Fags%2Frest%2Fservices%2FRoadway_Information%2FFunctional_Class%2FMapServer%2F0&amp;find="&amp;$F73&amp;"%2C"&amp;$E73&amp;"&amp;marker="&amp;$F73&amp;","&amp;$E73&amp;",4326&amp;level=16","https://fema.maps.arcgis.com/apps/mapviewer/index.html?find="&amp;$F73&amp;"%2C"&amp;$E73&amp;"&amp;marker="&amp;$F73&amp;","&amp;$E73&amp;",4326&amp;level=16")))))),IF(_xlfn.SINGLE(JobState)="WI","Review Local Roads Layer","Review NFC AGOL Layer"))))</f>
        <v/>
      </c>
      <c r="N73" s="6" t="str">
        <f>IF(OR($E73="",$F73=""),"",IF(_xlfn.SINGLE(JobState)="",IF(ROW()=2,HYPERLINK("#JobState","Set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73&amp;"%2C"&amp;$E73&amp;"&amp;marker="&amp;$F73&amp;","&amp;$E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3" s="6" t="str">
        <f>IF(OR($E73="", $F73=""),"",IF(_xlfn.SINGLE(JobAgolMap)="",HYPERLINK("https://fema.maps.arcgis.com/apps/mapviewer/index.html?find="&amp;$F73&amp;"%2C"&amp;$E73&amp;"&amp;marker="&amp;$F73&amp;","&amp;$E73&amp;",4326&amp;level=16","FEMA AGOL Map Viewer"),HYPERLINK(_xlfn.SINGLE(JobAgolMap)&amp;IF(ISNUMBER(FIND("?",_xlfn.SINGLE(JobAgolMap))),"&amp;","?")&amp;"center="&amp;$F73&amp;","&amp;$E73&amp;"&amp;level=16&amp;marker="&amp;$F73&amp;","&amp;$E73,"Open")))</f>
        <v/>
      </c>
      <c r="Q73" s="4"/>
      <c r="R73" s="4"/>
      <c r="W73" s="6" t="str">
        <f t="shared" si="6"/>
        <v/>
      </c>
      <c r="X73" s="6" t="str">
        <f t="shared" si="7"/>
        <v/>
      </c>
      <c r="Y73" s="6" t="str">
        <f t="shared" si="8"/>
        <v/>
      </c>
      <c r="Z73" s="6" t="str">
        <f t="shared" si="9"/>
        <v/>
      </c>
      <c r="AA73" s="6" t="str">
        <f t="shared" si="10"/>
        <v/>
      </c>
      <c r="AB73" s="6" t="str">
        <f t="shared" si="11"/>
        <v/>
      </c>
      <c r="AC73" s="4"/>
      <c r="AD73" s="4"/>
    </row>
    <row r="74" spans="1:30" x14ac:dyDescent="0.45">
      <c r="A74" s="3"/>
      <c r="B74" s="3"/>
      <c r="C74" s="5" t="str">
        <f>IF($E74="","",COUNT($E$2:$E74))</f>
        <v/>
      </c>
      <c r="D74" s="3"/>
      <c r="E74" s="3"/>
      <c r="F74" s="3"/>
      <c r="G74" s="3"/>
      <c r="H74" s="3"/>
      <c r="I74" s="3"/>
      <c r="J74" s="3"/>
      <c r="K74" s="3"/>
      <c r="L74" s="4"/>
      <c r="M74" s="6" t="str">
        <f>IF(OR($E74="",$F74=""),"",IF(_xlfn.SINGLE(JobState)="",IF(ROW()=2,HYPERLINK("#JobState","Set State →"),""),HYPERLINK(IF(OR(_xlfn.SINGLE(JobState)="MI",_xlfn.SINGLE(JobState)=""),"https://fema.maps.arcgis.com/apps/mapviewer/index.html?webmap=6a1702b9147243d1a5ee62cd614bc681&amp;center="&amp;$F74&amp;","&amp;$E74&amp;"&amp;level=16&amp;marker="&amp;$F74&amp;","&amp;$E74&amp;"",IF(_xlfn.SINGLE(JobState)="IN","https://fema.maps.arcgis.com/apps/mapviewer/index.html?url=https%3A%2F%2Fgis.indot.in.gov%2Fro%2Frest%2Fservices%2FRAH_GIO_Collaboration%2FLRSE_Functional_Class%2FFeatureServer%2F22&amp;find="&amp;$F74&amp;"%2C"&amp;$E74&amp;"&amp;marker="&amp;$F74&amp;","&amp;$E74&amp;",4326&amp;level=16",IF(_xlfn.SINGLE(JobState)="WI","https://fema.maps.arcgis.com/apps/mapviewer/index.html?url=https://services5.arcgis.com/0pgGLzT0Nh7FVjon/arcgis/rest/services/Functional_Class_Local_Non_Prod/FeatureServer/1&amp;find="&amp;$F74&amp;"%2C"&amp;$E74&amp;"&amp;marker="&amp;$F74&amp;","&amp;$E74&amp;",4326&amp;level=16",IF(_xlfn.SINGLE(JobState)="MN","https://fema.maps.arcgis.com/apps/mapviewer/index.html?url=https%3A%2F%2Fdotapp9.dot.state.mn.us%2Fegis12%2Frest%2Fservices%2FBASEMAP%2Fmndot_commonlayers2%2FMapServer%2F11&amp;find="&amp;$F74&amp;"%2C"&amp;$E74&amp;"&amp;marker="&amp;$F74&amp;","&amp;$E74&amp;",4326&amp;level=16",IF(_xlfn.SINGLE(JobState)="IL","https://fema.maps.arcgis.com/apps/mapviewer/index.html?url=https%3A%2F%2Fgis1.dot.illinois.gov%2Farcgis%2Frest%2Fservices%2FAdministrativeData%2FFunctionalClass%2FMapServer%2F0&amp;find="&amp;$F74&amp;"%2C"&amp;$E74&amp;"&amp;marker="&amp;$F74&amp;","&amp;$E74&amp;",4326&amp;level=16",IF(_xlfn.SINGLE(JobState)="OH","https://fema.maps.arcgis.com/apps/mapviewer/index.html?url=https%3A%2F%2Ftims.dot.state.oh.us%2Fags%2Frest%2Fservices%2FRoadway_Information%2FFunctional_Class%2FMapServer%2F0&amp;find="&amp;$F74&amp;"%2C"&amp;$E74&amp;"&amp;marker="&amp;$F74&amp;","&amp;$E74&amp;",4326&amp;level=16","https://fema.maps.arcgis.com/apps/mapviewer/index.html?find="&amp;$F74&amp;"%2C"&amp;$E74&amp;"&amp;marker="&amp;$F74&amp;","&amp;$E74&amp;",4326&amp;level=16")))))),IF(_xlfn.SINGLE(JobState)="WI","Review Local Roads Layer","Review NFC AGOL Layer"))))</f>
        <v/>
      </c>
      <c r="N74" s="6" t="str">
        <f>IF(OR($E74="",$F74=""),"",IF(_xlfn.SINGLE(JobState)="",IF(ROW()=2,HYPERLINK("#JobState","Set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74&amp;"%2C"&amp;$E74&amp;"&amp;marker="&amp;$F74&amp;","&amp;$E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4" s="6" t="str">
        <f>IF(OR($E74="", $F74=""),"",IF(_xlfn.SINGLE(JobAgolMap)="",HYPERLINK("https://fema.maps.arcgis.com/apps/mapviewer/index.html?find="&amp;$F74&amp;"%2C"&amp;$E74&amp;"&amp;marker="&amp;$F74&amp;","&amp;$E74&amp;",4326&amp;level=16","FEMA AGOL Map Viewer"),HYPERLINK(_xlfn.SINGLE(JobAgolMap)&amp;IF(ISNUMBER(FIND("?",_xlfn.SINGLE(JobAgolMap))),"&amp;","?")&amp;"center="&amp;$F74&amp;","&amp;$E74&amp;"&amp;level=16&amp;marker="&amp;$F74&amp;","&amp;$E74,"Open")))</f>
        <v/>
      </c>
      <c r="Q74" s="4"/>
      <c r="R74" s="4"/>
      <c r="W74" s="6" t="str">
        <f t="shared" si="6"/>
        <v/>
      </c>
      <c r="X74" s="6" t="str">
        <f t="shared" si="7"/>
        <v/>
      </c>
      <c r="Y74" s="6" t="str">
        <f t="shared" si="8"/>
        <v/>
      </c>
      <c r="Z74" s="6" t="str">
        <f t="shared" si="9"/>
        <v/>
      </c>
      <c r="AA74" s="6" t="str">
        <f t="shared" si="10"/>
        <v/>
      </c>
      <c r="AB74" s="6" t="str">
        <f t="shared" si="11"/>
        <v/>
      </c>
      <c r="AC74" s="4"/>
      <c r="AD74" s="4"/>
    </row>
    <row r="75" spans="1:30" x14ac:dyDescent="0.45">
      <c r="A75" s="3"/>
      <c r="B75" s="3"/>
      <c r="C75" s="5" t="str">
        <f>IF($E75="","",COUNT($E$2:$E75))</f>
        <v/>
      </c>
      <c r="D75" s="3"/>
      <c r="E75" s="3"/>
      <c r="F75" s="3"/>
      <c r="G75" s="3"/>
      <c r="H75" s="3"/>
      <c r="I75" s="3"/>
      <c r="J75" s="3"/>
      <c r="K75" s="3"/>
      <c r="L75" s="4"/>
      <c r="M75" s="6" t="str">
        <f>IF(OR($E75="",$F75=""),"",IF(_xlfn.SINGLE(JobState)="",IF(ROW()=2,HYPERLINK("#JobState","Set State →"),""),HYPERLINK(IF(OR(_xlfn.SINGLE(JobState)="MI",_xlfn.SINGLE(JobState)=""),"https://fema.maps.arcgis.com/apps/mapviewer/index.html?webmap=6a1702b9147243d1a5ee62cd614bc681&amp;center="&amp;$F75&amp;","&amp;$E75&amp;"&amp;level=16&amp;marker="&amp;$F75&amp;","&amp;$E75&amp;"",IF(_xlfn.SINGLE(JobState)="IN","https://fema.maps.arcgis.com/apps/mapviewer/index.html?url=https%3A%2F%2Fgis.indot.in.gov%2Fro%2Frest%2Fservices%2FRAH_GIO_Collaboration%2FLRSE_Functional_Class%2FFeatureServer%2F22&amp;find="&amp;$F75&amp;"%2C"&amp;$E75&amp;"&amp;marker="&amp;$F75&amp;","&amp;$E75&amp;",4326&amp;level=16",IF(_xlfn.SINGLE(JobState)="WI","https://fema.maps.arcgis.com/apps/mapviewer/index.html?url=https://services5.arcgis.com/0pgGLzT0Nh7FVjon/arcgis/rest/services/Functional_Class_Local_Non_Prod/FeatureServer/1&amp;find="&amp;$F75&amp;"%2C"&amp;$E75&amp;"&amp;marker="&amp;$F75&amp;","&amp;$E75&amp;",4326&amp;level=16",IF(_xlfn.SINGLE(JobState)="MN","https://fema.maps.arcgis.com/apps/mapviewer/index.html?url=https%3A%2F%2Fdotapp9.dot.state.mn.us%2Fegis12%2Frest%2Fservices%2FBASEMAP%2Fmndot_commonlayers2%2FMapServer%2F11&amp;find="&amp;$F75&amp;"%2C"&amp;$E75&amp;"&amp;marker="&amp;$F75&amp;","&amp;$E75&amp;",4326&amp;level=16",IF(_xlfn.SINGLE(JobState)="IL","https://fema.maps.arcgis.com/apps/mapviewer/index.html?url=https%3A%2F%2Fgis1.dot.illinois.gov%2Farcgis%2Frest%2Fservices%2FAdministrativeData%2FFunctionalClass%2FMapServer%2F0&amp;find="&amp;$F75&amp;"%2C"&amp;$E75&amp;"&amp;marker="&amp;$F75&amp;","&amp;$E75&amp;",4326&amp;level=16",IF(_xlfn.SINGLE(JobState)="OH","https://fema.maps.arcgis.com/apps/mapviewer/index.html?url=https%3A%2F%2Ftims.dot.state.oh.us%2Fags%2Frest%2Fservices%2FRoadway_Information%2FFunctional_Class%2FMapServer%2F0&amp;find="&amp;$F75&amp;"%2C"&amp;$E75&amp;"&amp;marker="&amp;$F75&amp;","&amp;$E75&amp;",4326&amp;level=16","https://fema.maps.arcgis.com/apps/mapviewer/index.html?find="&amp;$F75&amp;"%2C"&amp;$E75&amp;"&amp;marker="&amp;$F75&amp;","&amp;$E75&amp;",4326&amp;level=16")))))),IF(_xlfn.SINGLE(JobState)="WI","Review Local Roads Layer","Review NFC AGOL Layer"))))</f>
        <v/>
      </c>
      <c r="N75" s="6" t="str">
        <f>IF(OR($E75="",$F75=""),"",IF(_xlfn.SINGLE(JobState)="",IF(ROW()=2,HYPERLINK("#JobState","Set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75&amp;"%2C"&amp;$E75&amp;"&amp;marker="&amp;$F75&amp;","&amp;$E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5" s="6" t="str">
        <f>IF(OR($E75="", $F75=""),"",IF(_xlfn.SINGLE(JobAgolMap)="",HYPERLINK("https://fema.maps.arcgis.com/apps/mapviewer/index.html?find="&amp;$F75&amp;"%2C"&amp;$E75&amp;"&amp;marker="&amp;$F75&amp;","&amp;$E75&amp;",4326&amp;level=16","FEMA AGOL Map Viewer"),HYPERLINK(_xlfn.SINGLE(JobAgolMap)&amp;IF(ISNUMBER(FIND("?",_xlfn.SINGLE(JobAgolMap))),"&amp;","?")&amp;"center="&amp;$F75&amp;","&amp;$E75&amp;"&amp;level=16&amp;marker="&amp;$F75&amp;","&amp;$E75,"Open")))</f>
        <v/>
      </c>
      <c r="Q75" s="4"/>
      <c r="R75" s="4"/>
      <c r="W75" s="6" t="str">
        <f t="shared" si="6"/>
        <v/>
      </c>
      <c r="X75" s="6" t="str">
        <f t="shared" si="7"/>
        <v/>
      </c>
      <c r="Y75" s="6" t="str">
        <f t="shared" si="8"/>
        <v/>
      </c>
      <c r="Z75" s="6" t="str">
        <f t="shared" si="9"/>
        <v/>
      </c>
      <c r="AA75" s="6" t="str">
        <f t="shared" si="10"/>
        <v/>
      </c>
      <c r="AB75" s="6" t="str">
        <f t="shared" si="11"/>
        <v/>
      </c>
      <c r="AC75" s="4"/>
      <c r="AD75" s="4"/>
    </row>
    <row r="76" spans="1:30" x14ac:dyDescent="0.45">
      <c r="A76" s="3"/>
      <c r="B76" s="3"/>
      <c r="C76" s="5" t="str">
        <f>IF($E76="","",COUNT($E$2:$E76))</f>
        <v/>
      </c>
      <c r="D76" s="3"/>
      <c r="E76" s="3"/>
      <c r="F76" s="3"/>
      <c r="G76" s="3"/>
      <c r="H76" s="3"/>
      <c r="I76" s="3"/>
      <c r="J76" s="3"/>
      <c r="K76" s="3"/>
      <c r="L76" s="4"/>
      <c r="M76" s="6" t="str">
        <f>IF(OR($E76="",$F76=""),"",IF(_xlfn.SINGLE(JobState)="",IF(ROW()=2,HYPERLINK("#JobState","Set State →"),""),HYPERLINK(IF(OR(_xlfn.SINGLE(JobState)="MI",_xlfn.SINGLE(JobState)=""),"https://fema.maps.arcgis.com/apps/mapviewer/index.html?webmap=6a1702b9147243d1a5ee62cd614bc681&amp;center="&amp;$F76&amp;","&amp;$E76&amp;"&amp;level=16&amp;marker="&amp;$F76&amp;","&amp;$E76&amp;"",IF(_xlfn.SINGLE(JobState)="IN","https://fema.maps.arcgis.com/apps/mapviewer/index.html?url=https%3A%2F%2Fgis.indot.in.gov%2Fro%2Frest%2Fservices%2FRAH_GIO_Collaboration%2FLRSE_Functional_Class%2FFeatureServer%2F22&amp;find="&amp;$F76&amp;"%2C"&amp;$E76&amp;"&amp;marker="&amp;$F76&amp;","&amp;$E76&amp;",4326&amp;level=16",IF(_xlfn.SINGLE(JobState)="WI","https://fema.maps.arcgis.com/apps/mapviewer/index.html?url=https://services5.arcgis.com/0pgGLzT0Nh7FVjon/arcgis/rest/services/Functional_Class_Local_Non_Prod/FeatureServer/1&amp;find="&amp;$F76&amp;"%2C"&amp;$E76&amp;"&amp;marker="&amp;$F76&amp;","&amp;$E76&amp;",4326&amp;level=16",IF(_xlfn.SINGLE(JobState)="MN","https://fema.maps.arcgis.com/apps/mapviewer/index.html?url=https%3A%2F%2Fdotapp9.dot.state.mn.us%2Fegis12%2Frest%2Fservices%2FBASEMAP%2Fmndot_commonlayers2%2FMapServer%2F11&amp;find="&amp;$F76&amp;"%2C"&amp;$E76&amp;"&amp;marker="&amp;$F76&amp;","&amp;$E76&amp;",4326&amp;level=16",IF(_xlfn.SINGLE(JobState)="IL","https://fema.maps.arcgis.com/apps/mapviewer/index.html?url=https%3A%2F%2Fgis1.dot.illinois.gov%2Farcgis%2Frest%2Fservices%2FAdministrativeData%2FFunctionalClass%2FMapServer%2F0&amp;find="&amp;$F76&amp;"%2C"&amp;$E76&amp;"&amp;marker="&amp;$F76&amp;","&amp;$E76&amp;",4326&amp;level=16",IF(_xlfn.SINGLE(JobState)="OH","https://fema.maps.arcgis.com/apps/mapviewer/index.html?url=https%3A%2F%2Ftims.dot.state.oh.us%2Fags%2Frest%2Fservices%2FRoadway_Information%2FFunctional_Class%2FMapServer%2F0&amp;find="&amp;$F76&amp;"%2C"&amp;$E76&amp;"&amp;marker="&amp;$F76&amp;","&amp;$E76&amp;",4326&amp;level=16","https://fema.maps.arcgis.com/apps/mapviewer/index.html?find="&amp;$F76&amp;"%2C"&amp;$E76&amp;"&amp;marker="&amp;$F76&amp;","&amp;$E76&amp;",4326&amp;level=16")))))),IF(_xlfn.SINGLE(JobState)="WI","Review Local Roads Layer","Review NFC AGOL Layer"))))</f>
        <v/>
      </c>
      <c r="N76" s="6" t="str">
        <f>IF(OR($E76="",$F76=""),"",IF(_xlfn.SINGLE(JobState)="",IF(ROW()=2,HYPERLINK("#JobState","Set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76&amp;"%2C"&amp;$E76&amp;"&amp;marker="&amp;$F76&amp;","&amp;$E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6" s="6" t="str">
        <f>IF(OR($E76="", $F76=""),"",IF(_xlfn.SINGLE(JobAgolMap)="",HYPERLINK("https://fema.maps.arcgis.com/apps/mapviewer/index.html?find="&amp;$F76&amp;"%2C"&amp;$E76&amp;"&amp;marker="&amp;$F76&amp;","&amp;$E76&amp;",4326&amp;level=16","FEMA AGOL Map Viewer"),HYPERLINK(_xlfn.SINGLE(JobAgolMap)&amp;IF(ISNUMBER(FIND("?",_xlfn.SINGLE(JobAgolMap))),"&amp;","?")&amp;"center="&amp;$F76&amp;","&amp;$E76&amp;"&amp;level=16&amp;marker="&amp;$F76&amp;","&amp;$E76,"Open")))</f>
        <v/>
      </c>
      <c r="Q76" s="4"/>
      <c r="R76" s="4"/>
      <c r="W76" s="6" t="str">
        <f t="shared" si="6"/>
        <v/>
      </c>
      <c r="X76" s="6" t="str">
        <f t="shared" si="7"/>
        <v/>
      </c>
      <c r="Y76" s="6" t="str">
        <f t="shared" si="8"/>
        <v/>
      </c>
      <c r="Z76" s="6" t="str">
        <f t="shared" si="9"/>
        <v/>
      </c>
      <c r="AA76" s="6" t="str">
        <f t="shared" si="10"/>
        <v/>
      </c>
      <c r="AB76" s="6" t="str">
        <f t="shared" si="11"/>
        <v/>
      </c>
      <c r="AC76" s="4"/>
      <c r="AD76" s="4"/>
    </row>
    <row r="77" spans="1:30" x14ac:dyDescent="0.45">
      <c r="A77" s="3"/>
      <c r="B77" s="3"/>
      <c r="C77" s="5" t="str">
        <f>IF($E77="","",COUNT($E$2:$E77))</f>
        <v/>
      </c>
      <c r="D77" s="3"/>
      <c r="E77" s="3"/>
      <c r="F77" s="3"/>
      <c r="G77" s="3"/>
      <c r="H77" s="3"/>
      <c r="I77" s="3"/>
      <c r="J77" s="3"/>
      <c r="K77" s="3"/>
      <c r="L77" s="4"/>
      <c r="M77" s="6" t="str">
        <f>IF(OR($E77="",$F77=""),"",IF(_xlfn.SINGLE(JobState)="",IF(ROW()=2,HYPERLINK("#JobState","Set State →"),""),HYPERLINK(IF(OR(_xlfn.SINGLE(JobState)="MI",_xlfn.SINGLE(JobState)=""),"https://fema.maps.arcgis.com/apps/mapviewer/index.html?webmap=6a1702b9147243d1a5ee62cd614bc681&amp;center="&amp;$F77&amp;","&amp;$E77&amp;"&amp;level=16&amp;marker="&amp;$F77&amp;","&amp;$E77&amp;"",IF(_xlfn.SINGLE(JobState)="IN","https://fema.maps.arcgis.com/apps/mapviewer/index.html?url=https%3A%2F%2Fgis.indot.in.gov%2Fro%2Frest%2Fservices%2FRAH_GIO_Collaboration%2FLRSE_Functional_Class%2FFeatureServer%2F22&amp;find="&amp;$F77&amp;"%2C"&amp;$E77&amp;"&amp;marker="&amp;$F77&amp;","&amp;$E77&amp;",4326&amp;level=16",IF(_xlfn.SINGLE(JobState)="WI","https://fema.maps.arcgis.com/apps/mapviewer/index.html?url=https://services5.arcgis.com/0pgGLzT0Nh7FVjon/arcgis/rest/services/Functional_Class_Local_Non_Prod/FeatureServer/1&amp;find="&amp;$F77&amp;"%2C"&amp;$E77&amp;"&amp;marker="&amp;$F77&amp;","&amp;$E77&amp;",4326&amp;level=16",IF(_xlfn.SINGLE(JobState)="MN","https://fema.maps.arcgis.com/apps/mapviewer/index.html?url=https%3A%2F%2Fdotapp9.dot.state.mn.us%2Fegis12%2Frest%2Fservices%2FBASEMAP%2Fmndot_commonlayers2%2FMapServer%2F11&amp;find="&amp;$F77&amp;"%2C"&amp;$E77&amp;"&amp;marker="&amp;$F77&amp;","&amp;$E77&amp;",4326&amp;level=16",IF(_xlfn.SINGLE(JobState)="IL","https://fema.maps.arcgis.com/apps/mapviewer/index.html?url=https%3A%2F%2Fgis1.dot.illinois.gov%2Farcgis%2Frest%2Fservices%2FAdministrativeData%2FFunctionalClass%2FMapServer%2F0&amp;find="&amp;$F77&amp;"%2C"&amp;$E77&amp;"&amp;marker="&amp;$F77&amp;","&amp;$E77&amp;",4326&amp;level=16",IF(_xlfn.SINGLE(JobState)="OH","https://fema.maps.arcgis.com/apps/mapviewer/index.html?url=https%3A%2F%2Ftims.dot.state.oh.us%2Fags%2Frest%2Fservices%2FRoadway_Information%2FFunctional_Class%2FMapServer%2F0&amp;find="&amp;$F77&amp;"%2C"&amp;$E77&amp;"&amp;marker="&amp;$F77&amp;","&amp;$E77&amp;",4326&amp;level=16","https://fema.maps.arcgis.com/apps/mapviewer/index.html?find="&amp;$F77&amp;"%2C"&amp;$E77&amp;"&amp;marker="&amp;$F77&amp;","&amp;$E77&amp;",4326&amp;level=16")))))),IF(_xlfn.SINGLE(JobState)="WI","Review Local Roads Layer","Review NFC AGOL Layer"))))</f>
        <v/>
      </c>
      <c r="N77" s="6" t="str">
        <f>IF(OR($E77="",$F77=""),"",IF(_xlfn.SINGLE(JobState)="",IF(ROW()=2,HYPERLINK("#JobState","Set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77&amp;"%2C"&amp;$E77&amp;"&amp;marker="&amp;$F77&amp;","&amp;$E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7" s="6" t="str">
        <f>IF(OR($E77="", $F77=""),"",IF(_xlfn.SINGLE(JobAgolMap)="",HYPERLINK("https://fema.maps.arcgis.com/apps/mapviewer/index.html?find="&amp;$F77&amp;"%2C"&amp;$E77&amp;"&amp;marker="&amp;$F77&amp;","&amp;$E77&amp;",4326&amp;level=16","FEMA AGOL Map Viewer"),HYPERLINK(_xlfn.SINGLE(JobAgolMap)&amp;IF(ISNUMBER(FIND("?",_xlfn.SINGLE(JobAgolMap))),"&amp;","?")&amp;"center="&amp;$F77&amp;","&amp;$E77&amp;"&amp;level=16&amp;marker="&amp;$F77&amp;","&amp;$E77,"Open")))</f>
        <v/>
      </c>
      <c r="Q77" s="4"/>
      <c r="R77" s="4"/>
      <c r="W77" s="6" t="str">
        <f t="shared" si="6"/>
        <v/>
      </c>
      <c r="X77" s="6" t="str">
        <f t="shared" si="7"/>
        <v/>
      </c>
      <c r="Y77" s="6" t="str">
        <f t="shared" si="8"/>
        <v/>
      </c>
      <c r="Z77" s="6" t="str">
        <f t="shared" si="9"/>
        <v/>
      </c>
      <c r="AA77" s="6" t="str">
        <f t="shared" si="10"/>
        <v/>
      </c>
      <c r="AB77" s="6" t="str">
        <f t="shared" si="11"/>
        <v/>
      </c>
      <c r="AC77" s="4"/>
      <c r="AD77" s="4"/>
    </row>
    <row r="78" spans="1:30" x14ac:dyDescent="0.45">
      <c r="A78" s="3"/>
      <c r="B78" s="3"/>
      <c r="C78" s="5" t="str">
        <f>IF($E78="","",COUNT($E$2:$E78))</f>
        <v/>
      </c>
      <c r="D78" s="3"/>
      <c r="E78" s="3"/>
      <c r="F78" s="3"/>
      <c r="G78" s="3"/>
      <c r="H78" s="3"/>
      <c r="I78" s="3"/>
      <c r="J78" s="3"/>
      <c r="K78" s="3"/>
      <c r="L78" s="4"/>
      <c r="M78" s="6" t="str">
        <f>IF(OR($E78="",$F78=""),"",IF(_xlfn.SINGLE(JobState)="",IF(ROW()=2,HYPERLINK("#JobState","Set State →"),""),HYPERLINK(IF(OR(_xlfn.SINGLE(JobState)="MI",_xlfn.SINGLE(JobState)=""),"https://fema.maps.arcgis.com/apps/mapviewer/index.html?webmap=6a1702b9147243d1a5ee62cd614bc681&amp;center="&amp;$F78&amp;","&amp;$E78&amp;"&amp;level=16&amp;marker="&amp;$F78&amp;","&amp;$E78&amp;"",IF(_xlfn.SINGLE(JobState)="IN","https://fema.maps.arcgis.com/apps/mapviewer/index.html?url=https%3A%2F%2Fgis.indot.in.gov%2Fro%2Frest%2Fservices%2FRAH_GIO_Collaboration%2FLRSE_Functional_Class%2FFeatureServer%2F22&amp;find="&amp;$F78&amp;"%2C"&amp;$E78&amp;"&amp;marker="&amp;$F78&amp;","&amp;$E78&amp;",4326&amp;level=16",IF(_xlfn.SINGLE(JobState)="WI","https://fema.maps.arcgis.com/apps/mapviewer/index.html?url=https://services5.arcgis.com/0pgGLzT0Nh7FVjon/arcgis/rest/services/Functional_Class_Local_Non_Prod/FeatureServer/1&amp;find="&amp;$F78&amp;"%2C"&amp;$E78&amp;"&amp;marker="&amp;$F78&amp;","&amp;$E78&amp;",4326&amp;level=16",IF(_xlfn.SINGLE(JobState)="MN","https://fema.maps.arcgis.com/apps/mapviewer/index.html?url=https%3A%2F%2Fdotapp9.dot.state.mn.us%2Fegis12%2Frest%2Fservices%2FBASEMAP%2Fmndot_commonlayers2%2FMapServer%2F11&amp;find="&amp;$F78&amp;"%2C"&amp;$E78&amp;"&amp;marker="&amp;$F78&amp;","&amp;$E78&amp;",4326&amp;level=16",IF(_xlfn.SINGLE(JobState)="IL","https://fema.maps.arcgis.com/apps/mapviewer/index.html?url=https%3A%2F%2Fgis1.dot.illinois.gov%2Farcgis%2Frest%2Fservices%2FAdministrativeData%2FFunctionalClass%2FMapServer%2F0&amp;find="&amp;$F78&amp;"%2C"&amp;$E78&amp;"&amp;marker="&amp;$F78&amp;","&amp;$E78&amp;",4326&amp;level=16",IF(_xlfn.SINGLE(JobState)="OH","https://fema.maps.arcgis.com/apps/mapviewer/index.html?url=https%3A%2F%2Ftims.dot.state.oh.us%2Fags%2Frest%2Fservices%2FRoadway_Information%2FFunctional_Class%2FMapServer%2F0&amp;find="&amp;$F78&amp;"%2C"&amp;$E78&amp;"&amp;marker="&amp;$F78&amp;","&amp;$E78&amp;",4326&amp;level=16","https://fema.maps.arcgis.com/apps/mapviewer/index.html?find="&amp;$F78&amp;"%2C"&amp;$E78&amp;"&amp;marker="&amp;$F78&amp;","&amp;$E78&amp;",4326&amp;level=16")))))),IF(_xlfn.SINGLE(JobState)="WI","Review Local Roads Layer","Review NFC AGOL Layer"))))</f>
        <v/>
      </c>
      <c r="N78" s="6" t="str">
        <f>IF(OR($E78="",$F78=""),"",IF(_xlfn.SINGLE(JobState)="",IF(ROW()=2,HYPERLINK("#JobState","Set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78&amp;"%2C"&amp;$E78&amp;"&amp;marker="&amp;$F78&amp;","&amp;$E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8" s="6" t="str">
        <f>IF(OR($E78="", $F78=""),"",IF(_xlfn.SINGLE(JobAgolMap)="",HYPERLINK("https://fema.maps.arcgis.com/apps/mapviewer/index.html?find="&amp;$F78&amp;"%2C"&amp;$E78&amp;"&amp;marker="&amp;$F78&amp;","&amp;$E78&amp;",4326&amp;level=16","FEMA AGOL Map Viewer"),HYPERLINK(_xlfn.SINGLE(JobAgolMap)&amp;IF(ISNUMBER(FIND("?",_xlfn.SINGLE(JobAgolMap))),"&amp;","?")&amp;"center="&amp;$F78&amp;","&amp;$E78&amp;"&amp;level=16&amp;marker="&amp;$F78&amp;","&amp;$E78,"Open")))</f>
        <v/>
      </c>
      <c r="Q78" s="4"/>
      <c r="R78" s="4"/>
      <c r="W78" s="6" t="str">
        <f t="shared" si="6"/>
        <v/>
      </c>
      <c r="X78" s="6" t="str">
        <f t="shared" si="7"/>
        <v/>
      </c>
      <c r="Y78" s="6" t="str">
        <f t="shared" si="8"/>
        <v/>
      </c>
      <c r="Z78" s="6" t="str">
        <f t="shared" si="9"/>
        <v/>
      </c>
      <c r="AA78" s="6" t="str">
        <f t="shared" si="10"/>
        <v/>
      </c>
      <c r="AB78" s="6" t="str">
        <f t="shared" si="11"/>
        <v/>
      </c>
      <c r="AC78" s="4"/>
      <c r="AD78" s="4"/>
    </row>
    <row r="79" spans="1:30" x14ac:dyDescent="0.45">
      <c r="A79" s="3"/>
      <c r="B79" s="3"/>
      <c r="C79" s="5" t="str">
        <f>IF($E79="","",COUNT($E$2:$E79))</f>
        <v/>
      </c>
      <c r="D79" s="3"/>
      <c r="E79" s="3"/>
      <c r="F79" s="3"/>
      <c r="G79" s="3"/>
      <c r="H79" s="3"/>
      <c r="I79" s="3"/>
      <c r="J79" s="3"/>
      <c r="K79" s="3"/>
      <c r="L79" s="4"/>
      <c r="M79" s="6" t="str">
        <f>IF(OR($E79="",$F79=""),"",IF(_xlfn.SINGLE(JobState)="",IF(ROW()=2,HYPERLINK("#JobState","Set State →"),""),HYPERLINK(IF(OR(_xlfn.SINGLE(JobState)="MI",_xlfn.SINGLE(JobState)=""),"https://fema.maps.arcgis.com/apps/mapviewer/index.html?webmap=6a1702b9147243d1a5ee62cd614bc681&amp;center="&amp;$F79&amp;","&amp;$E79&amp;"&amp;level=16&amp;marker="&amp;$F79&amp;","&amp;$E79&amp;"",IF(_xlfn.SINGLE(JobState)="IN","https://fema.maps.arcgis.com/apps/mapviewer/index.html?url=https%3A%2F%2Fgis.indot.in.gov%2Fro%2Frest%2Fservices%2FRAH_GIO_Collaboration%2FLRSE_Functional_Class%2FFeatureServer%2F22&amp;find="&amp;$F79&amp;"%2C"&amp;$E79&amp;"&amp;marker="&amp;$F79&amp;","&amp;$E79&amp;",4326&amp;level=16",IF(_xlfn.SINGLE(JobState)="WI","https://fema.maps.arcgis.com/apps/mapviewer/index.html?url=https://services5.arcgis.com/0pgGLzT0Nh7FVjon/arcgis/rest/services/Functional_Class_Local_Non_Prod/FeatureServer/1&amp;find="&amp;$F79&amp;"%2C"&amp;$E79&amp;"&amp;marker="&amp;$F79&amp;","&amp;$E79&amp;",4326&amp;level=16",IF(_xlfn.SINGLE(JobState)="MN","https://fema.maps.arcgis.com/apps/mapviewer/index.html?url=https%3A%2F%2Fdotapp9.dot.state.mn.us%2Fegis12%2Frest%2Fservices%2FBASEMAP%2Fmndot_commonlayers2%2FMapServer%2F11&amp;find="&amp;$F79&amp;"%2C"&amp;$E79&amp;"&amp;marker="&amp;$F79&amp;","&amp;$E79&amp;",4326&amp;level=16",IF(_xlfn.SINGLE(JobState)="IL","https://fema.maps.arcgis.com/apps/mapviewer/index.html?url=https%3A%2F%2Fgis1.dot.illinois.gov%2Farcgis%2Frest%2Fservices%2FAdministrativeData%2FFunctionalClass%2FMapServer%2F0&amp;find="&amp;$F79&amp;"%2C"&amp;$E79&amp;"&amp;marker="&amp;$F79&amp;","&amp;$E79&amp;",4326&amp;level=16",IF(_xlfn.SINGLE(JobState)="OH","https://fema.maps.arcgis.com/apps/mapviewer/index.html?url=https%3A%2F%2Ftims.dot.state.oh.us%2Fags%2Frest%2Fservices%2FRoadway_Information%2FFunctional_Class%2FMapServer%2F0&amp;find="&amp;$F79&amp;"%2C"&amp;$E79&amp;"&amp;marker="&amp;$F79&amp;","&amp;$E79&amp;",4326&amp;level=16","https://fema.maps.arcgis.com/apps/mapviewer/index.html?find="&amp;$F79&amp;"%2C"&amp;$E79&amp;"&amp;marker="&amp;$F79&amp;","&amp;$E79&amp;",4326&amp;level=16")))))),IF(_xlfn.SINGLE(JobState)="WI","Review Local Roads Layer","Review NFC AGOL Layer"))))</f>
        <v/>
      </c>
      <c r="N79" s="6" t="str">
        <f>IF(OR($E79="",$F79=""),"",IF(_xlfn.SINGLE(JobState)="",IF(ROW()=2,HYPERLINK("#JobState","Set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79&amp;"%2C"&amp;$E79&amp;"&amp;marker="&amp;$F79&amp;","&amp;$E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9" s="6" t="str">
        <f>IF(OR($E79="", $F79=""),"",IF(_xlfn.SINGLE(JobAgolMap)="",HYPERLINK("https://fema.maps.arcgis.com/apps/mapviewer/index.html?find="&amp;$F79&amp;"%2C"&amp;$E79&amp;"&amp;marker="&amp;$F79&amp;","&amp;$E79&amp;",4326&amp;level=16","FEMA AGOL Map Viewer"),HYPERLINK(_xlfn.SINGLE(JobAgolMap)&amp;IF(ISNUMBER(FIND("?",_xlfn.SINGLE(JobAgolMap))),"&amp;","?")&amp;"center="&amp;$F79&amp;","&amp;$E79&amp;"&amp;level=16&amp;marker="&amp;$F79&amp;","&amp;$E79,"Open")))</f>
        <v/>
      </c>
      <c r="Q79" s="4"/>
      <c r="R79" s="4"/>
      <c r="W79" s="6" t="str">
        <f t="shared" si="6"/>
        <v/>
      </c>
      <c r="X79" s="6" t="str">
        <f t="shared" si="7"/>
        <v/>
      </c>
      <c r="Y79" s="6" t="str">
        <f t="shared" si="8"/>
        <v/>
      </c>
      <c r="Z79" s="6" t="str">
        <f t="shared" si="9"/>
        <v/>
      </c>
      <c r="AA79" s="6" t="str">
        <f t="shared" si="10"/>
        <v/>
      </c>
      <c r="AB79" s="6" t="str">
        <f t="shared" si="11"/>
        <v/>
      </c>
      <c r="AC79" s="4"/>
      <c r="AD79" s="4"/>
    </row>
    <row r="80" spans="1:30" x14ac:dyDescent="0.45">
      <c r="A80" s="3"/>
      <c r="B80" s="3"/>
      <c r="C80" s="5" t="str">
        <f>IF($E80="","",COUNT($E$2:$E80))</f>
        <v/>
      </c>
      <c r="D80" s="3"/>
      <c r="E80" s="3"/>
      <c r="F80" s="3"/>
      <c r="G80" s="3"/>
      <c r="H80" s="3"/>
      <c r="I80" s="3"/>
      <c r="J80" s="3"/>
      <c r="K80" s="3"/>
      <c r="L80" s="4"/>
      <c r="M80" s="6" t="str">
        <f>IF(OR($E80="",$F80=""),"",IF(_xlfn.SINGLE(JobState)="",IF(ROW()=2,HYPERLINK("#JobState","Set State →"),""),HYPERLINK(IF(OR(_xlfn.SINGLE(JobState)="MI",_xlfn.SINGLE(JobState)=""),"https://fema.maps.arcgis.com/apps/mapviewer/index.html?webmap=6a1702b9147243d1a5ee62cd614bc681&amp;center="&amp;$F80&amp;","&amp;$E80&amp;"&amp;level=16&amp;marker="&amp;$F80&amp;","&amp;$E80&amp;"",IF(_xlfn.SINGLE(JobState)="IN","https://fema.maps.arcgis.com/apps/mapviewer/index.html?url=https%3A%2F%2Fgis.indot.in.gov%2Fro%2Frest%2Fservices%2FRAH_GIO_Collaboration%2FLRSE_Functional_Class%2FFeatureServer%2F22&amp;find="&amp;$F80&amp;"%2C"&amp;$E80&amp;"&amp;marker="&amp;$F80&amp;","&amp;$E80&amp;",4326&amp;level=16",IF(_xlfn.SINGLE(JobState)="WI","https://fema.maps.arcgis.com/apps/mapviewer/index.html?url=https://services5.arcgis.com/0pgGLzT0Nh7FVjon/arcgis/rest/services/Functional_Class_Local_Non_Prod/FeatureServer/1&amp;find="&amp;$F80&amp;"%2C"&amp;$E80&amp;"&amp;marker="&amp;$F80&amp;","&amp;$E80&amp;",4326&amp;level=16",IF(_xlfn.SINGLE(JobState)="MN","https://fema.maps.arcgis.com/apps/mapviewer/index.html?url=https%3A%2F%2Fdotapp9.dot.state.mn.us%2Fegis12%2Frest%2Fservices%2FBASEMAP%2Fmndot_commonlayers2%2FMapServer%2F11&amp;find="&amp;$F80&amp;"%2C"&amp;$E80&amp;"&amp;marker="&amp;$F80&amp;","&amp;$E80&amp;",4326&amp;level=16",IF(_xlfn.SINGLE(JobState)="IL","https://fema.maps.arcgis.com/apps/mapviewer/index.html?url=https%3A%2F%2Fgis1.dot.illinois.gov%2Farcgis%2Frest%2Fservices%2FAdministrativeData%2FFunctionalClass%2FMapServer%2F0&amp;find="&amp;$F80&amp;"%2C"&amp;$E80&amp;"&amp;marker="&amp;$F80&amp;","&amp;$E80&amp;",4326&amp;level=16",IF(_xlfn.SINGLE(JobState)="OH","https://fema.maps.arcgis.com/apps/mapviewer/index.html?url=https%3A%2F%2Ftims.dot.state.oh.us%2Fags%2Frest%2Fservices%2FRoadway_Information%2FFunctional_Class%2FMapServer%2F0&amp;find="&amp;$F80&amp;"%2C"&amp;$E80&amp;"&amp;marker="&amp;$F80&amp;","&amp;$E80&amp;",4326&amp;level=16","https://fema.maps.arcgis.com/apps/mapviewer/index.html?find="&amp;$F80&amp;"%2C"&amp;$E80&amp;"&amp;marker="&amp;$F80&amp;","&amp;$E80&amp;",4326&amp;level=16")))))),IF(_xlfn.SINGLE(JobState)="WI","Review Local Roads Layer","Review NFC AGOL Layer"))))</f>
        <v/>
      </c>
      <c r="N80" s="6" t="str">
        <f>IF(OR($E80="",$F80=""),"",IF(_xlfn.SINGLE(JobState)="",IF(ROW()=2,HYPERLINK("#JobState","Set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80&amp;"%2C"&amp;$E80&amp;"&amp;marker="&amp;$F80&amp;","&amp;$E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0" s="6" t="str">
        <f>IF(OR($E80="", $F80=""),"",IF(_xlfn.SINGLE(JobAgolMap)="",HYPERLINK("https://fema.maps.arcgis.com/apps/mapviewer/index.html?find="&amp;$F80&amp;"%2C"&amp;$E80&amp;"&amp;marker="&amp;$F80&amp;","&amp;$E80&amp;",4326&amp;level=16","FEMA AGOL Map Viewer"),HYPERLINK(_xlfn.SINGLE(JobAgolMap)&amp;IF(ISNUMBER(FIND("?",_xlfn.SINGLE(JobAgolMap))),"&amp;","?")&amp;"center="&amp;$F80&amp;","&amp;$E80&amp;"&amp;level=16&amp;marker="&amp;$F80&amp;","&amp;$E80,"Open")))</f>
        <v/>
      </c>
      <c r="Q80" s="4"/>
      <c r="R80" s="4"/>
      <c r="W80" s="6" t="str">
        <f t="shared" si="6"/>
        <v/>
      </c>
      <c r="X80" s="6" t="str">
        <f t="shared" si="7"/>
        <v/>
      </c>
      <c r="Y80" s="6" t="str">
        <f t="shared" si="8"/>
        <v/>
      </c>
      <c r="Z80" s="6" t="str">
        <f t="shared" si="9"/>
        <v/>
      </c>
      <c r="AA80" s="6" t="str">
        <f t="shared" si="10"/>
        <v/>
      </c>
      <c r="AB80" s="6" t="str">
        <f t="shared" si="11"/>
        <v/>
      </c>
      <c r="AC80" s="4"/>
      <c r="AD80" s="4"/>
    </row>
    <row r="81" spans="1:30" x14ac:dyDescent="0.45">
      <c r="A81" s="3"/>
      <c r="B81" s="3"/>
      <c r="C81" s="5" t="str">
        <f>IF($E81="","",COUNT($E$2:$E81))</f>
        <v/>
      </c>
      <c r="D81" s="3"/>
      <c r="E81" s="3"/>
      <c r="F81" s="3"/>
      <c r="G81" s="3"/>
      <c r="H81" s="3"/>
      <c r="I81" s="3"/>
      <c r="J81" s="3"/>
      <c r="K81" s="3"/>
      <c r="L81" s="4"/>
      <c r="M81" s="6" t="str">
        <f>IF(OR($E81="",$F81=""),"",IF(_xlfn.SINGLE(JobState)="",IF(ROW()=2,HYPERLINK("#JobState","Set State →"),""),HYPERLINK(IF(OR(_xlfn.SINGLE(JobState)="MI",_xlfn.SINGLE(JobState)=""),"https://fema.maps.arcgis.com/apps/mapviewer/index.html?webmap=6a1702b9147243d1a5ee62cd614bc681&amp;center="&amp;$F81&amp;","&amp;$E81&amp;"&amp;level=16&amp;marker="&amp;$F81&amp;","&amp;$E81&amp;"",IF(_xlfn.SINGLE(JobState)="IN","https://fema.maps.arcgis.com/apps/mapviewer/index.html?url=https%3A%2F%2Fgis.indot.in.gov%2Fro%2Frest%2Fservices%2FRAH_GIO_Collaboration%2FLRSE_Functional_Class%2FFeatureServer%2F22&amp;find="&amp;$F81&amp;"%2C"&amp;$E81&amp;"&amp;marker="&amp;$F81&amp;","&amp;$E81&amp;",4326&amp;level=16",IF(_xlfn.SINGLE(JobState)="WI","https://fema.maps.arcgis.com/apps/mapviewer/index.html?url=https://services5.arcgis.com/0pgGLzT0Nh7FVjon/arcgis/rest/services/Functional_Class_Local_Non_Prod/FeatureServer/1&amp;find="&amp;$F81&amp;"%2C"&amp;$E81&amp;"&amp;marker="&amp;$F81&amp;","&amp;$E81&amp;",4326&amp;level=16",IF(_xlfn.SINGLE(JobState)="MN","https://fema.maps.arcgis.com/apps/mapviewer/index.html?url=https%3A%2F%2Fdotapp9.dot.state.mn.us%2Fegis12%2Frest%2Fservices%2FBASEMAP%2Fmndot_commonlayers2%2FMapServer%2F11&amp;find="&amp;$F81&amp;"%2C"&amp;$E81&amp;"&amp;marker="&amp;$F81&amp;","&amp;$E81&amp;",4326&amp;level=16",IF(_xlfn.SINGLE(JobState)="IL","https://fema.maps.arcgis.com/apps/mapviewer/index.html?url=https%3A%2F%2Fgis1.dot.illinois.gov%2Farcgis%2Frest%2Fservices%2FAdministrativeData%2FFunctionalClass%2FMapServer%2F0&amp;find="&amp;$F81&amp;"%2C"&amp;$E81&amp;"&amp;marker="&amp;$F81&amp;","&amp;$E81&amp;",4326&amp;level=16",IF(_xlfn.SINGLE(JobState)="OH","https://fema.maps.arcgis.com/apps/mapviewer/index.html?url=https%3A%2F%2Ftims.dot.state.oh.us%2Fags%2Frest%2Fservices%2FRoadway_Information%2FFunctional_Class%2FMapServer%2F0&amp;find="&amp;$F81&amp;"%2C"&amp;$E81&amp;"&amp;marker="&amp;$F81&amp;","&amp;$E81&amp;",4326&amp;level=16","https://fema.maps.arcgis.com/apps/mapviewer/index.html?find="&amp;$F81&amp;"%2C"&amp;$E81&amp;"&amp;marker="&amp;$F81&amp;","&amp;$E81&amp;",4326&amp;level=16")))))),IF(_xlfn.SINGLE(JobState)="WI","Review Local Roads Layer","Review NFC AGOL Layer"))))</f>
        <v/>
      </c>
      <c r="N81" s="6" t="str">
        <f>IF(OR($E81="",$F81=""),"",IF(_xlfn.SINGLE(JobState)="",IF(ROW()=2,HYPERLINK("#JobState","Set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81&amp;"%2C"&amp;$E81&amp;"&amp;marker="&amp;$F81&amp;","&amp;$E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1" s="6" t="str">
        <f>IF(OR($E81="", $F81=""),"",IF(_xlfn.SINGLE(JobAgolMap)="",HYPERLINK("https://fema.maps.arcgis.com/apps/mapviewer/index.html?find="&amp;$F81&amp;"%2C"&amp;$E81&amp;"&amp;marker="&amp;$F81&amp;","&amp;$E81&amp;",4326&amp;level=16","FEMA AGOL Map Viewer"),HYPERLINK(_xlfn.SINGLE(JobAgolMap)&amp;IF(ISNUMBER(FIND("?",_xlfn.SINGLE(JobAgolMap))),"&amp;","?")&amp;"center="&amp;$F81&amp;","&amp;$E81&amp;"&amp;level=16&amp;marker="&amp;$F81&amp;","&amp;$E81,"Open")))</f>
        <v/>
      </c>
      <c r="Q81" s="4"/>
      <c r="R81" s="4"/>
      <c r="W81" s="6" t="str">
        <f t="shared" si="6"/>
        <v/>
      </c>
      <c r="X81" s="6" t="str">
        <f t="shared" si="7"/>
        <v/>
      </c>
      <c r="Y81" s="6" t="str">
        <f t="shared" si="8"/>
        <v/>
      </c>
      <c r="Z81" s="6" t="str">
        <f t="shared" si="9"/>
        <v/>
      </c>
      <c r="AA81" s="6" t="str">
        <f t="shared" si="10"/>
        <v/>
      </c>
      <c r="AB81" s="6" t="str">
        <f t="shared" si="11"/>
        <v/>
      </c>
      <c r="AC81" s="4"/>
      <c r="AD81" s="4"/>
    </row>
    <row r="82" spans="1:30" x14ac:dyDescent="0.45">
      <c r="A82" s="3"/>
      <c r="B82" s="3"/>
      <c r="C82" s="5" t="str">
        <f>IF($E82="","",COUNT($E$2:$E82))</f>
        <v/>
      </c>
      <c r="D82" s="3"/>
      <c r="E82" s="3"/>
      <c r="F82" s="3"/>
      <c r="G82" s="3"/>
      <c r="H82" s="3"/>
      <c r="I82" s="3"/>
      <c r="J82" s="3"/>
      <c r="K82" s="3"/>
      <c r="L82" s="4"/>
      <c r="M82" s="6" t="str">
        <f>IF(OR($E82="",$F82=""),"",IF(_xlfn.SINGLE(JobState)="",IF(ROW()=2,HYPERLINK("#JobState","Set State →"),""),HYPERLINK(IF(OR(_xlfn.SINGLE(JobState)="MI",_xlfn.SINGLE(JobState)=""),"https://fema.maps.arcgis.com/apps/mapviewer/index.html?webmap=6a1702b9147243d1a5ee62cd614bc681&amp;center="&amp;$F82&amp;","&amp;$E82&amp;"&amp;level=16&amp;marker="&amp;$F82&amp;","&amp;$E82&amp;"",IF(_xlfn.SINGLE(JobState)="IN","https://fema.maps.arcgis.com/apps/mapviewer/index.html?url=https%3A%2F%2Fgis.indot.in.gov%2Fro%2Frest%2Fservices%2FRAH_GIO_Collaboration%2FLRSE_Functional_Class%2FFeatureServer%2F22&amp;find="&amp;$F82&amp;"%2C"&amp;$E82&amp;"&amp;marker="&amp;$F82&amp;","&amp;$E82&amp;",4326&amp;level=16",IF(_xlfn.SINGLE(JobState)="WI","https://fema.maps.arcgis.com/apps/mapviewer/index.html?url=https://services5.arcgis.com/0pgGLzT0Nh7FVjon/arcgis/rest/services/Functional_Class_Local_Non_Prod/FeatureServer/1&amp;find="&amp;$F82&amp;"%2C"&amp;$E82&amp;"&amp;marker="&amp;$F82&amp;","&amp;$E82&amp;",4326&amp;level=16",IF(_xlfn.SINGLE(JobState)="MN","https://fema.maps.arcgis.com/apps/mapviewer/index.html?url=https%3A%2F%2Fdotapp9.dot.state.mn.us%2Fegis12%2Frest%2Fservices%2FBASEMAP%2Fmndot_commonlayers2%2FMapServer%2F11&amp;find="&amp;$F82&amp;"%2C"&amp;$E82&amp;"&amp;marker="&amp;$F82&amp;","&amp;$E82&amp;",4326&amp;level=16",IF(_xlfn.SINGLE(JobState)="IL","https://fema.maps.arcgis.com/apps/mapviewer/index.html?url=https%3A%2F%2Fgis1.dot.illinois.gov%2Farcgis%2Frest%2Fservices%2FAdministrativeData%2FFunctionalClass%2FMapServer%2F0&amp;find="&amp;$F82&amp;"%2C"&amp;$E82&amp;"&amp;marker="&amp;$F82&amp;","&amp;$E82&amp;",4326&amp;level=16",IF(_xlfn.SINGLE(JobState)="OH","https://fema.maps.arcgis.com/apps/mapviewer/index.html?url=https%3A%2F%2Ftims.dot.state.oh.us%2Fags%2Frest%2Fservices%2FRoadway_Information%2FFunctional_Class%2FMapServer%2F0&amp;find="&amp;$F82&amp;"%2C"&amp;$E82&amp;"&amp;marker="&amp;$F82&amp;","&amp;$E82&amp;",4326&amp;level=16","https://fema.maps.arcgis.com/apps/mapviewer/index.html?find="&amp;$F82&amp;"%2C"&amp;$E82&amp;"&amp;marker="&amp;$F82&amp;","&amp;$E82&amp;",4326&amp;level=16")))))),IF(_xlfn.SINGLE(JobState)="WI","Review Local Roads Layer","Review NFC AGOL Layer"))))</f>
        <v/>
      </c>
      <c r="N82" s="6" t="str">
        <f>IF(OR($E82="",$F82=""),"",IF(_xlfn.SINGLE(JobState)="",IF(ROW()=2,HYPERLINK("#JobState","Set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82&amp;"%2C"&amp;$E82&amp;"&amp;marker="&amp;$F82&amp;","&amp;$E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2" s="6" t="str">
        <f>IF(OR($E82="", $F82=""),"",IF(_xlfn.SINGLE(JobAgolMap)="",HYPERLINK("https://fema.maps.arcgis.com/apps/mapviewer/index.html?find="&amp;$F82&amp;"%2C"&amp;$E82&amp;"&amp;marker="&amp;$F82&amp;","&amp;$E82&amp;",4326&amp;level=16","FEMA AGOL Map Viewer"),HYPERLINK(_xlfn.SINGLE(JobAgolMap)&amp;IF(ISNUMBER(FIND("?",_xlfn.SINGLE(JobAgolMap))),"&amp;","?")&amp;"center="&amp;$F82&amp;","&amp;$E82&amp;"&amp;level=16&amp;marker="&amp;$F82&amp;","&amp;$E82,"Open")))</f>
        <v/>
      </c>
      <c r="Q82" s="4"/>
      <c r="R82" s="4"/>
      <c r="W82" s="6" t="str">
        <f t="shared" si="6"/>
        <v/>
      </c>
      <c r="X82" s="6" t="str">
        <f t="shared" si="7"/>
        <v/>
      </c>
      <c r="Y82" s="6" t="str">
        <f t="shared" si="8"/>
        <v/>
      </c>
      <c r="Z82" s="6" t="str">
        <f t="shared" si="9"/>
        <v/>
      </c>
      <c r="AA82" s="6" t="str">
        <f t="shared" si="10"/>
        <v/>
      </c>
      <c r="AB82" s="6" t="str">
        <f t="shared" si="11"/>
        <v/>
      </c>
      <c r="AC82" s="4"/>
      <c r="AD82" s="4"/>
    </row>
    <row r="83" spans="1:30" x14ac:dyDescent="0.45">
      <c r="A83" s="3"/>
      <c r="B83" s="3"/>
      <c r="C83" s="5" t="str">
        <f>IF($E83="","",COUNT($E$2:$E83))</f>
        <v/>
      </c>
      <c r="D83" s="3"/>
      <c r="E83" s="3"/>
      <c r="F83" s="3"/>
      <c r="G83" s="3"/>
      <c r="H83" s="3"/>
      <c r="I83" s="3"/>
      <c r="J83" s="3"/>
      <c r="K83" s="3"/>
      <c r="L83" s="4"/>
      <c r="M83" s="6" t="str">
        <f>IF(OR($E83="",$F83=""),"",IF(_xlfn.SINGLE(JobState)="",IF(ROW()=2,HYPERLINK("#JobState","Set State →"),""),HYPERLINK(IF(OR(_xlfn.SINGLE(JobState)="MI",_xlfn.SINGLE(JobState)=""),"https://fema.maps.arcgis.com/apps/mapviewer/index.html?webmap=6a1702b9147243d1a5ee62cd614bc681&amp;center="&amp;$F83&amp;","&amp;$E83&amp;"&amp;level=16&amp;marker="&amp;$F83&amp;","&amp;$E83&amp;"",IF(_xlfn.SINGLE(JobState)="IN","https://fema.maps.arcgis.com/apps/mapviewer/index.html?url=https%3A%2F%2Fgis.indot.in.gov%2Fro%2Frest%2Fservices%2FRAH_GIO_Collaboration%2FLRSE_Functional_Class%2FFeatureServer%2F22&amp;find="&amp;$F83&amp;"%2C"&amp;$E83&amp;"&amp;marker="&amp;$F83&amp;","&amp;$E83&amp;",4326&amp;level=16",IF(_xlfn.SINGLE(JobState)="WI","https://fema.maps.arcgis.com/apps/mapviewer/index.html?url=https://services5.arcgis.com/0pgGLzT0Nh7FVjon/arcgis/rest/services/Functional_Class_Local_Non_Prod/FeatureServer/1&amp;find="&amp;$F83&amp;"%2C"&amp;$E83&amp;"&amp;marker="&amp;$F83&amp;","&amp;$E83&amp;",4326&amp;level=16",IF(_xlfn.SINGLE(JobState)="MN","https://fema.maps.arcgis.com/apps/mapviewer/index.html?url=https%3A%2F%2Fdotapp9.dot.state.mn.us%2Fegis12%2Frest%2Fservices%2FBASEMAP%2Fmndot_commonlayers2%2FMapServer%2F11&amp;find="&amp;$F83&amp;"%2C"&amp;$E83&amp;"&amp;marker="&amp;$F83&amp;","&amp;$E83&amp;",4326&amp;level=16",IF(_xlfn.SINGLE(JobState)="IL","https://fema.maps.arcgis.com/apps/mapviewer/index.html?url=https%3A%2F%2Fgis1.dot.illinois.gov%2Farcgis%2Frest%2Fservices%2FAdministrativeData%2FFunctionalClass%2FMapServer%2F0&amp;find="&amp;$F83&amp;"%2C"&amp;$E83&amp;"&amp;marker="&amp;$F83&amp;","&amp;$E83&amp;",4326&amp;level=16",IF(_xlfn.SINGLE(JobState)="OH","https://fema.maps.arcgis.com/apps/mapviewer/index.html?url=https%3A%2F%2Ftims.dot.state.oh.us%2Fags%2Frest%2Fservices%2FRoadway_Information%2FFunctional_Class%2FMapServer%2F0&amp;find="&amp;$F83&amp;"%2C"&amp;$E83&amp;"&amp;marker="&amp;$F83&amp;","&amp;$E83&amp;",4326&amp;level=16","https://fema.maps.arcgis.com/apps/mapviewer/index.html?find="&amp;$F83&amp;"%2C"&amp;$E83&amp;"&amp;marker="&amp;$F83&amp;","&amp;$E83&amp;",4326&amp;level=16")))))),IF(_xlfn.SINGLE(JobState)="WI","Review Local Roads Layer","Review NFC AGOL Layer"))))</f>
        <v/>
      </c>
      <c r="N83" s="6" t="str">
        <f>IF(OR($E83="",$F83=""),"",IF(_xlfn.SINGLE(JobState)="",IF(ROW()=2,HYPERLINK("#JobState","Set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83&amp;"%2C"&amp;$E83&amp;"&amp;marker="&amp;$F83&amp;","&amp;$E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3" s="6" t="str">
        <f>IF(OR($E83="", $F83=""),"",IF(_xlfn.SINGLE(JobAgolMap)="",HYPERLINK("https://fema.maps.arcgis.com/apps/mapviewer/index.html?find="&amp;$F83&amp;"%2C"&amp;$E83&amp;"&amp;marker="&amp;$F83&amp;","&amp;$E83&amp;",4326&amp;level=16","FEMA AGOL Map Viewer"),HYPERLINK(_xlfn.SINGLE(JobAgolMap)&amp;IF(ISNUMBER(FIND("?",_xlfn.SINGLE(JobAgolMap))),"&amp;","?")&amp;"center="&amp;$F83&amp;","&amp;$E83&amp;"&amp;level=16&amp;marker="&amp;$F83&amp;","&amp;$E83,"Open")))</f>
        <v/>
      </c>
      <c r="Q83" s="4"/>
      <c r="R83" s="4"/>
      <c r="W83" s="6" t="str">
        <f t="shared" si="6"/>
        <v/>
      </c>
      <c r="X83" s="6" t="str">
        <f t="shared" si="7"/>
        <v/>
      </c>
      <c r="Y83" s="6" t="str">
        <f t="shared" si="8"/>
        <v/>
      </c>
      <c r="Z83" s="6" t="str">
        <f t="shared" si="9"/>
        <v/>
      </c>
      <c r="AA83" s="6" t="str">
        <f t="shared" si="10"/>
        <v/>
      </c>
      <c r="AB83" s="6" t="str">
        <f t="shared" si="11"/>
        <v/>
      </c>
      <c r="AC83" s="4"/>
      <c r="AD83" s="4"/>
    </row>
    <row r="84" spans="1:30" x14ac:dyDescent="0.45">
      <c r="A84" s="3"/>
      <c r="B84" s="3"/>
      <c r="C84" s="5" t="str">
        <f>IF($E84="","",COUNT($E$2:$E84))</f>
        <v/>
      </c>
      <c r="D84" s="3"/>
      <c r="E84" s="3"/>
      <c r="F84" s="3"/>
      <c r="G84" s="3"/>
      <c r="H84" s="3"/>
      <c r="I84" s="3"/>
      <c r="J84" s="3"/>
      <c r="K84" s="3"/>
      <c r="L84" s="4"/>
      <c r="M84" s="6" t="str">
        <f>IF(OR($E84="",$F84=""),"",IF(_xlfn.SINGLE(JobState)="",IF(ROW()=2,HYPERLINK("#JobState","Set State →"),""),HYPERLINK(IF(OR(_xlfn.SINGLE(JobState)="MI",_xlfn.SINGLE(JobState)=""),"https://fema.maps.arcgis.com/apps/mapviewer/index.html?webmap=6a1702b9147243d1a5ee62cd614bc681&amp;center="&amp;$F84&amp;","&amp;$E84&amp;"&amp;level=16&amp;marker="&amp;$F84&amp;","&amp;$E84&amp;"",IF(_xlfn.SINGLE(JobState)="IN","https://fema.maps.arcgis.com/apps/mapviewer/index.html?url=https%3A%2F%2Fgis.indot.in.gov%2Fro%2Frest%2Fservices%2FRAH_GIO_Collaboration%2FLRSE_Functional_Class%2FFeatureServer%2F22&amp;find="&amp;$F84&amp;"%2C"&amp;$E84&amp;"&amp;marker="&amp;$F84&amp;","&amp;$E84&amp;",4326&amp;level=16",IF(_xlfn.SINGLE(JobState)="WI","https://fema.maps.arcgis.com/apps/mapviewer/index.html?url=https://services5.arcgis.com/0pgGLzT0Nh7FVjon/arcgis/rest/services/Functional_Class_Local_Non_Prod/FeatureServer/1&amp;find="&amp;$F84&amp;"%2C"&amp;$E84&amp;"&amp;marker="&amp;$F84&amp;","&amp;$E84&amp;",4326&amp;level=16",IF(_xlfn.SINGLE(JobState)="MN","https://fema.maps.arcgis.com/apps/mapviewer/index.html?url=https%3A%2F%2Fdotapp9.dot.state.mn.us%2Fegis12%2Frest%2Fservices%2FBASEMAP%2Fmndot_commonlayers2%2FMapServer%2F11&amp;find="&amp;$F84&amp;"%2C"&amp;$E84&amp;"&amp;marker="&amp;$F84&amp;","&amp;$E84&amp;",4326&amp;level=16",IF(_xlfn.SINGLE(JobState)="IL","https://fema.maps.arcgis.com/apps/mapviewer/index.html?url=https%3A%2F%2Fgis1.dot.illinois.gov%2Farcgis%2Frest%2Fservices%2FAdministrativeData%2FFunctionalClass%2FMapServer%2F0&amp;find="&amp;$F84&amp;"%2C"&amp;$E84&amp;"&amp;marker="&amp;$F84&amp;","&amp;$E84&amp;",4326&amp;level=16",IF(_xlfn.SINGLE(JobState)="OH","https://fema.maps.arcgis.com/apps/mapviewer/index.html?url=https%3A%2F%2Ftims.dot.state.oh.us%2Fags%2Frest%2Fservices%2FRoadway_Information%2FFunctional_Class%2FMapServer%2F0&amp;find="&amp;$F84&amp;"%2C"&amp;$E84&amp;"&amp;marker="&amp;$F84&amp;","&amp;$E84&amp;",4326&amp;level=16","https://fema.maps.arcgis.com/apps/mapviewer/index.html?find="&amp;$F84&amp;"%2C"&amp;$E84&amp;"&amp;marker="&amp;$F84&amp;","&amp;$E84&amp;",4326&amp;level=16")))))),IF(_xlfn.SINGLE(JobState)="WI","Review Local Roads Layer","Review NFC AGOL Layer"))))</f>
        <v/>
      </c>
      <c r="N84" s="6" t="str">
        <f>IF(OR($E84="",$F84=""),"",IF(_xlfn.SINGLE(JobState)="",IF(ROW()=2,HYPERLINK("#JobState","Set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84&amp;"%2C"&amp;$E84&amp;"&amp;marker="&amp;$F84&amp;","&amp;$E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4" s="6" t="str">
        <f>IF(OR($E84="", $F84=""),"",IF(_xlfn.SINGLE(JobAgolMap)="",HYPERLINK("https://fema.maps.arcgis.com/apps/mapviewer/index.html?find="&amp;$F84&amp;"%2C"&amp;$E84&amp;"&amp;marker="&amp;$F84&amp;","&amp;$E84&amp;",4326&amp;level=16","FEMA AGOL Map Viewer"),HYPERLINK(_xlfn.SINGLE(JobAgolMap)&amp;IF(ISNUMBER(FIND("?",_xlfn.SINGLE(JobAgolMap))),"&amp;","?")&amp;"center="&amp;$F84&amp;","&amp;$E84&amp;"&amp;level=16&amp;marker="&amp;$F84&amp;","&amp;$E84,"Open")))</f>
        <v/>
      </c>
      <c r="Q84" s="4"/>
      <c r="R84" s="4"/>
      <c r="W84" s="6" t="str">
        <f t="shared" si="6"/>
        <v/>
      </c>
      <c r="X84" s="6" t="str">
        <f t="shared" si="7"/>
        <v/>
      </c>
      <c r="Y84" s="6" t="str">
        <f t="shared" si="8"/>
        <v/>
      </c>
      <c r="Z84" s="6" t="str">
        <f t="shared" si="9"/>
        <v/>
      </c>
      <c r="AA84" s="6" t="str">
        <f t="shared" si="10"/>
        <v/>
      </c>
      <c r="AB84" s="6" t="str">
        <f t="shared" si="11"/>
        <v/>
      </c>
      <c r="AC84" s="4"/>
      <c r="AD84" s="4"/>
    </row>
    <row r="85" spans="1:30" x14ac:dyDescent="0.45">
      <c r="A85" s="3"/>
      <c r="B85" s="3"/>
      <c r="C85" s="5" t="str">
        <f>IF($E85="","",COUNT($E$2:$E85))</f>
        <v/>
      </c>
      <c r="D85" s="3"/>
      <c r="E85" s="3"/>
      <c r="F85" s="3"/>
      <c r="G85" s="3"/>
      <c r="H85" s="3"/>
      <c r="I85" s="3"/>
      <c r="J85" s="3"/>
      <c r="K85" s="3"/>
      <c r="L85" s="4"/>
      <c r="M85" s="6" t="str">
        <f>IF(OR($E85="",$F85=""),"",IF(_xlfn.SINGLE(JobState)="",IF(ROW()=2,HYPERLINK("#JobState","Set State →"),""),HYPERLINK(IF(OR(_xlfn.SINGLE(JobState)="MI",_xlfn.SINGLE(JobState)=""),"https://fema.maps.arcgis.com/apps/mapviewer/index.html?webmap=6a1702b9147243d1a5ee62cd614bc681&amp;center="&amp;$F85&amp;","&amp;$E85&amp;"&amp;level=16&amp;marker="&amp;$F85&amp;","&amp;$E85&amp;"",IF(_xlfn.SINGLE(JobState)="IN","https://fema.maps.arcgis.com/apps/mapviewer/index.html?url=https%3A%2F%2Fgis.indot.in.gov%2Fro%2Frest%2Fservices%2FRAH_GIO_Collaboration%2FLRSE_Functional_Class%2FFeatureServer%2F22&amp;find="&amp;$F85&amp;"%2C"&amp;$E85&amp;"&amp;marker="&amp;$F85&amp;","&amp;$E85&amp;",4326&amp;level=16",IF(_xlfn.SINGLE(JobState)="WI","https://fema.maps.arcgis.com/apps/mapviewer/index.html?url=https://services5.arcgis.com/0pgGLzT0Nh7FVjon/arcgis/rest/services/Functional_Class_Local_Non_Prod/FeatureServer/1&amp;find="&amp;$F85&amp;"%2C"&amp;$E85&amp;"&amp;marker="&amp;$F85&amp;","&amp;$E85&amp;",4326&amp;level=16",IF(_xlfn.SINGLE(JobState)="MN","https://fema.maps.arcgis.com/apps/mapviewer/index.html?url=https%3A%2F%2Fdotapp9.dot.state.mn.us%2Fegis12%2Frest%2Fservices%2FBASEMAP%2Fmndot_commonlayers2%2FMapServer%2F11&amp;find="&amp;$F85&amp;"%2C"&amp;$E85&amp;"&amp;marker="&amp;$F85&amp;","&amp;$E85&amp;",4326&amp;level=16",IF(_xlfn.SINGLE(JobState)="IL","https://fema.maps.arcgis.com/apps/mapviewer/index.html?url=https%3A%2F%2Fgis1.dot.illinois.gov%2Farcgis%2Frest%2Fservices%2FAdministrativeData%2FFunctionalClass%2FMapServer%2F0&amp;find="&amp;$F85&amp;"%2C"&amp;$E85&amp;"&amp;marker="&amp;$F85&amp;","&amp;$E85&amp;",4326&amp;level=16",IF(_xlfn.SINGLE(JobState)="OH","https://fema.maps.arcgis.com/apps/mapviewer/index.html?url=https%3A%2F%2Ftims.dot.state.oh.us%2Fags%2Frest%2Fservices%2FRoadway_Information%2FFunctional_Class%2FMapServer%2F0&amp;find="&amp;$F85&amp;"%2C"&amp;$E85&amp;"&amp;marker="&amp;$F85&amp;","&amp;$E85&amp;",4326&amp;level=16","https://fema.maps.arcgis.com/apps/mapviewer/index.html?find="&amp;$F85&amp;"%2C"&amp;$E85&amp;"&amp;marker="&amp;$F85&amp;","&amp;$E85&amp;",4326&amp;level=16")))))),IF(_xlfn.SINGLE(JobState)="WI","Review Local Roads Layer","Review NFC AGOL Layer"))))</f>
        <v/>
      </c>
      <c r="N85" s="6" t="str">
        <f>IF(OR($E85="",$F85=""),"",IF(_xlfn.SINGLE(JobState)="",IF(ROW()=2,HYPERLINK("#JobState","Set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85&amp;"%2C"&amp;$E85&amp;"&amp;marker="&amp;$F85&amp;","&amp;$E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5" s="6" t="str">
        <f>IF(OR($E85="", $F85=""),"",IF(_xlfn.SINGLE(JobAgolMap)="",HYPERLINK("https://fema.maps.arcgis.com/apps/mapviewer/index.html?find="&amp;$F85&amp;"%2C"&amp;$E85&amp;"&amp;marker="&amp;$F85&amp;","&amp;$E85&amp;",4326&amp;level=16","FEMA AGOL Map Viewer"),HYPERLINK(_xlfn.SINGLE(JobAgolMap)&amp;IF(ISNUMBER(FIND("?",_xlfn.SINGLE(JobAgolMap))),"&amp;","?")&amp;"center="&amp;$F85&amp;","&amp;$E85&amp;"&amp;level=16&amp;marker="&amp;$F85&amp;","&amp;$E85,"Open")))</f>
        <v/>
      </c>
      <c r="Q85" s="4"/>
      <c r="R85" s="4"/>
      <c r="W85" s="6" t="str">
        <f t="shared" si="6"/>
        <v/>
      </c>
      <c r="X85" s="6" t="str">
        <f t="shared" si="7"/>
        <v/>
      </c>
      <c r="Y85" s="6" t="str">
        <f t="shared" si="8"/>
        <v/>
      </c>
      <c r="Z85" s="6" t="str">
        <f t="shared" si="9"/>
        <v/>
      </c>
      <c r="AA85" s="6" t="str">
        <f t="shared" si="10"/>
        <v/>
      </c>
      <c r="AB85" s="6" t="str">
        <f t="shared" si="11"/>
        <v/>
      </c>
      <c r="AC85" s="4"/>
      <c r="AD85" s="4"/>
    </row>
    <row r="86" spans="1:30" x14ac:dyDescent="0.45">
      <c r="A86" s="3"/>
      <c r="B86" s="3"/>
      <c r="C86" s="5" t="str">
        <f>IF($E86="","",COUNT($E$2:$E86))</f>
        <v/>
      </c>
      <c r="D86" s="3"/>
      <c r="E86" s="3"/>
      <c r="F86" s="3"/>
      <c r="G86" s="3"/>
      <c r="H86" s="3"/>
      <c r="I86" s="3"/>
      <c r="J86" s="3"/>
      <c r="K86" s="3"/>
      <c r="L86" s="4"/>
      <c r="M86" s="6" t="str">
        <f>IF(OR($E86="",$F86=""),"",IF(_xlfn.SINGLE(JobState)="",IF(ROW()=2,HYPERLINK("#JobState","Set State →"),""),HYPERLINK(IF(OR(_xlfn.SINGLE(JobState)="MI",_xlfn.SINGLE(JobState)=""),"https://fema.maps.arcgis.com/apps/mapviewer/index.html?webmap=6a1702b9147243d1a5ee62cd614bc681&amp;center="&amp;$F86&amp;","&amp;$E86&amp;"&amp;level=16&amp;marker="&amp;$F86&amp;","&amp;$E86&amp;"",IF(_xlfn.SINGLE(JobState)="IN","https://fema.maps.arcgis.com/apps/mapviewer/index.html?url=https%3A%2F%2Fgis.indot.in.gov%2Fro%2Frest%2Fservices%2FRAH_GIO_Collaboration%2FLRSE_Functional_Class%2FFeatureServer%2F22&amp;find="&amp;$F86&amp;"%2C"&amp;$E86&amp;"&amp;marker="&amp;$F86&amp;","&amp;$E86&amp;",4326&amp;level=16",IF(_xlfn.SINGLE(JobState)="WI","https://fema.maps.arcgis.com/apps/mapviewer/index.html?url=https://services5.arcgis.com/0pgGLzT0Nh7FVjon/arcgis/rest/services/Functional_Class_Local_Non_Prod/FeatureServer/1&amp;find="&amp;$F86&amp;"%2C"&amp;$E86&amp;"&amp;marker="&amp;$F86&amp;","&amp;$E86&amp;",4326&amp;level=16",IF(_xlfn.SINGLE(JobState)="MN","https://fema.maps.arcgis.com/apps/mapviewer/index.html?url=https%3A%2F%2Fdotapp9.dot.state.mn.us%2Fegis12%2Frest%2Fservices%2FBASEMAP%2Fmndot_commonlayers2%2FMapServer%2F11&amp;find="&amp;$F86&amp;"%2C"&amp;$E86&amp;"&amp;marker="&amp;$F86&amp;","&amp;$E86&amp;",4326&amp;level=16",IF(_xlfn.SINGLE(JobState)="IL","https://fema.maps.arcgis.com/apps/mapviewer/index.html?url=https%3A%2F%2Fgis1.dot.illinois.gov%2Farcgis%2Frest%2Fservices%2FAdministrativeData%2FFunctionalClass%2FMapServer%2F0&amp;find="&amp;$F86&amp;"%2C"&amp;$E86&amp;"&amp;marker="&amp;$F86&amp;","&amp;$E86&amp;",4326&amp;level=16",IF(_xlfn.SINGLE(JobState)="OH","https://fema.maps.arcgis.com/apps/mapviewer/index.html?url=https%3A%2F%2Ftims.dot.state.oh.us%2Fags%2Frest%2Fservices%2FRoadway_Information%2FFunctional_Class%2FMapServer%2F0&amp;find="&amp;$F86&amp;"%2C"&amp;$E86&amp;"&amp;marker="&amp;$F86&amp;","&amp;$E86&amp;",4326&amp;level=16","https://fema.maps.arcgis.com/apps/mapviewer/index.html?find="&amp;$F86&amp;"%2C"&amp;$E86&amp;"&amp;marker="&amp;$F86&amp;","&amp;$E86&amp;",4326&amp;level=16")))))),IF(_xlfn.SINGLE(JobState)="WI","Review Local Roads Layer","Review NFC AGOL Layer"))))</f>
        <v/>
      </c>
      <c r="N86" s="6" t="str">
        <f>IF(OR($E86="",$F86=""),"",IF(_xlfn.SINGLE(JobState)="",IF(ROW()=2,HYPERLINK("#JobState","Set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86&amp;"%2C"&amp;$E86&amp;"&amp;marker="&amp;$F86&amp;","&amp;$E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6" s="6" t="str">
        <f>IF(OR($E86="", $F86=""),"",IF(_xlfn.SINGLE(JobAgolMap)="",HYPERLINK("https://fema.maps.arcgis.com/apps/mapviewer/index.html?find="&amp;$F86&amp;"%2C"&amp;$E86&amp;"&amp;marker="&amp;$F86&amp;","&amp;$E86&amp;",4326&amp;level=16","FEMA AGOL Map Viewer"),HYPERLINK(_xlfn.SINGLE(JobAgolMap)&amp;IF(ISNUMBER(FIND("?",_xlfn.SINGLE(JobAgolMap))),"&amp;","?")&amp;"center="&amp;$F86&amp;","&amp;$E86&amp;"&amp;level=16&amp;marker="&amp;$F86&amp;","&amp;$E86,"Open")))</f>
        <v/>
      </c>
      <c r="Q86" s="4"/>
      <c r="R86" s="4"/>
      <c r="W86" s="6" t="str">
        <f t="shared" si="6"/>
        <v/>
      </c>
      <c r="X86" s="6" t="str">
        <f t="shared" si="7"/>
        <v/>
      </c>
      <c r="Y86" s="6" t="str">
        <f t="shared" si="8"/>
        <v/>
      </c>
      <c r="Z86" s="6" t="str">
        <f t="shared" si="9"/>
        <v/>
      </c>
      <c r="AA86" s="6" t="str">
        <f t="shared" si="10"/>
        <v/>
      </c>
      <c r="AB86" s="6" t="str">
        <f t="shared" si="11"/>
        <v/>
      </c>
      <c r="AC86" s="4"/>
      <c r="AD86" s="4"/>
    </row>
    <row r="87" spans="1:30" x14ac:dyDescent="0.45">
      <c r="A87" s="3"/>
      <c r="B87" s="3"/>
      <c r="C87" s="5" t="str">
        <f>IF($E87="","",COUNT($E$2:$E87))</f>
        <v/>
      </c>
      <c r="D87" s="3"/>
      <c r="E87" s="3"/>
      <c r="F87" s="3"/>
      <c r="G87" s="3"/>
      <c r="H87" s="3"/>
      <c r="I87" s="3"/>
      <c r="J87" s="3"/>
      <c r="K87" s="3"/>
      <c r="L87" s="4"/>
      <c r="M87" s="6" t="str">
        <f>IF(OR($E87="",$F87=""),"",IF(_xlfn.SINGLE(JobState)="",IF(ROW()=2,HYPERLINK("#JobState","Set State →"),""),HYPERLINK(IF(OR(_xlfn.SINGLE(JobState)="MI",_xlfn.SINGLE(JobState)=""),"https://fema.maps.arcgis.com/apps/mapviewer/index.html?webmap=6a1702b9147243d1a5ee62cd614bc681&amp;center="&amp;$F87&amp;","&amp;$E87&amp;"&amp;level=16&amp;marker="&amp;$F87&amp;","&amp;$E87&amp;"",IF(_xlfn.SINGLE(JobState)="IN","https://fema.maps.arcgis.com/apps/mapviewer/index.html?url=https%3A%2F%2Fgis.indot.in.gov%2Fro%2Frest%2Fservices%2FRAH_GIO_Collaboration%2FLRSE_Functional_Class%2FFeatureServer%2F22&amp;find="&amp;$F87&amp;"%2C"&amp;$E87&amp;"&amp;marker="&amp;$F87&amp;","&amp;$E87&amp;",4326&amp;level=16",IF(_xlfn.SINGLE(JobState)="WI","https://fema.maps.arcgis.com/apps/mapviewer/index.html?url=https://services5.arcgis.com/0pgGLzT0Nh7FVjon/arcgis/rest/services/Functional_Class_Local_Non_Prod/FeatureServer/1&amp;find="&amp;$F87&amp;"%2C"&amp;$E87&amp;"&amp;marker="&amp;$F87&amp;","&amp;$E87&amp;",4326&amp;level=16",IF(_xlfn.SINGLE(JobState)="MN","https://fema.maps.arcgis.com/apps/mapviewer/index.html?url=https%3A%2F%2Fdotapp9.dot.state.mn.us%2Fegis12%2Frest%2Fservices%2FBASEMAP%2Fmndot_commonlayers2%2FMapServer%2F11&amp;find="&amp;$F87&amp;"%2C"&amp;$E87&amp;"&amp;marker="&amp;$F87&amp;","&amp;$E87&amp;",4326&amp;level=16",IF(_xlfn.SINGLE(JobState)="IL","https://fema.maps.arcgis.com/apps/mapviewer/index.html?url=https%3A%2F%2Fgis1.dot.illinois.gov%2Farcgis%2Frest%2Fservices%2FAdministrativeData%2FFunctionalClass%2FMapServer%2F0&amp;find="&amp;$F87&amp;"%2C"&amp;$E87&amp;"&amp;marker="&amp;$F87&amp;","&amp;$E87&amp;",4326&amp;level=16",IF(_xlfn.SINGLE(JobState)="OH","https://fema.maps.arcgis.com/apps/mapviewer/index.html?url=https%3A%2F%2Ftims.dot.state.oh.us%2Fags%2Frest%2Fservices%2FRoadway_Information%2FFunctional_Class%2FMapServer%2F0&amp;find="&amp;$F87&amp;"%2C"&amp;$E87&amp;"&amp;marker="&amp;$F87&amp;","&amp;$E87&amp;",4326&amp;level=16","https://fema.maps.arcgis.com/apps/mapviewer/index.html?find="&amp;$F87&amp;"%2C"&amp;$E87&amp;"&amp;marker="&amp;$F87&amp;","&amp;$E87&amp;",4326&amp;level=16")))))),IF(_xlfn.SINGLE(JobState)="WI","Review Local Roads Layer","Review NFC AGOL Layer"))))</f>
        <v/>
      </c>
      <c r="N87" s="6" t="str">
        <f>IF(OR($E87="",$F87=""),"",IF(_xlfn.SINGLE(JobState)="",IF(ROW()=2,HYPERLINK("#JobState","Set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87&amp;"%2C"&amp;$E87&amp;"&amp;marker="&amp;$F87&amp;","&amp;$E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7" s="6" t="str">
        <f>IF(OR($E87="", $F87=""),"",IF(_xlfn.SINGLE(JobAgolMap)="",HYPERLINK("https://fema.maps.arcgis.com/apps/mapviewer/index.html?find="&amp;$F87&amp;"%2C"&amp;$E87&amp;"&amp;marker="&amp;$F87&amp;","&amp;$E87&amp;",4326&amp;level=16","FEMA AGOL Map Viewer"),HYPERLINK(_xlfn.SINGLE(JobAgolMap)&amp;IF(ISNUMBER(FIND("?",_xlfn.SINGLE(JobAgolMap))),"&amp;","?")&amp;"center="&amp;$F87&amp;","&amp;$E87&amp;"&amp;level=16&amp;marker="&amp;$F87&amp;","&amp;$E87,"Open")))</f>
        <v/>
      </c>
      <c r="Q87" s="4"/>
      <c r="R87" s="4"/>
      <c r="W87" s="6" t="str">
        <f t="shared" si="6"/>
        <v/>
      </c>
      <c r="X87" s="6" t="str">
        <f t="shared" si="7"/>
        <v/>
      </c>
      <c r="Y87" s="6" t="str">
        <f t="shared" si="8"/>
        <v/>
      </c>
      <c r="Z87" s="6" t="str">
        <f t="shared" si="9"/>
        <v/>
      </c>
      <c r="AA87" s="6" t="str">
        <f t="shared" si="10"/>
        <v/>
      </c>
      <c r="AB87" s="6" t="str">
        <f t="shared" si="11"/>
        <v/>
      </c>
      <c r="AC87" s="4"/>
      <c r="AD87" s="4"/>
    </row>
    <row r="88" spans="1:30" x14ac:dyDescent="0.45">
      <c r="A88" s="3"/>
      <c r="B88" s="3"/>
      <c r="C88" s="5" t="str">
        <f>IF($E88="","",COUNT($E$2:$E88))</f>
        <v/>
      </c>
      <c r="D88" s="3"/>
      <c r="E88" s="3"/>
      <c r="F88" s="3"/>
      <c r="G88" s="3"/>
      <c r="H88" s="3"/>
      <c r="I88" s="3"/>
      <c r="J88" s="3"/>
      <c r="K88" s="3"/>
      <c r="L88" s="4"/>
      <c r="M88" s="6" t="str">
        <f>IF(OR($E88="",$F88=""),"",IF(_xlfn.SINGLE(JobState)="",IF(ROW()=2,HYPERLINK("#JobState","Set State →"),""),HYPERLINK(IF(OR(_xlfn.SINGLE(JobState)="MI",_xlfn.SINGLE(JobState)=""),"https://fema.maps.arcgis.com/apps/mapviewer/index.html?webmap=6a1702b9147243d1a5ee62cd614bc681&amp;center="&amp;$F88&amp;","&amp;$E88&amp;"&amp;level=16&amp;marker="&amp;$F88&amp;","&amp;$E88&amp;"",IF(_xlfn.SINGLE(JobState)="IN","https://fema.maps.arcgis.com/apps/mapviewer/index.html?url=https%3A%2F%2Fgis.indot.in.gov%2Fro%2Frest%2Fservices%2FRAH_GIO_Collaboration%2FLRSE_Functional_Class%2FFeatureServer%2F22&amp;find="&amp;$F88&amp;"%2C"&amp;$E88&amp;"&amp;marker="&amp;$F88&amp;","&amp;$E88&amp;",4326&amp;level=16",IF(_xlfn.SINGLE(JobState)="WI","https://fema.maps.arcgis.com/apps/mapviewer/index.html?url=https://services5.arcgis.com/0pgGLzT0Nh7FVjon/arcgis/rest/services/Functional_Class_Local_Non_Prod/FeatureServer/1&amp;find="&amp;$F88&amp;"%2C"&amp;$E88&amp;"&amp;marker="&amp;$F88&amp;","&amp;$E88&amp;",4326&amp;level=16",IF(_xlfn.SINGLE(JobState)="MN","https://fema.maps.arcgis.com/apps/mapviewer/index.html?url=https%3A%2F%2Fdotapp9.dot.state.mn.us%2Fegis12%2Frest%2Fservices%2FBASEMAP%2Fmndot_commonlayers2%2FMapServer%2F11&amp;find="&amp;$F88&amp;"%2C"&amp;$E88&amp;"&amp;marker="&amp;$F88&amp;","&amp;$E88&amp;",4326&amp;level=16",IF(_xlfn.SINGLE(JobState)="IL","https://fema.maps.arcgis.com/apps/mapviewer/index.html?url=https%3A%2F%2Fgis1.dot.illinois.gov%2Farcgis%2Frest%2Fservices%2FAdministrativeData%2FFunctionalClass%2FMapServer%2F0&amp;find="&amp;$F88&amp;"%2C"&amp;$E88&amp;"&amp;marker="&amp;$F88&amp;","&amp;$E88&amp;",4326&amp;level=16",IF(_xlfn.SINGLE(JobState)="OH","https://fema.maps.arcgis.com/apps/mapviewer/index.html?url=https%3A%2F%2Ftims.dot.state.oh.us%2Fags%2Frest%2Fservices%2FRoadway_Information%2FFunctional_Class%2FMapServer%2F0&amp;find="&amp;$F88&amp;"%2C"&amp;$E88&amp;"&amp;marker="&amp;$F88&amp;","&amp;$E88&amp;",4326&amp;level=16","https://fema.maps.arcgis.com/apps/mapviewer/index.html?find="&amp;$F88&amp;"%2C"&amp;$E88&amp;"&amp;marker="&amp;$F88&amp;","&amp;$E88&amp;",4326&amp;level=16")))))),IF(_xlfn.SINGLE(JobState)="WI","Review Local Roads Layer","Review NFC AGOL Layer"))))</f>
        <v/>
      </c>
      <c r="N88" s="6" t="str">
        <f>IF(OR($E88="",$F88=""),"",IF(_xlfn.SINGLE(JobState)="",IF(ROW()=2,HYPERLINK("#JobState","Set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88&amp;"%2C"&amp;$E88&amp;"&amp;marker="&amp;$F88&amp;","&amp;$E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8" s="6" t="str">
        <f>IF(OR($E88="", $F88=""),"",IF(_xlfn.SINGLE(JobAgolMap)="",HYPERLINK("https://fema.maps.arcgis.com/apps/mapviewer/index.html?find="&amp;$F88&amp;"%2C"&amp;$E88&amp;"&amp;marker="&amp;$F88&amp;","&amp;$E88&amp;",4326&amp;level=16","FEMA AGOL Map Viewer"),HYPERLINK(_xlfn.SINGLE(JobAgolMap)&amp;IF(ISNUMBER(FIND("?",_xlfn.SINGLE(JobAgolMap))),"&amp;","?")&amp;"center="&amp;$F88&amp;","&amp;$E88&amp;"&amp;level=16&amp;marker="&amp;$F88&amp;","&amp;$E88,"Open")))</f>
        <v/>
      </c>
      <c r="Q88" s="4"/>
      <c r="R88" s="4"/>
      <c r="W88" s="6" t="str">
        <f t="shared" si="6"/>
        <v/>
      </c>
      <c r="X88" s="6" t="str">
        <f t="shared" si="7"/>
        <v/>
      </c>
      <c r="Y88" s="6" t="str">
        <f t="shared" si="8"/>
        <v/>
      </c>
      <c r="Z88" s="6" t="str">
        <f t="shared" si="9"/>
        <v/>
      </c>
      <c r="AA88" s="6" t="str">
        <f t="shared" si="10"/>
        <v/>
      </c>
      <c r="AB88" s="6" t="str">
        <f t="shared" si="11"/>
        <v/>
      </c>
      <c r="AC88" s="4"/>
      <c r="AD88" s="4"/>
    </row>
    <row r="89" spans="1:30" x14ac:dyDescent="0.45">
      <c r="A89" s="3"/>
      <c r="B89" s="3"/>
      <c r="C89" s="5" t="str">
        <f>IF($E89="","",COUNT($E$2:$E89))</f>
        <v/>
      </c>
      <c r="D89" s="3"/>
      <c r="E89" s="3"/>
      <c r="F89" s="3"/>
      <c r="G89" s="3"/>
      <c r="H89" s="3"/>
      <c r="I89" s="3"/>
      <c r="J89" s="3"/>
      <c r="K89" s="3"/>
      <c r="L89" s="4"/>
      <c r="M89" s="6" t="str">
        <f>IF(OR($E89="",$F89=""),"",IF(_xlfn.SINGLE(JobState)="",IF(ROW()=2,HYPERLINK("#JobState","Set State →"),""),HYPERLINK(IF(OR(_xlfn.SINGLE(JobState)="MI",_xlfn.SINGLE(JobState)=""),"https://fema.maps.arcgis.com/apps/mapviewer/index.html?webmap=6a1702b9147243d1a5ee62cd614bc681&amp;center="&amp;$F89&amp;","&amp;$E89&amp;"&amp;level=16&amp;marker="&amp;$F89&amp;","&amp;$E89&amp;"",IF(_xlfn.SINGLE(JobState)="IN","https://fema.maps.arcgis.com/apps/mapviewer/index.html?url=https%3A%2F%2Fgis.indot.in.gov%2Fro%2Frest%2Fservices%2FRAH_GIO_Collaboration%2FLRSE_Functional_Class%2FFeatureServer%2F22&amp;find="&amp;$F89&amp;"%2C"&amp;$E89&amp;"&amp;marker="&amp;$F89&amp;","&amp;$E89&amp;",4326&amp;level=16",IF(_xlfn.SINGLE(JobState)="WI","https://fema.maps.arcgis.com/apps/mapviewer/index.html?url=https://services5.arcgis.com/0pgGLzT0Nh7FVjon/arcgis/rest/services/Functional_Class_Local_Non_Prod/FeatureServer/1&amp;find="&amp;$F89&amp;"%2C"&amp;$E89&amp;"&amp;marker="&amp;$F89&amp;","&amp;$E89&amp;",4326&amp;level=16",IF(_xlfn.SINGLE(JobState)="MN","https://fema.maps.arcgis.com/apps/mapviewer/index.html?url=https%3A%2F%2Fdotapp9.dot.state.mn.us%2Fegis12%2Frest%2Fservices%2FBASEMAP%2Fmndot_commonlayers2%2FMapServer%2F11&amp;find="&amp;$F89&amp;"%2C"&amp;$E89&amp;"&amp;marker="&amp;$F89&amp;","&amp;$E89&amp;",4326&amp;level=16",IF(_xlfn.SINGLE(JobState)="IL","https://fema.maps.arcgis.com/apps/mapviewer/index.html?url=https%3A%2F%2Fgis1.dot.illinois.gov%2Farcgis%2Frest%2Fservices%2FAdministrativeData%2FFunctionalClass%2FMapServer%2F0&amp;find="&amp;$F89&amp;"%2C"&amp;$E89&amp;"&amp;marker="&amp;$F89&amp;","&amp;$E89&amp;",4326&amp;level=16",IF(_xlfn.SINGLE(JobState)="OH","https://fema.maps.arcgis.com/apps/mapviewer/index.html?url=https%3A%2F%2Ftims.dot.state.oh.us%2Fags%2Frest%2Fservices%2FRoadway_Information%2FFunctional_Class%2FMapServer%2F0&amp;find="&amp;$F89&amp;"%2C"&amp;$E89&amp;"&amp;marker="&amp;$F89&amp;","&amp;$E89&amp;",4326&amp;level=16","https://fema.maps.arcgis.com/apps/mapviewer/index.html?find="&amp;$F89&amp;"%2C"&amp;$E89&amp;"&amp;marker="&amp;$F89&amp;","&amp;$E89&amp;",4326&amp;level=16")))))),IF(_xlfn.SINGLE(JobState)="WI","Review Local Roads Layer","Review NFC AGOL Layer"))))</f>
        <v/>
      </c>
      <c r="N89" s="6" t="str">
        <f>IF(OR($E89="",$F89=""),"",IF(_xlfn.SINGLE(JobState)="",IF(ROW()=2,HYPERLINK("#JobState","Set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89&amp;"%2C"&amp;$E89&amp;"&amp;marker="&amp;$F89&amp;","&amp;$E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9" s="6" t="str">
        <f>IF(OR($E89="", $F89=""),"",IF(_xlfn.SINGLE(JobAgolMap)="",HYPERLINK("https://fema.maps.arcgis.com/apps/mapviewer/index.html?find="&amp;$F89&amp;"%2C"&amp;$E89&amp;"&amp;marker="&amp;$F89&amp;","&amp;$E89&amp;",4326&amp;level=16","FEMA AGOL Map Viewer"),HYPERLINK(_xlfn.SINGLE(JobAgolMap)&amp;IF(ISNUMBER(FIND("?",_xlfn.SINGLE(JobAgolMap))),"&amp;","?")&amp;"center="&amp;$F89&amp;","&amp;$E89&amp;"&amp;level=16&amp;marker="&amp;$F89&amp;","&amp;$E89,"Open")))</f>
        <v/>
      </c>
      <c r="Q89" s="4"/>
      <c r="R89" s="4"/>
      <c r="W89" s="6" t="str">
        <f t="shared" si="6"/>
        <v/>
      </c>
      <c r="X89" s="6" t="str">
        <f t="shared" si="7"/>
        <v/>
      </c>
      <c r="Y89" s="6" t="str">
        <f t="shared" si="8"/>
        <v/>
      </c>
      <c r="Z89" s="6" t="str">
        <f t="shared" si="9"/>
        <v/>
      </c>
      <c r="AA89" s="6" t="str">
        <f t="shared" si="10"/>
        <v/>
      </c>
      <c r="AB89" s="6" t="str">
        <f t="shared" si="11"/>
        <v/>
      </c>
      <c r="AC89" s="4"/>
      <c r="AD89" s="4"/>
    </row>
    <row r="90" spans="1:30" x14ac:dyDescent="0.45">
      <c r="A90" s="3"/>
      <c r="B90" s="3"/>
      <c r="C90" s="5" t="str">
        <f>IF($E90="","",COUNT($E$2:$E90))</f>
        <v/>
      </c>
      <c r="D90" s="3"/>
      <c r="E90" s="3"/>
      <c r="F90" s="3"/>
      <c r="G90" s="3"/>
      <c r="H90" s="3"/>
      <c r="I90" s="3"/>
      <c r="J90" s="3"/>
      <c r="K90" s="3"/>
      <c r="L90" s="4"/>
      <c r="M90" s="6" t="str">
        <f>IF(OR($E90="",$F90=""),"",IF(_xlfn.SINGLE(JobState)="",IF(ROW()=2,HYPERLINK("#JobState","Set State →"),""),HYPERLINK(IF(OR(_xlfn.SINGLE(JobState)="MI",_xlfn.SINGLE(JobState)=""),"https://fema.maps.arcgis.com/apps/mapviewer/index.html?webmap=6a1702b9147243d1a5ee62cd614bc681&amp;center="&amp;$F90&amp;","&amp;$E90&amp;"&amp;level=16&amp;marker="&amp;$F90&amp;","&amp;$E90&amp;"",IF(_xlfn.SINGLE(JobState)="IN","https://fema.maps.arcgis.com/apps/mapviewer/index.html?url=https%3A%2F%2Fgis.indot.in.gov%2Fro%2Frest%2Fservices%2FRAH_GIO_Collaboration%2FLRSE_Functional_Class%2FFeatureServer%2F22&amp;find="&amp;$F90&amp;"%2C"&amp;$E90&amp;"&amp;marker="&amp;$F90&amp;","&amp;$E90&amp;",4326&amp;level=16",IF(_xlfn.SINGLE(JobState)="WI","https://fema.maps.arcgis.com/apps/mapviewer/index.html?url=https://services5.arcgis.com/0pgGLzT0Nh7FVjon/arcgis/rest/services/Functional_Class_Local_Non_Prod/FeatureServer/1&amp;find="&amp;$F90&amp;"%2C"&amp;$E90&amp;"&amp;marker="&amp;$F90&amp;","&amp;$E90&amp;",4326&amp;level=16",IF(_xlfn.SINGLE(JobState)="MN","https://fema.maps.arcgis.com/apps/mapviewer/index.html?url=https%3A%2F%2Fdotapp9.dot.state.mn.us%2Fegis12%2Frest%2Fservices%2FBASEMAP%2Fmndot_commonlayers2%2FMapServer%2F11&amp;find="&amp;$F90&amp;"%2C"&amp;$E90&amp;"&amp;marker="&amp;$F90&amp;","&amp;$E90&amp;",4326&amp;level=16",IF(_xlfn.SINGLE(JobState)="IL","https://fema.maps.arcgis.com/apps/mapviewer/index.html?url=https%3A%2F%2Fgis1.dot.illinois.gov%2Farcgis%2Frest%2Fservices%2FAdministrativeData%2FFunctionalClass%2FMapServer%2F0&amp;find="&amp;$F90&amp;"%2C"&amp;$E90&amp;"&amp;marker="&amp;$F90&amp;","&amp;$E90&amp;",4326&amp;level=16",IF(_xlfn.SINGLE(JobState)="OH","https://fema.maps.arcgis.com/apps/mapviewer/index.html?url=https%3A%2F%2Ftims.dot.state.oh.us%2Fags%2Frest%2Fservices%2FRoadway_Information%2FFunctional_Class%2FMapServer%2F0&amp;find="&amp;$F90&amp;"%2C"&amp;$E90&amp;"&amp;marker="&amp;$F90&amp;","&amp;$E90&amp;",4326&amp;level=16","https://fema.maps.arcgis.com/apps/mapviewer/index.html?find="&amp;$F90&amp;"%2C"&amp;$E90&amp;"&amp;marker="&amp;$F90&amp;","&amp;$E90&amp;",4326&amp;level=16")))))),IF(_xlfn.SINGLE(JobState)="WI","Review Local Roads Layer","Review NFC AGOL Layer"))))</f>
        <v/>
      </c>
      <c r="N90" s="6" t="str">
        <f>IF(OR($E90="",$F90=""),"",IF(_xlfn.SINGLE(JobState)="",IF(ROW()=2,HYPERLINK("#JobState","Set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90&amp;"%2C"&amp;$E90&amp;"&amp;marker="&amp;$F90&amp;","&amp;$E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0" s="6" t="str">
        <f>IF(OR($E90="", $F90=""),"",IF(_xlfn.SINGLE(JobAgolMap)="",HYPERLINK("https://fema.maps.arcgis.com/apps/mapviewer/index.html?find="&amp;$F90&amp;"%2C"&amp;$E90&amp;"&amp;marker="&amp;$F90&amp;","&amp;$E90&amp;",4326&amp;level=16","FEMA AGOL Map Viewer"),HYPERLINK(_xlfn.SINGLE(JobAgolMap)&amp;IF(ISNUMBER(FIND("?",_xlfn.SINGLE(JobAgolMap))),"&amp;","?")&amp;"center="&amp;$F90&amp;","&amp;$E90&amp;"&amp;level=16&amp;marker="&amp;$F90&amp;","&amp;$E90,"Open")))</f>
        <v/>
      </c>
      <c r="Q90" s="4"/>
      <c r="R90" s="4"/>
      <c r="W90" s="6" t="str">
        <f t="shared" si="6"/>
        <v/>
      </c>
      <c r="X90" s="6" t="str">
        <f t="shared" si="7"/>
        <v/>
      </c>
      <c r="Y90" s="6" t="str">
        <f t="shared" si="8"/>
        <v/>
      </c>
      <c r="Z90" s="6" t="str">
        <f t="shared" si="9"/>
        <v/>
      </c>
      <c r="AA90" s="6" t="str">
        <f t="shared" si="10"/>
        <v/>
      </c>
      <c r="AB90" s="6" t="str">
        <f t="shared" si="11"/>
        <v/>
      </c>
      <c r="AC90" s="4"/>
      <c r="AD90" s="4"/>
    </row>
    <row r="91" spans="1:30" x14ac:dyDescent="0.45">
      <c r="A91" s="3"/>
      <c r="B91" s="3"/>
      <c r="C91" s="5" t="str">
        <f>IF($E91="","",COUNT($E$2:$E91))</f>
        <v/>
      </c>
      <c r="D91" s="3"/>
      <c r="E91" s="3"/>
      <c r="F91" s="3"/>
      <c r="G91" s="3"/>
      <c r="H91" s="3"/>
      <c r="I91" s="3"/>
      <c r="J91" s="3"/>
      <c r="K91" s="3"/>
      <c r="L91" s="4"/>
      <c r="M91" s="6" t="str">
        <f>IF(OR($E91="",$F91=""),"",IF(_xlfn.SINGLE(JobState)="",IF(ROW()=2,HYPERLINK("#JobState","Set State →"),""),HYPERLINK(IF(OR(_xlfn.SINGLE(JobState)="MI",_xlfn.SINGLE(JobState)=""),"https://fema.maps.arcgis.com/apps/mapviewer/index.html?webmap=6a1702b9147243d1a5ee62cd614bc681&amp;center="&amp;$F91&amp;","&amp;$E91&amp;"&amp;level=16&amp;marker="&amp;$F91&amp;","&amp;$E91&amp;"",IF(_xlfn.SINGLE(JobState)="IN","https://fema.maps.arcgis.com/apps/mapviewer/index.html?url=https%3A%2F%2Fgis.indot.in.gov%2Fro%2Frest%2Fservices%2FRAH_GIO_Collaboration%2FLRSE_Functional_Class%2FFeatureServer%2F22&amp;find="&amp;$F91&amp;"%2C"&amp;$E91&amp;"&amp;marker="&amp;$F91&amp;","&amp;$E91&amp;",4326&amp;level=16",IF(_xlfn.SINGLE(JobState)="WI","https://fema.maps.arcgis.com/apps/mapviewer/index.html?url=https://services5.arcgis.com/0pgGLzT0Nh7FVjon/arcgis/rest/services/Functional_Class_Local_Non_Prod/FeatureServer/1&amp;find="&amp;$F91&amp;"%2C"&amp;$E91&amp;"&amp;marker="&amp;$F91&amp;","&amp;$E91&amp;",4326&amp;level=16",IF(_xlfn.SINGLE(JobState)="MN","https://fema.maps.arcgis.com/apps/mapviewer/index.html?url=https%3A%2F%2Fdotapp9.dot.state.mn.us%2Fegis12%2Frest%2Fservices%2FBASEMAP%2Fmndot_commonlayers2%2FMapServer%2F11&amp;find="&amp;$F91&amp;"%2C"&amp;$E91&amp;"&amp;marker="&amp;$F91&amp;","&amp;$E91&amp;",4326&amp;level=16",IF(_xlfn.SINGLE(JobState)="IL","https://fema.maps.arcgis.com/apps/mapviewer/index.html?url=https%3A%2F%2Fgis1.dot.illinois.gov%2Farcgis%2Frest%2Fservices%2FAdministrativeData%2FFunctionalClass%2FMapServer%2F0&amp;find="&amp;$F91&amp;"%2C"&amp;$E91&amp;"&amp;marker="&amp;$F91&amp;","&amp;$E91&amp;",4326&amp;level=16",IF(_xlfn.SINGLE(JobState)="OH","https://fema.maps.arcgis.com/apps/mapviewer/index.html?url=https%3A%2F%2Ftims.dot.state.oh.us%2Fags%2Frest%2Fservices%2FRoadway_Information%2FFunctional_Class%2FMapServer%2F0&amp;find="&amp;$F91&amp;"%2C"&amp;$E91&amp;"&amp;marker="&amp;$F91&amp;","&amp;$E91&amp;",4326&amp;level=16","https://fema.maps.arcgis.com/apps/mapviewer/index.html?find="&amp;$F91&amp;"%2C"&amp;$E91&amp;"&amp;marker="&amp;$F91&amp;","&amp;$E91&amp;",4326&amp;level=16")))))),IF(_xlfn.SINGLE(JobState)="WI","Review Local Roads Layer","Review NFC AGOL Layer"))))</f>
        <v/>
      </c>
      <c r="N91" s="6" t="str">
        <f>IF(OR($E91="",$F91=""),"",IF(_xlfn.SINGLE(JobState)="",IF(ROW()=2,HYPERLINK("#JobState","Set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91&amp;"%2C"&amp;$E91&amp;"&amp;marker="&amp;$F91&amp;","&amp;$E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1" s="6" t="str">
        <f>IF(OR($E91="", $F91=""),"",IF(_xlfn.SINGLE(JobAgolMap)="",HYPERLINK("https://fema.maps.arcgis.com/apps/mapviewer/index.html?find="&amp;$F91&amp;"%2C"&amp;$E91&amp;"&amp;marker="&amp;$F91&amp;","&amp;$E91&amp;",4326&amp;level=16","FEMA AGOL Map Viewer"),HYPERLINK(_xlfn.SINGLE(JobAgolMap)&amp;IF(ISNUMBER(FIND("?",_xlfn.SINGLE(JobAgolMap))),"&amp;","?")&amp;"center="&amp;$F91&amp;","&amp;$E91&amp;"&amp;level=16&amp;marker="&amp;$F91&amp;","&amp;$E91,"Open")))</f>
        <v/>
      </c>
      <c r="Q91" s="4"/>
      <c r="R91" s="4"/>
      <c r="W91" s="6" t="str">
        <f t="shared" si="6"/>
        <v/>
      </c>
      <c r="X91" s="6" t="str">
        <f t="shared" si="7"/>
        <v/>
      </c>
      <c r="Y91" s="6" t="str">
        <f t="shared" si="8"/>
        <v/>
      </c>
      <c r="Z91" s="6" t="str">
        <f t="shared" si="9"/>
        <v/>
      </c>
      <c r="AA91" s="6" t="str">
        <f t="shared" si="10"/>
        <v/>
      </c>
      <c r="AB91" s="6" t="str">
        <f t="shared" si="11"/>
        <v/>
      </c>
      <c r="AC91" s="4"/>
      <c r="AD91" s="4"/>
    </row>
    <row r="92" spans="1:30" x14ac:dyDescent="0.45">
      <c r="A92" s="3"/>
      <c r="B92" s="3"/>
      <c r="C92" s="5" t="str">
        <f>IF($E92="","",COUNT($E$2:$E92))</f>
        <v/>
      </c>
      <c r="D92" s="3"/>
      <c r="E92" s="3"/>
      <c r="F92" s="3"/>
      <c r="G92" s="3"/>
      <c r="H92" s="3"/>
      <c r="I92" s="3"/>
      <c r="J92" s="3"/>
      <c r="K92" s="3"/>
      <c r="L92" s="4"/>
      <c r="M92" s="6" t="str">
        <f>IF(OR($E92="",$F92=""),"",IF(_xlfn.SINGLE(JobState)="",IF(ROW()=2,HYPERLINK("#JobState","Set State →"),""),HYPERLINK(IF(OR(_xlfn.SINGLE(JobState)="MI",_xlfn.SINGLE(JobState)=""),"https://fema.maps.arcgis.com/apps/mapviewer/index.html?webmap=6a1702b9147243d1a5ee62cd614bc681&amp;center="&amp;$F92&amp;","&amp;$E92&amp;"&amp;level=16&amp;marker="&amp;$F92&amp;","&amp;$E92&amp;"",IF(_xlfn.SINGLE(JobState)="IN","https://fema.maps.arcgis.com/apps/mapviewer/index.html?url=https%3A%2F%2Fgis.indot.in.gov%2Fro%2Frest%2Fservices%2FRAH_GIO_Collaboration%2FLRSE_Functional_Class%2FFeatureServer%2F22&amp;find="&amp;$F92&amp;"%2C"&amp;$E92&amp;"&amp;marker="&amp;$F92&amp;","&amp;$E92&amp;",4326&amp;level=16",IF(_xlfn.SINGLE(JobState)="WI","https://fema.maps.arcgis.com/apps/mapviewer/index.html?url=https://services5.arcgis.com/0pgGLzT0Nh7FVjon/arcgis/rest/services/Functional_Class_Local_Non_Prod/FeatureServer/1&amp;find="&amp;$F92&amp;"%2C"&amp;$E92&amp;"&amp;marker="&amp;$F92&amp;","&amp;$E92&amp;",4326&amp;level=16",IF(_xlfn.SINGLE(JobState)="MN","https://fema.maps.arcgis.com/apps/mapviewer/index.html?url=https%3A%2F%2Fdotapp9.dot.state.mn.us%2Fegis12%2Frest%2Fservices%2FBASEMAP%2Fmndot_commonlayers2%2FMapServer%2F11&amp;find="&amp;$F92&amp;"%2C"&amp;$E92&amp;"&amp;marker="&amp;$F92&amp;","&amp;$E92&amp;",4326&amp;level=16",IF(_xlfn.SINGLE(JobState)="IL","https://fema.maps.arcgis.com/apps/mapviewer/index.html?url=https%3A%2F%2Fgis1.dot.illinois.gov%2Farcgis%2Frest%2Fservices%2FAdministrativeData%2FFunctionalClass%2FMapServer%2F0&amp;find="&amp;$F92&amp;"%2C"&amp;$E92&amp;"&amp;marker="&amp;$F92&amp;","&amp;$E92&amp;",4326&amp;level=16",IF(_xlfn.SINGLE(JobState)="OH","https://fema.maps.arcgis.com/apps/mapviewer/index.html?url=https%3A%2F%2Ftims.dot.state.oh.us%2Fags%2Frest%2Fservices%2FRoadway_Information%2FFunctional_Class%2FMapServer%2F0&amp;find="&amp;$F92&amp;"%2C"&amp;$E92&amp;"&amp;marker="&amp;$F92&amp;","&amp;$E92&amp;",4326&amp;level=16","https://fema.maps.arcgis.com/apps/mapviewer/index.html?find="&amp;$F92&amp;"%2C"&amp;$E92&amp;"&amp;marker="&amp;$F92&amp;","&amp;$E92&amp;",4326&amp;level=16")))))),IF(_xlfn.SINGLE(JobState)="WI","Review Local Roads Layer","Review NFC AGOL Layer"))))</f>
        <v/>
      </c>
      <c r="N92" s="6" t="str">
        <f>IF(OR($E92="",$F92=""),"",IF(_xlfn.SINGLE(JobState)="",IF(ROW()=2,HYPERLINK("#JobState","Set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92&amp;"%2C"&amp;$E92&amp;"&amp;marker="&amp;$F92&amp;","&amp;$E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2" s="6" t="str">
        <f>IF(OR($E92="", $F92=""),"",IF(_xlfn.SINGLE(JobAgolMap)="",HYPERLINK("https://fema.maps.arcgis.com/apps/mapviewer/index.html?find="&amp;$F92&amp;"%2C"&amp;$E92&amp;"&amp;marker="&amp;$F92&amp;","&amp;$E92&amp;",4326&amp;level=16","FEMA AGOL Map Viewer"),HYPERLINK(_xlfn.SINGLE(JobAgolMap)&amp;IF(ISNUMBER(FIND("?",_xlfn.SINGLE(JobAgolMap))),"&amp;","?")&amp;"center="&amp;$F92&amp;","&amp;$E92&amp;"&amp;level=16&amp;marker="&amp;$F92&amp;","&amp;$E92,"Open")))</f>
        <v/>
      </c>
      <c r="Q92" s="4"/>
      <c r="R92" s="4"/>
      <c r="W92" s="6" t="str">
        <f t="shared" si="6"/>
        <v/>
      </c>
      <c r="X92" s="6" t="str">
        <f t="shared" si="7"/>
        <v/>
      </c>
      <c r="Y92" s="6" t="str">
        <f t="shared" si="8"/>
        <v/>
      </c>
      <c r="Z92" s="6" t="str">
        <f t="shared" si="9"/>
        <v/>
      </c>
      <c r="AA92" s="6" t="str">
        <f t="shared" si="10"/>
        <v/>
      </c>
      <c r="AB92" s="6" t="str">
        <f t="shared" si="11"/>
        <v/>
      </c>
      <c r="AC92" s="4"/>
      <c r="AD92" s="4"/>
    </row>
    <row r="93" spans="1:30" x14ac:dyDescent="0.45">
      <c r="A93" s="3"/>
      <c r="B93" s="3"/>
      <c r="C93" s="5" t="str">
        <f>IF($E93="","",COUNT($E$2:$E93))</f>
        <v/>
      </c>
      <c r="D93" s="3"/>
      <c r="E93" s="3"/>
      <c r="F93" s="3"/>
      <c r="G93" s="3"/>
      <c r="H93" s="3"/>
      <c r="I93" s="3"/>
      <c r="J93" s="3"/>
      <c r="K93" s="3"/>
      <c r="L93" s="4"/>
      <c r="M93" s="6" t="str">
        <f>IF(OR($E93="",$F93=""),"",IF(_xlfn.SINGLE(JobState)="",IF(ROW()=2,HYPERLINK("#JobState","Set State →"),""),HYPERLINK(IF(OR(_xlfn.SINGLE(JobState)="MI",_xlfn.SINGLE(JobState)=""),"https://fema.maps.arcgis.com/apps/mapviewer/index.html?webmap=6a1702b9147243d1a5ee62cd614bc681&amp;center="&amp;$F93&amp;","&amp;$E93&amp;"&amp;level=16&amp;marker="&amp;$F93&amp;","&amp;$E93&amp;"",IF(_xlfn.SINGLE(JobState)="IN","https://fema.maps.arcgis.com/apps/mapviewer/index.html?url=https%3A%2F%2Fgis.indot.in.gov%2Fro%2Frest%2Fservices%2FRAH_GIO_Collaboration%2FLRSE_Functional_Class%2FFeatureServer%2F22&amp;find="&amp;$F93&amp;"%2C"&amp;$E93&amp;"&amp;marker="&amp;$F93&amp;","&amp;$E93&amp;",4326&amp;level=16",IF(_xlfn.SINGLE(JobState)="WI","https://fema.maps.arcgis.com/apps/mapviewer/index.html?url=https://services5.arcgis.com/0pgGLzT0Nh7FVjon/arcgis/rest/services/Functional_Class_Local_Non_Prod/FeatureServer/1&amp;find="&amp;$F93&amp;"%2C"&amp;$E93&amp;"&amp;marker="&amp;$F93&amp;","&amp;$E93&amp;",4326&amp;level=16",IF(_xlfn.SINGLE(JobState)="MN","https://fema.maps.arcgis.com/apps/mapviewer/index.html?url=https%3A%2F%2Fdotapp9.dot.state.mn.us%2Fegis12%2Frest%2Fservices%2FBASEMAP%2Fmndot_commonlayers2%2FMapServer%2F11&amp;find="&amp;$F93&amp;"%2C"&amp;$E93&amp;"&amp;marker="&amp;$F93&amp;","&amp;$E93&amp;",4326&amp;level=16",IF(_xlfn.SINGLE(JobState)="IL","https://fema.maps.arcgis.com/apps/mapviewer/index.html?url=https%3A%2F%2Fgis1.dot.illinois.gov%2Farcgis%2Frest%2Fservices%2FAdministrativeData%2FFunctionalClass%2FMapServer%2F0&amp;find="&amp;$F93&amp;"%2C"&amp;$E93&amp;"&amp;marker="&amp;$F93&amp;","&amp;$E93&amp;",4326&amp;level=16",IF(_xlfn.SINGLE(JobState)="OH","https://fema.maps.arcgis.com/apps/mapviewer/index.html?url=https%3A%2F%2Ftims.dot.state.oh.us%2Fags%2Frest%2Fservices%2FRoadway_Information%2FFunctional_Class%2FMapServer%2F0&amp;find="&amp;$F93&amp;"%2C"&amp;$E93&amp;"&amp;marker="&amp;$F93&amp;","&amp;$E93&amp;",4326&amp;level=16","https://fema.maps.arcgis.com/apps/mapviewer/index.html?find="&amp;$F93&amp;"%2C"&amp;$E93&amp;"&amp;marker="&amp;$F93&amp;","&amp;$E93&amp;",4326&amp;level=16")))))),IF(_xlfn.SINGLE(JobState)="WI","Review Local Roads Layer","Review NFC AGOL Layer"))))</f>
        <v/>
      </c>
      <c r="N93" s="6" t="str">
        <f>IF(OR($E93="",$F93=""),"",IF(_xlfn.SINGLE(JobState)="",IF(ROW()=2,HYPERLINK("#JobState","Set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93&amp;"%2C"&amp;$E93&amp;"&amp;marker="&amp;$F93&amp;","&amp;$E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3" s="6" t="str">
        <f>IF(OR($E93="", $F93=""),"",IF(_xlfn.SINGLE(JobAgolMap)="",HYPERLINK("https://fema.maps.arcgis.com/apps/mapviewer/index.html?find="&amp;$F93&amp;"%2C"&amp;$E93&amp;"&amp;marker="&amp;$F93&amp;","&amp;$E93&amp;",4326&amp;level=16","FEMA AGOL Map Viewer"),HYPERLINK(_xlfn.SINGLE(JobAgolMap)&amp;IF(ISNUMBER(FIND("?",_xlfn.SINGLE(JobAgolMap))),"&amp;","?")&amp;"center="&amp;$F93&amp;","&amp;$E93&amp;"&amp;level=16&amp;marker="&amp;$F93&amp;","&amp;$E93,"Open")))</f>
        <v/>
      </c>
      <c r="Q93" s="4"/>
      <c r="R93" s="4"/>
      <c r="W93" s="6" t="str">
        <f t="shared" si="6"/>
        <v/>
      </c>
      <c r="X93" s="6" t="str">
        <f t="shared" si="7"/>
        <v/>
      </c>
      <c r="Y93" s="6" t="str">
        <f t="shared" si="8"/>
        <v/>
      </c>
      <c r="Z93" s="6" t="str">
        <f t="shared" si="9"/>
        <v/>
      </c>
      <c r="AA93" s="6" t="str">
        <f t="shared" si="10"/>
        <v/>
      </c>
      <c r="AB93" s="6" t="str">
        <f t="shared" si="11"/>
        <v/>
      </c>
      <c r="AC93" s="4"/>
      <c r="AD93" s="4"/>
    </row>
    <row r="94" spans="1:30" x14ac:dyDescent="0.45">
      <c r="A94" s="3"/>
      <c r="B94" s="3"/>
      <c r="C94" s="5" t="str">
        <f>IF($E94="","",COUNT($E$2:$E94))</f>
        <v/>
      </c>
      <c r="D94" s="3"/>
      <c r="E94" s="3"/>
      <c r="F94" s="3"/>
      <c r="G94" s="3"/>
      <c r="H94" s="3"/>
      <c r="I94" s="3"/>
      <c r="J94" s="3"/>
      <c r="K94" s="3"/>
      <c r="L94" s="4"/>
      <c r="M94" s="6" t="str">
        <f>IF(OR($E94="",$F94=""),"",IF(_xlfn.SINGLE(JobState)="",IF(ROW()=2,HYPERLINK("#JobState","Set State →"),""),HYPERLINK(IF(OR(_xlfn.SINGLE(JobState)="MI",_xlfn.SINGLE(JobState)=""),"https://fema.maps.arcgis.com/apps/mapviewer/index.html?webmap=6a1702b9147243d1a5ee62cd614bc681&amp;center="&amp;$F94&amp;","&amp;$E94&amp;"&amp;level=16&amp;marker="&amp;$F94&amp;","&amp;$E94&amp;"",IF(_xlfn.SINGLE(JobState)="IN","https://fema.maps.arcgis.com/apps/mapviewer/index.html?url=https%3A%2F%2Fgis.indot.in.gov%2Fro%2Frest%2Fservices%2FRAH_GIO_Collaboration%2FLRSE_Functional_Class%2FFeatureServer%2F22&amp;find="&amp;$F94&amp;"%2C"&amp;$E94&amp;"&amp;marker="&amp;$F94&amp;","&amp;$E94&amp;",4326&amp;level=16",IF(_xlfn.SINGLE(JobState)="WI","https://fema.maps.arcgis.com/apps/mapviewer/index.html?url=https://services5.arcgis.com/0pgGLzT0Nh7FVjon/arcgis/rest/services/Functional_Class_Local_Non_Prod/FeatureServer/1&amp;find="&amp;$F94&amp;"%2C"&amp;$E94&amp;"&amp;marker="&amp;$F94&amp;","&amp;$E94&amp;",4326&amp;level=16",IF(_xlfn.SINGLE(JobState)="MN","https://fema.maps.arcgis.com/apps/mapviewer/index.html?url=https%3A%2F%2Fdotapp9.dot.state.mn.us%2Fegis12%2Frest%2Fservices%2FBASEMAP%2Fmndot_commonlayers2%2FMapServer%2F11&amp;find="&amp;$F94&amp;"%2C"&amp;$E94&amp;"&amp;marker="&amp;$F94&amp;","&amp;$E94&amp;",4326&amp;level=16",IF(_xlfn.SINGLE(JobState)="IL","https://fema.maps.arcgis.com/apps/mapviewer/index.html?url=https%3A%2F%2Fgis1.dot.illinois.gov%2Farcgis%2Frest%2Fservices%2FAdministrativeData%2FFunctionalClass%2FMapServer%2F0&amp;find="&amp;$F94&amp;"%2C"&amp;$E94&amp;"&amp;marker="&amp;$F94&amp;","&amp;$E94&amp;",4326&amp;level=16",IF(_xlfn.SINGLE(JobState)="OH","https://fema.maps.arcgis.com/apps/mapviewer/index.html?url=https%3A%2F%2Ftims.dot.state.oh.us%2Fags%2Frest%2Fservices%2FRoadway_Information%2FFunctional_Class%2FMapServer%2F0&amp;find="&amp;$F94&amp;"%2C"&amp;$E94&amp;"&amp;marker="&amp;$F94&amp;","&amp;$E94&amp;",4326&amp;level=16","https://fema.maps.arcgis.com/apps/mapviewer/index.html?find="&amp;$F94&amp;"%2C"&amp;$E94&amp;"&amp;marker="&amp;$F94&amp;","&amp;$E94&amp;",4326&amp;level=16")))))),IF(_xlfn.SINGLE(JobState)="WI","Review Local Roads Layer","Review NFC AGOL Layer"))))</f>
        <v/>
      </c>
      <c r="N94" s="6" t="str">
        <f>IF(OR($E94="",$F94=""),"",IF(_xlfn.SINGLE(JobState)="",IF(ROW()=2,HYPERLINK("#JobState","Set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94&amp;"%2C"&amp;$E94&amp;"&amp;marker="&amp;$F94&amp;","&amp;$E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4" s="6" t="str">
        <f>IF(OR($E94="", $F94=""),"",IF(_xlfn.SINGLE(JobAgolMap)="",HYPERLINK("https://fema.maps.arcgis.com/apps/mapviewer/index.html?find="&amp;$F94&amp;"%2C"&amp;$E94&amp;"&amp;marker="&amp;$F94&amp;","&amp;$E94&amp;",4326&amp;level=16","FEMA AGOL Map Viewer"),HYPERLINK(_xlfn.SINGLE(JobAgolMap)&amp;IF(ISNUMBER(FIND("?",_xlfn.SINGLE(JobAgolMap))),"&amp;","?")&amp;"center="&amp;$F94&amp;","&amp;$E94&amp;"&amp;level=16&amp;marker="&amp;$F94&amp;","&amp;$E94,"Open")))</f>
        <v/>
      </c>
      <c r="Q94" s="4"/>
      <c r="R94" s="4"/>
      <c r="W94" s="6" t="str">
        <f t="shared" si="6"/>
        <v/>
      </c>
      <c r="X94" s="6" t="str">
        <f t="shared" si="7"/>
        <v/>
      </c>
      <c r="Y94" s="6" t="str">
        <f t="shared" si="8"/>
        <v/>
      </c>
      <c r="Z94" s="6" t="str">
        <f t="shared" si="9"/>
        <v/>
      </c>
      <c r="AA94" s="6" t="str">
        <f t="shared" si="10"/>
        <v/>
      </c>
      <c r="AB94" s="6" t="str">
        <f t="shared" si="11"/>
        <v/>
      </c>
      <c r="AC94" s="4"/>
      <c r="AD94" s="4"/>
    </row>
    <row r="95" spans="1:30" x14ac:dyDescent="0.45">
      <c r="A95" s="3"/>
      <c r="B95" s="3"/>
      <c r="C95" s="5" t="str">
        <f>IF($E95="","",COUNT($E$2:$E95))</f>
        <v/>
      </c>
      <c r="D95" s="3"/>
      <c r="E95" s="3"/>
      <c r="F95" s="3"/>
      <c r="G95" s="3"/>
      <c r="H95" s="3"/>
      <c r="I95" s="3"/>
      <c r="J95" s="3"/>
      <c r="K95" s="3"/>
      <c r="L95" s="4"/>
      <c r="M95" s="6" t="str">
        <f>IF(OR($E95="",$F95=""),"",IF(_xlfn.SINGLE(JobState)="",IF(ROW()=2,HYPERLINK("#JobState","Set State →"),""),HYPERLINK(IF(OR(_xlfn.SINGLE(JobState)="MI",_xlfn.SINGLE(JobState)=""),"https://fema.maps.arcgis.com/apps/mapviewer/index.html?webmap=6a1702b9147243d1a5ee62cd614bc681&amp;center="&amp;$F95&amp;","&amp;$E95&amp;"&amp;level=16&amp;marker="&amp;$F95&amp;","&amp;$E95&amp;"",IF(_xlfn.SINGLE(JobState)="IN","https://fema.maps.arcgis.com/apps/mapviewer/index.html?url=https%3A%2F%2Fgis.indot.in.gov%2Fro%2Frest%2Fservices%2FRAH_GIO_Collaboration%2FLRSE_Functional_Class%2FFeatureServer%2F22&amp;find="&amp;$F95&amp;"%2C"&amp;$E95&amp;"&amp;marker="&amp;$F95&amp;","&amp;$E95&amp;",4326&amp;level=16",IF(_xlfn.SINGLE(JobState)="WI","https://fema.maps.arcgis.com/apps/mapviewer/index.html?url=https://services5.arcgis.com/0pgGLzT0Nh7FVjon/arcgis/rest/services/Functional_Class_Local_Non_Prod/FeatureServer/1&amp;find="&amp;$F95&amp;"%2C"&amp;$E95&amp;"&amp;marker="&amp;$F95&amp;","&amp;$E95&amp;",4326&amp;level=16",IF(_xlfn.SINGLE(JobState)="MN","https://fema.maps.arcgis.com/apps/mapviewer/index.html?url=https%3A%2F%2Fdotapp9.dot.state.mn.us%2Fegis12%2Frest%2Fservices%2FBASEMAP%2Fmndot_commonlayers2%2FMapServer%2F11&amp;find="&amp;$F95&amp;"%2C"&amp;$E95&amp;"&amp;marker="&amp;$F95&amp;","&amp;$E95&amp;",4326&amp;level=16",IF(_xlfn.SINGLE(JobState)="IL","https://fema.maps.arcgis.com/apps/mapviewer/index.html?url=https%3A%2F%2Fgis1.dot.illinois.gov%2Farcgis%2Frest%2Fservices%2FAdministrativeData%2FFunctionalClass%2FMapServer%2F0&amp;find="&amp;$F95&amp;"%2C"&amp;$E95&amp;"&amp;marker="&amp;$F95&amp;","&amp;$E95&amp;",4326&amp;level=16",IF(_xlfn.SINGLE(JobState)="OH","https://fema.maps.arcgis.com/apps/mapviewer/index.html?url=https%3A%2F%2Ftims.dot.state.oh.us%2Fags%2Frest%2Fservices%2FRoadway_Information%2FFunctional_Class%2FMapServer%2F0&amp;find="&amp;$F95&amp;"%2C"&amp;$E95&amp;"&amp;marker="&amp;$F95&amp;","&amp;$E95&amp;",4326&amp;level=16","https://fema.maps.arcgis.com/apps/mapviewer/index.html?find="&amp;$F95&amp;"%2C"&amp;$E95&amp;"&amp;marker="&amp;$F95&amp;","&amp;$E95&amp;",4326&amp;level=16")))))),IF(_xlfn.SINGLE(JobState)="WI","Review Local Roads Layer","Review NFC AGOL Layer"))))</f>
        <v/>
      </c>
      <c r="N95" s="6" t="str">
        <f>IF(OR($E95="",$F95=""),"",IF(_xlfn.SINGLE(JobState)="",IF(ROW()=2,HYPERLINK("#JobState","Set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95&amp;"%2C"&amp;$E95&amp;"&amp;marker="&amp;$F95&amp;","&amp;$E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5" s="6" t="str">
        <f>IF(OR($E95="", $F95=""),"",IF(_xlfn.SINGLE(JobAgolMap)="",HYPERLINK("https://fema.maps.arcgis.com/apps/mapviewer/index.html?find="&amp;$F95&amp;"%2C"&amp;$E95&amp;"&amp;marker="&amp;$F95&amp;","&amp;$E95&amp;",4326&amp;level=16","FEMA AGOL Map Viewer"),HYPERLINK(_xlfn.SINGLE(JobAgolMap)&amp;IF(ISNUMBER(FIND("?",_xlfn.SINGLE(JobAgolMap))),"&amp;","?")&amp;"center="&amp;$F95&amp;","&amp;$E95&amp;"&amp;level=16&amp;marker="&amp;$F95&amp;","&amp;$E95,"Open")))</f>
        <v/>
      </c>
      <c r="Q95" s="4"/>
      <c r="R95" s="4"/>
      <c r="W95" s="6" t="str">
        <f t="shared" si="6"/>
        <v/>
      </c>
      <c r="X95" s="6" t="str">
        <f t="shared" si="7"/>
        <v/>
      </c>
      <c r="Y95" s="6" t="str">
        <f t="shared" si="8"/>
        <v/>
      </c>
      <c r="Z95" s="6" t="str">
        <f t="shared" si="9"/>
        <v/>
      </c>
      <c r="AA95" s="6" t="str">
        <f t="shared" si="10"/>
        <v/>
      </c>
      <c r="AB95" s="6" t="str">
        <f t="shared" si="11"/>
        <v/>
      </c>
      <c r="AC95" s="4"/>
      <c r="AD95" s="4"/>
    </row>
    <row r="96" spans="1:30" x14ac:dyDescent="0.45">
      <c r="A96" s="3"/>
      <c r="B96" s="3"/>
      <c r="C96" s="5" t="str">
        <f>IF($E96="","",COUNT($E$2:$E96))</f>
        <v/>
      </c>
      <c r="D96" s="3"/>
      <c r="E96" s="3"/>
      <c r="F96" s="3"/>
      <c r="G96" s="3"/>
      <c r="H96" s="3"/>
      <c r="I96" s="3"/>
      <c r="J96" s="3"/>
      <c r="K96" s="3"/>
      <c r="L96" s="4"/>
      <c r="M96" s="6" t="str">
        <f>IF(OR($E96="",$F96=""),"",IF(_xlfn.SINGLE(JobState)="",IF(ROW()=2,HYPERLINK("#JobState","Set State →"),""),HYPERLINK(IF(OR(_xlfn.SINGLE(JobState)="MI",_xlfn.SINGLE(JobState)=""),"https://fema.maps.arcgis.com/apps/mapviewer/index.html?webmap=6a1702b9147243d1a5ee62cd614bc681&amp;center="&amp;$F96&amp;","&amp;$E96&amp;"&amp;level=16&amp;marker="&amp;$F96&amp;","&amp;$E96&amp;"",IF(_xlfn.SINGLE(JobState)="IN","https://fema.maps.arcgis.com/apps/mapviewer/index.html?url=https%3A%2F%2Fgis.indot.in.gov%2Fro%2Frest%2Fservices%2FRAH_GIO_Collaboration%2FLRSE_Functional_Class%2FFeatureServer%2F22&amp;find="&amp;$F96&amp;"%2C"&amp;$E96&amp;"&amp;marker="&amp;$F96&amp;","&amp;$E96&amp;",4326&amp;level=16",IF(_xlfn.SINGLE(JobState)="WI","https://fema.maps.arcgis.com/apps/mapviewer/index.html?url=https://services5.arcgis.com/0pgGLzT0Nh7FVjon/arcgis/rest/services/Functional_Class_Local_Non_Prod/FeatureServer/1&amp;find="&amp;$F96&amp;"%2C"&amp;$E96&amp;"&amp;marker="&amp;$F96&amp;","&amp;$E96&amp;",4326&amp;level=16",IF(_xlfn.SINGLE(JobState)="MN","https://fema.maps.arcgis.com/apps/mapviewer/index.html?url=https%3A%2F%2Fdotapp9.dot.state.mn.us%2Fegis12%2Frest%2Fservices%2FBASEMAP%2Fmndot_commonlayers2%2FMapServer%2F11&amp;find="&amp;$F96&amp;"%2C"&amp;$E96&amp;"&amp;marker="&amp;$F96&amp;","&amp;$E96&amp;",4326&amp;level=16",IF(_xlfn.SINGLE(JobState)="IL","https://fema.maps.arcgis.com/apps/mapviewer/index.html?url=https%3A%2F%2Fgis1.dot.illinois.gov%2Farcgis%2Frest%2Fservices%2FAdministrativeData%2FFunctionalClass%2FMapServer%2F0&amp;find="&amp;$F96&amp;"%2C"&amp;$E96&amp;"&amp;marker="&amp;$F96&amp;","&amp;$E96&amp;",4326&amp;level=16",IF(_xlfn.SINGLE(JobState)="OH","https://fema.maps.arcgis.com/apps/mapviewer/index.html?url=https%3A%2F%2Ftims.dot.state.oh.us%2Fags%2Frest%2Fservices%2FRoadway_Information%2FFunctional_Class%2FMapServer%2F0&amp;find="&amp;$F96&amp;"%2C"&amp;$E96&amp;"&amp;marker="&amp;$F96&amp;","&amp;$E96&amp;",4326&amp;level=16","https://fema.maps.arcgis.com/apps/mapviewer/index.html?find="&amp;$F96&amp;"%2C"&amp;$E96&amp;"&amp;marker="&amp;$F96&amp;","&amp;$E96&amp;",4326&amp;level=16")))))),IF(_xlfn.SINGLE(JobState)="WI","Review Local Roads Layer","Review NFC AGOL Layer"))))</f>
        <v/>
      </c>
      <c r="N96" s="6" t="str">
        <f>IF(OR($E96="",$F96=""),"",IF(_xlfn.SINGLE(JobState)="",IF(ROW()=2,HYPERLINK("#JobState","Set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96&amp;"%2C"&amp;$E96&amp;"&amp;marker="&amp;$F96&amp;","&amp;$E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6" s="6" t="str">
        <f>IF(OR($E96="", $F96=""),"",IF(_xlfn.SINGLE(JobAgolMap)="",HYPERLINK("https://fema.maps.arcgis.com/apps/mapviewer/index.html?find="&amp;$F96&amp;"%2C"&amp;$E96&amp;"&amp;marker="&amp;$F96&amp;","&amp;$E96&amp;",4326&amp;level=16","FEMA AGOL Map Viewer"),HYPERLINK(_xlfn.SINGLE(JobAgolMap)&amp;IF(ISNUMBER(FIND("?",_xlfn.SINGLE(JobAgolMap))),"&amp;","?")&amp;"center="&amp;$F96&amp;","&amp;$E96&amp;"&amp;level=16&amp;marker="&amp;$F96&amp;","&amp;$E96,"Open")))</f>
        <v/>
      </c>
      <c r="Q96" s="4"/>
      <c r="R96" s="4"/>
      <c r="W96" s="6" t="str">
        <f t="shared" si="6"/>
        <v/>
      </c>
      <c r="X96" s="6" t="str">
        <f t="shared" si="7"/>
        <v/>
      </c>
      <c r="Y96" s="6" t="str">
        <f t="shared" si="8"/>
        <v/>
      </c>
      <c r="Z96" s="6" t="str">
        <f t="shared" si="9"/>
        <v/>
      </c>
      <c r="AA96" s="6" t="str">
        <f t="shared" si="10"/>
        <v/>
      </c>
      <c r="AB96" s="6" t="str">
        <f t="shared" si="11"/>
        <v/>
      </c>
      <c r="AC96" s="4"/>
      <c r="AD96" s="4"/>
    </row>
    <row r="97" spans="1:30" x14ac:dyDescent="0.45">
      <c r="A97" s="3"/>
      <c r="B97" s="3"/>
      <c r="C97" s="5" t="str">
        <f>IF($E97="","",COUNT($E$2:$E97))</f>
        <v/>
      </c>
      <c r="D97" s="3"/>
      <c r="E97" s="3"/>
      <c r="F97" s="3"/>
      <c r="G97" s="3"/>
      <c r="H97" s="3"/>
      <c r="I97" s="3"/>
      <c r="J97" s="3"/>
      <c r="K97" s="3"/>
      <c r="L97" s="4"/>
      <c r="M97" s="6" t="str">
        <f>IF(OR($E97="",$F97=""),"",IF(_xlfn.SINGLE(JobState)="",IF(ROW()=2,HYPERLINK("#JobState","Set State →"),""),HYPERLINK(IF(OR(_xlfn.SINGLE(JobState)="MI",_xlfn.SINGLE(JobState)=""),"https://fema.maps.arcgis.com/apps/mapviewer/index.html?webmap=6a1702b9147243d1a5ee62cd614bc681&amp;center="&amp;$F97&amp;","&amp;$E97&amp;"&amp;level=16&amp;marker="&amp;$F97&amp;","&amp;$E97&amp;"",IF(_xlfn.SINGLE(JobState)="IN","https://fema.maps.arcgis.com/apps/mapviewer/index.html?url=https%3A%2F%2Fgis.indot.in.gov%2Fro%2Frest%2Fservices%2FRAH_GIO_Collaboration%2FLRSE_Functional_Class%2FFeatureServer%2F22&amp;find="&amp;$F97&amp;"%2C"&amp;$E97&amp;"&amp;marker="&amp;$F97&amp;","&amp;$E97&amp;",4326&amp;level=16",IF(_xlfn.SINGLE(JobState)="WI","https://fema.maps.arcgis.com/apps/mapviewer/index.html?url=https://services5.arcgis.com/0pgGLzT0Nh7FVjon/arcgis/rest/services/Functional_Class_Local_Non_Prod/FeatureServer/1&amp;find="&amp;$F97&amp;"%2C"&amp;$E97&amp;"&amp;marker="&amp;$F97&amp;","&amp;$E97&amp;",4326&amp;level=16",IF(_xlfn.SINGLE(JobState)="MN","https://fema.maps.arcgis.com/apps/mapviewer/index.html?url=https%3A%2F%2Fdotapp9.dot.state.mn.us%2Fegis12%2Frest%2Fservices%2FBASEMAP%2Fmndot_commonlayers2%2FMapServer%2F11&amp;find="&amp;$F97&amp;"%2C"&amp;$E97&amp;"&amp;marker="&amp;$F97&amp;","&amp;$E97&amp;",4326&amp;level=16",IF(_xlfn.SINGLE(JobState)="IL","https://fema.maps.arcgis.com/apps/mapviewer/index.html?url=https%3A%2F%2Fgis1.dot.illinois.gov%2Farcgis%2Frest%2Fservices%2FAdministrativeData%2FFunctionalClass%2FMapServer%2F0&amp;find="&amp;$F97&amp;"%2C"&amp;$E97&amp;"&amp;marker="&amp;$F97&amp;","&amp;$E97&amp;",4326&amp;level=16",IF(_xlfn.SINGLE(JobState)="OH","https://fema.maps.arcgis.com/apps/mapviewer/index.html?url=https%3A%2F%2Ftims.dot.state.oh.us%2Fags%2Frest%2Fservices%2FRoadway_Information%2FFunctional_Class%2FMapServer%2F0&amp;find="&amp;$F97&amp;"%2C"&amp;$E97&amp;"&amp;marker="&amp;$F97&amp;","&amp;$E97&amp;",4326&amp;level=16","https://fema.maps.arcgis.com/apps/mapviewer/index.html?find="&amp;$F97&amp;"%2C"&amp;$E97&amp;"&amp;marker="&amp;$F97&amp;","&amp;$E97&amp;",4326&amp;level=16")))))),IF(_xlfn.SINGLE(JobState)="WI","Review Local Roads Layer","Review NFC AGOL Layer"))))</f>
        <v/>
      </c>
      <c r="N97" s="6" t="str">
        <f>IF(OR($E97="",$F97=""),"",IF(_xlfn.SINGLE(JobState)="",IF(ROW()=2,HYPERLINK("#JobState","Set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97&amp;"%2C"&amp;$E97&amp;"&amp;marker="&amp;$F97&amp;","&amp;$E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7" s="6" t="str">
        <f>IF(OR($E97="", $F97=""),"",IF(_xlfn.SINGLE(JobAgolMap)="",HYPERLINK("https://fema.maps.arcgis.com/apps/mapviewer/index.html?find="&amp;$F97&amp;"%2C"&amp;$E97&amp;"&amp;marker="&amp;$F97&amp;","&amp;$E97&amp;",4326&amp;level=16","FEMA AGOL Map Viewer"),HYPERLINK(_xlfn.SINGLE(JobAgolMap)&amp;IF(ISNUMBER(FIND("?",_xlfn.SINGLE(JobAgolMap))),"&amp;","?")&amp;"center="&amp;$F97&amp;","&amp;$E97&amp;"&amp;level=16&amp;marker="&amp;$F97&amp;","&amp;$E97,"Open")))</f>
        <v/>
      </c>
      <c r="Q97" s="4"/>
      <c r="R97" s="4"/>
      <c r="W97" s="6" t="str">
        <f t="shared" si="6"/>
        <v/>
      </c>
      <c r="X97" s="6" t="str">
        <f t="shared" si="7"/>
        <v/>
      </c>
      <c r="Y97" s="6" t="str">
        <f t="shared" si="8"/>
        <v/>
      </c>
      <c r="Z97" s="6" t="str">
        <f t="shared" si="9"/>
        <v/>
      </c>
      <c r="AA97" s="6" t="str">
        <f t="shared" si="10"/>
        <v/>
      </c>
      <c r="AB97" s="6" t="str">
        <f t="shared" si="11"/>
        <v/>
      </c>
      <c r="AC97" s="4"/>
      <c r="AD97" s="4"/>
    </row>
    <row r="98" spans="1:30" x14ac:dyDescent="0.45">
      <c r="A98" s="3"/>
      <c r="B98" s="3"/>
      <c r="C98" s="5" t="str">
        <f>IF($E98="","",COUNT($E$2:$E98))</f>
        <v/>
      </c>
      <c r="D98" s="3"/>
      <c r="E98" s="3"/>
      <c r="F98" s="3"/>
      <c r="G98" s="3"/>
      <c r="H98" s="3"/>
      <c r="I98" s="3"/>
      <c r="J98" s="3"/>
      <c r="K98" s="3"/>
      <c r="L98" s="4"/>
      <c r="M98" s="6" t="str">
        <f>IF(OR($E98="",$F98=""),"",IF(_xlfn.SINGLE(JobState)="",IF(ROW()=2,HYPERLINK("#JobState","Set State →"),""),HYPERLINK(IF(OR(_xlfn.SINGLE(JobState)="MI",_xlfn.SINGLE(JobState)=""),"https://fema.maps.arcgis.com/apps/mapviewer/index.html?webmap=6a1702b9147243d1a5ee62cd614bc681&amp;center="&amp;$F98&amp;","&amp;$E98&amp;"&amp;level=16&amp;marker="&amp;$F98&amp;","&amp;$E98&amp;"",IF(_xlfn.SINGLE(JobState)="IN","https://fema.maps.arcgis.com/apps/mapviewer/index.html?url=https%3A%2F%2Fgis.indot.in.gov%2Fro%2Frest%2Fservices%2FRAH_GIO_Collaboration%2FLRSE_Functional_Class%2FFeatureServer%2F22&amp;find="&amp;$F98&amp;"%2C"&amp;$E98&amp;"&amp;marker="&amp;$F98&amp;","&amp;$E98&amp;",4326&amp;level=16",IF(_xlfn.SINGLE(JobState)="WI","https://fema.maps.arcgis.com/apps/mapviewer/index.html?url=https://services5.arcgis.com/0pgGLzT0Nh7FVjon/arcgis/rest/services/Functional_Class_Local_Non_Prod/FeatureServer/1&amp;find="&amp;$F98&amp;"%2C"&amp;$E98&amp;"&amp;marker="&amp;$F98&amp;","&amp;$E98&amp;",4326&amp;level=16",IF(_xlfn.SINGLE(JobState)="MN","https://fema.maps.arcgis.com/apps/mapviewer/index.html?url=https%3A%2F%2Fdotapp9.dot.state.mn.us%2Fegis12%2Frest%2Fservices%2FBASEMAP%2Fmndot_commonlayers2%2FMapServer%2F11&amp;find="&amp;$F98&amp;"%2C"&amp;$E98&amp;"&amp;marker="&amp;$F98&amp;","&amp;$E98&amp;",4326&amp;level=16",IF(_xlfn.SINGLE(JobState)="IL","https://fema.maps.arcgis.com/apps/mapviewer/index.html?url=https%3A%2F%2Fgis1.dot.illinois.gov%2Farcgis%2Frest%2Fservices%2FAdministrativeData%2FFunctionalClass%2FMapServer%2F0&amp;find="&amp;$F98&amp;"%2C"&amp;$E98&amp;"&amp;marker="&amp;$F98&amp;","&amp;$E98&amp;",4326&amp;level=16",IF(_xlfn.SINGLE(JobState)="OH","https://fema.maps.arcgis.com/apps/mapviewer/index.html?url=https%3A%2F%2Ftims.dot.state.oh.us%2Fags%2Frest%2Fservices%2FRoadway_Information%2FFunctional_Class%2FMapServer%2F0&amp;find="&amp;$F98&amp;"%2C"&amp;$E98&amp;"&amp;marker="&amp;$F98&amp;","&amp;$E98&amp;",4326&amp;level=16","https://fema.maps.arcgis.com/apps/mapviewer/index.html?find="&amp;$F98&amp;"%2C"&amp;$E98&amp;"&amp;marker="&amp;$F98&amp;","&amp;$E98&amp;",4326&amp;level=16")))))),IF(_xlfn.SINGLE(JobState)="WI","Review Local Roads Layer","Review NFC AGOL Layer"))))</f>
        <v/>
      </c>
      <c r="N98" s="6" t="str">
        <f>IF(OR($E98="",$F98=""),"",IF(_xlfn.SINGLE(JobState)="",IF(ROW()=2,HYPERLINK("#JobState","Set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98&amp;"%2C"&amp;$E98&amp;"&amp;marker="&amp;$F98&amp;","&amp;$E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8" s="6" t="str">
        <f>IF(OR($E98="", $F98=""),"",IF(_xlfn.SINGLE(JobAgolMap)="",HYPERLINK("https://fema.maps.arcgis.com/apps/mapviewer/index.html?find="&amp;$F98&amp;"%2C"&amp;$E98&amp;"&amp;marker="&amp;$F98&amp;","&amp;$E98&amp;",4326&amp;level=16","FEMA AGOL Map Viewer"),HYPERLINK(_xlfn.SINGLE(JobAgolMap)&amp;IF(ISNUMBER(FIND("?",_xlfn.SINGLE(JobAgolMap))),"&amp;","?")&amp;"center="&amp;$F98&amp;","&amp;$E98&amp;"&amp;level=16&amp;marker="&amp;$F98&amp;","&amp;$E98,"Open")))</f>
        <v/>
      </c>
      <c r="Q98" s="4"/>
      <c r="R98" s="4"/>
      <c r="W98" s="6" t="str">
        <f t="shared" si="6"/>
        <v/>
      </c>
      <c r="X98" s="6" t="str">
        <f t="shared" si="7"/>
        <v/>
      </c>
      <c r="Y98" s="6" t="str">
        <f t="shared" si="8"/>
        <v/>
      </c>
      <c r="Z98" s="6" t="str">
        <f t="shared" si="9"/>
        <v/>
      </c>
      <c r="AA98" s="6" t="str">
        <f t="shared" si="10"/>
        <v/>
      </c>
      <c r="AB98" s="6" t="str">
        <f t="shared" si="11"/>
        <v/>
      </c>
      <c r="AC98" s="4"/>
      <c r="AD98" s="4"/>
    </row>
    <row r="99" spans="1:30" x14ac:dyDescent="0.45">
      <c r="A99" s="3"/>
      <c r="B99" s="3"/>
      <c r="C99" s="5" t="str">
        <f>IF($E99="","",COUNT($E$2:$E99))</f>
        <v/>
      </c>
      <c r="D99" s="3"/>
      <c r="E99" s="3"/>
      <c r="F99" s="3"/>
      <c r="G99" s="3"/>
      <c r="H99" s="3"/>
      <c r="I99" s="3"/>
      <c r="J99" s="3"/>
      <c r="K99" s="3"/>
      <c r="L99" s="4"/>
      <c r="M99" s="6" t="str">
        <f>IF(OR($E99="",$F99=""),"",IF(_xlfn.SINGLE(JobState)="",IF(ROW()=2,HYPERLINK("#JobState","Set State →"),""),HYPERLINK(IF(OR(_xlfn.SINGLE(JobState)="MI",_xlfn.SINGLE(JobState)=""),"https://fema.maps.arcgis.com/apps/mapviewer/index.html?webmap=6a1702b9147243d1a5ee62cd614bc681&amp;center="&amp;$F99&amp;","&amp;$E99&amp;"&amp;level=16&amp;marker="&amp;$F99&amp;","&amp;$E99&amp;"",IF(_xlfn.SINGLE(JobState)="IN","https://fema.maps.arcgis.com/apps/mapviewer/index.html?url=https%3A%2F%2Fgis.indot.in.gov%2Fro%2Frest%2Fservices%2FRAH_GIO_Collaboration%2FLRSE_Functional_Class%2FFeatureServer%2F22&amp;find="&amp;$F99&amp;"%2C"&amp;$E99&amp;"&amp;marker="&amp;$F99&amp;","&amp;$E99&amp;",4326&amp;level=16",IF(_xlfn.SINGLE(JobState)="WI","https://fema.maps.arcgis.com/apps/mapviewer/index.html?url=https://services5.arcgis.com/0pgGLzT0Nh7FVjon/arcgis/rest/services/Functional_Class_Local_Non_Prod/FeatureServer/1&amp;find="&amp;$F99&amp;"%2C"&amp;$E99&amp;"&amp;marker="&amp;$F99&amp;","&amp;$E99&amp;",4326&amp;level=16",IF(_xlfn.SINGLE(JobState)="MN","https://fema.maps.arcgis.com/apps/mapviewer/index.html?url=https%3A%2F%2Fdotapp9.dot.state.mn.us%2Fegis12%2Frest%2Fservices%2FBASEMAP%2Fmndot_commonlayers2%2FMapServer%2F11&amp;find="&amp;$F99&amp;"%2C"&amp;$E99&amp;"&amp;marker="&amp;$F99&amp;","&amp;$E99&amp;",4326&amp;level=16",IF(_xlfn.SINGLE(JobState)="IL","https://fema.maps.arcgis.com/apps/mapviewer/index.html?url=https%3A%2F%2Fgis1.dot.illinois.gov%2Farcgis%2Frest%2Fservices%2FAdministrativeData%2FFunctionalClass%2FMapServer%2F0&amp;find="&amp;$F99&amp;"%2C"&amp;$E99&amp;"&amp;marker="&amp;$F99&amp;","&amp;$E99&amp;",4326&amp;level=16",IF(_xlfn.SINGLE(JobState)="OH","https://fema.maps.arcgis.com/apps/mapviewer/index.html?url=https%3A%2F%2Ftims.dot.state.oh.us%2Fags%2Frest%2Fservices%2FRoadway_Information%2FFunctional_Class%2FMapServer%2F0&amp;find="&amp;$F99&amp;"%2C"&amp;$E99&amp;"&amp;marker="&amp;$F99&amp;","&amp;$E99&amp;",4326&amp;level=16","https://fema.maps.arcgis.com/apps/mapviewer/index.html?find="&amp;$F99&amp;"%2C"&amp;$E99&amp;"&amp;marker="&amp;$F99&amp;","&amp;$E99&amp;",4326&amp;level=16")))))),IF(_xlfn.SINGLE(JobState)="WI","Review Local Roads Layer","Review NFC AGOL Layer"))))</f>
        <v/>
      </c>
      <c r="N99" s="6" t="str">
        <f>IF(OR($E99="",$F99=""),"",IF(_xlfn.SINGLE(JobState)="",IF(ROW()=2,HYPERLINK("#JobState","Set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99&amp;"%2C"&amp;$E99&amp;"&amp;marker="&amp;$F99&amp;","&amp;$E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9" s="6" t="str">
        <f>IF(OR($E99="", $F99=""),"",IF(_xlfn.SINGLE(JobAgolMap)="",HYPERLINK("https://fema.maps.arcgis.com/apps/mapviewer/index.html?find="&amp;$F99&amp;"%2C"&amp;$E99&amp;"&amp;marker="&amp;$F99&amp;","&amp;$E99&amp;",4326&amp;level=16","FEMA AGOL Map Viewer"),HYPERLINK(_xlfn.SINGLE(JobAgolMap)&amp;IF(ISNUMBER(FIND("?",_xlfn.SINGLE(JobAgolMap))),"&amp;","?")&amp;"center="&amp;$F99&amp;","&amp;$E99&amp;"&amp;level=16&amp;marker="&amp;$F99&amp;","&amp;$E99,"Open")))</f>
        <v/>
      </c>
      <c r="Q99" s="4"/>
      <c r="R99" s="4"/>
      <c r="W99" s="6" t="str">
        <f t="shared" si="6"/>
        <v/>
      </c>
      <c r="X99" s="6" t="str">
        <f t="shared" si="7"/>
        <v/>
      </c>
      <c r="Y99" s="6" t="str">
        <f t="shared" si="8"/>
        <v/>
      </c>
      <c r="Z99" s="6" t="str">
        <f t="shared" si="9"/>
        <v/>
      </c>
      <c r="AA99" s="6" t="str">
        <f t="shared" si="10"/>
        <v/>
      </c>
      <c r="AB99" s="6" t="str">
        <f t="shared" si="11"/>
        <v/>
      </c>
      <c r="AC99" s="4"/>
      <c r="AD99" s="4"/>
    </row>
    <row r="100" spans="1:30" x14ac:dyDescent="0.45">
      <c r="A100" s="3"/>
      <c r="B100" s="3"/>
      <c r="C100" s="5" t="str">
        <f>IF($E100="","",COUNT($E$2:$E100))</f>
        <v/>
      </c>
      <c r="D100" s="3"/>
      <c r="E100" s="3"/>
      <c r="F100" s="3"/>
      <c r="G100" s="3"/>
      <c r="H100" s="3"/>
      <c r="I100" s="3"/>
      <c r="J100" s="3"/>
      <c r="K100" s="3"/>
      <c r="L100" s="4"/>
      <c r="M100" s="6" t="str">
        <f>IF(OR($E100="",$F100=""),"",IF(_xlfn.SINGLE(JobState)="",IF(ROW()=2,HYPERLINK("#JobState","Set State →"),""),HYPERLINK(IF(OR(_xlfn.SINGLE(JobState)="MI",_xlfn.SINGLE(JobState)=""),"https://fema.maps.arcgis.com/apps/mapviewer/index.html?webmap=6a1702b9147243d1a5ee62cd614bc681&amp;center="&amp;$F100&amp;","&amp;$E100&amp;"&amp;level=16&amp;marker="&amp;$F100&amp;","&amp;$E100&amp;"",IF(_xlfn.SINGLE(JobState)="IN","https://fema.maps.arcgis.com/apps/mapviewer/index.html?url=https%3A%2F%2Fgis.indot.in.gov%2Fro%2Frest%2Fservices%2FRAH_GIO_Collaboration%2FLRSE_Functional_Class%2FFeatureServer%2F22&amp;find="&amp;$F100&amp;"%2C"&amp;$E100&amp;"&amp;marker="&amp;$F100&amp;","&amp;$E100&amp;",4326&amp;level=16",IF(_xlfn.SINGLE(JobState)="WI","https://fema.maps.arcgis.com/apps/mapviewer/index.html?url=https://services5.arcgis.com/0pgGLzT0Nh7FVjon/arcgis/rest/services/Functional_Class_Local_Non_Prod/FeatureServer/1&amp;find="&amp;$F100&amp;"%2C"&amp;$E100&amp;"&amp;marker="&amp;$F100&amp;","&amp;$E100&amp;",4326&amp;level=16",IF(_xlfn.SINGLE(JobState)="MN","https://fema.maps.arcgis.com/apps/mapviewer/index.html?url=https%3A%2F%2Fdotapp9.dot.state.mn.us%2Fegis12%2Frest%2Fservices%2FBASEMAP%2Fmndot_commonlayers2%2FMapServer%2F11&amp;find="&amp;$F100&amp;"%2C"&amp;$E100&amp;"&amp;marker="&amp;$F100&amp;","&amp;$E100&amp;",4326&amp;level=16",IF(_xlfn.SINGLE(JobState)="IL","https://fema.maps.arcgis.com/apps/mapviewer/index.html?url=https%3A%2F%2Fgis1.dot.illinois.gov%2Farcgis%2Frest%2Fservices%2FAdministrativeData%2FFunctionalClass%2FMapServer%2F0&amp;find="&amp;$F100&amp;"%2C"&amp;$E100&amp;"&amp;marker="&amp;$F100&amp;","&amp;$E100&amp;",4326&amp;level=16",IF(_xlfn.SINGLE(JobState)="OH","https://fema.maps.arcgis.com/apps/mapviewer/index.html?url=https%3A%2F%2Ftims.dot.state.oh.us%2Fags%2Frest%2Fservices%2FRoadway_Information%2FFunctional_Class%2FMapServer%2F0&amp;find="&amp;$F100&amp;"%2C"&amp;$E100&amp;"&amp;marker="&amp;$F100&amp;","&amp;$E100&amp;",4326&amp;level=16","https://fema.maps.arcgis.com/apps/mapviewer/index.html?find="&amp;$F100&amp;"%2C"&amp;$E100&amp;"&amp;marker="&amp;$F100&amp;","&amp;$E100&amp;",4326&amp;level=16")))))),IF(_xlfn.SINGLE(JobState)="WI","Review Local Roads Layer","Review NFC AGOL Layer"))))</f>
        <v/>
      </c>
      <c r="N100" s="6" t="str">
        <f>IF(OR($E100="",$F100=""),"",IF(_xlfn.SINGLE(JobState)="",IF(ROW()=2,HYPERLINK("#JobState","Set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100&amp;"%2C"&amp;$E100&amp;"&amp;marker="&amp;$F100&amp;","&amp;$E100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0" s="6" t="str">
        <f>IF(OR($E100="", $F100=""),"",IF(_xlfn.SINGLE(JobAgolMap)="",HYPERLINK("https://fema.maps.arcgis.com/apps/mapviewer/index.html?find="&amp;$F100&amp;"%2C"&amp;$E100&amp;"&amp;marker="&amp;$F100&amp;","&amp;$E100&amp;",4326&amp;level=16","FEMA AGOL Map Viewer"),HYPERLINK(_xlfn.SINGLE(JobAgolMap)&amp;IF(ISNUMBER(FIND("?",_xlfn.SINGLE(JobAgolMap))),"&amp;","?")&amp;"center="&amp;$F100&amp;","&amp;$E100&amp;"&amp;level=16&amp;marker="&amp;$F100&amp;","&amp;$E100,"Open")))</f>
        <v/>
      </c>
      <c r="Q100" s="4"/>
      <c r="R100" s="4"/>
      <c r="W100" s="6" t="str">
        <f t="shared" si="6"/>
        <v/>
      </c>
      <c r="X100" s="6" t="str">
        <f t="shared" si="7"/>
        <v/>
      </c>
      <c r="Y100" s="6" t="str">
        <f t="shared" si="8"/>
        <v/>
      </c>
      <c r="Z100" s="6" t="str">
        <f t="shared" si="9"/>
        <v/>
      </c>
      <c r="AA100" s="6" t="str">
        <f t="shared" si="10"/>
        <v/>
      </c>
      <c r="AB100" s="6" t="str">
        <f t="shared" si="11"/>
        <v/>
      </c>
      <c r="AC100" s="4"/>
      <c r="AD100" s="4"/>
    </row>
    <row r="101" spans="1:30" x14ac:dyDescent="0.45">
      <c r="A101" s="3"/>
      <c r="B101" s="3"/>
      <c r="C101" s="5" t="str">
        <f>IF($E101="","",COUNT($E$2:$E101))</f>
        <v/>
      </c>
      <c r="D101" s="3"/>
      <c r="E101" s="3"/>
      <c r="F101" s="3"/>
      <c r="G101" s="3"/>
      <c r="H101" s="3"/>
      <c r="I101" s="3"/>
      <c r="J101" s="3"/>
      <c r="K101" s="3"/>
      <c r="L101" s="4"/>
      <c r="M101" s="6" t="str">
        <f>IF(OR($E101="",$F101=""),"",IF(_xlfn.SINGLE(JobState)="",IF(ROW()=2,HYPERLINK("#JobState","Set State →"),""),HYPERLINK(IF(OR(_xlfn.SINGLE(JobState)="MI",_xlfn.SINGLE(JobState)=""),"https://fema.maps.arcgis.com/apps/mapviewer/index.html?webmap=6a1702b9147243d1a5ee62cd614bc681&amp;center="&amp;$F101&amp;","&amp;$E101&amp;"&amp;level=16&amp;marker="&amp;$F101&amp;","&amp;$E101&amp;"",IF(_xlfn.SINGLE(JobState)="IN","https://fema.maps.arcgis.com/apps/mapviewer/index.html?url=https%3A%2F%2Fgis.indot.in.gov%2Fro%2Frest%2Fservices%2FRAH_GIO_Collaboration%2FLRSE_Functional_Class%2FFeatureServer%2F22&amp;find="&amp;$F101&amp;"%2C"&amp;$E101&amp;"&amp;marker="&amp;$F101&amp;","&amp;$E101&amp;",4326&amp;level=16",IF(_xlfn.SINGLE(JobState)="WI","https://fema.maps.arcgis.com/apps/mapviewer/index.html?url=https://services5.arcgis.com/0pgGLzT0Nh7FVjon/arcgis/rest/services/Functional_Class_Local_Non_Prod/FeatureServer/1&amp;find="&amp;$F101&amp;"%2C"&amp;$E101&amp;"&amp;marker="&amp;$F101&amp;","&amp;$E101&amp;",4326&amp;level=16",IF(_xlfn.SINGLE(JobState)="MN","https://fema.maps.arcgis.com/apps/mapviewer/index.html?url=https%3A%2F%2Fdotapp9.dot.state.mn.us%2Fegis12%2Frest%2Fservices%2FBASEMAP%2Fmndot_commonlayers2%2FMapServer%2F11&amp;find="&amp;$F101&amp;"%2C"&amp;$E101&amp;"&amp;marker="&amp;$F101&amp;","&amp;$E101&amp;",4326&amp;level=16",IF(_xlfn.SINGLE(JobState)="IL","https://fema.maps.arcgis.com/apps/mapviewer/index.html?url=https%3A%2F%2Fgis1.dot.illinois.gov%2Farcgis%2Frest%2Fservices%2FAdministrativeData%2FFunctionalClass%2FMapServer%2F0&amp;find="&amp;$F101&amp;"%2C"&amp;$E101&amp;"&amp;marker="&amp;$F101&amp;","&amp;$E101&amp;",4326&amp;level=16",IF(_xlfn.SINGLE(JobState)="OH","https://fema.maps.arcgis.com/apps/mapviewer/index.html?url=https%3A%2F%2Ftims.dot.state.oh.us%2Fags%2Frest%2Fservices%2FRoadway_Information%2FFunctional_Class%2FMapServer%2F0&amp;find="&amp;$F101&amp;"%2C"&amp;$E101&amp;"&amp;marker="&amp;$F101&amp;","&amp;$E101&amp;",4326&amp;level=16","https://fema.maps.arcgis.com/apps/mapviewer/index.html?find="&amp;$F101&amp;"%2C"&amp;$E101&amp;"&amp;marker="&amp;$F101&amp;","&amp;$E101&amp;",4326&amp;level=16")))))),IF(_xlfn.SINGLE(JobState)="WI","Review Local Roads Layer","Review NFC AGOL Layer"))))</f>
        <v/>
      </c>
      <c r="N101" s="6" t="str">
        <f>IF(OR($E101="",$F101=""),"",IF(_xlfn.SINGLE(JobState)="",IF(ROW()=2,HYPERLINK("#JobState","Set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101&amp;"%2C"&amp;$E101&amp;"&amp;marker="&amp;$F101&amp;","&amp;$E101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1" s="6" t="str">
        <f>IF(OR($E101="", $F101=""),"",IF(_xlfn.SINGLE(JobAgolMap)="",HYPERLINK("https://fema.maps.arcgis.com/apps/mapviewer/index.html?find="&amp;$F101&amp;"%2C"&amp;$E101&amp;"&amp;marker="&amp;$F101&amp;","&amp;$E101&amp;",4326&amp;level=16","FEMA AGOL Map Viewer"),HYPERLINK(_xlfn.SINGLE(JobAgolMap)&amp;IF(ISNUMBER(FIND("?",_xlfn.SINGLE(JobAgolMap))),"&amp;","?")&amp;"center="&amp;$F101&amp;","&amp;$E101&amp;"&amp;level=16&amp;marker="&amp;$F101&amp;","&amp;$E101,"Open")))</f>
        <v/>
      </c>
      <c r="Q101" s="4"/>
      <c r="R101" s="4"/>
      <c r="W101" s="6" t="str">
        <f t="shared" si="6"/>
        <v/>
      </c>
      <c r="X101" s="6" t="str">
        <f t="shared" si="7"/>
        <v/>
      </c>
      <c r="Y101" s="6" t="str">
        <f t="shared" si="8"/>
        <v/>
      </c>
      <c r="Z101" s="6" t="str">
        <f t="shared" si="9"/>
        <v/>
      </c>
      <c r="AA101" s="6" t="str">
        <f t="shared" si="10"/>
        <v/>
      </c>
      <c r="AB101" s="6" t="str">
        <f t="shared" si="11"/>
        <v/>
      </c>
      <c r="AC101" s="4"/>
      <c r="AD101" s="4"/>
    </row>
    <row r="102" spans="1:30" x14ac:dyDescent="0.45">
      <c r="A102" s="3"/>
      <c r="B102" s="3"/>
      <c r="C102" s="5" t="str">
        <f>IF($E102="","",COUNT($E$2:$E102))</f>
        <v/>
      </c>
      <c r="D102" s="3"/>
      <c r="E102" s="3"/>
      <c r="F102" s="3"/>
      <c r="G102" s="3"/>
      <c r="H102" s="3"/>
      <c r="I102" s="3"/>
      <c r="J102" s="3"/>
      <c r="K102" s="3"/>
      <c r="L102" s="4"/>
      <c r="M102" s="6" t="str">
        <f>IF(OR($E102="",$F102=""),"",IF(_xlfn.SINGLE(JobState)="",IF(ROW()=2,HYPERLINK("#JobState","Set State →"),""),HYPERLINK(IF(OR(_xlfn.SINGLE(JobState)="MI",_xlfn.SINGLE(JobState)=""),"https://fema.maps.arcgis.com/apps/mapviewer/index.html?webmap=6a1702b9147243d1a5ee62cd614bc681&amp;center="&amp;$F102&amp;","&amp;$E102&amp;"&amp;level=16&amp;marker="&amp;$F102&amp;","&amp;$E102&amp;"",IF(_xlfn.SINGLE(JobState)="IN","https://fema.maps.arcgis.com/apps/mapviewer/index.html?url=https%3A%2F%2Fgis.indot.in.gov%2Fro%2Frest%2Fservices%2FRAH_GIO_Collaboration%2FLRSE_Functional_Class%2FFeatureServer%2F22&amp;find="&amp;$F102&amp;"%2C"&amp;$E102&amp;"&amp;marker="&amp;$F102&amp;","&amp;$E102&amp;",4326&amp;level=16",IF(_xlfn.SINGLE(JobState)="WI","https://fema.maps.arcgis.com/apps/mapviewer/index.html?url=https://services5.arcgis.com/0pgGLzT0Nh7FVjon/arcgis/rest/services/Functional_Class_Local_Non_Prod/FeatureServer/1&amp;find="&amp;$F102&amp;"%2C"&amp;$E102&amp;"&amp;marker="&amp;$F102&amp;","&amp;$E102&amp;",4326&amp;level=16",IF(_xlfn.SINGLE(JobState)="MN","https://fema.maps.arcgis.com/apps/mapviewer/index.html?url=https%3A%2F%2Fdotapp9.dot.state.mn.us%2Fegis12%2Frest%2Fservices%2FBASEMAP%2Fmndot_commonlayers2%2FMapServer%2F11&amp;find="&amp;$F102&amp;"%2C"&amp;$E102&amp;"&amp;marker="&amp;$F102&amp;","&amp;$E102&amp;",4326&amp;level=16",IF(_xlfn.SINGLE(JobState)="IL","https://fema.maps.arcgis.com/apps/mapviewer/index.html?url=https%3A%2F%2Fgis1.dot.illinois.gov%2Farcgis%2Frest%2Fservices%2FAdministrativeData%2FFunctionalClass%2FMapServer%2F0&amp;find="&amp;$F102&amp;"%2C"&amp;$E102&amp;"&amp;marker="&amp;$F102&amp;","&amp;$E102&amp;",4326&amp;level=16",IF(_xlfn.SINGLE(JobState)="OH","https://fema.maps.arcgis.com/apps/mapviewer/index.html?url=https%3A%2F%2Ftims.dot.state.oh.us%2Fags%2Frest%2Fservices%2FRoadway_Information%2FFunctional_Class%2FMapServer%2F0&amp;find="&amp;$F102&amp;"%2C"&amp;$E102&amp;"&amp;marker="&amp;$F102&amp;","&amp;$E102&amp;",4326&amp;level=16","https://fema.maps.arcgis.com/apps/mapviewer/index.html?find="&amp;$F102&amp;"%2C"&amp;$E102&amp;"&amp;marker="&amp;$F102&amp;","&amp;$E102&amp;",4326&amp;level=16")))))),IF(_xlfn.SINGLE(JobState)="WI","Review Local Roads Layer","Review NFC AGOL Layer"))))</f>
        <v/>
      </c>
      <c r="N102" s="6" t="str">
        <f>IF(OR($E102="",$F102=""),"",IF(_xlfn.SINGLE(JobState)="",IF(ROW()=2,HYPERLINK("#JobState","Set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102&amp;"%2C"&amp;$E102&amp;"&amp;marker="&amp;$F102&amp;","&amp;$E102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2" s="6" t="str">
        <f>IF(OR($E102="", $F102=""),"",IF(_xlfn.SINGLE(JobAgolMap)="",HYPERLINK("https://fema.maps.arcgis.com/apps/mapviewer/index.html?find="&amp;$F102&amp;"%2C"&amp;$E102&amp;"&amp;marker="&amp;$F102&amp;","&amp;$E102&amp;",4326&amp;level=16","FEMA AGOL Map Viewer"),HYPERLINK(_xlfn.SINGLE(JobAgolMap)&amp;IF(ISNUMBER(FIND("?",_xlfn.SINGLE(JobAgolMap))),"&amp;","?")&amp;"center="&amp;$F102&amp;","&amp;$E102&amp;"&amp;level=16&amp;marker="&amp;$F102&amp;","&amp;$E102,"Open")))</f>
        <v/>
      </c>
      <c r="Q102" s="4"/>
      <c r="R102" s="4"/>
      <c r="W102" s="6" t="str">
        <f t="shared" si="6"/>
        <v/>
      </c>
      <c r="X102" s="6" t="str">
        <f t="shared" si="7"/>
        <v/>
      </c>
      <c r="Y102" s="6" t="str">
        <f t="shared" si="8"/>
        <v/>
      </c>
      <c r="Z102" s="6" t="str">
        <f t="shared" si="9"/>
        <v/>
      </c>
      <c r="AA102" s="6" t="str">
        <f t="shared" si="10"/>
        <v/>
      </c>
      <c r="AB102" s="6" t="str">
        <f t="shared" si="11"/>
        <v/>
      </c>
      <c r="AC102" s="4"/>
      <c r="AD102" s="4"/>
    </row>
    <row r="103" spans="1:30" x14ac:dyDescent="0.45">
      <c r="A103" s="3"/>
      <c r="B103" s="3"/>
      <c r="C103" s="5" t="str">
        <f>IF($E103="","",COUNT($E$2:$E103))</f>
        <v/>
      </c>
      <c r="D103" s="3"/>
      <c r="E103" s="3"/>
      <c r="F103" s="3"/>
      <c r="G103" s="3"/>
      <c r="H103" s="3"/>
      <c r="I103" s="3"/>
      <c r="J103" s="3"/>
      <c r="K103" s="3"/>
      <c r="L103" s="4"/>
      <c r="M103" s="6" t="str">
        <f>IF(OR($E103="",$F103=""),"",IF(_xlfn.SINGLE(JobState)="",IF(ROW()=2,HYPERLINK("#JobState","Set State →"),""),HYPERLINK(IF(OR(_xlfn.SINGLE(JobState)="MI",_xlfn.SINGLE(JobState)=""),"https://fema.maps.arcgis.com/apps/mapviewer/index.html?webmap=6a1702b9147243d1a5ee62cd614bc681&amp;center="&amp;$F103&amp;","&amp;$E103&amp;"&amp;level=16&amp;marker="&amp;$F103&amp;","&amp;$E103&amp;"",IF(_xlfn.SINGLE(JobState)="IN","https://fema.maps.arcgis.com/apps/mapviewer/index.html?url=https%3A%2F%2Fgis.indot.in.gov%2Fro%2Frest%2Fservices%2FRAH_GIO_Collaboration%2FLRSE_Functional_Class%2FFeatureServer%2F22&amp;find="&amp;$F103&amp;"%2C"&amp;$E103&amp;"&amp;marker="&amp;$F103&amp;","&amp;$E103&amp;",4326&amp;level=16",IF(_xlfn.SINGLE(JobState)="WI","https://fema.maps.arcgis.com/apps/mapviewer/index.html?url=https://services5.arcgis.com/0pgGLzT0Nh7FVjon/arcgis/rest/services/Functional_Class_Local_Non_Prod/FeatureServer/1&amp;find="&amp;$F103&amp;"%2C"&amp;$E103&amp;"&amp;marker="&amp;$F103&amp;","&amp;$E103&amp;",4326&amp;level=16",IF(_xlfn.SINGLE(JobState)="MN","https://fema.maps.arcgis.com/apps/mapviewer/index.html?url=https%3A%2F%2Fdotapp9.dot.state.mn.us%2Fegis12%2Frest%2Fservices%2FBASEMAP%2Fmndot_commonlayers2%2FMapServer%2F11&amp;find="&amp;$F103&amp;"%2C"&amp;$E103&amp;"&amp;marker="&amp;$F103&amp;","&amp;$E103&amp;",4326&amp;level=16",IF(_xlfn.SINGLE(JobState)="IL","https://fema.maps.arcgis.com/apps/mapviewer/index.html?url=https%3A%2F%2Fgis1.dot.illinois.gov%2Farcgis%2Frest%2Fservices%2FAdministrativeData%2FFunctionalClass%2FMapServer%2F0&amp;find="&amp;$F103&amp;"%2C"&amp;$E103&amp;"&amp;marker="&amp;$F103&amp;","&amp;$E103&amp;",4326&amp;level=16",IF(_xlfn.SINGLE(JobState)="OH","https://fema.maps.arcgis.com/apps/mapviewer/index.html?url=https%3A%2F%2Ftims.dot.state.oh.us%2Fags%2Frest%2Fservices%2FRoadway_Information%2FFunctional_Class%2FMapServer%2F0&amp;find="&amp;$F103&amp;"%2C"&amp;$E103&amp;"&amp;marker="&amp;$F103&amp;","&amp;$E103&amp;",4326&amp;level=16","https://fema.maps.arcgis.com/apps/mapviewer/index.html?find="&amp;$F103&amp;"%2C"&amp;$E103&amp;"&amp;marker="&amp;$F103&amp;","&amp;$E103&amp;",4326&amp;level=16")))))),IF(_xlfn.SINGLE(JobState)="WI","Review Local Roads Layer","Review NFC AGOL Layer"))))</f>
        <v/>
      </c>
      <c r="N103" s="6" t="str">
        <f>IF(OR($E103="",$F103=""),"",IF(_xlfn.SINGLE(JobState)="",IF(ROW()=2,HYPERLINK("#JobState","Set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103&amp;"%2C"&amp;$E103&amp;"&amp;marker="&amp;$F103&amp;","&amp;$E103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3" s="6" t="str">
        <f>IF(OR($E103="", $F103=""),"",IF(_xlfn.SINGLE(JobAgolMap)="",HYPERLINK("https://fema.maps.arcgis.com/apps/mapviewer/index.html?find="&amp;$F103&amp;"%2C"&amp;$E103&amp;"&amp;marker="&amp;$F103&amp;","&amp;$E103&amp;",4326&amp;level=16","FEMA AGOL Map Viewer"),HYPERLINK(_xlfn.SINGLE(JobAgolMap)&amp;IF(ISNUMBER(FIND("?",_xlfn.SINGLE(JobAgolMap))),"&amp;","?")&amp;"center="&amp;$F103&amp;","&amp;$E103&amp;"&amp;level=16&amp;marker="&amp;$F103&amp;","&amp;$E103,"Open")))</f>
        <v/>
      </c>
      <c r="Q103" s="4"/>
      <c r="R103" s="4"/>
      <c r="W103" s="6" t="str">
        <f t="shared" si="6"/>
        <v/>
      </c>
      <c r="X103" s="6" t="str">
        <f t="shared" si="7"/>
        <v/>
      </c>
      <c r="Y103" s="6" t="str">
        <f t="shared" si="8"/>
        <v/>
      </c>
      <c r="Z103" s="6" t="str">
        <f t="shared" si="9"/>
        <v/>
      </c>
      <c r="AA103" s="6" t="str">
        <f t="shared" si="10"/>
        <v/>
      </c>
      <c r="AB103" s="6" t="str">
        <f t="shared" si="11"/>
        <v/>
      </c>
      <c r="AC103" s="4"/>
      <c r="AD103" s="4"/>
    </row>
    <row r="104" spans="1:30" x14ac:dyDescent="0.45">
      <c r="A104" s="3"/>
      <c r="B104" s="3"/>
      <c r="C104" s="5" t="str">
        <f>IF($E104="","",COUNT($E$2:$E104))</f>
        <v/>
      </c>
      <c r="D104" s="3"/>
      <c r="E104" s="3"/>
      <c r="F104" s="3"/>
      <c r="G104" s="3"/>
      <c r="H104" s="3"/>
      <c r="I104" s="3"/>
      <c r="J104" s="3"/>
      <c r="K104" s="3"/>
      <c r="L104" s="4"/>
      <c r="M104" s="6" t="str">
        <f>IF(OR($E104="",$F104=""),"",IF(_xlfn.SINGLE(JobState)="",IF(ROW()=2,HYPERLINK("#JobState","Set State →"),""),HYPERLINK(IF(OR(_xlfn.SINGLE(JobState)="MI",_xlfn.SINGLE(JobState)=""),"https://fema.maps.arcgis.com/apps/mapviewer/index.html?webmap=6a1702b9147243d1a5ee62cd614bc681&amp;center="&amp;$F104&amp;","&amp;$E104&amp;"&amp;level=16&amp;marker="&amp;$F104&amp;","&amp;$E104&amp;"",IF(_xlfn.SINGLE(JobState)="IN","https://fema.maps.arcgis.com/apps/mapviewer/index.html?url=https%3A%2F%2Fgis.indot.in.gov%2Fro%2Frest%2Fservices%2FRAH_GIO_Collaboration%2FLRSE_Functional_Class%2FFeatureServer%2F22&amp;find="&amp;$F104&amp;"%2C"&amp;$E104&amp;"&amp;marker="&amp;$F104&amp;","&amp;$E104&amp;",4326&amp;level=16",IF(_xlfn.SINGLE(JobState)="WI","https://fema.maps.arcgis.com/apps/mapviewer/index.html?url=https://services5.arcgis.com/0pgGLzT0Nh7FVjon/arcgis/rest/services/Functional_Class_Local_Non_Prod/FeatureServer/1&amp;find="&amp;$F104&amp;"%2C"&amp;$E104&amp;"&amp;marker="&amp;$F104&amp;","&amp;$E104&amp;",4326&amp;level=16",IF(_xlfn.SINGLE(JobState)="MN","https://fema.maps.arcgis.com/apps/mapviewer/index.html?url=https%3A%2F%2Fdotapp9.dot.state.mn.us%2Fegis12%2Frest%2Fservices%2FBASEMAP%2Fmndot_commonlayers2%2FMapServer%2F11&amp;find="&amp;$F104&amp;"%2C"&amp;$E104&amp;"&amp;marker="&amp;$F104&amp;","&amp;$E104&amp;",4326&amp;level=16",IF(_xlfn.SINGLE(JobState)="IL","https://fema.maps.arcgis.com/apps/mapviewer/index.html?url=https%3A%2F%2Fgis1.dot.illinois.gov%2Farcgis%2Frest%2Fservices%2FAdministrativeData%2FFunctionalClass%2FMapServer%2F0&amp;find="&amp;$F104&amp;"%2C"&amp;$E104&amp;"&amp;marker="&amp;$F104&amp;","&amp;$E104&amp;",4326&amp;level=16",IF(_xlfn.SINGLE(JobState)="OH","https://fema.maps.arcgis.com/apps/mapviewer/index.html?url=https%3A%2F%2Ftims.dot.state.oh.us%2Fags%2Frest%2Fservices%2FRoadway_Information%2FFunctional_Class%2FMapServer%2F0&amp;find="&amp;$F104&amp;"%2C"&amp;$E104&amp;"&amp;marker="&amp;$F104&amp;","&amp;$E104&amp;",4326&amp;level=16","https://fema.maps.arcgis.com/apps/mapviewer/index.html?find="&amp;$F104&amp;"%2C"&amp;$E104&amp;"&amp;marker="&amp;$F104&amp;","&amp;$E104&amp;",4326&amp;level=16")))))),IF(_xlfn.SINGLE(JobState)="WI","Review Local Roads Layer","Review NFC AGOL Layer"))))</f>
        <v/>
      </c>
      <c r="N104" s="6" t="str">
        <f>IF(OR($E104="",$F104=""),"",IF(_xlfn.SINGLE(JobState)="",IF(ROW()=2,HYPERLINK("#JobState","Set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104&amp;"%2C"&amp;$E104&amp;"&amp;marker="&amp;$F104&amp;","&amp;$E104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4" s="6" t="str">
        <f>IF(OR($E104="", $F104=""),"",IF(_xlfn.SINGLE(JobAgolMap)="",HYPERLINK("https://fema.maps.arcgis.com/apps/mapviewer/index.html?find="&amp;$F104&amp;"%2C"&amp;$E104&amp;"&amp;marker="&amp;$F104&amp;","&amp;$E104&amp;",4326&amp;level=16","FEMA AGOL Map Viewer"),HYPERLINK(_xlfn.SINGLE(JobAgolMap)&amp;IF(ISNUMBER(FIND("?",_xlfn.SINGLE(JobAgolMap))),"&amp;","?")&amp;"center="&amp;$F104&amp;","&amp;$E104&amp;"&amp;level=16&amp;marker="&amp;$F104&amp;","&amp;$E104,"Open")))</f>
        <v/>
      </c>
      <c r="Q104" s="4"/>
      <c r="R104" s="4"/>
      <c r="W104" s="6" t="str">
        <f t="shared" si="6"/>
        <v/>
      </c>
      <c r="X104" s="6" t="str">
        <f t="shared" si="7"/>
        <v/>
      </c>
      <c r="Y104" s="6" t="str">
        <f t="shared" si="8"/>
        <v/>
      </c>
      <c r="Z104" s="6" t="str">
        <f t="shared" si="9"/>
        <v/>
      </c>
      <c r="AA104" s="6" t="str">
        <f t="shared" si="10"/>
        <v/>
      </c>
      <c r="AB104" s="6" t="str">
        <f t="shared" si="11"/>
        <v/>
      </c>
      <c r="AC104" s="4"/>
      <c r="AD104" s="4"/>
    </row>
    <row r="105" spans="1:30" x14ac:dyDescent="0.45">
      <c r="A105" s="3"/>
      <c r="B105" s="3"/>
      <c r="C105" s="5" t="str">
        <f>IF($E105="","",COUNT($E$2:$E105))</f>
        <v/>
      </c>
      <c r="D105" s="3"/>
      <c r="E105" s="3"/>
      <c r="F105" s="3"/>
      <c r="G105" s="3"/>
      <c r="H105" s="3"/>
      <c r="I105" s="3"/>
      <c r="J105" s="3"/>
      <c r="K105" s="3"/>
      <c r="L105" s="4"/>
      <c r="M105" s="6" t="str">
        <f>IF(OR($E105="",$F105=""),"",IF(_xlfn.SINGLE(JobState)="",IF(ROW()=2,HYPERLINK("#JobState","Set State →"),""),HYPERLINK(IF(OR(_xlfn.SINGLE(JobState)="MI",_xlfn.SINGLE(JobState)=""),"https://fema.maps.arcgis.com/apps/mapviewer/index.html?webmap=6a1702b9147243d1a5ee62cd614bc681&amp;center="&amp;$F105&amp;","&amp;$E105&amp;"&amp;level=16&amp;marker="&amp;$F105&amp;","&amp;$E105&amp;"",IF(_xlfn.SINGLE(JobState)="IN","https://fema.maps.arcgis.com/apps/mapviewer/index.html?url=https%3A%2F%2Fgis.indot.in.gov%2Fro%2Frest%2Fservices%2FRAH_GIO_Collaboration%2FLRSE_Functional_Class%2FFeatureServer%2F22&amp;find="&amp;$F105&amp;"%2C"&amp;$E105&amp;"&amp;marker="&amp;$F105&amp;","&amp;$E105&amp;",4326&amp;level=16",IF(_xlfn.SINGLE(JobState)="WI","https://fema.maps.arcgis.com/apps/mapviewer/index.html?url=https://services5.arcgis.com/0pgGLzT0Nh7FVjon/arcgis/rest/services/Functional_Class_Local_Non_Prod/FeatureServer/1&amp;find="&amp;$F105&amp;"%2C"&amp;$E105&amp;"&amp;marker="&amp;$F105&amp;","&amp;$E105&amp;",4326&amp;level=16",IF(_xlfn.SINGLE(JobState)="MN","https://fema.maps.arcgis.com/apps/mapviewer/index.html?url=https%3A%2F%2Fdotapp9.dot.state.mn.us%2Fegis12%2Frest%2Fservices%2FBASEMAP%2Fmndot_commonlayers2%2FMapServer%2F11&amp;find="&amp;$F105&amp;"%2C"&amp;$E105&amp;"&amp;marker="&amp;$F105&amp;","&amp;$E105&amp;",4326&amp;level=16",IF(_xlfn.SINGLE(JobState)="IL","https://fema.maps.arcgis.com/apps/mapviewer/index.html?url=https%3A%2F%2Fgis1.dot.illinois.gov%2Farcgis%2Frest%2Fservices%2FAdministrativeData%2FFunctionalClass%2FMapServer%2F0&amp;find="&amp;$F105&amp;"%2C"&amp;$E105&amp;"&amp;marker="&amp;$F105&amp;","&amp;$E105&amp;",4326&amp;level=16",IF(_xlfn.SINGLE(JobState)="OH","https://fema.maps.arcgis.com/apps/mapviewer/index.html?url=https%3A%2F%2Ftims.dot.state.oh.us%2Fags%2Frest%2Fservices%2FRoadway_Information%2FFunctional_Class%2FMapServer%2F0&amp;find="&amp;$F105&amp;"%2C"&amp;$E105&amp;"&amp;marker="&amp;$F105&amp;","&amp;$E105&amp;",4326&amp;level=16","https://fema.maps.arcgis.com/apps/mapviewer/index.html?find="&amp;$F105&amp;"%2C"&amp;$E105&amp;"&amp;marker="&amp;$F105&amp;","&amp;$E105&amp;",4326&amp;level=16")))))),IF(_xlfn.SINGLE(JobState)="WI","Review Local Roads Layer","Review NFC AGOL Layer"))))</f>
        <v/>
      </c>
      <c r="N105" s="6" t="str">
        <f>IF(OR($E105="",$F105=""),"",IF(_xlfn.SINGLE(JobState)="",IF(ROW()=2,HYPERLINK("#JobState","Set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105&amp;"%2C"&amp;$E105&amp;"&amp;marker="&amp;$F105&amp;","&amp;$E105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5" s="6" t="str">
        <f>IF(OR($E105="", $F105=""),"",IF(_xlfn.SINGLE(JobAgolMap)="",HYPERLINK("https://fema.maps.arcgis.com/apps/mapviewer/index.html?find="&amp;$F105&amp;"%2C"&amp;$E105&amp;"&amp;marker="&amp;$F105&amp;","&amp;$E105&amp;",4326&amp;level=16","FEMA AGOL Map Viewer"),HYPERLINK(_xlfn.SINGLE(JobAgolMap)&amp;IF(ISNUMBER(FIND("?",_xlfn.SINGLE(JobAgolMap))),"&amp;","?")&amp;"center="&amp;$F105&amp;","&amp;$E105&amp;"&amp;level=16&amp;marker="&amp;$F105&amp;","&amp;$E105,"Open")))</f>
        <v/>
      </c>
      <c r="Q105" s="4"/>
      <c r="R105" s="4"/>
      <c r="W105" s="6" t="str">
        <f t="shared" si="6"/>
        <v/>
      </c>
      <c r="X105" s="6" t="str">
        <f t="shared" si="7"/>
        <v/>
      </c>
      <c r="Y105" s="6" t="str">
        <f t="shared" si="8"/>
        <v/>
      </c>
      <c r="Z105" s="6" t="str">
        <f t="shared" si="9"/>
        <v/>
      </c>
      <c r="AA105" s="6" t="str">
        <f t="shared" si="10"/>
        <v/>
      </c>
      <c r="AB105" s="6" t="str">
        <f t="shared" si="11"/>
        <v/>
      </c>
      <c r="AC105" s="4"/>
      <c r="AD105" s="4"/>
    </row>
    <row r="106" spans="1:30" x14ac:dyDescent="0.45">
      <c r="A106" s="3"/>
      <c r="B106" s="3"/>
      <c r="C106" s="5" t="str">
        <f>IF($E106="","",COUNT($E$2:$E106))</f>
        <v/>
      </c>
      <c r="D106" s="3"/>
      <c r="E106" s="3"/>
      <c r="F106" s="3"/>
      <c r="G106" s="3"/>
      <c r="H106" s="3"/>
      <c r="I106" s="3"/>
      <c r="J106" s="3"/>
      <c r="K106" s="3"/>
      <c r="L106" s="4"/>
      <c r="M106" s="6" t="str">
        <f>IF(OR($E106="",$F106=""),"",IF(_xlfn.SINGLE(JobState)="",IF(ROW()=2,HYPERLINK("#JobState","Set State →"),""),HYPERLINK(IF(OR(_xlfn.SINGLE(JobState)="MI",_xlfn.SINGLE(JobState)=""),"https://fema.maps.arcgis.com/apps/mapviewer/index.html?webmap=6a1702b9147243d1a5ee62cd614bc681&amp;center="&amp;$F106&amp;","&amp;$E106&amp;"&amp;level=16&amp;marker="&amp;$F106&amp;","&amp;$E106&amp;"",IF(_xlfn.SINGLE(JobState)="IN","https://fema.maps.arcgis.com/apps/mapviewer/index.html?url=https%3A%2F%2Fgis.indot.in.gov%2Fro%2Frest%2Fservices%2FRAH_GIO_Collaboration%2FLRSE_Functional_Class%2FFeatureServer%2F22&amp;find="&amp;$F106&amp;"%2C"&amp;$E106&amp;"&amp;marker="&amp;$F106&amp;","&amp;$E106&amp;",4326&amp;level=16",IF(_xlfn.SINGLE(JobState)="WI","https://fema.maps.arcgis.com/apps/mapviewer/index.html?url=https://services5.arcgis.com/0pgGLzT0Nh7FVjon/arcgis/rest/services/Functional_Class_Local_Non_Prod/FeatureServer/1&amp;find="&amp;$F106&amp;"%2C"&amp;$E106&amp;"&amp;marker="&amp;$F106&amp;","&amp;$E106&amp;",4326&amp;level=16",IF(_xlfn.SINGLE(JobState)="MN","https://fema.maps.arcgis.com/apps/mapviewer/index.html?url=https%3A%2F%2Fdotapp9.dot.state.mn.us%2Fegis12%2Frest%2Fservices%2FBASEMAP%2Fmndot_commonlayers2%2FMapServer%2F11&amp;find="&amp;$F106&amp;"%2C"&amp;$E106&amp;"&amp;marker="&amp;$F106&amp;","&amp;$E106&amp;",4326&amp;level=16",IF(_xlfn.SINGLE(JobState)="IL","https://fema.maps.arcgis.com/apps/mapviewer/index.html?url=https%3A%2F%2Fgis1.dot.illinois.gov%2Farcgis%2Frest%2Fservices%2FAdministrativeData%2FFunctionalClass%2FMapServer%2F0&amp;find="&amp;$F106&amp;"%2C"&amp;$E106&amp;"&amp;marker="&amp;$F106&amp;","&amp;$E106&amp;",4326&amp;level=16",IF(_xlfn.SINGLE(JobState)="OH","https://fema.maps.arcgis.com/apps/mapviewer/index.html?url=https%3A%2F%2Ftims.dot.state.oh.us%2Fags%2Frest%2Fservices%2FRoadway_Information%2FFunctional_Class%2FMapServer%2F0&amp;find="&amp;$F106&amp;"%2C"&amp;$E106&amp;"&amp;marker="&amp;$F106&amp;","&amp;$E106&amp;",4326&amp;level=16","https://fema.maps.arcgis.com/apps/mapviewer/index.html?find="&amp;$F106&amp;"%2C"&amp;$E106&amp;"&amp;marker="&amp;$F106&amp;","&amp;$E106&amp;",4326&amp;level=16")))))),IF(_xlfn.SINGLE(JobState)="WI","Review Local Roads Layer","Review NFC AGOL Layer"))))</f>
        <v/>
      </c>
      <c r="N106" s="6" t="str">
        <f>IF(OR($E106="",$F106=""),"",IF(_xlfn.SINGLE(JobState)="",IF(ROW()=2,HYPERLINK("#JobState","Set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106&amp;"%2C"&amp;$E106&amp;"&amp;marker="&amp;$F106&amp;","&amp;$E106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6" s="6" t="str">
        <f>IF(OR($E106="", $F106=""),"",IF(_xlfn.SINGLE(JobAgolMap)="",HYPERLINK("https://fema.maps.arcgis.com/apps/mapviewer/index.html?find="&amp;$F106&amp;"%2C"&amp;$E106&amp;"&amp;marker="&amp;$F106&amp;","&amp;$E106&amp;",4326&amp;level=16","FEMA AGOL Map Viewer"),HYPERLINK(_xlfn.SINGLE(JobAgolMap)&amp;IF(ISNUMBER(FIND("?",_xlfn.SINGLE(JobAgolMap))),"&amp;","?")&amp;"center="&amp;$F106&amp;","&amp;$E106&amp;"&amp;level=16&amp;marker="&amp;$F106&amp;","&amp;$E106,"Open")))</f>
        <v/>
      </c>
      <c r="Q106" s="4"/>
      <c r="R106" s="4"/>
      <c r="W106" s="6" t="str">
        <f t="shared" si="6"/>
        <v/>
      </c>
      <c r="X106" s="6" t="str">
        <f t="shared" si="7"/>
        <v/>
      </c>
      <c r="Y106" s="6" t="str">
        <f t="shared" si="8"/>
        <v/>
      </c>
      <c r="Z106" s="6" t="str">
        <f t="shared" si="9"/>
        <v/>
      </c>
      <c r="AA106" s="6" t="str">
        <f t="shared" si="10"/>
        <v/>
      </c>
      <c r="AB106" s="6" t="str">
        <f t="shared" si="11"/>
        <v/>
      </c>
      <c r="AC106" s="4"/>
      <c r="AD106" s="4"/>
    </row>
    <row r="107" spans="1:30" x14ac:dyDescent="0.45">
      <c r="A107" s="3"/>
      <c r="B107" s="3"/>
      <c r="C107" s="5" t="str">
        <f>IF($E107="","",COUNT($E$2:$E107))</f>
        <v/>
      </c>
      <c r="D107" s="3"/>
      <c r="E107" s="3"/>
      <c r="F107" s="3"/>
      <c r="G107" s="3"/>
      <c r="H107" s="3"/>
      <c r="I107" s="3"/>
      <c r="J107" s="3"/>
      <c r="K107" s="3"/>
      <c r="L107" s="4"/>
      <c r="M107" s="6" t="str">
        <f>IF(OR($E107="",$F107=""),"",IF(_xlfn.SINGLE(JobState)="",IF(ROW()=2,HYPERLINK("#JobState","Set State →"),""),HYPERLINK(IF(OR(_xlfn.SINGLE(JobState)="MI",_xlfn.SINGLE(JobState)=""),"https://fema.maps.arcgis.com/apps/mapviewer/index.html?webmap=6a1702b9147243d1a5ee62cd614bc681&amp;center="&amp;$F107&amp;","&amp;$E107&amp;"&amp;level=16&amp;marker="&amp;$F107&amp;","&amp;$E107&amp;"",IF(_xlfn.SINGLE(JobState)="IN","https://fema.maps.arcgis.com/apps/mapviewer/index.html?url=https%3A%2F%2Fgis.indot.in.gov%2Fro%2Frest%2Fservices%2FRAH_GIO_Collaboration%2FLRSE_Functional_Class%2FFeatureServer%2F22&amp;find="&amp;$F107&amp;"%2C"&amp;$E107&amp;"&amp;marker="&amp;$F107&amp;","&amp;$E107&amp;",4326&amp;level=16",IF(_xlfn.SINGLE(JobState)="WI","https://fema.maps.arcgis.com/apps/mapviewer/index.html?url=https://services5.arcgis.com/0pgGLzT0Nh7FVjon/arcgis/rest/services/Functional_Class_Local_Non_Prod/FeatureServer/1&amp;find="&amp;$F107&amp;"%2C"&amp;$E107&amp;"&amp;marker="&amp;$F107&amp;","&amp;$E107&amp;",4326&amp;level=16",IF(_xlfn.SINGLE(JobState)="MN","https://fema.maps.arcgis.com/apps/mapviewer/index.html?url=https%3A%2F%2Fdotapp9.dot.state.mn.us%2Fegis12%2Frest%2Fservices%2FBASEMAP%2Fmndot_commonlayers2%2FMapServer%2F11&amp;find="&amp;$F107&amp;"%2C"&amp;$E107&amp;"&amp;marker="&amp;$F107&amp;","&amp;$E107&amp;",4326&amp;level=16",IF(_xlfn.SINGLE(JobState)="IL","https://fema.maps.arcgis.com/apps/mapviewer/index.html?url=https%3A%2F%2Fgis1.dot.illinois.gov%2Farcgis%2Frest%2Fservices%2FAdministrativeData%2FFunctionalClass%2FMapServer%2F0&amp;find="&amp;$F107&amp;"%2C"&amp;$E107&amp;"&amp;marker="&amp;$F107&amp;","&amp;$E107&amp;",4326&amp;level=16",IF(_xlfn.SINGLE(JobState)="OH","https://fema.maps.arcgis.com/apps/mapviewer/index.html?url=https%3A%2F%2Ftims.dot.state.oh.us%2Fags%2Frest%2Fservices%2FRoadway_Information%2FFunctional_Class%2FMapServer%2F0&amp;find="&amp;$F107&amp;"%2C"&amp;$E107&amp;"&amp;marker="&amp;$F107&amp;","&amp;$E107&amp;",4326&amp;level=16","https://fema.maps.arcgis.com/apps/mapviewer/index.html?find="&amp;$F107&amp;"%2C"&amp;$E107&amp;"&amp;marker="&amp;$F107&amp;","&amp;$E107&amp;",4326&amp;level=16")))))),IF(_xlfn.SINGLE(JobState)="WI","Review Local Roads Layer","Review NFC AGOL Layer"))))</f>
        <v/>
      </c>
      <c r="N107" s="6" t="str">
        <f>IF(OR($E107="",$F107=""),"",IF(_xlfn.SINGLE(JobState)="",IF(ROW()=2,HYPERLINK("#JobState","Set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107&amp;"%2C"&amp;$E107&amp;"&amp;marker="&amp;$F107&amp;","&amp;$E107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7" s="6" t="str">
        <f>IF(OR($E107="", $F107=""),"",IF(_xlfn.SINGLE(JobAgolMap)="",HYPERLINK("https://fema.maps.arcgis.com/apps/mapviewer/index.html?find="&amp;$F107&amp;"%2C"&amp;$E107&amp;"&amp;marker="&amp;$F107&amp;","&amp;$E107&amp;",4326&amp;level=16","FEMA AGOL Map Viewer"),HYPERLINK(_xlfn.SINGLE(JobAgolMap)&amp;IF(ISNUMBER(FIND("?",_xlfn.SINGLE(JobAgolMap))),"&amp;","?")&amp;"center="&amp;$F107&amp;","&amp;$E107&amp;"&amp;level=16&amp;marker="&amp;$F107&amp;","&amp;$E107,"Open")))</f>
        <v/>
      </c>
      <c r="Q107" s="4"/>
      <c r="R107" s="4"/>
      <c r="W107" s="6" t="str">
        <f t="shared" si="6"/>
        <v/>
      </c>
      <c r="X107" s="6" t="str">
        <f t="shared" si="7"/>
        <v/>
      </c>
      <c r="Y107" s="6" t="str">
        <f t="shared" si="8"/>
        <v/>
      </c>
      <c r="Z107" s="6" t="str">
        <f t="shared" si="9"/>
        <v/>
      </c>
      <c r="AA107" s="6" t="str">
        <f t="shared" si="10"/>
        <v/>
      </c>
      <c r="AB107" s="6" t="str">
        <f t="shared" si="11"/>
        <v/>
      </c>
      <c r="AC107" s="4"/>
      <c r="AD107" s="4"/>
    </row>
    <row r="108" spans="1:30" x14ac:dyDescent="0.45">
      <c r="A108" s="3"/>
      <c r="B108" s="3"/>
      <c r="C108" s="5" t="str">
        <f>IF($E108="","",COUNT($E$2:$E108))</f>
        <v/>
      </c>
      <c r="D108" s="3"/>
      <c r="E108" s="3"/>
      <c r="F108" s="3"/>
      <c r="G108" s="3"/>
      <c r="H108" s="3"/>
      <c r="I108" s="3"/>
      <c r="J108" s="3"/>
      <c r="K108" s="3"/>
      <c r="L108" s="4"/>
      <c r="M108" s="6" t="str">
        <f>IF(OR($E108="",$F108=""),"",IF(_xlfn.SINGLE(JobState)="",IF(ROW()=2,HYPERLINK("#JobState","Set State →"),""),HYPERLINK(IF(OR(_xlfn.SINGLE(JobState)="MI",_xlfn.SINGLE(JobState)=""),"https://fema.maps.arcgis.com/apps/mapviewer/index.html?webmap=6a1702b9147243d1a5ee62cd614bc681&amp;center="&amp;$F108&amp;","&amp;$E108&amp;"&amp;level=16&amp;marker="&amp;$F108&amp;","&amp;$E108&amp;"",IF(_xlfn.SINGLE(JobState)="IN","https://fema.maps.arcgis.com/apps/mapviewer/index.html?url=https%3A%2F%2Fgis.indot.in.gov%2Fro%2Frest%2Fservices%2FRAH_GIO_Collaboration%2FLRSE_Functional_Class%2FFeatureServer%2F22&amp;find="&amp;$F108&amp;"%2C"&amp;$E108&amp;"&amp;marker="&amp;$F108&amp;","&amp;$E108&amp;",4326&amp;level=16",IF(_xlfn.SINGLE(JobState)="WI","https://fema.maps.arcgis.com/apps/mapviewer/index.html?url=https://services5.arcgis.com/0pgGLzT0Nh7FVjon/arcgis/rest/services/Functional_Class_Local_Non_Prod/FeatureServer/1&amp;find="&amp;$F108&amp;"%2C"&amp;$E108&amp;"&amp;marker="&amp;$F108&amp;","&amp;$E108&amp;",4326&amp;level=16",IF(_xlfn.SINGLE(JobState)="MN","https://fema.maps.arcgis.com/apps/mapviewer/index.html?url=https%3A%2F%2Fdotapp9.dot.state.mn.us%2Fegis12%2Frest%2Fservices%2FBASEMAP%2Fmndot_commonlayers2%2FMapServer%2F11&amp;find="&amp;$F108&amp;"%2C"&amp;$E108&amp;"&amp;marker="&amp;$F108&amp;","&amp;$E108&amp;",4326&amp;level=16",IF(_xlfn.SINGLE(JobState)="IL","https://fema.maps.arcgis.com/apps/mapviewer/index.html?url=https%3A%2F%2Fgis1.dot.illinois.gov%2Farcgis%2Frest%2Fservices%2FAdministrativeData%2FFunctionalClass%2FMapServer%2F0&amp;find="&amp;$F108&amp;"%2C"&amp;$E108&amp;"&amp;marker="&amp;$F108&amp;","&amp;$E108&amp;",4326&amp;level=16",IF(_xlfn.SINGLE(JobState)="OH","https://fema.maps.arcgis.com/apps/mapviewer/index.html?url=https%3A%2F%2Ftims.dot.state.oh.us%2Fags%2Frest%2Fservices%2FRoadway_Information%2FFunctional_Class%2FMapServer%2F0&amp;find="&amp;$F108&amp;"%2C"&amp;$E108&amp;"&amp;marker="&amp;$F108&amp;","&amp;$E108&amp;",4326&amp;level=16","https://fema.maps.arcgis.com/apps/mapviewer/index.html?find="&amp;$F108&amp;"%2C"&amp;$E108&amp;"&amp;marker="&amp;$F108&amp;","&amp;$E108&amp;",4326&amp;level=16")))))),IF(_xlfn.SINGLE(JobState)="WI","Review Local Roads Layer","Review NFC AGOL Layer"))))</f>
        <v/>
      </c>
      <c r="N108" s="6" t="str">
        <f>IF(OR($E108="",$F108=""),"",IF(_xlfn.SINGLE(JobState)="",IF(ROW()=2,HYPERLINK("#JobState","Set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108&amp;"%2C"&amp;$E108&amp;"&amp;marker="&amp;$F108&amp;","&amp;$E108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8" s="6" t="str">
        <f>IF(OR($E108="", $F108=""),"",IF(_xlfn.SINGLE(JobAgolMap)="",HYPERLINK("https://fema.maps.arcgis.com/apps/mapviewer/index.html?find="&amp;$F108&amp;"%2C"&amp;$E108&amp;"&amp;marker="&amp;$F108&amp;","&amp;$E108&amp;",4326&amp;level=16","FEMA AGOL Map Viewer"),HYPERLINK(_xlfn.SINGLE(JobAgolMap)&amp;IF(ISNUMBER(FIND("?",_xlfn.SINGLE(JobAgolMap))),"&amp;","?")&amp;"center="&amp;$F108&amp;","&amp;$E108&amp;"&amp;level=16&amp;marker="&amp;$F108&amp;","&amp;$E108,"Open")))</f>
        <v/>
      </c>
      <c r="Q108" s="4"/>
      <c r="R108" s="4"/>
      <c r="W108" s="6" t="str">
        <f t="shared" si="6"/>
        <v/>
      </c>
      <c r="X108" s="6" t="str">
        <f t="shared" si="7"/>
        <v/>
      </c>
      <c r="Y108" s="6" t="str">
        <f t="shared" si="8"/>
        <v/>
      </c>
      <c r="Z108" s="6" t="str">
        <f t="shared" si="9"/>
        <v/>
      </c>
      <c r="AA108" s="6" t="str">
        <f t="shared" si="10"/>
        <v/>
      </c>
      <c r="AB108" s="6" t="str">
        <f t="shared" si="11"/>
        <v/>
      </c>
      <c r="AC108" s="4"/>
      <c r="AD108" s="4"/>
    </row>
    <row r="109" spans="1:30" x14ac:dyDescent="0.45">
      <c r="A109" s="3"/>
      <c r="B109" s="3"/>
      <c r="C109" s="5" t="str">
        <f>IF($E109="","",COUNT($E$2:$E109))</f>
        <v/>
      </c>
      <c r="D109" s="3"/>
      <c r="E109" s="3"/>
      <c r="F109" s="3"/>
      <c r="G109" s="3"/>
      <c r="H109" s="3"/>
      <c r="I109" s="3"/>
      <c r="J109" s="3"/>
      <c r="K109" s="3"/>
      <c r="L109" s="4"/>
      <c r="M109" s="6" t="str">
        <f>IF(OR($E109="",$F109=""),"",IF(_xlfn.SINGLE(JobState)="",IF(ROW()=2,HYPERLINK("#JobState","Set State →"),""),HYPERLINK(IF(OR(_xlfn.SINGLE(JobState)="MI",_xlfn.SINGLE(JobState)=""),"https://fema.maps.arcgis.com/apps/mapviewer/index.html?webmap=6a1702b9147243d1a5ee62cd614bc681&amp;center="&amp;$F109&amp;","&amp;$E109&amp;"&amp;level=16&amp;marker="&amp;$F109&amp;","&amp;$E109&amp;"",IF(_xlfn.SINGLE(JobState)="IN","https://fema.maps.arcgis.com/apps/mapviewer/index.html?url=https%3A%2F%2Fgis.indot.in.gov%2Fro%2Frest%2Fservices%2FRAH_GIO_Collaboration%2FLRSE_Functional_Class%2FFeatureServer%2F22&amp;find="&amp;$F109&amp;"%2C"&amp;$E109&amp;"&amp;marker="&amp;$F109&amp;","&amp;$E109&amp;",4326&amp;level=16",IF(_xlfn.SINGLE(JobState)="WI","https://fema.maps.arcgis.com/apps/mapviewer/index.html?url=https://services5.arcgis.com/0pgGLzT0Nh7FVjon/arcgis/rest/services/Functional_Class_Local_Non_Prod/FeatureServer/1&amp;find="&amp;$F109&amp;"%2C"&amp;$E109&amp;"&amp;marker="&amp;$F109&amp;","&amp;$E109&amp;",4326&amp;level=16",IF(_xlfn.SINGLE(JobState)="MN","https://fema.maps.arcgis.com/apps/mapviewer/index.html?url=https%3A%2F%2Fdotapp9.dot.state.mn.us%2Fegis12%2Frest%2Fservices%2FBASEMAP%2Fmndot_commonlayers2%2FMapServer%2F11&amp;find="&amp;$F109&amp;"%2C"&amp;$E109&amp;"&amp;marker="&amp;$F109&amp;","&amp;$E109&amp;",4326&amp;level=16",IF(_xlfn.SINGLE(JobState)="IL","https://fema.maps.arcgis.com/apps/mapviewer/index.html?url=https%3A%2F%2Fgis1.dot.illinois.gov%2Farcgis%2Frest%2Fservices%2FAdministrativeData%2FFunctionalClass%2FMapServer%2F0&amp;find="&amp;$F109&amp;"%2C"&amp;$E109&amp;"&amp;marker="&amp;$F109&amp;","&amp;$E109&amp;",4326&amp;level=16",IF(_xlfn.SINGLE(JobState)="OH","https://fema.maps.arcgis.com/apps/mapviewer/index.html?url=https%3A%2F%2Ftims.dot.state.oh.us%2Fags%2Frest%2Fservices%2FRoadway_Information%2FFunctional_Class%2FMapServer%2F0&amp;find="&amp;$F109&amp;"%2C"&amp;$E109&amp;"&amp;marker="&amp;$F109&amp;","&amp;$E109&amp;",4326&amp;level=16","https://fema.maps.arcgis.com/apps/mapviewer/index.html?find="&amp;$F109&amp;"%2C"&amp;$E109&amp;"&amp;marker="&amp;$F109&amp;","&amp;$E109&amp;",4326&amp;level=16")))))),IF(_xlfn.SINGLE(JobState)="WI","Review Local Roads Layer","Review NFC AGOL Layer"))))</f>
        <v/>
      </c>
      <c r="N109" s="6" t="str">
        <f>IF(OR($E109="",$F109=""),"",IF(_xlfn.SINGLE(JobState)="",IF(ROW()=2,HYPERLINK("#JobState","Set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109&amp;"%2C"&amp;$E109&amp;"&amp;marker="&amp;$F109&amp;","&amp;$E109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9" s="6" t="str">
        <f>IF(OR($E109="", $F109=""),"",IF(_xlfn.SINGLE(JobAgolMap)="",HYPERLINK("https://fema.maps.arcgis.com/apps/mapviewer/index.html?find="&amp;$F109&amp;"%2C"&amp;$E109&amp;"&amp;marker="&amp;$F109&amp;","&amp;$E109&amp;",4326&amp;level=16","FEMA AGOL Map Viewer"),HYPERLINK(_xlfn.SINGLE(JobAgolMap)&amp;IF(ISNUMBER(FIND("?",_xlfn.SINGLE(JobAgolMap))),"&amp;","?")&amp;"center="&amp;$F109&amp;","&amp;$E109&amp;"&amp;level=16&amp;marker="&amp;$F109&amp;","&amp;$E109,"Open")))</f>
        <v/>
      </c>
      <c r="Q109" s="4"/>
      <c r="R109" s="4"/>
      <c r="W109" s="6" t="str">
        <f t="shared" si="6"/>
        <v/>
      </c>
      <c r="X109" s="6" t="str">
        <f t="shared" si="7"/>
        <v/>
      </c>
      <c r="Y109" s="6" t="str">
        <f t="shared" si="8"/>
        <v/>
      </c>
      <c r="Z109" s="6" t="str">
        <f t="shared" si="9"/>
        <v/>
      </c>
      <c r="AA109" s="6" t="str">
        <f t="shared" si="10"/>
        <v/>
      </c>
      <c r="AB109" s="6" t="str">
        <f t="shared" si="11"/>
        <v/>
      </c>
      <c r="AC109" s="4"/>
      <c r="AD109" s="4"/>
    </row>
    <row r="110" spans="1:30" x14ac:dyDescent="0.45">
      <c r="A110" s="3"/>
      <c r="B110" s="3"/>
      <c r="C110" s="5" t="str">
        <f>IF($E110="","",COUNT($E$2:$E110))</f>
        <v/>
      </c>
      <c r="D110" s="3"/>
      <c r="E110" s="3"/>
      <c r="F110" s="3"/>
      <c r="G110" s="3"/>
      <c r="H110" s="3"/>
      <c r="I110" s="3"/>
      <c r="J110" s="3"/>
      <c r="K110" s="3"/>
      <c r="L110" s="4"/>
      <c r="M110" s="6" t="str">
        <f>IF(OR($E110="",$F110=""),"",IF(_xlfn.SINGLE(JobState)="",IF(ROW()=2,HYPERLINK("#JobState","Set State →"),""),HYPERLINK(IF(OR(_xlfn.SINGLE(JobState)="MI",_xlfn.SINGLE(JobState)=""),"https://fema.maps.arcgis.com/apps/mapviewer/index.html?webmap=6a1702b9147243d1a5ee62cd614bc681&amp;center="&amp;$F110&amp;","&amp;$E110&amp;"&amp;level=16&amp;marker="&amp;$F110&amp;","&amp;$E110&amp;"",IF(_xlfn.SINGLE(JobState)="IN","https://fema.maps.arcgis.com/apps/mapviewer/index.html?url=https%3A%2F%2Fgis.indot.in.gov%2Fro%2Frest%2Fservices%2FRAH_GIO_Collaboration%2FLRSE_Functional_Class%2FFeatureServer%2F22&amp;find="&amp;$F110&amp;"%2C"&amp;$E110&amp;"&amp;marker="&amp;$F110&amp;","&amp;$E110&amp;",4326&amp;level=16",IF(_xlfn.SINGLE(JobState)="WI","https://fema.maps.arcgis.com/apps/mapviewer/index.html?url=https://services5.arcgis.com/0pgGLzT0Nh7FVjon/arcgis/rest/services/Functional_Class_Local_Non_Prod/FeatureServer/1&amp;find="&amp;$F110&amp;"%2C"&amp;$E110&amp;"&amp;marker="&amp;$F110&amp;","&amp;$E110&amp;",4326&amp;level=16",IF(_xlfn.SINGLE(JobState)="MN","https://fema.maps.arcgis.com/apps/mapviewer/index.html?url=https%3A%2F%2Fdotapp9.dot.state.mn.us%2Fegis12%2Frest%2Fservices%2FBASEMAP%2Fmndot_commonlayers2%2FMapServer%2F11&amp;find="&amp;$F110&amp;"%2C"&amp;$E110&amp;"&amp;marker="&amp;$F110&amp;","&amp;$E110&amp;",4326&amp;level=16",IF(_xlfn.SINGLE(JobState)="IL","https://fema.maps.arcgis.com/apps/mapviewer/index.html?url=https%3A%2F%2Fgis1.dot.illinois.gov%2Farcgis%2Frest%2Fservices%2FAdministrativeData%2FFunctionalClass%2FMapServer%2F0&amp;find="&amp;$F110&amp;"%2C"&amp;$E110&amp;"&amp;marker="&amp;$F110&amp;","&amp;$E110&amp;",4326&amp;level=16",IF(_xlfn.SINGLE(JobState)="OH","https://fema.maps.arcgis.com/apps/mapviewer/index.html?url=https%3A%2F%2Ftims.dot.state.oh.us%2Fags%2Frest%2Fservices%2FRoadway_Information%2FFunctional_Class%2FMapServer%2F0&amp;find="&amp;$F110&amp;"%2C"&amp;$E110&amp;"&amp;marker="&amp;$F110&amp;","&amp;$E110&amp;",4326&amp;level=16","https://fema.maps.arcgis.com/apps/mapviewer/index.html?find="&amp;$F110&amp;"%2C"&amp;$E110&amp;"&amp;marker="&amp;$F110&amp;","&amp;$E110&amp;",4326&amp;level=16")))))),IF(_xlfn.SINGLE(JobState)="WI","Review Local Roads Layer","Review NFC AGOL Layer"))))</f>
        <v/>
      </c>
      <c r="N110" s="6" t="str">
        <f>IF(OR($E110="",$F110=""),"",IF(_xlfn.SINGLE(JobState)="",IF(ROW()=2,HYPERLINK("#JobState","Set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110&amp;"%2C"&amp;$E110&amp;"&amp;marker="&amp;$F110&amp;","&amp;$E110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0" s="6" t="str">
        <f>IF(OR($E110="", $F110=""),"",IF(_xlfn.SINGLE(JobAgolMap)="",HYPERLINK("https://fema.maps.arcgis.com/apps/mapviewer/index.html?find="&amp;$F110&amp;"%2C"&amp;$E110&amp;"&amp;marker="&amp;$F110&amp;","&amp;$E110&amp;",4326&amp;level=16","FEMA AGOL Map Viewer"),HYPERLINK(_xlfn.SINGLE(JobAgolMap)&amp;IF(ISNUMBER(FIND("?",_xlfn.SINGLE(JobAgolMap))),"&amp;","?")&amp;"center="&amp;$F110&amp;","&amp;$E110&amp;"&amp;level=16&amp;marker="&amp;$F110&amp;","&amp;$E110,"Open")))</f>
        <v/>
      </c>
      <c r="Q110" s="4"/>
      <c r="R110" s="4"/>
      <c r="W110" s="6" t="str">
        <f t="shared" si="6"/>
        <v/>
      </c>
      <c r="X110" s="6" t="str">
        <f t="shared" si="7"/>
        <v/>
      </c>
      <c r="Y110" s="6" t="str">
        <f t="shared" si="8"/>
        <v/>
      </c>
      <c r="Z110" s="6" t="str">
        <f t="shared" si="9"/>
        <v/>
      </c>
      <c r="AA110" s="6" t="str">
        <f t="shared" si="10"/>
        <v/>
      </c>
      <c r="AB110" s="6" t="str">
        <f t="shared" si="11"/>
        <v/>
      </c>
      <c r="AC110" s="4"/>
      <c r="AD110" s="4"/>
    </row>
    <row r="111" spans="1:30" x14ac:dyDescent="0.45">
      <c r="A111" s="3"/>
      <c r="B111" s="3"/>
      <c r="C111" s="5" t="str">
        <f>IF($E111="","",COUNT($E$2:$E111))</f>
        <v/>
      </c>
      <c r="D111" s="3"/>
      <c r="E111" s="3"/>
      <c r="F111" s="3"/>
      <c r="G111" s="3"/>
      <c r="H111" s="3"/>
      <c r="I111" s="3"/>
      <c r="J111" s="3"/>
      <c r="K111" s="3"/>
      <c r="L111" s="4"/>
      <c r="M111" s="6" t="str">
        <f>IF(OR($E111="",$F111=""),"",IF(_xlfn.SINGLE(JobState)="",IF(ROW()=2,HYPERLINK("#JobState","Set State →"),""),HYPERLINK(IF(OR(_xlfn.SINGLE(JobState)="MI",_xlfn.SINGLE(JobState)=""),"https://fema.maps.arcgis.com/apps/mapviewer/index.html?webmap=6a1702b9147243d1a5ee62cd614bc681&amp;center="&amp;$F111&amp;","&amp;$E111&amp;"&amp;level=16&amp;marker="&amp;$F111&amp;","&amp;$E111&amp;"",IF(_xlfn.SINGLE(JobState)="IN","https://fema.maps.arcgis.com/apps/mapviewer/index.html?url=https%3A%2F%2Fgis.indot.in.gov%2Fro%2Frest%2Fservices%2FRAH_GIO_Collaboration%2FLRSE_Functional_Class%2FFeatureServer%2F22&amp;find="&amp;$F111&amp;"%2C"&amp;$E111&amp;"&amp;marker="&amp;$F111&amp;","&amp;$E111&amp;",4326&amp;level=16",IF(_xlfn.SINGLE(JobState)="WI","https://fema.maps.arcgis.com/apps/mapviewer/index.html?url=https://services5.arcgis.com/0pgGLzT0Nh7FVjon/arcgis/rest/services/Functional_Class_Local_Non_Prod/FeatureServer/1&amp;find="&amp;$F111&amp;"%2C"&amp;$E111&amp;"&amp;marker="&amp;$F111&amp;","&amp;$E111&amp;",4326&amp;level=16",IF(_xlfn.SINGLE(JobState)="MN","https://fema.maps.arcgis.com/apps/mapviewer/index.html?url=https%3A%2F%2Fdotapp9.dot.state.mn.us%2Fegis12%2Frest%2Fservices%2FBASEMAP%2Fmndot_commonlayers2%2FMapServer%2F11&amp;find="&amp;$F111&amp;"%2C"&amp;$E111&amp;"&amp;marker="&amp;$F111&amp;","&amp;$E111&amp;",4326&amp;level=16",IF(_xlfn.SINGLE(JobState)="IL","https://fema.maps.arcgis.com/apps/mapviewer/index.html?url=https%3A%2F%2Fgis1.dot.illinois.gov%2Farcgis%2Frest%2Fservices%2FAdministrativeData%2FFunctionalClass%2FMapServer%2F0&amp;find="&amp;$F111&amp;"%2C"&amp;$E111&amp;"&amp;marker="&amp;$F111&amp;","&amp;$E111&amp;",4326&amp;level=16",IF(_xlfn.SINGLE(JobState)="OH","https://fema.maps.arcgis.com/apps/mapviewer/index.html?url=https%3A%2F%2Ftims.dot.state.oh.us%2Fags%2Frest%2Fservices%2FRoadway_Information%2FFunctional_Class%2FMapServer%2F0&amp;find="&amp;$F111&amp;"%2C"&amp;$E111&amp;"&amp;marker="&amp;$F111&amp;","&amp;$E111&amp;",4326&amp;level=16","https://fema.maps.arcgis.com/apps/mapviewer/index.html?find="&amp;$F111&amp;"%2C"&amp;$E111&amp;"&amp;marker="&amp;$F111&amp;","&amp;$E111&amp;",4326&amp;level=16")))))),IF(_xlfn.SINGLE(JobState)="WI","Review Local Roads Layer","Review NFC AGOL Layer"))))</f>
        <v/>
      </c>
      <c r="N111" s="6" t="str">
        <f>IF(OR($E111="",$F111=""),"",IF(_xlfn.SINGLE(JobState)="",IF(ROW()=2,HYPERLINK("#JobState","Set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111&amp;"%2C"&amp;$E111&amp;"&amp;marker="&amp;$F111&amp;","&amp;$E111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1" s="6" t="str">
        <f>IF(OR($E111="", $F111=""),"",IF(_xlfn.SINGLE(JobAgolMap)="",HYPERLINK("https://fema.maps.arcgis.com/apps/mapviewer/index.html?find="&amp;$F111&amp;"%2C"&amp;$E111&amp;"&amp;marker="&amp;$F111&amp;","&amp;$E111&amp;",4326&amp;level=16","FEMA AGOL Map Viewer"),HYPERLINK(_xlfn.SINGLE(JobAgolMap)&amp;IF(ISNUMBER(FIND("?",_xlfn.SINGLE(JobAgolMap))),"&amp;","?")&amp;"center="&amp;$F111&amp;","&amp;$E111&amp;"&amp;level=16&amp;marker="&amp;$F111&amp;","&amp;$E111,"Open")))</f>
        <v/>
      </c>
      <c r="Q111" s="4"/>
      <c r="R111" s="4"/>
      <c r="W111" s="6" t="str">
        <f t="shared" si="6"/>
        <v/>
      </c>
      <c r="X111" s="6" t="str">
        <f t="shared" si="7"/>
        <v/>
      </c>
      <c r="Y111" s="6" t="str">
        <f t="shared" si="8"/>
        <v/>
      </c>
      <c r="Z111" s="6" t="str">
        <f t="shared" si="9"/>
        <v/>
      </c>
      <c r="AA111" s="6" t="str">
        <f t="shared" si="10"/>
        <v/>
      </c>
      <c r="AB111" s="6" t="str">
        <f t="shared" si="11"/>
        <v/>
      </c>
      <c r="AC111" s="4"/>
      <c r="AD111" s="4"/>
    </row>
    <row r="112" spans="1:30" x14ac:dyDescent="0.45">
      <c r="A112" s="3"/>
      <c r="B112" s="3"/>
      <c r="C112" s="5" t="str">
        <f>IF($E112="","",COUNT($E$2:$E112))</f>
        <v/>
      </c>
      <c r="D112" s="3"/>
      <c r="E112" s="3"/>
      <c r="F112" s="3"/>
      <c r="G112" s="3"/>
      <c r="H112" s="3"/>
      <c r="I112" s="3"/>
      <c r="J112" s="3"/>
      <c r="K112" s="3"/>
      <c r="L112" s="4"/>
      <c r="M112" s="6" t="str">
        <f>IF(OR($E112="",$F112=""),"",IF(_xlfn.SINGLE(JobState)="",IF(ROW()=2,HYPERLINK("#JobState","Set State →"),""),HYPERLINK(IF(OR(_xlfn.SINGLE(JobState)="MI",_xlfn.SINGLE(JobState)=""),"https://fema.maps.arcgis.com/apps/mapviewer/index.html?webmap=6a1702b9147243d1a5ee62cd614bc681&amp;center="&amp;$F112&amp;","&amp;$E112&amp;"&amp;level=16&amp;marker="&amp;$F112&amp;","&amp;$E112&amp;"",IF(_xlfn.SINGLE(JobState)="IN","https://fema.maps.arcgis.com/apps/mapviewer/index.html?url=https%3A%2F%2Fgis.indot.in.gov%2Fro%2Frest%2Fservices%2FRAH_GIO_Collaboration%2FLRSE_Functional_Class%2FFeatureServer%2F22&amp;find="&amp;$F112&amp;"%2C"&amp;$E112&amp;"&amp;marker="&amp;$F112&amp;","&amp;$E112&amp;",4326&amp;level=16",IF(_xlfn.SINGLE(JobState)="WI","https://fema.maps.arcgis.com/apps/mapviewer/index.html?url=https://services5.arcgis.com/0pgGLzT0Nh7FVjon/arcgis/rest/services/Functional_Class_Local_Non_Prod/FeatureServer/1&amp;find="&amp;$F112&amp;"%2C"&amp;$E112&amp;"&amp;marker="&amp;$F112&amp;","&amp;$E112&amp;",4326&amp;level=16",IF(_xlfn.SINGLE(JobState)="MN","https://fema.maps.arcgis.com/apps/mapviewer/index.html?url=https%3A%2F%2Fdotapp9.dot.state.mn.us%2Fegis12%2Frest%2Fservices%2FBASEMAP%2Fmndot_commonlayers2%2FMapServer%2F11&amp;find="&amp;$F112&amp;"%2C"&amp;$E112&amp;"&amp;marker="&amp;$F112&amp;","&amp;$E112&amp;",4326&amp;level=16",IF(_xlfn.SINGLE(JobState)="IL","https://fema.maps.arcgis.com/apps/mapviewer/index.html?url=https%3A%2F%2Fgis1.dot.illinois.gov%2Farcgis%2Frest%2Fservices%2FAdministrativeData%2FFunctionalClass%2FMapServer%2F0&amp;find="&amp;$F112&amp;"%2C"&amp;$E112&amp;"&amp;marker="&amp;$F112&amp;","&amp;$E112&amp;",4326&amp;level=16",IF(_xlfn.SINGLE(JobState)="OH","https://fema.maps.arcgis.com/apps/mapviewer/index.html?url=https%3A%2F%2Ftims.dot.state.oh.us%2Fags%2Frest%2Fservices%2FRoadway_Information%2FFunctional_Class%2FMapServer%2F0&amp;find="&amp;$F112&amp;"%2C"&amp;$E112&amp;"&amp;marker="&amp;$F112&amp;","&amp;$E112&amp;",4326&amp;level=16","https://fema.maps.arcgis.com/apps/mapviewer/index.html?find="&amp;$F112&amp;"%2C"&amp;$E112&amp;"&amp;marker="&amp;$F112&amp;","&amp;$E112&amp;",4326&amp;level=16")))))),IF(_xlfn.SINGLE(JobState)="WI","Review Local Roads Layer","Review NFC AGOL Layer"))))</f>
        <v/>
      </c>
      <c r="N112" s="6" t="str">
        <f>IF(OR($E112="",$F112=""),"",IF(_xlfn.SINGLE(JobState)="",IF(ROW()=2,HYPERLINK("#JobState","Set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112&amp;"%2C"&amp;$E112&amp;"&amp;marker="&amp;$F112&amp;","&amp;$E112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2" s="6" t="str">
        <f>IF(OR($E112="", $F112=""),"",IF(_xlfn.SINGLE(JobAgolMap)="",HYPERLINK("https://fema.maps.arcgis.com/apps/mapviewer/index.html?find="&amp;$F112&amp;"%2C"&amp;$E112&amp;"&amp;marker="&amp;$F112&amp;","&amp;$E112&amp;",4326&amp;level=16","FEMA AGOL Map Viewer"),HYPERLINK(_xlfn.SINGLE(JobAgolMap)&amp;IF(ISNUMBER(FIND("?",_xlfn.SINGLE(JobAgolMap))),"&amp;","?")&amp;"center="&amp;$F112&amp;","&amp;$E112&amp;"&amp;level=16&amp;marker="&amp;$F112&amp;","&amp;$E112,"Open")))</f>
        <v/>
      </c>
      <c r="Q112" s="4"/>
      <c r="R112" s="4"/>
      <c r="W112" s="6" t="str">
        <f t="shared" si="6"/>
        <v/>
      </c>
      <c r="X112" s="6" t="str">
        <f t="shared" si="7"/>
        <v/>
      </c>
      <c r="Y112" s="6" t="str">
        <f t="shared" si="8"/>
        <v/>
      </c>
      <c r="Z112" s="6" t="str">
        <f t="shared" si="9"/>
        <v/>
      </c>
      <c r="AA112" s="6" t="str">
        <f t="shared" si="10"/>
        <v/>
      </c>
      <c r="AB112" s="6" t="str">
        <f t="shared" si="11"/>
        <v/>
      </c>
      <c r="AC112" s="4"/>
      <c r="AD112" s="4"/>
    </row>
    <row r="113" spans="1:30" x14ac:dyDescent="0.45">
      <c r="A113" s="3"/>
      <c r="B113" s="3"/>
      <c r="C113" s="5" t="str">
        <f>IF($E113="","",COUNT($E$2:$E113))</f>
        <v/>
      </c>
      <c r="D113" s="3"/>
      <c r="E113" s="3"/>
      <c r="F113" s="3"/>
      <c r="G113" s="3"/>
      <c r="H113" s="3"/>
      <c r="I113" s="3"/>
      <c r="J113" s="3"/>
      <c r="K113" s="3"/>
      <c r="L113" s="4"/>
      <c r="M113" s="6" t="str">
        <f>IF(OR($E113="",$F113=""),"",IF(_xlfn.SINGLE(JobState)="",IF(ROW()=2,HYPERLINK("#JobState","Set State →"),""),HYPERLINK(IF(OR(_xlfn.SINGLE(JobState)="MI",_xlfn.SINGLE(JobState)=""),"https://fema.maps.arcgis.com/apps/mapviewer/index.html?webmap=6a1702b9147243d1a5ee62cd614bc681&amp;center="&amp;$F113&amp;","&amp;$E113&amp;"&amp;level=16&amp;marker="&amp;$F113&amp;","&amp;$E113&amp;"",IF(_xlfn.SINGLE(JobState)="IN","https://fema.maps.arcgis.com/apps/mapviewer/index.html?url=https%3A%2F%2Fgis.indot.in.gov%2Fro%2Frest%2Fservices%2FRAH_GIO_Collaboration%2FLRSE_Functional_Class%2FFeatureServer%2F22&amp;find="&amp;$F113&amp;"%2C"&amp;$E113&amp;"&amp;marker="&amp;$F113&amp;","&amp;$E113&amp;",4326&amp;level=16",IF(_xlfn.SINGLE(JobState)="WI","https://fema.maps.arcgis.com/apps/mapviewer/index.html?url=https://services5.arcgis.com/0pgGLzT0Nh7FVjon/arcgis/rest/services/Functional_Class_Local_Non_Prod/FeatureServer/1&amp;find="&amp;$F113&amp;"%2C"&amp;$E113&amp;"&amp;marker="&amp;$F113&amp;","&amp;$E113&amp;",4326&amp;level=16",IF(_xlfn.SINGLE(JobState)="MN","https://fema.maps.arcgis.com/apps/mapviewer/index.html?url=https%3A%2F%2Fdotapp9.dot.state.mn.us%2Fegis12%2Frest%2Fservices%2FBASEMAP%2Fmndot_commonlayers2%2FMapServer%2F11&amp;find="&amp;$F113&amp;"%2C"&amp;$E113&amp;"&amp;marker="&amp;$F113&amp;","&amp;$E113&amp;",4326&amp;level=16",IF(_xlfn.SINGLE(JobState)="IL","https://fema.maps.arcgis.com/apps/mapviewer/index.html?url=https%3A%2F%2Fgis1.dot.illinois.gov%2Farcgis%2Frest%2Fservices%2FAdministrativeData%2FFunctionalClass%2FMapServer%2F0&amp;find="&amp;$F113&amp;"%2C"&amp;$E113&amp;"&amp;marker="&amp;$F113&amp;","&amp;$E113&amp;",4326&amp;level=16",IF(_xlfn.SINGLE(JobState)="OH","https://fema.maps.arcgis.com/apps/mapviewer/index.html?url=https%3A%2F%2Ftims.dot.state.oh.us%2Fags%2Frest%2Fservices%2FRoadway_Information%2FFunctional_Class%2FMapServer%2F0&amp;find="&amp;$F113&amp;"%2C"&amp;$E113&amp;"&amp;marker="&amp;$F113&amp;","&amp;$E113&amp;",4326&amp;level=16","https://fema.maps.arcgis.com/apps/mapviewer/index.html?find="&amp;$F113&amp;"%2C"&amp;$E113&amp;"&amp;marker="&amp;$F113&amp;","&amp;$E113&amp;",4326&amp;level=16")))))),IF(_xlfn.SINGLE(JobState)="WI","Review Local Roads Layer","Review NFC AGOL Layer"))))</f>
        <v/>
      </c>
      <c r="N113" s="6" t="str">
        <f>IF(OR($E113="",$F113=""),"",IF(_xlfn.SINGLE(JobState)="",IF(ROW()=2,HYPERLINK("#JobState","Set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113&amp;"%2C"&amp;$E113&amp;"&amp;marker="&amp;$F113&amp;","&amp;$E113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3" s="6" t="str">
        <f>IF(OR($E113="", $F113=""),"",IF(_xlfn.SINGLE(JobAgolMap)="",HYPERLINK("https://fema.maps.arcgis.com/apps/mapviewer/index.html?find="&amp;$F113&amp;"%2C"&amp;$E113&amp;"&amp;marker="&amp;$F113&amp;","&amp;$E113&amp;",4326&amp;level=16","FEMA AGOL Map Viewer"),HYPERLINK(_xlfn.SINGLE(JobAgolMap)&amp;IF(ISNUMBER(FIND("?",_xlfn.SINGLE(JobAgolMap))),"&amp;","?")&amp;"center="&amp;$F113&amp;","&amp;$E113&amp;"&amp;level=16&amp;marker="&amp;$F113&amp;","&amp;$E113,"Open")))</f>
        <v/>
      </c>
      <c r="Q113" s="4"/>
      <c r="R113" s="4"/>
      <c r="W113" s="6" t="str">
        <f t="shared" si="6"/>
        <v/>
      </c>
      <c r="X113" s="6" t="str">
        <f t="shared" si="7"/>
        <v/>
      </c>
      <c r="Y113" s="6" t="str">
        <f t="shared" si="8"/>
        <v/>
      </c>
      <c r="Z113" s="6" t="str">
        <f t="shared" si="9"/>
        <v/>
      </c>
      <c r="AA113" s="6" t="str">
        <f t="shared" si="10"/>
        <v/>
      </c>
      <c r="AB113" s="6" t="str">
        <f t="shared" si="11"/>
        <v/>
      </c>
      <c r="AC113" s="4"/>
      <c r="AD113" s="4"/>
    </row>
    <row r="114" spans="1:30" x14ac:dyDescent="0.45">
      <c r="A114" s="3"/>
      <c r="B114" s="3"/>
      <c r="C114" s="5" t="str">
        <f>IF($E114="","",COUNT($E$2:$E114))</f>
        <v/>
      </c>
      <c r="D114" s="3"/>
      <c r="E114" s="3"/>
      <c r="F114" s="3"/>
      <c r="G114" s="3"/>
      <c r="H114" s="3"/>
      <c r="I114" s="3"/>
      <c r="J114" s="3"/>
      <c r="K114" s="3"/>
      <c r="L114" s="4"/>
      <c r="M114" s="6" t="str">
        <f>IF(OR($E114="",$F114=""),"",IF(_xlfn.SINGLE(JobState)="",IF(ROW()=2,HYPERLINK("#JobState","Set State →"),""),HYPERLINK(IF(OR(_xlfn.SINGLE(JobState)="MI",_xlfn.SINGLE(JobState)=""),"https://fema.maps.arcgis.com/apps/mapviewer/index.html?webmap=6a1702b9147243d1a5ee62cd614bc681&amp;center="&amp;$F114&amp;","&amp;$E114&amp;"&amp;level=16&amp;marker="&amp;$F114&amp;","&amp;$E114&amp;"",IF(_xlfn.SINGLE(JobState)="IN","https://fema.maps.arcgis.com/apps/mapviewer/index.html?url=https%3A%2F%2Fgis.indot.in.gov%2Fro%2Frest%2Fservices%2FRAH_GIO_Collaboration%2FLRSE_Functional_Class%2FFeatureServer%2F22&amp;find="&amp;$F114&amp;"%2C"&amp;$E114&amp;"&amp;marker="&amp;$F114&amp;","&amp;$E114&amp;",4326&amp;level=16",IF(_xlfn.SINGLE(JobState)="WI","https://fema.maps.arcgis.com/apps/mapviewer/index.html?url=https://services5.arcgis.com/0pgGLzT0Nh7FVjon/arcgis/rest/services/Functional_Class_Local_Non_Prod/FeatureServer/1&amp;find="&amp;$F114&amp;"%2C"&amp;$E114&amp;"&amp;marker="&amp;$F114&amp;","&amp;$E114&amp;",4326&amp;level=16",IF(_xlfn.SINGLE(JobState)="MN","https://fema.maps.arcgis.com/apps/mapviewer/index.html?url=https%3A%2F%2Fdotapp9.dot.state.mn.us%2Fegis12%2Frest%2Fservices%2FBASEMAP%2Fmndot_commonlayers2%2FMapServer%2F11&amp;find="&amp;$F114&amp;"%2C"&amp;$E114&amp;"&amp;marker="&amp;$F114&amp;","&amp;$E114&amp;",4326&amp;level=16",IF(_xlfn.SINGLE(JobState)="IL","https://fema.maps.arcgis.com/apps/mapviewer/index.html?url=https%3A%2F%2Fgis1.dot.illinois.gov%2Farcgis%2Frest%2Fservices%2FAdministrativeData%2FFunctionalClass%2FMapServer%2F0&amp;find="&amp;$F114&amp;"%2C"&amp;$E114&amp;"&amp;marker="&amp;$F114&amp;","&amp;$E114&amp;",4326&amp;level=16",IF(_xlfn.SINGLE(JobState)="OH","https://fema.maps.arcgis.com/apps/mapviewer/index.html?url=https%3A%2F%2Ftims.dot.state.oh.us%2Fags%2Frest%2Fservices%2FRoadway_Information%2FFunctional_Class%2FMapServer%2F0&amp;find="&amp;$F114&amp;"%2C"&amp;$E114&amp;"&amp;marker="&amp;$F114&amp;","&amp;$E114&amp;",4326&amp;level=16","https://fema.maps.arcgis.com/apps/mapviewer/index.html?find="&amp;$F114&amp;"%2C"&amp;$E114&amp;"&amp;marker="&amp;$F114&amp;","&amp;$E114&amp;",4326&amp;level=16")))))),IF(_xlfn.SINGLE(JobState)="WI","Review Local Roads Layer","Review NFC AGOL Layer"))))</f>
        <v/>
      </c>
      <c r="N114" s="6" t="str">
        <f>IF(OR($E114="",$F114=""),"",IF(_xlfn.SINGLE(JobState)="",IF(ROW()=2,HYPERLINK("#JobState","Set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114&amp;"%2C"&amp;$E114&amp;"&amp;marker="&amp;$F114&amp;","&amp;$E114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4" s="6" t="str">
        <f>IF(OR($E114="", $F114=""),"",IF(_xlfn.SINGLE(JobAgolMap)="",HYPERLINK("https://fema.maps.arcgis.com/apps/mapviewer/index.html?find="&amp;$F114&amp;"%2C"&amp;$E114&amp;"&amp;marker="&amp;$F114&amp;","&amp;$E114&amp;",4326&amp;level=16","FEMA AGOL Map Viewer"),HYPERLINK(_xlfn.SINGLE(JobAgolMap)&amp;IF(ISNUMBER(FIND("?",_xlfn.SINGLE(JobAgolMap))),"&amp;","?")&amp;"center="&amp;$F114&amp;","&amp;$E114&amp;"&amp;level=16&amp;marker="&amp;$F114&amp;","&amp;$E114,"Open")))</f>
        <v/>
      </c>
      <c r="Q114" s="4"/>
      <c r="R114" s="4"/>
      <c r="W114" s="6" t="str">
        <f t="shared" si="6"/>
        <v/>
      </c>
      <c r="X114" s="6" t="str">
        <f t="shared" si="7"/>
        <v/>
      </c>
      <c r="Y114" s="6" t="str">
        <f t="shared" si="8"/>
        <v/>
      </c>
      <c r="Z114" s="6" t="str">
        <f t="shared" si="9"/>
        <v/>
      </c>
      <c r="AA114" s="6" t="str">
        <f t="shared" si="10"/>
        <v/>
      </c>
      <c r="AB114" s="6" t="str">
        <f t="shared" si="11"/>
        <v/>
      </c>
      <c r="AC114" s="4"/>
      <c r="AD114" s="4"/>
    </row>
    <row r="115" spans="1:30" x14ac:dyDescent="0.45">
      <c r="A115" s="3"/>
      <c r="B115" s="3"/>
      <c r="C115" s="5" t="str">
        <f>IF($E115="","",COUNT($E$2:$E115))</f>
        <v/>
      </c>
      <c r="D115" s="3"/>
      <c r="E115" s="3"/>
      <c r="F115" s="3"/>
      <c r="G115" s="3"/>
      <c r="H115" s="3"/>
      <c r="I115" s="3"/>
      <c r="J115" s="3"/>
      <c r="K115" s="3"/>
      <c r="L115" s="4"/>
      <c r="M115" s="6" t="str">
        <f>IF(OR($E115="",$F115=""),"",IF(_xlfn.SINGLE(JobState)="",IF(ROW()=2,HYPERLINK("#JobState","Set State →"),""),HYPERLINK(IF(OR(_xlfn.SINGLE(JobState)="MI",_xlfn.SINGLE(JobState)=""),"https://fema.maps.arcgis.com/apps/mapviewer/index.html?webmap=6a1702b9147243d1a5ee62cd614bc681&amp;center="&amp;$F115&amp;","&amp;$E115&amp;"&amp;level=16&amp;marker="&amp;$F115&amp;","&amp;$E115&amp;"",IF(_xlfn.SINGLE(JobState)="IN","https://fema.maps.arcgis.com/apps/mapviewer/index.html?url=https%3A%2F%2Fgis.indot.in.gov%2Fro%2Frest%2Fservices%2FRAH_GIO_Collaboration%2FLRSE_Functional_Class%2FFeatureServer%2F22&amp;find="&amp;$F115&amp;"%2C"&amp;$E115&amp;"&amp;marker="&amp;$F115&amp;","&amp;$E115&amp;",4326&amp;level=16",IF(_xlfn.SINGLE(JobState)="WI","https://fema.maps.arcgis.com/apps/mapviewer/index.html?url=https://services5.arcgis.com/0pgGLzT0Nh7FVjon/arcgis/rest/services/Functional_Class_Local_Non_Prod/FeatureServer/1&amp;find="&amp;$F115&amp;"%2C"&amp;$E115&amp;"&amp;marker="&amp;$F115&amp;","&amp;$E115&amp;",4326&amp;level=16",IF(_xlfn.SINGLE(JobState)="MN","https://fema.maps.arcgis.com/apps/mapviewer/index.html?url=https%3A%2F%2Fdotapp9.dot.state.mn.us%2Fegis12%2Frest%2Fservices%2FBASEMAP%2Fmndot_commonlayers2%2FMapServer%2F11&amp;find="&amp;$F115&amp;"%2C"&amp;$E115&amp;"&amp;marker="&amp;$F115&amp;","&amp;$E115&amp;",4326&amp;level=16",IF(_xlfn.SINGLE(JobState)="IL","https://fema.maps.arcgis.com/apps/mapviewer/index.html?url=https%3A%2F%2Fgis1.dot.illinois.gov%2Farcgis%2Frest%2Fservices%2FAdministrativeData%2FFunctionalClass%2FMapServer%2F0&amp;find="&amp;$F115&amp;"%2C"&amp;$E115&amp;"&amp;marker="&amp;$F115&amp;","&amp;$E115&amp;",4326&amp;level=16",IF(_xlfn.SINGLE(JobState)="OH","https://fema.maps.arcgis.com/apps/mapviewer/index.html?url=https%3A%2F%2Ftims.dot.state.oh.us%2Fags%2Frest%2Fservices%2FRoadway_Information%2FFunctional_Class%2FMapServer%2F0&amp;find="&amp;$F115&amp;"%2C"&amp;$E115&amp;"&amp;marker="&amp;$F115&amp;","&amp;$E115&amp;",4326&amp;level=16","https://fema.maps.arcgis.com/apps/mapviewer/index.html?find="&amp;$F115&amp;"%2C"&amp;$E115&amp;"&amp;marker="&amp;$F115&amp;","&amp;$E115&amp;",4326&amp;level=16")))))),IF(_xlfn.SINGLE(JobState)="WI","Review Local Roads Layer","Review NFC AGOL Layer"))))</f>
        <v/>
      </c>
      <c r="N115" s="6" t="str">
        <f>IF(OR($E115="",$F115=""),"",IF(_xlfn.SINGLE(JobState)="",IF(ROW()=2,HYPERLINK("#JobState","Set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115&amp;"%2C"&amp;$E115&amp;"&amp;marker="&amp;$F115&amp;","&amp;$E115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5" s="6" t="str">
        <f>IF(OR($E115="", $F115=""),"",IF(_xlfn.SINGLE(JobAgolMap)="",HYPERLINK("https://fema.maps.arcgis.com/apps/mapviewer/index.html?find="&amp;$F115&amp;"%2C"&amp;$E115&amp;"&amp;marker="&amp;$F115&amp;","&amp;$E115&amp;",4326&amp;level=16","FEMA AGOL Map Viewer"),HYPERLINK(_xlfn.SINGLE(JobAgolMap)&amp;IF(ISNUMBER(FIND("?",_xlfn.SINGLE(JobAgolMap))),"&amp;","?")&amp;"center="&amp;$F115&amp;","&amp;$E115&amp;"&amp;level=16&amp;marker="&amp;$F115&amp;","&amp;$E115,"Open")))</f>
        <v/>
      </c>
      <c r="Q115" s="4"/>
      <c r="R115" s="4"/>
      <c r="W115" s="6" t="str">
        <f t="shared" si="6"/>
        <v/>
      </c>
      <c r="X115" s="6" t="str">
        <f t="shared" si="7"/>
        <v/>
      </c>
      <c r="Y115" s="6" t="str">
        <f t="shared" si="8"/>
        <v/>
      </c>
      <c r="Z115" s="6" t="str">
        <f t="shared" si="9"/>
        <v/>
      </c>
      <c r="AA115" s="6" t="str">
        <f t="shared" si="10"/>
        <v/>
      </c>
      <c r="AB115" s="6" t="str">
        <f t="shared" si="11"/>
        <v/>
      </c>
      <c r="AC115" s="4"/>
      <c r="AD115" s="4"/>
    </row>
    <row r="116" spans="1:30" x14ac:dyDescent="0.45">
      <c r="A116" s="3"/>
      <c r="B116" s="3"/>
      <c r="C116" s="5" t="str">
        <f>IF($E116="","",COUNT($E$2:$E116))</f>
        <v/>
      </c>
      <c r="D116" s="3"/>
      <c r="E116" s="3"/>
      <c r="F116" s="3"/>
      <c r="G116" s="3"/>
      <c r="H116" s="3"/>
      <c r="I116" s="3"/>
      <c r="J116" s="3"/>
      <c r="K116" s="3"/>
      <c r="L116" s="4"/>
      <c r="M116" s="6" t="str">
        <f>IF(OR($E116="",$F116=""),"",IF(_xlfn.SINGLE(JobState)="",IF(ROW()=2,HYPERLINK("#JobState","Set State →"),""),HYPERLINK(IF(OR(_xlfn.SINGLE(JobState)="MI",_xlfn.SINGLE(JobState)=""),"https://fema.maps.arcgis.com/apps/mapviewer/index.html?webmap=6a1702b9147243d1a5ee62cd614bc681&amp;center="&amp;$F116&amp;","&amp;$E116&amp;"&amp;level=16&amp;marker="&amp;$F116&amp;","&amp;$E116&amp;"",IF(_xlfn.SINGLE(JobState)="IN","https://fema.maps.arcgis.com/apps/mapviewer/index.html?url=https%3A%2F%2Fgis.indot.in.gov%2Fro%2Frest%2Fservices%2FRAH_GIO_Collaboration%2FLRSE_Functional_Class%2FFeatureServer%2F22&amp;find="&amp;$F116&amp;"%2C"&amp;$E116&amp;"&amp;marker="&amp;$F116&amp;","&amp;$E116&amp;",4326&amp;level=16",IF(_xlfn.SINGLE(JobState)="WI","https://fema.maps.arcgis.com/apps/mapviewer/index.html?url=https://services5.arcgis.com/0pgGLzT0Nh7FVjon/arcgis/rest/services/Functional_Class_Local_Non_Prod/FeatureServer/1&amp;find="&amp;$F116&amp;"%2C"&amp;$E116&amp;"&amp;marker="&amp;$F116&amp;","&amp;$E116&amp;",4326&amp;level=16",IF(_xlfn.SINGLE(JobState)="MN","https://fema.maps.arcgis.com/apps/mapviewer/index.html?url=https%3A%2F%2Fdotapp9.dot.state.mn.us%2Fegis12%2Frest%2Fservices%2FBASEMAP%2Fmndot_commonlayers2%2FMapServer%2F11&amp;find="&amp;$F116&amp;"%2C"&amp;$E116&amp;"&amp;marker="&amp;$F116&amp;","&amp;$E116&amp;",4326&amp;level=16",IF(_xlfn.SINGLE(JobState)="IL","https://fema.maps.arcgis.com/apps/mapviewer/index.html?url=https%3A%2F%2Fgis1.dot.illinois.gov%2Farcgis%2Frest%2Fservices%2FAdministrativeData%2FFunctionalClass%2FMapServer%2F0&amp;find="&amp;$F116&amp;"%2C"&amp;$E116&amp;"&amp;marker="&amp;$F116&amp;","&amp;$E116&amp;",4326&amp;level=16",IF(_xlfn.SINGLE(JobState)="OH","https://fema.maps.arcgis.com/apps/mapviewer/index.html?url=https%3A%2F%2Ftims.dot.state.oh.us%2Fags%2Frest%2Fservices%2FRoadway_Information%2FFunctional_Class%2FMapServer%2F0&amp;find="&amp;$F116&amp;"%2C"&amp;$E116&amp;"&amp;marker="&amp;$F116&amp;","&amp;$E116&amp;",4326&amp;level=16","https://fema.maps.arcgis.com/apps/mapviewer/index.html?find="&amp;$F116&amp;"%2C"&amp;$E116&amp;"&amp;marker="&amp;$F116&amp;","&amp;$E116&amp;",4326&amp;level=16")))))),IF(_xlfn.SINGLE(JobState)="WI","Review Local Roads Layer","Review NFC AGOL Layer"))))</f>
        <v/>
      </c>
      <c r="N116" s="6" t="str">
        <f>IF(OR($E116="",$F116=""),"",IF(_xlfn.SINGLE(JobState)="",IF(ROW()=2,HYPERLINK("#JobState","Set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116&amp;"%2C"&amp;$E116&amp;"&amp;marker="&amp;$F116&amp;","&amp;$E116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6" s="6" t="str">
        <f>IF(OR($E116="", $F116=""),"",IF(_xlfn.SINGLE(JobAgolMap)="",HYPERLINK("https://fema.maps.arcgis.com/apps/mapviewer/index.html?find="&amp;$F116&amp;"%2C"&amp;$E116&amp;"&amp;marker="&amp;$F116&amp;","&amp;$E116&amp;",4326&amp;level=16","FEMA AGOL Map Viewer"),HYPERLINK(_xlfn.SINGLE(JobAgolMap)&amp;IF(ISNUMBER(FIND("?",_xlfn.SINGLE(JobAgolMap))),"&amp;","?")&amp;"center="&amp;$F116&amp;","&amp;$E116&amp;"&amp;level=16&amp;marker="&amp;$F116&amp;","&amp;$E116,"Open")))</f>
        <v/>
      </c>
      <c r="Q116" s="4"/>
      <c r="R116" s="4"/>
      <c r="W116" s="6" t="str">
        <f t="shared" si="6"/>
        <v/>
      </c>
      <c r="X116" s="6" t="str">
        <f t="shared" si="7"/>
        <v/>
      </c>
      <c r="Y116" s="6" t="str">
        <f t="shared" si="8"/>
        <v/>
      </c>
      <c r="Z116" s="6" t="str">
        <f t="shared" si="9"/>
        <v/>
      </c>
      <c r="AA116" s="6" t="str">
        <f t="shared" si="10"/>
        <v/>
      </c>
      <c r="AB116" s="6" t="str">
        <f t="shared" si="11"/>
        <v/>
      </c>
      <c r="AC116" s="4"/>
      <c r="AD116" s="4"/>
    </row>
    <row r="117" spans="1:30" x14ac:dyDescent="0.45">
      <c r="A117" s="3"/>
      <c r="B117" s="3"/>
      <c r="C117" s="5" t="str">
        <f>IF($E117="","",COUNT($E$2:$E117))</f>
        <v/>
      </c>
      <c r="D117" s="3"/>
      <c r="E117" s="3"/>
      <c r="F117" s="3"/>
      <c r="G117" s="3"/>
      <c r="H117" s="3"/>
      <c r="I117" s="3"/>
      <c r="J117" s="3"/>
      <c r="K117" s="3"/>
      <c r="L117" s="4"/>
      <c r="M117" s="6" t="str">
        <f>IF(OR($E117="",$F117=""),"",IF(_xlfn.SINGLE(JobState)="",IF(ROW()=2,HYPERLINK("#JobState","Set State →"),""),HYPERLINK(IF(OR(_xlfn.SINGLE(JobState)="MI",_xlfn.SINGLE(JobState)=""),"https://fema.maps.arcgis.com/apps/mapviewer/index.html?webmap=6a1702b9147243d1a5ee62cd614bc681&amp;center="&amp;$F117&amp;","&amp;$E117&amp;"&amp;level=16&amp;marker="&amp;$F117&amp;","&amp;$E117&amp;"",IF(_xlfn.SINGLE(JobState)="IN","https://fema.maps.arcgis.com/apps/mapviewer/index.html?url=https%3A%2F%2Fgis.indot.in.gov%2Fro%2Frest%2Fservices%2FRAH_GIO_Collaboration%2FLRSE_Functional_Class%2FFeatureServer%2F22&amp;find="&amp;$F117&amp;"%2C"&amp;$E117&amp;"&amp;marker="&amp;$F117&amp;","&amp;$E117&amp;",4326&amp;level=16",IF(_xlfn.SINGLE(JobState)="WI","https://fema.maps.arcgis.com/apps/mapviewer/index.html?url=https://services5.arcgis.com/0pgGLzT0Nh7FVjon/arcgis/rest/services/Functional_Class_Local_Non_Prod/FeatureServer/1&amp;find="&amp;$F117&amp;"%2C"&amp;$E117&amp;"&amp;marker="&amp;$F117&amp;","&amp;$E117&amp;",4326&amp;level=16",IF(_xlfn.SINGLE(JobState)="MN","https://fema.maps.arcgis.com/apps/mapviewer/index.html?url=https%3A%2F%2Fdotapp9.dot.state.mn.us%2Fegis12%2Frest%2Fservices%2FBASEMAP%2Fmndot_commonlayers2%2FMapServer%2F11&amp;find="&amp;$F117&amp;"%2C"&amp;$E117&amp;"&amp;marker="&amp;$F117&amp;","&amp;$E117&amp;",4326&amp;level=16",IF(_xlfn.SINGLE(JobState)="IL","https://fema.maps.arcgis.com/apps/mapviewer/index.html?url=https%3A%2F%2Fgis1.dot.illinois.gov%2Farcgis%2Frest%2Fservices%2FAdministrativeData%2FFunctionalClass%2FMapServer%2F0&amp;find="&amp;$F117&amp;"%2C"&amp;$E117&amp;"&amp;marker="&amp;$F117&amp;","&amp;$E117&amp;",4326&amp;level=16",IF(_xlfn.SINGLE(JobState)="OH","https://fema.maps.arcgis.com/apps/mapviewer/index.html?url=https%3A%2F%2Ftims.dot.state.oh.us%2Fags%2Frest%2Fservices%2FRoadway_Information%2FFunctional_Class%2FMapServer%2F0&amp;find="&amp;$F117&amp;"%2C"&amp;$E117&amp;"&amp;marker="&amp;$F117&amp;","&amp;$E117&amp;",4326&amp;level=16","https://fema.maps.arcgis.com/apps/mapviewer/index.html?find="&amp;$F117&amp;"%2C"&amp;$E117&amp;"&amp;marker="&amp;$F117&amp;","&amp;$E117&amp;",4326&amp;level=16")))))),IF(_xlfn.SINGLE(JobState)="WI","Review Local Roads Layer","Review NFC AGOL Layer"))))</f>
        <v/>
      </c>
      <c r="N117" s="6" t="str">
        <f>IF(OR($E117="",$F117=""),"",IF(_xlfn.SINGLE(JobState)="",IF(ROW()=2,HYPERLINK("#JobState","Set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117&amp;"%2C"&amp;$E117&amp;"&amp;marker="&amp;$F117&amp;","&amp;$E117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7" s="6" t="str">
        <f>IF(OR($E117="", $F117=""),"",IF(_xlfn.SINGLE(JobAgolMap)="",HYPERLINK("https://fema.maps.arcgis.com/apps/mapviewer/index.html?find="&amp;$F117&amp;"%2C"&amp;$E117&amp;"&amp;marker="&amp;$F117&amp;","&amp;$E117&amp;",4326&amp;level=16","FEMA AGOL Map Viewer"),HYPERLINK(_xlfn.SINGLE(JobAgolMap)&amp;IF(ISNUMBER(FIND("?",_xlfn.SINGLE(JobAgolMap))),"&amp;","?")&amp;"center="&amp;$F117&amp;","&amp;$E117&amp;"&amp;level=16&amp;marker="&amp;$F117&amp;","&amp;$E117,"Open")))</f>
        <v/>
      </c>
      <c r="Q117" s="4"/>
      <c r="R117" s="4"/>
      <c r="W117" s="6" t="str">
        <f t="shared" si="6"/>
        <v/>
      </c>
      <c r="X117" s="6" t="str">
        <f t="shared" si="7"/>
        <v/>
      </c>
      <c r="Y117" s="6" t="str">
        <f t="shared" si="8"/>
        <v/>
      </c>
      <c r="Z117" s="6" t="str">
        <f t="shared" si="9"/>
        <v/>
      </c>
      <c r="AA117" s="6" t="str">
        <f t="shared" si="10"/>
        <v/>
      </c>
      <c r="AB117" s="6" t="str">
        <f t="shared" si="11"/>
        <v/>
      </c>
      <c r="AC117" s="4"/>
      <c r="AD117" s="4"/>
    </row>
    <row r="118" spans="1:30" x14ac:dyDescent="0.45">
      <c r="A118" s="3"/>
      <c r="B118" s="3"/>
      <c r="C118" s="5" t="str">
        <f>IF($E118="","",COUNT($E$2:$E118))</f>
        <v/>
      </c>
      <c r="D118" s="3"/>
      <c r="E118" s="3"/>
      <c r="F118" s="3"/>
      <c r="G118" s="3"/>
      <c r="H118" s="3"/>
      <c r="I118" s="3"/>
      <c r="J118" s="3"/>
      <c r="K118" s="3"/>
      <c r="L118" s="4"/>
      <c r="M118" s="6" t="str">
        <f>IF(OR($E118="",$F118=""),"",IF(_xlfn.SINGLE(JobState)="",IF(ROW()=2,HYPERLINK("#JobState","Set State →"),""),HYPERLINK(IF(OR(_xlfn.SINGLE(JobState)="MI",_xlfn.SINGLE(JobState)=""),"https://fema.maps.arcgis.com/apps/mapviewer/index.html?webmap=6a1702b9147243d1a5ee62cd614bc681&amp;center="&amp;$F118&amp;","&amp;$E118&amp;"&amp;level=16&amp;marker="&amp;$F118&amp;","&amp;$E118&amp;"",IF(_xlfn.SINGLE(JobState)="IN","https://fema.maps.arcgis.com/apps/mapviewer/index.html?url=https%3A%2F%2Fgis.indot.in.gov%2Fro%2Frest%2Fservices%2FRAH_GIO_Collaboration%2FLRSE_Functional_Class%2FFeatureServer%2F22&amp;find="&amp;$F118&amp;"%2C"&amp;$E118&amp;"&amp;marker="&amp;$F118&amp;","&amp;$E118&amp;",4326&amp;level=16",IF(_xlfn.SINGLE(JobState)="WI","https://fema.maps.arcgis.com/apps/mapviewer/index.html?url=https://services5.arcgis.com/0pgGLzT0Nh7FVjon/arcgis/rest/services/Functional_Class_Local_Non_Prod/FeatureServer/1&amp;find="&amp;$F118&amp;"%2C"&amp;$E118&amp;"&amp;marker="&amp;$F118&amp;","&amp;$E118&amp;",4326&amp;level=16",IF(_xlfn.SINGLE(JobState)="MN","https://fema.maps.arcgis.com/apps/mapviewer/index.html?url=https%3A%2F%2Fdotapp9.dot.state.mn.us%2Fegis12%2Frest%2Fservices%2FBASEMAP%2Fmndot_commonlayers2%2FMapServer%2F11&amp;find="&amp;$F118&amp;"%2C"&amp;$E118&amp;"&amp;marker="&amp;$F118&amp;","&amp;$E118&amp;",4326&amp;level=16",IF(_xlfn.SINGLE(JobState)="IL","https://fema.maps.arcgis.com/apps/mapviewer/index.html?url=https%3A%2F%2Fgis1.dot.illinois.gov%2Farcgis%2Frest%2Fservices%2FAdministrativeData%2FFunctionalClass%2FMapServer%2F0&amp;find="&amp;$F118&amp;"%2C"&amp;$E118&amp;"&amp;marker="&amp;$F118&amp;","&amp;$E118&amp;",4326&amp;level=16",IF(_xlfn.SINGLE(JobState)="OH","https://fema.maps.arcgis.com/apps/mapviewer/index.html?url=https%3A%2F%2Ftims.dot.state.oh.us%2Fags%2Frest%2Fservices%2FRoadway_Information%2FFunctional_Class%2FMapServer%2F0&amp;find="&amp;$F118&amp;"%2C"&amp;$E118&amp;"&amp;marker="&amp;$F118&amp;","&amp;$E118&amp;",4326&amp;level=16","https://fema.maps.arcgis.com/apps/mapviewer/index.html?find="&amp;$F118&amp;"%2C"&amp;$E118&amp;"&amp;marker="&amp;$F118&amp;","&amp;$E118&amp;",4326&amp;level=16")))))),IF(_xlfn.SINGLE(JobState)="WI","Review Local Roads Layer","Review NFC AGOL Layer"))))</f>
        <v/>
      </c>
      <c r="N118" s="6" t="str">
        <f>IF(OR($E118="",$F118=""),"",IF(_xlfn.SINGLE(JobState)="",IF(ROW()=2,HYPERLINK("#JobState","Set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118&amp;"%2C"&amp;$E118&amp;"&amp;marker="&amp;$F118&amp;","&amp;$E118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8" s="6" t="str">
        <f>IF(OR($E118="", $F118=""),"",IF(_xlfn.SINGLE(JobAgolMap)="",HYPERLINK("https://fema.maps.arcgis.com/apps/mapviewer/index.html?find="&amp;$F118&amp;"%2C"&amp;$E118&amp;"&amp;marker="&amp;$F118&amp;","&amp;$E118&amp;",4326&amp;level=16","FEMA AGOL Map Viewer"),HYPERLINK(_xlfn.SINGLE(JobAgolMap)&amp;IF(ISNUMBER(FIND("?",_xlfn.SINGLE(JobAgolMap))),"&amp;","?")&amp;"center="&amp;$F118&amp;","&amp;$E118&amp;"&amp;level=16&amp;marker="&amp;$F118&amp;","&amp;$E118,"Open")))</f>
        <v/>
      </c>
      <c r="Q118" s="4"/>
      <c r="R118" s="4"/>
      <c r="W118" s="6" t="str">
        <f t="shared" si="6"/>
        <v/>
      </c>
      <c r="X118" s="6" t="str">
        <f t="shared" si="7"/>
        <v/>
      </c>
      <c r="Y118" s="6" t="str">
        <f t="shared" si="8"/>
        <v/>
      </c>
      <c r="Z118" s="6" t="str">
        <f t="shared" si="9"/>
        <v/>
      </c>
      <c r="AA118" s="6" t="str">
        <f t="shared" si="10"/>
        <v/>
      </c>
      <c r="AB118" s="6" t="str">
        <f t="shared" si="11"/>
        <v/>
      </c>
      <c r="AC118" s="4"/>
      <c r="AD118" s="4"/>
    </row>
    <row r="119" spans="1:30" x14ac:dyDescent="0.45">
      <c r="A119" s="3"/>
      <c r="B119" s="3"/>
      <c r="C119" s="5" t="str">
        <f>IF($E119="","",COUNT($E$2:$E119))</f>
        <v/>
      </c>
      <c r="D119" s="3"/>
      <c r="E119" s="3"/>
      <c r="F119" s="3"/>
      <c r="G119" s="3"/>
      <c r="H119" s="3"/>
      <c r="I119" s="3"/>
      <c r="J119" s="3"/>
      <c r="K119" s="3"/>
      <c r="L119" s="4"/>
      <c r="M119" s="6" t="str">
        <f>IF(OR($E119="",$F119=""),"",IF(_xlfn.SINGLE(JobState)="",IF(ROW()=2,HYPERLINK("#JobState","Set State →"),""),HYPERLINK(IF(OR(_xlfn.SINGLE(JobState)="MI",_xlfn.SINGLE(JobState)=""),"https://fema.maps.arcgis.com/apps/mapviewer/index.html?webmap=6a1702b9147243d1a5ee62cd614bc681&amp;center="&amp;$F119&amp;","&amp;$E119&amp;"&amp;level=16&amp;marker="&amp;$F119&amp;","&amp;$E119&amp;"",IF(_xlfn.SINGLE(JobState)="IN","https://fema.maps.arcgis.com/apps/mapviewer/index.html?url=https%3A%2F%2Fgis.indot.in.gov%2Fro%2Frest%2Fservices%2FRAH_GIO_Collaboration%2FLRSE_Functional_Class%2FFeatureServer%2F22&amp;find="&amp;$F119&amp;"%2C"&amp;$E119&amp;"&amp;marker="&amp;$F119&amp;","&amp;$E119&amp;",4326&amp;level=16",IF(_xlfn.SINGLE(JobState)="WI","https://fema.maps.arcgis.com/apps/mapviewer/index.html?url=https://services5.arcgis.com/0pgGLzT0Nh7FVjon/arcgis/rest/services/Functional_Class_Local_Non_Prod/FeatureServer/1&amp;find="&amp;$F119&amp;"%2C"&amp;$E119&amp;"&amp;marker="&amp;$F119&amp;","&amp;$E119&amp;",4326&amp;level=16",IF(_xlfn.SINGLE(JobState)="MN","https://fema.maps.arcgis.com/apps/mapviewer/index.html?url=https%3A%2F%2Fdotapp9.dot.state.mn.us%2Fegis12%2Frest%2Fservices%2FBASEMAP%2Fmndot_commonlayers2%2FMapServer%2F11&amp;find="&amp;$F119&amp;"%2C"&amp;$E119&amp;"&amp;marker="&amp;$F119&amp;","&amp;$E119&amp;",4326&amp;level=16",IF(_xlfn.SINGLE(JobState)="IL","https://fema.maps.arcgis.com/apps/mapviewer/index.html?url=https%3A%2F%2Fgis1.dot.illinois.gov%2Farcgis%2Frest%2Fservices%2FAdministrativeData%2FFunctionalClass%2FMapServer%2F0&amp;find="&amp;$F119&amp;"%2C"&amp;$E119&amp;"&amp;marker="&amp;$F119&amp;","&amp;$E119&amp;",4326&amp;level=16",IF(_xlfn.SINGLE(JobState)="OH","https://fema.maps.arcgis.com/apps/mapviewer/index.html?url=https%3A%2F%2Ftims.dot.state.oh.us%2Fags%2Frest%2Fservices%2FRoadway_Information%2FFunctional_Class%2FMapServer%2F0&amp;find="&amp;$F119&amp;"%2C"&amp;$E119&amp;"&amp;marker="&amp;$F119&amp;","&amp;$E119&amp;",4326&amp;level=16","https://fema.maps.arcgis.com/apps/mapviewer/index.html?find="&amp;$F119&amp;"%2C"&amp;$E119&amp;"&amp;marker="&amp;$F119&amp;","&amp;$E119&amp;",4326&amp;level=16")))))),IF(_xlfn.SINGLE(JobState)="WI","Review Local Roads Layer","Review NFC AGOL Layer"))))</f>
        <v/>
      </c>
      <c r="N119" s="6" t="str">
        <f>IF(OR($E119="",$F119=""),"",IF(_xlfn.SINGLE(JobState)="",IF(ROW()=2,HYPERLINK("#JobState","Set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119&amp;"%2C"&amp;$E119&amp;"&amp;marker="&amp;$F119&amp;","&amp;$E119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9" s="6" t="str">
        <f>IF(OR($E119="", $F119=""),"",IF(_xlfn.SINGLE(JobAgolMap)="",HYPERLINK("https://fema.maps.arcgis.com/apps/mapviewer/index.html?find="&amp;$F119&amp;"%2C"&amp;$E119&amp;"&amp;marker="&amp;$F119&amp;","&amp;$E119&amp;",4326&amp;level=16","FEMA AGOL Map Viewer"),HYPERLINK(_xlfn.SINGLE(JobAgolMap)&amp;IF(ISNUMBER(FIND("?",_xlfn.SINGLE(JobAgolMap))),"&amp;","?")&amp;"center="&amp;$F119&amp;","&amp;$E119&amp;"&amp;level=16&amp;marker="&amp;$F119&amp;","&amp;$E119,"Open")))</f>
        <v/>
      </c>
      <c r="Q119" s="4"/>
      <c r="R119" s="4"/>
      <c r="W119" s="6" t="str">
        <f t="shared" si="6"/>
        <v/>
      </c>
      <c r="X119" s="6" t="str">
        <f t="shared" si="7"/>
        <v/>
      </c>
      <c r="Y119" s="6" t="str">
        <f t="shared" si="8"/>
        <v/>
      </c>
      <c r="Z119" s="6" t="str">
        <f t="shared" si="9"/>
        <v/>
      </c>
      <c r="AA119" s="6" t="str">
        <f t="shared" si="10"/>
        <v/>
      </c>
      <c r="AB119" s="6" t="str">
        <f t="shared" si="11"/>
        <v/>
      </c>
      <c r="AC119" s="4"/>
      <c r="AD119" s="4"/>
    </row>
    <row r="120" spans="1:30" x14ac:dyDescent="0.45">
      <c r="A120" s="3"/>
      <c r="B120" s="3"/>
      <c r="C120" s="5" t="str">
        <f>IF($E120="","",COUNT($E$2:$E120))</f>
        <v/>
      </c>
      <c r="D120" s="3"/>
      <c r="E120" s="3"/>
      <c r="F120" s="3"/>
      <c r="G120" s="3"/>
      <c r="H120" s="3"/>
      <c r="I120" s="3"/>
      <c r="J120" s="3"/>
      <c r="K120" s="3"/>
      <c r="L120" s="4"/>
      <c r="M120" s="6" t="str">
        <f>IF(OR($E120="",$F120=""),"",IF(_xlfn.SINGLE(JobState)="",IF(ROW()=2,HYPERLINK("#JobState","Set State →"),""),HYPERLINK(IF(OR(_xlfn.SINGLE(JobState)="MI",_xlfn.SINGLE(JobState)=""),"https://fema.maps.arcgis.com/apps/mapviewer/index.html?webmap=6a1702b9147243d1a5ee62cd614bc681&amp;center="&amp;$F120&amp;","&amp;$E120&amp;"&amp;level=16&amp;marker="&amp;$F120&amp;","&amp;$E120&amp;"",IF(_xlfn.SINGLE(JobState)="IN","https://fema.maps.arcgis.com/apps/mapviewer/index.html?url=https%3A%2F%2Fgis.indot.in.gov%2Fro%2Frest%2Fservices%2FRAH_GIO_Collaboration%2FLRSE_Functional_Class%2FFeatureServer%2F22&amp;find="&amp;$F120&amp;"%2C"&amp;$E120&amp;"&amp;marker="&amp;$F120&amp;","&amp;$E120&amp;",4326&amp;level=16",IF(_xlfn.SINGLE(JobState)="WI","https://fema.maps.arcgis.com/apps/mapviewer/index.html?url=https://services5.arcgis.com/0pgGLzT0Nh7FVjon/arcgis/rest/services/Functional_Class_Local_Non_Prod/FeatureServer/1&amp;find="&amp;$F120&amp;"%2C"&amp;$E120&amp;"&amp;marker="&amp;$F120&amp;","&amp;$E120&amp;",4326&amp;level=16",IF(_xlfn.SINGLE(JobState)="MN","https://fema.maps.arcgis.com/apps/mapviewer/index.html?url=https%3A%2F%2Fdotapp9.dot.state.mn.us%2Fegis12%2Frest%2Fservices%2FBASEMAP%2Fmndot_commonlayers2%2FMapServer%2F11&amp;find="&amp;$F120&amp;"%2C"&amp;$E120&amp;"&amp;marker="&amp;$F120&amp;","&amp;$E120&amp;",4326&amp;level=16",IF(_xlfn.SINGLE(JobState)="IL","https://fema.maps.arcgis.com/apps/mapviewer/index.html?url=https%3A%2F%2Fgis1.dot.illinois.gov%2Farcgis%2Frest%2Fservices%2FAdministrativeData%2FFunctionalClass%2FMapServer%2F0&amp;find="&amp;$F120&amp;"%2C"&amp;$E120&amp;"&amp;marker="&amp;$F120&amp;","&amp;$E120&amp;",4326&amp;level=16",IF(_xlfn.SINGLE(JobState)="OH","https://fema.maps.arcgis.com/apps/mapviewer/index.html?url=https%3A%2F%2Ftims.dot.state.oh.us%2Fags%2Frest%2Fservices%2FRoadway_Information%2FFunctional_Class%2FMapServer%2F0&amp;find="&amp;$F120&amp;"%2C"&amp;$E120&amp;"&amp;marker="&amp;$F120&amp;","&amp;$E120&amp;",4326&amp;level=16","https://fema.maps.arcgis.com/apps/mapviewer/index.html?find="&amp;$F120&amp;"%2C"&amp;$E120&amp;"&amp;marker="&amp;$F120&amp;","&amp;$E120&amp;",4326&amp;level=16")))))),IF(_xlfn.SINGLE(JobState)="WI","Review Local Roads Layer","Review NFC AGOL Layer"))))</f>
        <v/>
      </c>
      <c r="N120" s="6" t="str">
        <f>IF(OR($E120="",$F120=""),"",IF(_xlfn.SINGLE(JobState)="",IF(ROW()=2,HYPERLINK("#JobState","Set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120&amp;"%2C"&amp;$E120&amp;"&amp;marker="&amp;$F120&amp;","&amp;$E120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0" s="6" t="str">
        <f>IF(OR($E120="", $F120=""),"",IF(_xlfn.SINGLE(JobAgolMap)="",HYPERLINK("https://fema.maps.arcgis.com/apps/mapviewer/index.html?find="&amp;$F120&amp;"%2C"&amp;$E120&amp;"&amp;marker="&amp;$F120&amp;","&amp;$E120&amp;",4326&amp;level=16","FEMA AGOL Map Viewer"),HYPERLINK(_xlfn.SINGLE(JobAgolMap)&amp;IF(ISNUMBER(FIND("?",_xlfn.SINGLE(JobAgolMap))),"&amp;","?")&amp;"center="&amp;$F120&amp;","&amp;$E120&amp;"&amp;level=16&amp;marker="&amp;$F120&amp;","&amp;$E120,"Open")))</f>
        <v/>
      </c>
      <c r="Q120" s="4"/>
      <c r="R120" s="4"/>
      <c r="W120" s="6" t="str">
        <f t="shared" si="6"/>
        <v/>
      </c>
      <c r="X120" s="6" t="str">
        <f t="shared" si="7"/>
        <v/>
      </c>
      <c r="Y120" s="6" t="str">
        <f t="shared" si="8"/>
        <v/>
      </c>
      <c r="Z120" s="6" t="str">
        <f t="shared" si="9"/>
        <v/>
      </c>
      <c r="AA120" s="6" t="str">
        <f t="shared" si="10"/>
        <v/>
      </c>
      <c r="AB120" s="6" t="str">
        <f t="shared" si="11"/>
        <v/>
      </c>
      <c r="AC120" s="4"/>
      <c r="AD120" s="4"/>
    </row>
    <row r="121" spans="1:30" x14ac:dyDescent="0.45">
      <c r="A121" s="3"/>
      <c r="B121" s="3"/>
      <c r="C121" s="5" t="str">
        <f>IF($E121="","",COUNT($E$2:$E121))</f>
        <v/>
      </c>
      <c r="D121" s="3"/>
      <c r="E121" s="3"/>
      <c r="F121" s="3"/>
      <c r="G121" s="3"/>
      <c r="H121" s="3"/>
      <c r="I121" s="3"/>
      <c r="J121" s="3"/>
      <c r="K121" s="3"/>
      <c r="L121" s="4"/>
      <c r="M121" s="6" t="str">
        <f>IF(OR($E121="",$F121=""),"",IF(_xlfn.SINGLE(JobState)="",IF(ROW()=2,HYPERLINK("#JobState","Set State →"),""),HYPERLINK(IF(OR(_xlfn.SINGLE(JobState)="MI",_xlfn.SINGLE(JobState)=""),"https://fema.maps.arcgis.com/apps/mapviewer/index.html?webmap=6a1702b9147243d1a5ee62cd614bc681&amp;center="&amp;$F121&amp;","&amp;$E121&amp;"&amp;level=16&amp;marker="&amp;$F121&amp;","&amp;$E121&amp;"",IF(_xlfn.SINGLE(JobState)="IN","https://fema.maps.arcgis.com/apps/mapviewer/index.html?url=https%3A%2F%2Fgis.indot.in.gov%2Fro%2Frest%2Fservices%2FRAH_GIO_Collaboration%2FLRSE_Functional_Class%2FFeatureServer%2F22&amp;find="&amp;$F121&amp;"%2C"&amp;$E121&amp;"&amp;marker="&amp;$F121&amp;","&amp;$E121&amp;",4326&amp;level=16",IF(_xlfn.SINGLE(JobState)="WI","https://fema.maps.arcgis.com/apps/mapviewer/index.html?url=https://services5.arcgis.com/0pgGLzT0Nh7FVjon/arcgis/rest/services/Functional_Class_Local_Non_Prod/FeatureServer/1&amp;find="&amp;$F121&amp;"%2C"&amp;$E121&amp;"&amp;marker="&amp;$F121&amp;","&amp;$E121&amp;",4326&amp;level=16",IF(_xlfn.SINGLE(JobState)="MN","https://fema.maps.arcgis.com/apps/mapviewer/index.html?url=https%3A%2F%2Fdotapp9.dot.state.mn.us%2Fegis12%2Frest%2Fservices%2FBASEMAP%2Fmndot_commonlayers2%2FMapServer%2F11&amp;find="&amp;$F121&amp;"%2C"&amp;$E121&amp;"&amp;marker="&amp;$F121&amp;","&amp;$E121&amp;",4326&amp;level=16",IF(_xlfn.SINGLE(JobState)="IL","https://fema.maps.arcgis.com/apps/mapviewer/index.html?url=https%3A%2F%2Fgis1.dot.illinois.gov%2Farcgis%2Frest%2Fservices%2FAdministrativeData%2FFunctionalClass%2FMapServer%2F0&amp;find="&amp;$F121&amp;"%2C"&amp;$E121&amp;"&amp;marker="&amp;$F121&amp;","&amp;$E121&amp;",4326&amp;level=16",IF(_xlfn.SINGLE(JobState)="OH","https://fema.maps.arcgis.com/apps/mapviewer/index.html?url=https%3A%2F%2Ftims.dot.state.oh.us%2Fags%2Frest%2Fservices%2FRoadway_Information%2FFunctional_Class%2FMapServer%2F0&amp;find="&amp;$F121&amp;"%2C"&amp;$E121&amp;"&amp;marker="&amp;$F121&amp;","&amp;$E121&amp;",4326&amp;level=16","https://fema.maps.arcgis.com/apps/mapviewer/index.html?find="&amp;$F121&amp;"%2C"&amp;$E121&amp;"&amp;marker="&amp;$F121&amp;","&amp;$E121&amp;",4326&amp;level=16")))))),IF(_xlfn.SINGLE(JobState)="WI","Review Local Roads Layer","Review NFC AGOL Layer"))))</f>
        <v/>
      </c>
      <c r="N121" s="6" t="str">
        <f>IF(OR($E121="",$F121=""),"",IF(_xlfn.SINGLE(JobState)="",IF(ROW()=2,HYPERLINK("#JobState","Set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121&amp;"%2C"&amp;$E121&amp;"&amp;marker="&amp;$F121&amp;","&amp;$E121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1" s="6" t="str">
        <f>IF(OR($E121="", $F121=""),"",IF(_xlfn.SINGLE(JobAgolMap)="",HYPERLINK("https://fema.maps.arcgis.com/apps/mapviewer/index.html?find="&amp;$F121&amp;"%2C"&amp;$E121&amp;"&amp;marker="&amp;$F121&amp;","&amp;$E121&amp;",4326&amp;level=16","FEMA AGOL Map Viewer"),HYPERLINK(_xlfn.SINGLE(JobAgolMap)&amp;IF(ISNUMBER(FIND("?",_xlfn.SINGLE(JobAgolMap))),"&amp;","?")&amp;"center="&amp;$F121&amp;","&amp;$E121&amp;"&amp;level=16&amp;marker="&amp;$F121&amp;","&amp;$E121,"Open")))</f>
        <v/>
      </c>
      <c r="Q121" s="4"/>
      <c r="R121" s="4"/>
      <c r="W121" s="6" t="str">
        <f t="shared" si="6"/>
        <v/>
      </c>
      <c r="X121" s="6" t="str">
        <f t="shared" si="7"/>
        <v/>
      </c>
      <c r="Y121" s="6" t="str">
        <f t="shared" si="8"/>
        <v/>
      </c>
      <c r="Z121" s="6" t="str">
        <f t="shared" si="9"/>
        <v/>
      </c>
      <c r="AA121" s="6" t="str">
        <f t="shared" si="10"/>
        <v/>
      </c>
      <c r="AB121" s="6" t="str">
        <f t="shared" si="11"/>
        <v/>
      </c>
      <c r="AC121" s="4"/>
      <c r="AD121" s="4"/>
    </row>
    <row r="122" spans="1:30" x14ac:dyDescent="0.45">
      <c r="A122" s="3"/>
      <c r="B122" s="3"/>
      <c r="C122" s="5" t="str">
        <f>IF($E122="","",COUNT($E$2:$E122))</f>
        <v/>
      </c>
      <c r="D122" s="3"/>
      <c r="E122" s="3"/>
      <c r="F122" s="3"/>
      <c r="G122" s="3"/>
      <c r="H122" s="3"/>
      <c r="I122" s="3"/>
      <c r="J122" s="3"/>
      <c r="K122" s="3"/>
      <c r="L122" s="4"/>
      <c r="M122" s="6" t="str">
        <f>IF(OR($E122="",$F122=""),"",IF(_xlfn.SINGLE(JobState)="",IF(ROW()=2,HYPERLINK("#JobState","Set State →"),""),HYPERLINK(IF(OR(_xlfn.SINGLE(JobState)="MI",_xlfn.SINGLE(JobState)=""),"https://fema.maps.arcgis.com/apps/mapviewer/index.html?webmap=6a1702b9147243d1a5ee62cd614bc681&amp;center="&amp;$F122&amp;","&amp;$E122&amp;"&amp;level=16&amp;marker="&amp;$F122&amp;","&amp;$E122&amp;"",IF(_xlfn.SINGLE(JobState)="IN","https://fema.maps.arcgis.com/apps/mapviewer/index.html?url=https%3A%2F%2Fgis.indot.in.gov%2Fro%2Frest%2Fservices%2FRAH_GIO_Collaboration%2FLRSE_Functional_Class%2FFeatureServer%2F22&amp;find="&amp;$F122&amp;"%2C"&amp;$E122&amp;"&amp;marker="&amp;$F122&amp;","&amp;$E122&amp;",4326&amp;level=16",IF(_xlfn.SINGLE(JobState)="WI","https://fema.maps.arcgis.com/apps/mapviewer/index.html?url=https://services5.arcgis.com/0pgGLzT0Nh7FVjon/arcgis/rest/services/Functional_Class_Local_Non_Prod/FeatureServer/1&amp;find="&amp;$F122&amp;"%2C"&amp;$E122&amp;"&amp;marker="&amp;$F122&amp;","&amp;$E122&amp;",4326&amp;level=16",IF(_xlfn.SINGLE(JobState)="MN","https://fema.maps.arcgis.com/apps/mapviewer/index.html?url=https%3A%2F%2Fdotapp9.dot.state.mn.us%2Fegis12%2Frest%2Fservices%2FBASEMAP%2Fmndot_commonlayers2%2FMapServer%2F11&amp;find="&amp;$F122&amp;"%2C"&amp;$E122&amp;"&amp;marker="&amp;$F122&amp;","&amp;$E122&amp;",4326&amp;level=16",IF(_xlfn.SINGLE(JobState)="IL","https://fema.maps.arcgis.com/apps/mapviewer/index.html?url=https%3A%2F%2Fgis1.dot.illinois.gov%2Farcgis%2Frest%2Fservices%2FAdministrativeData%2FFunctionalClass%2FMapServer%2F0&amp;find="&amp;$F122&amp;"%2C"&amp;$E122&amp;"&amp;marker="&amp;$F122&amp;","&amp;$E122&amp;",4326&amp;level=16",IF(_xlfn.SINGLE(JobState)="OH","https://fema.maps.arcgis.com/apps/mapviewer/index.html?url=https%3A%2F%2Ftims.dot.state.oh.us%2Fags%2Frest%2Fservices%2FRoadway_Information%2FFunctional_Class%2FMapServer%2F0&amp;find="&amp;$F122&amp;"%2C"&amp;$E122&amp;"&amp;marker="&amp;$F122&amp;","&amp;$E122&amp;",4326&amp;level=16","https://fema.maps.arcgis.com/apps/mapviewer/index.html?find="&amp;$F122&amp;"%2C"&amp;$E122&amp;"&amp;marker="&amp;$F122&amp;","&amp;$E122&amp;",4326&amp;level=16")))))),IF(_xlfn.SINGLE(JobState)="WI","Review Local Roads Layer","Review NFC AGOL Layer"))))</f>
        <v/>
      </c>
      <c r="N122" s="6" t="str">
        <f>IF(OR($E122="",$F122=""),"",IF(_xlfn.SINGLE(JobState)="",IF(ROW()=2,HYPERLINK("#JobState","Set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122&amp;"%2C"&amp;$E122&amp;"&amp;marker="&amp;$F122&amp;","&amp;$E122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2" s="6" t="str">
        <f>IF(OR($E122="", $F122=""),"",IF(_xlfn.SINGLE(JobAgolMap)="",HYPERLINK("https://fema.maps.arcgis.com/apps/mapviewer/index.html?find="&amp;$F122&amp;"%2C"&amp;$E122&amp;"&amp;marker="&amp;$F122&amp;","&amp;$E122&amp;",4326&amp;level=16","FEMA AGOL Map Viewer"),HYPERLINK(_xlfn.SINGLE(JobAgolMap)&amp;IF(ISNUMBER(FIND("?",_xlfn.SINGLE(JobAgolMap))),"&amp;","?")&amp;"center="&amp;$F122&amp;","&amp;$E122&amp;"&amp;level=16&amp;marker="&amp;$F122&amp;","&amp;$E122,"Open")))</f>
        <v/>
      </c>
      <c r="Q122" s="4"/>
      <c r="R122" s="4"/>
      <c r="W122" s="6" t="str">
        <f t="shared" si="6"/>
        <v/>
      </c>
      <c r="X122" s="6" t="str">
        <f t="shared" si="7"/>
        <v/>
      </c>
      <c r="Y122" s="6" t="str">
        <f t="shared" si="8"/>
        <v/>
      </c>
      <c r="Z122" s="6" t="str">
        <f t="shared" si="9"/>
        <v/>
      </c>
      <c r="AA122" s="6" t="str">
        <f t="shared" si="10"/>
        <v/>
      </c>
      <c r="AB122" s="6" t="str">
        <f t="shared" si="11"/>
        <v/>
      </c>
      <c r="AC122" s="4"/>
      <c r="AD122" s="4"/>
    </row>
    <row r="123" spans="1:30" x14ac:dyDescent="0.45">
      <c r="A123" s="3"/>
      <c r="B123" s="3"/>
      <c r="C123" s="5" t="str">
        <f>IF($E123="","",COUNT($E$2:$E123))</f>
        <v/>
      </c>
      <c r="D123" s="3"/>
      <c r="E123" s="3"/>
      <c r="F123" s="3"/>
      <c r="G123" s="3"/>
      <c r="H123" s="3"/>
      <c r="I123" s="3"/>
      <c r="J123" s="3"/>
      <c r="K123" s="3"/>
      <c r="L123" s="4"/>
      <c r="M123" s="6" t="str">
        <f>IF(OR($E123="",$F123=""),"",IF(_xlfn.SINGLE(JobState)="",IF(ROW()=2,HYPERLINK("#JobState","Set State →"),""),HYPERLINK(IF(OR(_xlfn.SINGLE(JobState)="MI",_xlfn.SINGLE(JobState)=""),"https://fema.maps.arcgis.com/apps/mapviewer/index.html?webmap=6a1702b9147243d1a5ee62cd614bc681&amp;center="&amp;$F123&amp;","&amp;$E123&amp;"&amp;level=16&amp;marker="&amp;$F123&amp;","&amp;$E123&amp;"",IF(_xlfn.SINGLE(JobState)="IN","https://fema.maps.arcgis.com/apps/mapviewer/index.html?url=https%3A%2F%2Fgis.indot.in.gov%2Fro%2Frest%2Fservices%2FRAH_GIO_Collaboration%2FLRSE_Functional_Class%2FFeatureServer%2F22&amp;find="&amp;$F123&amp;"%2C"&amp;$E123&amp;"&amp;marker="&amp;$F123&amp;","&amp;$E123&amp;",4326&amp;level=16",IF(_xlfn.SINGLE(JobState)="WI","https://fema.maps.arcgis.com/apps/mapviewer/index.html?url=https://services5.arcgis.com/0pgGLzT0Nh7FVjon/arcgis/rest/services/Functional_Class_Local_Non_Prod/FeatureServer/1&amp;find="&amp;$F123&amp;"%2C"&amp;$E123&amp;"&amp;marker="&amp;$F123&amp;","&amp;$E123&amp;",4326&amp;level=16",IF(_xlfn.SINGLE(JobState)="MN","https://fema.maps.arcgis.com/apps/mapviewer/index.html?url=https%3A%2F%2Fdotapp9.dot.state.mn.us%2Fegis12%2Frest%2Fservices%2FBASEMAP%2Fmndot_commonlayers2%2FMapServer%2F11&amp;find="&amp;$F123&amp;"%2C"&amp;$E123&amp;"&amp;marker="&amp;$F123&amp;","&amp;$E123&amp;",4326&amp;level=16",IF(_xlfn.SINGLE(JobState)="IL","https://fema.maps.arcgis.com/apps/mapviewer/index.html?url=https%3A%2F%2Fgis1.dot.illinois.gov%2Farcgis%2Frest%2Fservices%2FAdministrativeData%2FFunctionalClass%2FMapServer%2F0&amp;find="&amp;$F123&amp;"%2C"&amp;$E123&amp;"&amp;marker="&amp;$F123&amp;","&amp;$E123&amp;",4326&amp;level=16",IF(_xlfn.SINGLE(JobState)="OH","https://fema.maps.arcgis.com/apps/mapviewer/index.html?url=https%3A%2F%2Ftims.dot.state.oh.us%2Fags%2Frest%2Fservices%2FRoadway_Information%2FFunctional_Class%2FMapServer%2F0&amp;find="&amp;$F123&amp;"%2C"&amp;$E123&amp;"&amp;marker="&amp;$F123&amp;","&amp;$E123&amp;",4326&amp;level=16","https://fema.maps.arcgis.com/apps/mapviewer/index.html?find="&amp;$F123&amp;"%2C"&amp;$E123&amp;"&amp;marker="&amp;$F123&amp;","&amp;$E123&amp;",4326&amp;level=16")))))),IF(_xlfn.SINGLE(JobState)="WI","Review Local Roads Layer","Review NFC AGOL Layer"))))</f>
        <v/>
      </c>
      <c r="N123" s="6" t="str">
        <f>IF(OR($E123="",$F123=""),"",IF(_xlfn.SINGLE(JobState)="",IF(ROW()=2,HYPERLINK("#JobState","Set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123&amp;"%2C"&amp;$E123&amp;"&amp;marker="&amp;$F123&amp;","&amp;$E123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3" s="6" t="str">
        <f>IF(OR($E123="", $F123=""),"",IF(_xlfn.SINGLE(JobAgolMap)="",HYPERLINK("https://fema.maps.arcgis.com/apps/mapviewer/index.html?find="&amp;$F123&amp;"%2C"&amp;$E123&amp;"&amp;marker="&amp;$F123&amp;","&amp;$E123&amp;",4326&amp;level=16","FEMA AGOL Map Viewer"),HYPERLINK(_xlfn.SINGLE(JobAgolMap)&amp;IF(ISNUMBER(FIND("?",_xlfn.SINGLE(JobAgolMap))),"&amp;","?")&amp;"center="&amp;$F123&amp;","&amp;$E123&amp;"&amp;level=16&amp;marker="&amp;$F123&amp;","&amp;$E123,"Open")))</f>
        <v/>
      </c>
      <c r="Q123" s="4"/>
      <c r="R123" s="4"/>
      <c r="W123" s="6" t="str">
        <f t="shared" si="6"/>
        <v/>
      </c>
      <c r="X123" s="6" t="str">
        <f t="shared" si="7"/>
        <v/>
      </c>
      <c r="Y123" s="6" t="str">
        <f t="shared" si="8"/>
        <v/>
      </c>
      <c r="Z123" s="6" t="str">
        <f t="shared" si="9"/>
        <v/>
      </c>
      <c r="AA123" s="6" t="str">
        <f t="shared" si="10"/>
        <v/>
      </c>
      <c r="AB123" s="6" t="str">
        <f t="shared" si="11"/>
        <v/>
      </c>
      <c r="AC123" s="4"/>
      <c r="AD123" s="4"/>
    </row>
    <row r="124" spans="1:30" x14ac:dyDescent="0.45">
      <c r="A124" s="3"/>
      <c r="B124" s="3"/>
      <c r="C124" s="5" t="str">
        <f>IF($E124="","",COUNT($E$2:$E124))</f>
        <v/>
      </c>
      <c r="D124" s="3"/>
      <c r="E124" s="3"/>
      <c r="F124" s="3"/>
      <c r="G124" s="3"/>
      <c r="H124" s="3"/>
      <c r="I124" s="3"/>
      <c r="J124" s="3"/>
      <c r="K124" s="3"/>
      <c r="L124" s="4"/>
      <c r="M124" s="6" t="str">
        <f>IF(OR($E124="",$F124=""),"",IF(_xlfn.SINGLE(JobState)="",IF(ROW()=2,HYPERLINK("#JobState","Set State →"),""),HYPERLINK(IF(OR(_xlfn.SINGLE(JobState)="MI",_xlfn.SINGLE(JobState)=""),"https://fema.maps.arcgis.com/apps/mapviewer/index.html?webmap=6a1702b9147243d1a5ee62cd614bc681&amp;center="&amp;$F124&amp;","&amp;$E124&amp;"&amp;level=16&amp;marker="&amp;$F124&amp;","&amp;$E124&amp;"",IF(_xlfn.SINGLE(JobState)="IN","https://fema.maps.arcgis.com/apps/mapviewer/index.html?url=https%3A%2F%2Fgis.indot.in.gov%2Fro%2Frest%2Fservices%2FRAH_GIO_Collaboration%2FLRSE_Functional_Class%2FFeatureServer%2F22&amp;find="&amp;$F124&amp;"%2C"&amp;$E124&amp;"&amp;marker="&amp;$F124&amp;","&amp;$E124&amp;",4326&amp;level=16",IF(_xlfn.SINGLE(JobState)="WI","https://fema.maps.arcgis.com/apps/mapviewer/index.html?url=https://services5.arcgis.com/0pgGLzT0Nh7FVjon/arcgis/rest/services/Functional_Class_Local_Non_Prod/FeatureServer/1&amp;find="&amp;$F124&amp;"%2C"&amp;$E124&amp;"&amp;marker="&amp;$F124&amp;","&amp;$E124&amp;",4326&amp;level=16",IF(_xlfn.SINGLE(JobState)="MN","https://fema.maps.arcgis.com/apps/mapviewer/index.html?url=https%3A%2F%2Fdotapp9.dot.state.mn.us%2Fegis12%2Frest%2Fservices%2FBASEMAP%2Fmndot_commonlayers2%2FMapServer%2F11&amp;find="&amp;$F124&amp;"%2C"&amp;$E124&amp;"&amp;marker="&amp;$F124&amp;","&amp;$E124&amp;",4326&amp;level=16",IF(_xlfn.SINGLE(JobState)="IL","https://fema.maps.arcgis.com/apps/mapviewer/index.html?url=https%3A%2F%2Fgis1.dot.illinois.gov%2Farcgis%2Frest%2Fservices%2FAdministrativeData%2FFunctionalClass%2FMapServer%2F0&amp;find="&amp;$F124&amp;"%2C"&amp;$E124&amp;"&amp;marker="&amp;$F124&amp;","&amp;$E124&amp;",4326&amp;level=16",IF(_xlfn.SINGLE(JobState)="OH","https://fema.maps.arcgis.com/apps/mapviewer/index.html?url=https%3A%2F%2Ftims.dot.state.oh.us%2Fags%2Frest%2Fservices%2FRoadway_Information%2FFunctional_Class%2FMapServer%2F0&amp;find="&amp;$F124&amp;"%2C"&amp;$E124&amp;"&amp;marker="&amp;$F124&amp;","&amp;$E124&amp;",4326&amp;level=16","https://fema.maps.arcgis.com/apps/mapviewer/index.html?find="&amp;$F124&amp;"%2C"&amp;$E124&amp;"&amp;marker="&amp;$F124&amp;","&amp;$E124&amp;",4326&amp;level=16")))))),IF(_xlfn.SINGLE(JobState)="WI","Review Local Roads Layer","Review NFC AGOL Layer"))))</f>
        <v/>
      </c>
      <c r="N124" s="6" t="str">
        <f>IF(OR($E124="",$F124=""),"",IF(_xlfn.SINGLE(JobState)="",IF(ROW()=2,HYPERLINK("#JobState","Set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124&amp;"%2C"&amp;$E124&amp;"&amp;marker="&amp;$F124&amp;","&amp;$E124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4" s="6" t="str">
        <f>IF(OR($E124="", $F124=""),"",IF(_xlfn.SINGLE(JobAgolMap)="",HYPERLINK("https://fema.maps.arcgis.com/apps/mapviewer/index.html?find="&amp;$F124&amp;"%2C"&amp;$E124&amp;"&amp;marker="&amp;$F124&amp;","&amp;$E124&amp;",4326&amp;level=16","FEMA AGOL Map Viewer"),HYPERLINK(_xlfn.SINGLE(JobAgolMap)&amp;IF(ISNUMBER(FIND("?",_xlfn.SINGLE(JobAgolMap))),"&amp;","?")&amp;"center="&amp;$F124&amp;","&amp;$E124&amp;"&amp;level=16&amp;marker="&amp;$F124&amp;","&amp;$E124,"Open")))</f>
        <v/>
      </c>
      <c r="Q124" s="4"/>
      <c r="R124" s="4"/>
      <c r="W124" s="6" t="str">
        <f t="shared" si="6"/>
        <v/>
      </c>
      <c r="X124" s="6" t="str">
        <f t="shared" si="7"/>
        <v/>
      </c>
      <c r="Y124" s="6" t="str">
        <f t="shared" si="8"/>
        <v/>
      </c>
      <c r="Z124" s="6" t="str">
        <f t="shared" si="9"/>
        <v/>
      </c>
      <c r="AA124" s="6" t="str">
        <f t="shared" si="10"/>
        <v/>
      </c>
      <c r="AB124" s="6" t="str">
        <f t="shared" si="11"/>
        <v/>
      </c>
      <c r="AC124" s="4"/>
      <c r="AD124" s="4"/>
    </row>
    <row r="125" spans="1:30" x14ac:dyDescent="0.45">
      <c r="A125" s="3"/>
      <c r="B125" s="3"/>
      <c r="C125" s="5" t="str">
        <f>IF($E125="","",COUNT($E$2:$E125))</f>
        <v/>
      </c>
      <c r="D125" s="3"/>
      <c r="E125" s="3"/>
      <c r="F125" s="3"/>
      <c r="G125" s="3"/>
      <c r="H125" s="3"/>
      <c r="I125" s="3"/>
      <c r="J125" s="3"/>
      <c r="K125" s="3"/>
      <c r="L125" s="4"/>
      <c r="M125" s="6" t="str">
        <f>IF(OR($E125="",$F125=""),"",IF(_xlfn.SINGLE(JobState)="",IF(ROW()=2,HYPERLINK("#JobState","Set State →"),""),HYPERLINK(IF(OR(_xlfn.SINGLE(JobState)="MI",_xlfn.SINGLE(JobState)=""),"https://fema.maps.arcgis.com/apps/mapviewer/index.html?webmap=6a1702b9147243d1a5ee62cd614bc681&amp;center="&amp;$F125&amp;","&amp;$E125&amp;"&amp;level=16&amp;marker="&amp;$F125&amp;","&amp;$E125&amp;"",IF(_xlfn.SINGLE(JobState)="IN","https://fema.maps.arcgis.com/apps/mapviewer/index.html?url=https%3A%2F%2Fgis.indot.in.gov%2Fro%2Frest%2Fservices%2FRAH_GIO_Collaboration%2FLRSE_Functional_Class%2FFeatureServer%2F22&amp;find="&amp;$F125&amp;"%2C"&amp;$E125&amp;"&amp;marker="&amp;$F125&amp;","&amp;$E125&amp;",4326&amp;level=16",IF(_xlfn.SINGLE(JobState)="WI","https://fema.maps.arcgis.com/apps/mapviewer/index.html?url=https://services5.arcgis.com/0pgGLzT0Nh7FVjon/arcgis/rest/services/Functional_Class_Local_Non_Prod/FeatureServer/1&amp;find="&amp;$F125&amp;"%2C"&amp;$E125&amp;"&amp;marker="&amp;$F125&amp;","&amp;$E125&amp;",4326&amp;level=16",IF(_xlfn.SINGLE(JobState)="MN","https://fema.maps.arcgis.com/apps/mapviewer/index.html?url=https%3A%2F%2Fdotapp9.dot.state.mn.us%2Fegis12%2Frest%2Fservices%2FBASEMAP%2Fmndot_commonlayers2%2FMapServer%2F11&amp;find="&amp;$F125&amp;"%2C"&amp;$E125&amp;"&amp;marker="&amp;$F125&amp;","&amp;$E125&amp;",4326&amp;level=16",IF(_xlfn.SINGLE(JobState)="IL","https://fema.maps.arcgis.com/apps/mapviewer/index.html?url=https%3A%2F%2Fgis1.dot.illinois.gov%2Farcgis%2Frest%2Fservices%2FAdministrativeData%2FFunctionalClass%2FMapServer%2F0&amp;find="&amp;$F125&amp;"%2C"&amp;$E125&amp;"&amp;marker="&amp;$F125&amp;","&amp;$E125&amp;",4326&amp;level=16",IF(_xlfn.SINGLE(JobState)="OH","https://fema.maps.arcgis.com/apps/mapviewer/index.html?url=https%3A%2F%2Ftims.dot.state.oh.us%2Fags%2Frest%2Fservices%2FRoadway_Information%2FFunctional_Class%2FMapServer%2F0&amp;find="&amp;$F125&amp;"%2C"&amp;$E125&amp;"&amp;marker="&amp;$F125&amp;","&amp;$E125&amp;",4326&amp;level=16","https://fema.maps.arcgis.com/apps/mapviewer/index.html?find="&amp;$F125&amp;"%2C"&amp;$E125&amp;"&amp;marker="&amp;$F125&amp;","&amp;$E125&amp;",4326&amp;level=16")))))),IF(_xlfn.SINGLE(JobState)="WI","Review Local Roads Layer","Review NFC AGOL Layer"))))</f>
        <v/>
      </c>
      <c r="N125" s="6" t="str">
        <f>IF(OR($E125="",$F125=""),"",IF(_xlfn.SINGLE(JobState)="",IF(ROW()=2,HYPERLINK("#JobState","Set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125&amp;"%2C"&amp;$E125&amp;"&amp;marker="&amp;$F125&amp;","&amp;$E125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5" s="6" t="str">
        <f>IF(OR($E125="", $F125=""),"",IF(_xlfn.SINGLE(JobAgolMap)="",HYPERLINK("https://fema.maps.arcgis.com/apps/mapviewer/index.html?find="&amp;$F125&amp;"%2C"&amp;$E125&amp;"&amp;marker="&amp;$F125&amp;","&amp;$E125&amp;",4326&amp;level=16","FEMA AGOL Map Viewer"),HYPERLINK(_xlfn.SINGLE(JobAgolMap)&amp;IF(ISNUMBER(FIND("?",_xlfn.SINGLE(JobAgolMap))),"&amp;","?")&amp;"center="&amp;$F125&amp;","&amp;$E125&amp;"&amp;level=16&amp;marker="&amp;$F125&amp;","&amp;$E125,"Open")))</f>
        <v/>
      </c>
      <c r="Q125" s="4"/>
      <c r="R125" s="4"/>
      <c r="W125" s="6" t="str">
        <f t="shared" si="6"/>
        <v/>
      </c>
      <c r="X125" s="6" t="str">
        <f t="shared" si="7"/>
        <v/>
      </c>
      <c r="Y125" s="6" t="str">
        <f t="shared" si="8"/>
        <v/>
      </c>
      <c r="Z125" s="6" t="str">
        <f t="shared" si="9"/>
        <v/>
      </c>
      <c r="AA125" s="6" t="str">
        <f t="shared" si="10"/>
        <v/>
      </c>
      <c r="AB125" s="6" t="str">
        <f t="shared" si="11"/>
        <v/>
      </c>
      <c r="AC125" s="4"/>
      <c r="AD125" s="4"/>
    </row>
    <row r="126" spans="1:30" x14ac:dyDescent="0.45">
      <c r="A126" s="3"/>
      <c r="B126" s="3"/>
      <c r="C126" s="5" t="str">
        <f>IF($E126="","",COUNT($E$2:$E126))</f>
        <v/>
      </c>
      <c r="D126" s="3"/>
      <c r="E126" s="3"/>
      <c r="F126" s="3"/>
      <c r="G126" s="3"/>
      <c r="H126" s="3"/>
      <c r="I126" s="3"/>
      <c r="J126" s="3"/>
      <c r="K126" s="3"/>
      <c r="L126" s="4"/>
      <c r="M126" s="6" t="str">
        <f>IF(OR($E126="",$F126=""),"",IF(_xlfn.SINGLE(JobState)="",IF(ROW()=2,HYPERLINK("#JobState","Set State →"),""),HYPERLINK(IF(OR(_xlfn.SINGLE(JobState)="MI",_xlfn.SINGLE(JobState)=""),"https://fema.maps.arcgis.com/apps/mapviewer/index.html?webmap=6a1702b9147243d1a5ee62cd614bc681&amp;center="&amp;$F126&amp;","&amp;$E126&amp;"&amp;level=16&amp;marker="&amp;$F126&amp;","&amp;$E126&amp;"",IF(_xlfn.SINGLE(JobState)="IN","https://fema.maps.arcgis.com/apps/mapviewer/index.html?url=https%3A%2F%2Fgis.indot.in.gov%2Fro%2Frest%2Fservices%2FRAH_GIO_Collaboration%2FLRSE_Functional_Class%2FFeatureServer%2F22&amp;find="&amp;$F126&amp;"%2C"&amp;$E126&amp;"&amp;marker="&amp;$F126&amp;","&amp;$E126&amp;",4326&amp;level=16",IF(_xlfn.SINGLE(JobState)="WI","https://fema.maps.arcgis.com/apps/mapviewer/index.html?url=https://services5.arcgis.com/0pgGLzT0Nh7FVjon/arcgis/rest/services/Functional_Class_Local_Non_Prod/FeatureServer/1&amp;find="&amp;$F126&amp;"%2C"&amp;$E126&amp;"&amp;marker="&amp;$F126&amp;","&amp;$E126&amp;",4326&amp;level=16",IF(_xlfn.SINGLE(JobState)="MN","https://fema.maps.arcgis.com/apps/mapviewer/index.html?url=https%3A%2F%2Fdotapp9.dot.state.mn.us%2Fegis12%2Frest%2Fservices%2FBASEMAP%2Fmndot_commonlayers2%2FMapServer%2F11&amp;find="&amp;$F126&amp;"%2C"&amp;$E126&amp;"&amp;marker="&amp;$F126&amp;","&amp;$E126&amp;",4326&amp;level=16",IF(_xlfn.SINGLE(JobState)="IL","https://fema.maps.arcgis.com/apps/mapviewer/index.html?url=https%3A%2F%2Fgis1.dot.illinois.gov%2Farcgis%2Frest%2Fservices%2FAdministrativeData%2FFunctionalClass%2FMapServer%2F0&amp;find="&amp;$F126&amp;"%2C"&amp;$E126&amp;"&amp;marker="&amp;$F126&amp;","&amp;$E126&amp;",4326&amp;level=16",IF(_xlfn.SINGLE(JobState)="OH","https://fema.maps.arcgis.com/apps/mapviewer/index.html?url=https%3A%2F%2Ftims.dot.state.oh.us%2Fags%2Frest%2Fservices%2FRoadway_Information%2FFunctional_Class%2FMapServer%2F0&amp;find="&amp;$F126&amp;"%2C"&amp;$E126&amp;"&amp;marker="&amp;$F126&amp;","&amp;$E126&amp;",4326&amp;level=16","https://fema.maps.arcgis.com/apps/mapviewer/index.html?find="&amp;$F126&amp;"%2C"&amp;$E126&amp;"&amp;marker="&amp;$F126&amp;","&amp;$E126&amp;",4326&amp;level=16")))))),IF(_xlfn.SINGLE(JobState)="WI","Review Local Roads Layer","Review NFC AGOL Layer"))))</f>
        <v/>
      </c>
      <c r="N126" s="6" t="str">
        <f>IF(OR($E126="",$F126=""),"",IF(_xlfn.SINGLE(JobState)="",IF(ROW()=2,HYPERLINK("#JobState","Set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126&amp;"%2C"&amp;$E126&amp;"&amp;marker="&amp;$F126&amp;","&amp;$E126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6" s="6" t="str">
        <f>IF(OR($E126="", $F126=""),"",IF(_xlfn.SINGLE(JobAgolMap)="",HYPERLINK("https://fema.maps.arcgis.com/apps/mapviewer/index.html?find="&amp;$F126&amp;"%2C"&amp;$E126&amp;"&amp;marker="&amp;$F126&amp;","&amp;$E126&amp;",4326&amp;level=16","FEMA AGOL Map Viewer"),HYPERLINK(_xlfn.SINGLE(JobAgolMap)&amp;IF(ISNUMBER(FIND("?",_xlfn.SINGLE(JobAgolMap))),"&amp;","?")&amp;"center="&amp;$F126&amp;","&amp;$E126&amp;"&amp;level=16&amp;marker="&amp;$F126&amp;","&amp;$E126,"Open")))</f>
        <v/>
      </c>
      <c r="Q126" s="4"/>
      <c r="R126" s="4"/>
      <c r="W126" s="6" t="str">
        <f t="shared" si="6"/>
        <v/>
      </c>
      <c r="X126" s="6" t="str">
        <f t="shared" si="7"/>
        <v/>
      </c>
      <c r="Y126" s="6" t="str">
        <f t="shared" si="8"/>
        <v/>
      </c>
      <c r="Z126" s="6" t="str">
        <f t="shared" si="9"/>
        <v/>
      </c>
      <c r="AA126" s="6" t="str">
        <f t="shared" si="10"/>
        <v/>
      </c>
      <c r="AB126" s="6" t="str">
        <f t="shared" si="11"/>
        <v/>
      </c>
      <c r="AC126" s="4"/>
      <c r="AD126" s="4"/>
    </row>
    <row r="127" spans="1:30" x14ac:dyDescent="0.45">
      <c r="A127" s="3"/>
      <c r="B127" s="3"/>
      <c r="C127" s="5" t="str">
        <f>IF($E127="","",COUNT($E$2:$E127))</f>
        <v/>
      </c>
      <c r="D127" s="3"/>
      <c r="E127" s="3"/>
      <c r="F127" s="3"/>
      <c r="G127" s="3"/>
      <c r="H127" s="3"/>
      <c r="I127" s="3"/>
      <c r="J127" s="3"/>
      <c r="K127" s="3"/>
      <c r="L127" s="4"/>
      <c r="M127" s="6" t="str">
        <f>IF(OR($E127="",$F127=""),"",IF(_xlfn.SINGLE(JobState)="",IF(ROW()=2,HYPERLINK("#JobState","Set State →"),""),HYPERLINK(IF(OR(_xlfn.SINGLE(JobState)="MI",_xlfn.SINGLE(JobState)=""),"https://fema.maps.arcgis.com/apps/mapviewer/index.html?webmap=6a1702b9147243d1a5ee62cd614bc681&amp;center="&amp;$F127&amp;","&amp;$E127&amp;"&amp;level=16&amp;marker="&amp;$F127&amp;","&amp;$E127&amp;"",IF(_xlfn.SINGLE(JobState)="IN","https://fema.maps.arcgis.com/apps/mapviewer/index.html?url=https%3A%2F%2Fgis.indot.in.gov%2Fro%2Frest%2Fservices%2FRAH_GIO_Collaboration%2FLRSE_Functional_Class%2FFeatureServer%2F22&amp;find="&amp;$F127&amp;"%2C"&amp;$E127&amp;"&amp;marker="&amp;$F127&amp;","&amp;$E127&amp;",4326&amp;level=16",IF(_xlfn.SINGLE(JobState)="WI","https://fema.maps.arcgis.com/apps/mapviewer/index.html?url=https://services5.arcgis.com/0pgGLzT0Nh7FVjon/arcgis/rest/services/Functional_Class_Local_Non_Prod/FeatureServer/1&amp;find="&amp;$F127&amp;"%2C"&amp;$E127&amp;"&amp;marker="&amp;$F127&amp;","&amp;$E127&amp;",4326&amp;level=16",IF(_xlfn.SINGLE(JobState)="MN","https://fema.maps.arcgis.com/apps/mapviewer/index.html?url=https%3A%2F%2Fdotapp9.dot.state.mn.us%2Fegis12%2Frest%2Fservices%2FBASEMAP%2Fmndot_commonlayers2%2FMapServer%2F11&amp;find="&amp;$F127&amp;"%2C"&amp;$E127&amp;"&amp;marker="&amp;$F127&amp;","&amp;$E127&amp;",4326&amp;level=16",IF(_xlfn.SINGLE(JobState)="IL","https://fema.maps.arcgis.com/apps/mapviewer/index.html?url=https%3A%2F%2Fgis1.dot.illinois.gov%2Farcgis%2Frest%2Fservices%2FAdministrativeData%2FFunctionalClass%2FMapServer%2F0&amp;find="&amp;$F127&amp;"%2C"&amp;$E127&amp;"&amp;marker="&amp;$F127&amp;","&amp;$E127&amp;",4326&amp;level=16",IF(_xlfn.SINGLE(JobState)="OH","https://fema.maps.arcgis.com/apps/mapviewer/index.html?url=https%3A%2F%2Ftims.dot.state.oh.us%2Fags%2Frest%2Fservices%2FRoadway_Information%2FFunctional_Class%2FMapServer%2F0&amp;find="&amp;$F127&amp;"%2C"&amp;$E127&amp;"&amp;marker="&amp;$F127&amp;","&amp;$E127&amp;",4326&amp;level=16","https://fema.maps.arcgis.com/apps/mapviewer/index.html?find="&amp;$F127&amp;"%2C"&amp;$E127&amp;"&amp;marker="&amp;$F127&amp;","&amp;$E127&amp;",4326&amp;level=16")))))),IF(_xlfn.SINGLE(JobState)="WI","Review Local Roads Layer","Review NFC AGOL Layer"))))</f>
        <v/>
      </c>
      <c r="N127" s="6" t="str">
        <f>IF(OR($E127="",$F127=""),"",IF(_xlfn.SINGLE(JobState)="",IF(ROW()=2,HYPERLINK("#JobState","Set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127&amp;"%2C"&amp;$E127&amp;"&amp;marker="&amp;$F127&amp;","&amp;$E127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7" s="6" t="str">
        <f>IF(OR($E127="", $F127=""),"",IF(_xlfn.SINGLE(JobAgolMap)="",HYPERLINK("https://fema.maps.arcgis.com/apps/mapviewer/index.html?find="&amp;$F127&amp;"%2C"&amp;$E127&amp;"&amp;marker="&amp;$F127&amp;","&amp;$E127&amp;",4326&amp;level=16","FEMA AGOL Map Viewer"),HYPERLINK(_xlfn.SINGLE(JobAgolMap)&amp;IF(ISNUMBER(FIND("?",_xlfn.SINGLE(JobAgolMap))),"&amp;","?")&amp;"center="&amp;$F127&amp;","&amp;$E127&amp;"&amp;level=16&amp;marker="&amp;$F127&amp;","&amp;$E127,"Open")))</f>
        <v/>
      </c>
      <c r="Q127" s="4"/>
      <c r="R127" s="4"/>
      <c r="W127" s="6" t="str">
        <f t="shared" si="6"/>
        <v/>
      </c>
      <c r="X127" s="6" t="str">
        <f t="shared" si="7"/>
        <v/>
      </c>
      <c r="Y127" s="6" t="str">
        <f t="shared" si="8"/>
        <v/>
      </c>
      <c r="Z127" s="6" t="str">
        <f t="shared" si="9"/>
        <v/>
      </c>
      <c r="AA127" s="6" t="str">
        <f t="shared" si="10"/>
        <v/>
      </c>
      <c r="AB127" s="6" t="str">
        <f t="shared" si="11"/>
        <v/>
      </c>
      <c r="AC127" s="4"/>
      <c r="AD127" s="4"/>
    </row>
    <row r="128" spans="1:30" x14ac:dyDescent="0.45">
      <c r="A128" s="3"/>
      <c r="B128" s="3"/>
      <c r="C128" s="5" t="str">
        <f>IF($E128="","",COUNT($E$2:$E128))</f>
        <v/>
      </c>
      <c r="D128" s="3"/>
      <c r="E128" s="3"/>
      <c r="F128" s="3"/>
      <c r="G128" s="3"/>
      <c r="H128" s="3"/>
      <c r="I128" s="3"/>
      <c r="J128" s="3"/>
      <c r="K128" s="3"/>
      <c r="L128" s="4"/>
      <c r="M128" s="6" t="str">
        <f>IF(OR($E128="",$F128=""),"",IF(_xlfn.SINGLE(JobState)="",IF(ROW()=2,HYPERLINK("#JobState","Set State →"),""),HYPERLINK(IF(OR(_xlfn.SINGLE(JobState)="MI",_xlfn.SINGLE(JobState)=""),"https://fema.maps.arcgis.com/apps/mapviewer/index.html?webmap=6a1702b9147243d1a5ee62cd614bc681&amp;center="&amp;$F128&amp;","&amp;$E128&amp;"&amp;level=16&amp;marker="&amp;$F128&amp;","&amp;$E128&amp;"",IF(_xlfn.SINGLE(JobState)="IN","https://fema.maps.arcgis.com/apps/mapviewer/index.html?url=https%3A%2F%2Fgis.indot.in.gov%2Fro%2Frest%2Fservices%2FRAH_GIO_Collaboration%2FLRSE_Functional_Class%2FFeatureServer%2F22&amp;find="&amp;$F128&amp;"%2C"&amp;$E128&amp;"&amp;marker="&amp;$F128&amp;","&amp;$E128&amp;",4326&amp;level=16",IF(_xlfn.SINGLE(JobState)="WI","https://fema.maps.arcgis.com/apps/mapviewer/index.html?url=https://services5.arcgis.com/0pgGLzT0Nh7FVjon/arcgis/rest/services/Functional_Class_Local_Non_Prod/FeatureServer/1&amp;find="&amp;$F128&amp;"%2C"&amp;$E128&amp;"&amp;marker="&amp;$F128&amp;","&amp;$E128&amp;",4326&amp;level=16",IF(_xlfn.SINGLE(JobState)="MN","https://fema.maps.arcgis.com/apps/mapviewer/index.html?url=https%3A%2F%2Fdotapp9.dot.state.mn.us%2Fegis12%2Frest%2Fservices%2FBASEMAP%2Fmndot_commonlayers2%2FMapServer%2F11&amp;find="&amp;$F128&amp;"%2C"&amp;$E128&amp;"&amp;marker="&amp;$F128&amp;","&amp;$E128&amp;",4326&amp;level=16",IF(_xlfn.SINGLE(JobState)="IL","https://fema.maps.arcgis.com/apps/mapviewer/index.html?url=https%3A%2F%2Fgis1.dot.illinois.gov%2Farcgis%2Frest%2Fservices%2FAdministrativeData%2FFunctionalClass%2FMapServer%2F0&amp;find="&amp;$F128&amp;"%2C"&amp;$E128&amp;"&amp;marker="&amp;$F128&amp;","&amp;$E128&amp;",4326&amp;level=16",IF(_xlfn.SINGLE(JobState)="OH","https://fema.maps.arcgis.com/apps/mapviewer/index.html?url=https%3A%2F%2Ftims.dot.state.oh.us%2Fags%2Frest%2Fservices%2FRoadway_Information%2FFunctional_Class%2FMapServer%2F0&amp;find="&amp;$F128&amp;"%2C"&amp;$E128&amp;"&amp;marker="&amp;$F128&amp;","&amp;$E128&amp;",4326&amp;level=16","https://fema.maps.arcgis.com/apps/mapviewer/index.html?find="&amp;$F128&amp;"%2C"&amp;$E128&amp;"&amp;marker="&amp;$F128&amp;","&amp;$E128&amp;",4326&amp;level=16")))))),IF(_xlfn.SINGLE(JobState)="WI","Review Local Roads Layer","Review NFC AGOL Layer"))))</f>
        <v/>
      </c>
      <c r="N128" s="6" t="str">
        <f>IF(OR($E128="",$F128=""),"",IF(_xlfn.SINGLE(JobState)="",IF(ROW()=2,HYPERLINK("#JobState","Set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128&amp;"%2C"&amp;$E128&amp;"&amp;marker="&amp;$F128&amp;","&amp;$E128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8" s="6" t="str">
        <f>IF(OR($E128="", $F128=""),"",IF(_xlfn.SINGLE(JobAgolMap)="",HYPERLINK("https://fema.maps.arcgis.com/apps/mapviewer/index.html?find="&amp;$F128&amp;"%2C"&amp;$E128&amp;"&amp;marker="&amp;$F128&amp;","&amp;$E128&amp;",4326&amp;level=16","FEMA AGOL Map Viewer"),HYPERLINK(_xlfn.SINGLE(JobAgolMap)&amp;IF(ISNUMBER(FIND("?",_xlfn.SINGLE(JobAgolMap))),"&amp;","?")&amp;"center="&amp;$F128&amp;","&amp;$E128&amp;"&amp;level=16&amp;marker="&amp;$F128&amp;","&amp;$E128,"Open")))</f>
        <v/>
      </c>
      <c r="Q128" s="4"/>
      <c r="R128" s="4"/>
      <c r="W128" s="6" t="str">
        <f t="shared" si="6"/>
        <v/>
      </c>
      <c r="X128" s="6" t="str">
        <f t="shared" si="7"/>
        <v/>
      </c>
      <c r="Y128" s="6" t="str">
        <f t="shared" si="8"/>
        <v/>
      </c>
      <c r="Z128" s="6" t="str">
        <f t="shared" si="9"/>
        <v/>
      </c>
      <c r="AA128" s="6" t="str">
        <f t="shared" si="10"/>
        <v/>
      </c>
      <c r="AB128" s="6" t="str">
        <f t="shared" si="11"/>
        <v/>
      </c>
      <c r="AC128" s="4"/>
      <c r="AD128" s="4"/>
    </row>
    <row r="129" spans="1:30" x14ac:dyDescent="0.45">
      <c r="A129" s="3"/>
      <c r="B129" s="3"/>
      <c r="C129" s="5" t="str">
        <f>IF($E129="","",COUNT($E$2:$E129))</f>
        <v/>
      </c>
      <c r="D129" s="3"/>
      <c r="E129" s="3"/>
      <c r="F129" s="3"/>
      <c r="G129" s="3"/>
      <c r="H129" s="3"/>
      <c r="I129" s="3"/>
      <c r="J129" s="3"/>
      <c r="K129" s="3"/>
      <c r="L129" s="4"/>
      <c r="M129" s="6" t="str">
        <f>IF(OR($E129="",$F129=""),"",IF(_xlfn.SINGLE(JobState)="",IF(ROW()=2,HYPERLINK("#JobState","Set State →"),""),HYPERLINK(IF(OR(_xlfn.SINGLE(JobState)="MI",_xlfn.SINGLE(JobState)=""),"https://fema.maps.arcgis.com/apps/mapviewer/index.html?webmap=6a1702b9147243d1a5ee62cd614bc681&amp;center="&amp;$F129&amp;","&amp;$E129&amp;"&amp;level=16&amp;marker="&amp;$F129&amp;","&amp;$E129&amp;"",IF(_xlfn.SINGLE(JobState)="IN","https://fema.maps.arcgis.com/apps/mapviewer/index.html?url=https%3A%2F%2Fgis.indot.in.gov%2Fro%2Frest%2Fservices%2FRAH_GIO_Collaboration%2FLRSE_Functional_Class%2FFeatureServer%2F22&amp;find="&amp;$F129&amp;"%2C"&amp;$E129&amp;"&amp;marker="&amp;$F129&amp;","&amp;$E129&amp;",4326&amp;level=16",IF(_xlfn.SINGLE(JobState)="WI","https://fema.maps.arcgis.com/apps/mapviewer/index.html?url=https://services5.arcgis.com/0pgGLzT0Nh7FVjon/arcgis/rest/services/Functional_Class_Local_Non_Prod/FeatureServer/1&amp;find="&amp;$F129&amp;"%2C"&amp;$E129&amp;"&amp;marker="&amp;$F129&amp;","&amp;$E129&amp;",4326&amp;level=16",IF(_xlfn.SINGLE(JobState)="MN","https://fema.maps.arcgis.com/apps/mapviewer/index.html?url=https%3A%2F%2Fdotapp9.dot.state.mn.us%2Fegis12%2Frest%2Fservices%2FBASEMAP%2Fmndot_commonlayers2%2FMapServer%2F11&amp;find="&amp;$F129&amp;"%2C"&amp;$E129&amp;"&amp;marker="&amp;$F129&amp;","&amp;$E129&amp;",4326&amp;level=16",IF(_xlfn.SINGLE(JobState)="IL","https://fema.maps.arcgis.com/apps/mapviewer/index.html?url=https%3A%2F%2Fgis1.dot.illinois.gov%2Farcgis%2Frest%2Fservices%2FAdministrativeData%2FFunctionalClass%2FMapServer%2F0&amp;find="&amp;$F129&amp;"%2C"&amp;$E129&amp;"&amp;marker="&amp;$F129&amp;","&amp;$E129&amp;",4326&amp;level=16",IF(_xlfn.SINGLE(JobState)="OH","https://fema.maps.arcgis.com/apps/mapviewer/index.html?url=https%3A%2F%2Ftims.dot.state.oh.us%2Fags%2Frest%2Fservices%2FRoadway_Information%2FFunctional_Class%2FMapServer%2F0&amp;find="&amp;$F129&amp;"%2C"&amp;$E129&amp;"&amp;marker="&amp;$F129&amp;","&amp;$E129&amp;",4326&amp;level=16","https://fema.maps.arcgis.com/apps/mapviewer/index.html?find="&amp;$F129&amp;"%2C"&amp;$E129&amp;"&amp;marker="&amp;$F129&amp;","&amp;$E129&amp;",4326&amp;level=16")))))),IF(_xlfn.SINGLE(JobState)="WI","Review Local Roads Layer","Review NFC AGOL Layer"))))</f>
        <v/>
      </c>
      <c r="N129" s="6" t="str">
        <f>IF(OR($E129="",$F129=""),"",IF(_xlfn.SINGLE(JobState)="",IF(ROW()=2,HYPERLINK("#JobState","Set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129&amp;"%2C"&amp;$E129&amp;"&amp;marker="&amp;$F129&amp;","&amp;$E129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9" s="6" t="str">
        <f>IF(OR($E129="", $F129=""),"",IF(_xlfn.SINGLE(JobAgolMap)="",HYPERLINK("https://fema.maps.arcgis.com/apps/mapviewer/index.html?find="&amp;$F129&amp;"%2C"&amp;$E129&amp;"&amp;marker="&amp;$F129&amp;","&amp;$E129&amp;",4326&amp;level=16","FEMA AGOL Map Viewer"),HYPERLINK(_xlfn.SINGLE(JobAgolMap)&amp;IF(ISNUMBER(FIND("?",_xlfn.SINGLE(JobAgolMap))),"&amp;","?")&amp;"center="&amp;$F129&amp;","&amp;$E129&amp;"&amp;level=16&amp;marker="&amp;$F129&amp;","&amp;$E129,"Open")))</f>
        <v/>
      </c>
      <c r="Q129" s="4"/>
      <c r="R129" s="4"/>
      <c r="W129" s="6" t="str">
        <f t="shared" si="6"/>
        <v/>
      </c>
      <c r="X129" s="6" t="str">
        <f t="shared" si="7"/>
        <v/>
      </c>
      <c r="Y129" s="6" t="str">
        <f t="shared" si="8"/>
        <v/>
      </c>
      <c r="Z129" s="6" t="str">
        <f t="shared" si="9"/>
        <v/>
      </c>
      <c r="AA129" s="6" t="str">
        <f t="shared" si="10"/>
        <v/>
      </c>
      <c r="AB129" s="6" t="str">
        <f t="shared" si="11"/>
        <v/>
      </c>
      <c r="AC129" s="4"/>
      <c r="AD129" s="4"/>
    </row>
    <row r="130" spans="1:30" x14ac:dyDescent="0.45">
      <c r="A130" s="3"/>
      <c r="B130" s="3"/>
      <c r="C130" s="5" t="str">
        <f>IF($E130="","",COUNT($E$2:$E130))</f>
        <v/>
      </c>
      <c r="D130" s="3"/>
      <c r="E130" s="3"/>
      <c r="F130" s="3"/>
      <c r="G130" s="3"/>
      <c r="H130" s="3"/>
      <c r="I130" s="3"/>
      <c r="J130" s="3"/>
      <c r="K130" s="3"/>
      <c r="L130" s="4"/>
      <c r="M130" s="6" t="str">
        <f>IF(OR($E130="",$F130=""),"",IF(_xlfn.SINGLE(JobState)="",IF(ROW()=2,HYPERLINK("#JobState","Set State →"),""),HYPERLINK(IF(OR(_xlfn.SINGLE(JobState)="MI",_xlfn.SINGLE(JobState)=""),"https://fema.maps.arcgis.com/apps/mapviewer/index.html?webmap=6a1702b9147243d1a5ee62cd614bc681&amp;center="&amp;$F130&amp;","&amp;$E130&amp;"&amp;level=16&amp;marker="&amp;$F130&amp;","&amp;$E130&amp;"",IF(_xlfn.SINGLE(JobState)="IN","https://fema.maps.arcgis.com/apps/mapviewer/index.html?url=https%3A%2F%2Fgis.indot.in.gov%2Fro%2Frest%2Fservices%2FRAH_GIO_Collaboration%2FLRSE_Functional_Class%2FFeatureServer%2F22&amp;find="&amp;$F130&amp;"%2C"&amp;$E130&amp;"&amp;marker="&amp;$F130&amp;","&amp;$E130&amp;",4326&amp;level=16",IF(_xlfn.SINGLE(JobState)="WI","https://fema.maps.arcgis.com/apps/mapviewer/index.html?url=https://services5.arcgis.com/0pgGLzT0Nh7FVjon/arcgis/rest/services/Functional_Class_Local_Non_Prod/FeatureServer/1&amp;find="&amp;$F130&amp;"%2C"&amp;$E130&amp;"&amp;marker="&amp;$F130&amp;","&amp;$E130&amp;",4326&amp;level=16",IF(_xlfn.SINGLE(JobState)="MN","https://fema.maps.arcgis.com/apps/mapviewer/index.html?url=https%3A%2F%2Fdotapp9.dot.state.mn.us%2Fegis12%2Frest%2Fservices%2FBASEMAP%2Fmndot_commonlayers2%2FMapServer%2F11&amp;find="&amp;$F130&amp;"%2C"&amp;$E130&amp;"&amp;marker="&amp;$F130&amp;","&amp;$E130&amp;",4326&amp;level=16",IF(_xlfn.SINGLE(JobState)="IL","https://fema.maps.arcgis.com/apps/mapviewer/index.html?url=https%3A%2F%2Fgis1.dot.illinois.gov%2Farcgis%2Frest%2Fservices%2FAdministrativeData%2FFunctionalClass%2FMapServer%2F0&amp;find="&amp;$F130&amp;"%2C"&amp;$E130&amp;"&amp;marker="&amp;$F130&amp;","&amp;$E130&amp;",4326&amp;level=16",IF(_xlfn.SINGLE(JobState)="OH","https://fema.maps.arcgis.com/apps/mapviewer/index.html?url=https%3A%2F%2Ftims.dot.state.oh.us%2Fags%2Frest%2Fservices%2FRoadway_Information%2FFunctional_Class%2FMapServer%2F0&amp;find="&amp;$F130&amp;"%2C"&amp;$E130&amp;"&amp;marker="&amp;$F130&amp;","&amp;$E130&amp;",4326&amp;level=16","https://fema.maps.arcgis.com/apps/mapviewer/index.html?find="&amp;$F130&amp;"%2C"&amp;$E130&amp;"&amp;marker="&amp;$F130&amp;","&amp;$E130&amp;",4326&amp;level=16")))))),IF(_xlfn.SINGLE(JobState)="WI","Review Local Roads Layer","Review NFC AGOL Layer"))))</f>
        <v/>
      </c>
      <c r="N130" s="6" t="str">
        <f>IF(OR($E130="",$F130=""),"",IF(_xlfn.SINGLE(JobState)="",IF(ROW()=2,HYPERLINK("#JobState","Set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130&amp;"%2C"&amp;$E130&amp;"&amp;marker="&amp;$F130&amp;","&amp;$E130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0" s="6" t="str">
        <f>IF(OR($E130="", $F130=""),"",IF(_xlfn.SINGLE(JobAgolMap)="",HYPERLINK("https://fema.maps.arcgis.com/apps/mapviewer/index.html?find="&amp;$F130&amp;"%2C"&amp;$E130&amp;"&amp;marker="&amp;$F130&amp;","&amp;$E130&amp;",4326&amp;level=16","FEMA AGOL Map Viewer"),HYPERLINK(_xlfn.SINGLE(JobAgolMap)&amp;IF(ISNUMBER(FIND("?",_xlfn.SINGLE(JobAgolMap))),"&amp;","?")&amp;"center="&amp;$F130&amp;","&amp;$E130&amp;"&amp;level=16&amp;marker="&amp;$F130&amp;","&amp;$E130,"Open")))</f>
        <v/>
      </c>
      <c r="Q130" s="4"/>
      <c r="R130" s="4"/>
      <c r="W130" s="6" t="str">
        <f t="shared" ref="W130:W193" si="12">IF(OR($E130="",$F130=""),"",HYPERLINK("https://www.google.com/maps?q="&amp;$E130&amp;","&amp;$F130&amp;"","Map"))</f>
        <v/>
      </c>
      <c r="X130" s="6" t="str">
        <f t="shared" ref="X130:X193" si="13">IF(OR($E130="",$F130=""),"",HYPERLINK("https://www.google.com/maps?q&amp;layer=c&amp;cbll="&amp;$E130&amp;","&amp;$F130&amp;"","Street"))</f>
        <v/>
      </c>
      <c r="Y130" s="6" t="str">
        <f t="shared" ref="Y130:Y193" si="14">IF(OR($E130="",$F130=""),"",HYPERLINK("https://www.bing.com/maps?cp="&amp;$E130&amp;"~"&amp;$F130&amp;"&amp;lvl=18&amp;style=h","Bing"))</f>
        <v/>
      </c>
      <c r="Z130" s="6" t="str">
        <f t="shared" ref="Z130:Z193" si="15">IF(OR($E130="",$F130=""),"",HYPERLINK("https://earth.google.com/web/search/"&amp;$E130&amp;","&amp;$F130&amp;"","Earth"))</f>
        <v/>
      </c>
      <c r="AA130" s="6" t="str">
        <f t="shared" ref="AA130:AA193" si="16">IF(OR($E130="",$F130=""),"",HYPERLINK("https://fema.maps.arcgis.com/apps/mapviewer/index.html?find="&amp;$F130&amp;"%2C"&amp;$E130&amp;"&amp;marker="&amp;$F130&amp;","&amp;$E130&amp;",4326&amp;level=16","FEMA"))</f>
        <v/>
      </c>
      <c r="AB130" s="6" t="str">
        <f t="shared" ref="AB130:AB193" si="17">IF(OR($E130="",$F130=""),"",HYPERLINK("https://msc.fema.gov/portal/firmette?latitude="&amp;$E130&amp;"&amp;longitude="&amp;$F130&amp;"","FIRMette"))</f>
        <v/>
      </c>
      <c r="AC130" s="4"/>
      <c r="AD130" s="4"/>
    </row>
    <row r="131" spans="1:30" x14ac:dyDescent="0.45">
      <c r="A131" s="3"/>
      <c r="B131" s="3"/>
      <c r="C131" s="5" t="str">
        <f>IF($E131="","",COUNT($E$2:$E131))</f>
        <v/>
      </c>
      <c r="D131" s="3"/>
      <c r="E131" s="3"/>
      <c r="F131" s="3"/>
      <c r="G131" s="3"/>
      <c r="H131" s="3"/>
      <c r="I131" s="3"/>
      <c r="J131" s="3"/>
      <c r="K131" s="3"/>
      <c r="L131" s="4"/>
      <c r="M131" s="6" t="str">
        <f>IF(OR($E131="",$F131=""),"",IF(_xlfn.SINGLE(JobState)="",IF(ROW()=2,HYPERLINK("#JobState","Set State →"),""),HYPERLINK(IF(OR(_xlfn.SINGLE(JobState)="MI",_xlfn.SINGLE(JobState)=""),"https://fema.maps.arcgis.com/apps/mapviewer/index.html?webmap=6a1702b9147243d1a5ee62cd614bc681&amp;center="&amp;$F131&amp;","&amp;$E131&amp;"&amp;level=16&amp;marker="&amp;$F131&amp;","&amp;$E131&amp;"",IF(_xlfn.SINGLE(JobState)="IN","https://fema.maps.arcgis.com/apps/mapviewer/index.html?url=https%3A%2F%2Fgis.indot.in.gov%2Fro%2Frest%2Fservices%2FRAH_GIO_Collaboration%2FLRSE_Functional_Class%2FFeatureServer%2F22&amp;find="&amp;$F131&amp;"%2C"&amp;$E131&amp;"&amp;marker="&amp;$F131&amp;","&amp;$E131&amp;",4326&amp;level=16",IF(_xlfn.SINGLE(JobState)="WI","https://fema.maps.arcgis.com/apps/mapviewer/index.html?url=https://services5.arcgis.com/0pgGLzT0Nh7FVjon/arcgis/rest/services/Functional_Class_Local_Non_Prod/FeatureServer/1&amp;find="&amp;$F131&amp;"%2C"&amp;$E131&amp;"&amp;marker="&amp;$F131&amp;","&amp;$E131&amp;",4326&amp;level=16",IF(_xlfn.SINGLE(JobState)="MN","https://fema.maps.arcgis.com/apps/mapviewer/index.html?url=https%3A%2F%2Fdotapp9.dot.state.mn.us%2Fegis12%2Frest%2Fservices%2FBASEMAP%2Fmndot_commonlayers2%2FMapServer%2F11&amp;find="&amp;$F131&amp;"%2C"&amp;$E131&amp;"&amp;marker="&amp;$F131&amp;","&amp;$E131&amp;",4326&amp;level=16",IF(_xlfn.SINGLE(JobState)="IL","https://fema.maps.arcgis.com/apps/mapviewer/index.html?url=https%3A%2F%2Fgis1.dot.illinois.gov%2Farcgis%2Frest%2Fservices%2FAdministrativeData%2FFunctionalClass%2FMapServer%2F0&amp;find="&amp;$F131&amp;"%2C"&amp;$E131&amp;"&amp;marker="&amp;$F131&amp;","&amp;$E131&amp;",4326&amp;level=16",IF(_xlfn.SINGLE(JobState)="OH","https://fema.maps.arcgis.com/apps/mapviewer/index.html?url=https%3A%2F%2Ftims.dot.state.oh.us%2Fags%2Frest%2Fservices%2FRoadway_Information%2FFunctional_Class%2FMapServer%2F0&amp;find="&amp;$F131&amp;"%2C"&amp;$E131&amp;"&amp;marker="&amp;$F131&amp;","&amp;$E131&amp;",4326&amp;level=16","https://fema.maps.arcgis.com/apps/mapviewer/index.html?find="&amp;$F131&amp;"%2C"&amp;$E131&amp;"&amp;marker="&amp;$F131&amp;","&amp;$E131&amp;",4326&amp;level=16")))))),IF(_xlfn.SINGLE(JobState)="WI","Review Local Roads Layer","Review NFC AGOL Layer"))))</f>
        <v/>
      </c>
      <c r="N131" s="6" t="str">
        <f>IF(OR($E131="",$F131=""),"",IF(_xlfn.SINGLE(JobState)="",IF(ROW()=2,HYPERLINK("#JobState","Set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131&amp;"%2C"&amp;$E131&amp;"&amp;marker="&amp;$F131&amp;","&amp;$E131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1" s="6" t="str">
        <f>IF(OR($E131="", $F131=""),"",IF(_xlfn.SINGLE(JobAgolMap)="",HYPERLINK("https://fema.maps.arcgis.com/apps/mapviewer/index.html?find="&amp;$F131&amp;"%2C"&amp;$E131&amp;"&amp;marker="&amp;$F131&amp;","&amp;$E131&amp;",4326&amp;level=16","FEMA AGOL Map Viewer"),HYPERLINK(_xlfn.SINGLE(JobAgolMap)&amp;IF(ISNUMBER(FIND("?",_xlfn.SINGLE(JobAgolMap))),"&amp;","?")&amp;"center="&amp;$F131&amp;","&amp;$E131&amp;"&amp;level=16&amp;marker="&amp;$F131&amp;","&amp;$E131,"Open")))</f>
        <v/>
      </c>
      <c r="Q131" s="4"/>
      <c r="R131" s="4"/>
      <c r="W131" s="6" t="str">
        <f t="shared" si="12"/>
        <v/>
      </c>
      <c r="X131" s="6" t="str">
        <f t="shared" si="13"/>
        <v/>
      </c>
      <c r="Y131" s="6" t="str">
        <f t="shared" si="14"/>
        <v/>
      </c>
      <c r="Z131" s="6" t="str">
        <f t="shared" si="15"/>
        <v/>
      </c>
      <c r="AA131" s="6" t="str">
        <f t="shared" si="16"/>
        <v/>
      </c>
      <c r="AB131" s="6" t="str">
        <f t="shared" si="17"/>
        <v/>
      </c>
      <c r="AC131" s="4"/>
      <c r="AD131" s="4"/>
    </row>
    <row r="132" spans="1:30" x14ac:dyDescent="0.45">
      <c r="A132" s="3"/>
      <c r="B132" s="3"/>
      <c r="C132" s="5" t="str">
        <f>IF($E132="","",COUNT($E$2:$E132))</f>
        <v/>
      </c>
      <c r="D132" s="3"/>
      <c r="E132" s="3"/>
      <c r="F132" s="3"/>
      <c r="G132" s="3"/>
      <c r="H132" s="3"/>
      <c r="I132" s="3"/>
      <c r="J132" s="3"/>
      <c r="K132" s="3"/>
      <c r="L132" s="4"/>
      <c r="M132" s="6" t="str">
        <f>IF(OR($E132="",$F132=""),"",IF(_xlfn.SINGLE(JobState)="",IF(ROW()=2,HYPERLINK("#JobState","Set State →"),""),HYPERLINK(IF(OR(_xlfn.SINGLE(JobState)="MI",_xlfn.SINGLE(JobState)=""),"https://fema.maps.arcgis.com/apps/mapviewer/index.html?webmap=6a1702b9147243d1a5ee62cd614bc681&amp;center="&amp;$F132&amp;","&amp;$E132&amp;"&amp;level=16&amp;marker="&amp;$F132&amp;","&amp;$E132&amp;"",IF(_xlfn.SINGLE(JobState)="IN","https://fema.maps.arcgis.com/apps/mapviewer/index.html?url=https%3A%2F%2Fgis.indot.in.gov%2Fro%2Frest%2Fservices%2FRAH_GIO_Collaboration%2FLRSE_Functional_Class%2FFeatureServer%2F22&amp;find="&amp;$F132&amp;"%2C"&amp;$E132&amp;"&amp;marker="&amp;$F132&amp;","&amp;$E132&amp;",4326&amp;level=16",IF(_xlfn.SINGLE(JobState)="WI","https://fema.maps.arcgis.com/apps/mapviewer/index.html?url=https://services5.arcgis.com/0pgGLzT0Nh7FVjon/arcgis/rest/services/Functional_Class_Local_Non_Prod/FeatureServer/1&amp;find="&amp;$F132&amp;"%2C"&amp;$E132&amp;"&amp;marker="&amp;$F132&amp;","&amp;$E132&amp;",4326&amp;level=16",IF(_xlfn.SINGLE(JobState)="MN","https://fema.maps.arcgis.com/apps/mapviewer/index.html?url=https%3A%2F%2Fdotapp9.dot.state.mn.us%2Fegis12%2Frest%2Fservices%2FBASEMAP%2Fmndot_commonlayers2%2FMapServer%2F11&amp;find="&amp;$F132&amp;"%2C"&amp;$E132&amp;"&amp;marker="&amp;$F132&amp;","&amp;$E132&amp;",4326&amp;level=16",IF(_xlfn.SINGLE(JobState)="IL","https://fema.maps.arcgis.com/apps/mapviewer/index.html?url=https%3A%2F%2Fgis1.dot.illinois.gov%2Farcgis%2Frest%2Fservices%2FAdministrativeData%2FFunctionalClass%2FMapServer%2F0&amp;find="&amp;$F132&amp;"%2C"&amp;$E132&amp;"&amp;marker="&amp;$F132&amp;","&amp;$E132&amp;",4326&amp;level=16",IF(_xlfn.SINGLE(JobState)="OH","https://fema.maps.arcgis.com/apps/mapviewer/index.html?url=https%3A%2F%2Ftims.dot.state.oh.us%2Fags%2Frest%2Fservices%2FRoadway_Information%2FFunctional_Class%2FMapServer%2F0&amp;find="&amp;$F132&amp;"%2C"&amp;$E132&amp;"&amp;marker="&amp;$F132&amp;","&amp;$E132&amp;",4326&amp;level=16","https://fema.maps.arcgis.com/apps/mapviewer/index.html?find="&amp;$F132&amp;"%2C"&amp;$E132&amp;"&amp;marker="&amp;$F132&amp;","&amp;$E132&amp;",4326&amp;level=16")))))),IF(_xlfn.SINGLE(JobState)="WI","Review Local Roads Layer","Review NFC AGOL Layer"))))</f>
        <v/>
      </c>
      <c r="N132" s="6" t="str">
        <f>IF(OR($E132="",$F132=""),"",IF(_xlfn.SINGLE(JobState)="",IF(ROW()=2,HYPERLINK("#JobState","Set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132&amp;"%2C"&amp;$E132&amp;"&amp;marker="&amp;$F132&amp;","&amp;$E132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2" s="6" t="str">
        <f>IF(OR($E132="", $F132=""),"",IF(_xlfn.SINGLE(JobAgolMap)="",HYPERLINK("https://fema.maps.arcgis.com/apps/mapviewer/index.html?find="&amp;$F132&amp;"%2C"&amp;$E132&amp;"&amp;marker="&amp;$F132&amp;","&amp;$E132&amp;",4326&amp;level=16","FEMA AGOL Map Viewer"),HYPERLINK(_xlfn.SINGLE(JobAgolMap)&amp;IF(ISNUMBER(FIND("?",_xlfn.SINGLE(JobAgolMap))),"&amp;","?")&amp;"center="&amp;$F132&amp;","&amp;$E132&amp;"&amp;level=16&amp;marker="&amp;$F132&amp;","&amp;$E132,"Open")))</f>
        <v/>
      </c>
      <c r="Q132" s="4"/>
      <c r="R132" s="4"/>
      <c r="W132" s="6" t="str">
        <f t="shared" si="12"/>
        <v/>
      </c>
      <c r="X132" s="6" t="str">
        <f t="shared" si="13"/>
        <v/>
      </c>
      <c r="Y132" s="6" t="str">
        <f t="shared" si="14"/>
        <v/>
      </c>
      <c r="Z132" s="6" t="str">
        <f t="shared" si="15"/>
        <v/>
      </c>
      <c r="AA132" s="6" t="str">
        <f t="shared" si="16"/>
        <v/>
      </c>
      <c r="AB132" s="6" t="str">
        <f t="shared" si="17"/>
        <v/>
      </c>
      <c r="AC132" s="4"/>
      <c r="AD132" s="4"/>
    </row>
    <row r="133" spans="1:30" x14ac:dyDescent="0.45">
      <c r="A133" s="3"/>
      <c r="B133" s="3"/>
      <c r="C133" s="5" t="str">
        <f>IF($E133="","",COUNT($E$2:$E133))</f>
        <v/>
      </c>
      <c r="D133" s="3"/>
      <c r="E133" s="3"/>
      <c r="F133" s="3"/>
      <c r="G133" s="3"/>
      <c r="H133" s="3"/>
      <c r="I133" s="3"/>
      <c r="J133" s="3"/>
      <c r="K133" s="3"/>
      <c r="L133" s="4"/>
      <c r="M133" s="6" t="str">
        <f>IF(OR($E133="",$F133=""),"",IF(_xlfn.SINGLE(JobState)="",IF(ROW()=2,HYPERLINK("#JobState","Set State →"),""),HYPERLINK(IF(OR(_xlfn.SINGLE(JobState)="MI",_xlfn.SINGLE(JobState)=""),"https://fema.maps.arcgis.com/apps/mapviewer/index.html?webmap=6a1702b9147243d1a5ee62cd614bc681&amp;center="&amp;$F133&amp;","&amp;$E133&amp;"&amp;level=16&amp;marker="&amp;$F133&amp;","&amp;$E133&amp;"",IF(_xlfn.SINGLE(JobState)="IN","https://fema.maps.arcgis.com/apps/mapviewer/index.html?url=https%3A%2F%2Fgis.indot.in.gov%2Fro%2Frest%2Fservices%2FRAH_GIO_Collaboration%2FLRSE_Functional_Class%2FFeatureServer%2F22&amp;find="&amp;$F133&amp;"%2C"&amp;$E133&amp;"&amp;marker="&amp;$F133&amp;","&amp;$E133&amp;",4326&amp;level=16",IF(_xlfn.SINGLE(JobState)="WI","https://fema.maps.arcgis.com/apps/mapviewer/index.html?url=https://services5.arcgis.com/0pgGLzT0Nh7FVjon/arcgis/rest/services/Functional_Class_Local_Non_Prod/FeatureServer/1&amp;find="&amp;$F133&amp;"%2C"&amp;$E133&amp;"&amp;marker="&amp;$F133&amp;","&amp;$E133&amp;",4326&amp;level=16",IF(_xlfn.SINGLE(JobState)="MN","https://fema.maps.arcgis.com/apps/mapviewer/index.html?url=https%3A%2F%2Fdotapp9.dot.state.mn.us%2Fegis12%2Frest%2Fservices%2FBASEMAP%2Fmndot_commonlayers2%2FMapServer%2F11&amp;find="&amp;$F133&amp;"%2C"&amp;$E133&amp;"&amp;marker="&amp;$F133&amp;","&amp;$E133&amp;",4326&amp;level=16",IF(_xlfn.SINGLE(JobState)="IL","https://fema.maps.arcgis.com/apps/mapviewer/index.html?url=https%3A%2F%2Fgis1.dot.illinois.gov%2Farcgis%2Frest%2Fservices%2FAdministrativeData%2FFunctionalClass%2FMapServer%2F0&amp;find="&amp;$F133&amp;"%2C"&amp;$E133&amp;"&amp;marker="&amp;$F133&amp;","&amp;$E133&amp;",4326&amp;level=16",IF(_xlfn.SINGLE(JobState)="OH","https://fema.maps.arcgis.com/apps/mapviewer/index.html?url=https%3A%2F%2Ftims.dot.state.oh.us%2Fags%2Frest%2Fservices%2FRoadway_Information%2FFunctional_Class%2FMapServer%2F0&amp;find="&amp;$F133&amp;"%2C"&amp;$E133&amp;"&amp;marker="&amp;$F133&amp;","&amp;$E133&amp;",4326&amp;level=16","https://fema.maps.arcgis.com/apps/mapviewer/index.html?find="&amp;$F133&amp;"%2C"&amp;$E133&amp;"&amp;marker="&amp;$F133&amp;","&amp;$E133&amp;",4326&amp;level=16")))))),IF(_xlfn.SINGLE(JobState)="WI","Review Local Roads Layer","Review NFC AGOL Layer"))))</f>
        <v/>
      </c>
      <c r="N133" s="6" t="str">
        <f>IF(OR($E133="",$F133=""),"",IF(_xlfn.SINGLE(JobState)="",IF(ROW()=2,HYPERLINK("#JobState","Set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133&amp;"%2C"&amp;$E133&amp;"&amp;marker="&amp;$F133&amp;","&amp;$E133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3" s="6" t="str">
        <f>IF(OR($E133="", $F133=""),"",IF(_xlfn.SINGLE(JobAgolMap)="",HYPERLINK("https://fema.maps.arcgis.com/apps/mapviewer/index.html?find="&amp;$F133&amp;"%2C"&amp;$E133&amp;"&amp;marker="&amp;$F133&amp;","&amp;$E133&amp;",4326&amp;level=16","FEMA AGOL Map Viewer"),HYPERLINK(_xlfn.SINGLE(JobAgolMap)&amp;IF(ISNUMBER(FIND("?",_xlfn.SINGLE(JobAgolMap))),"&amp;","?")&amp;"center="&amp;$F133&amp;","&amp;$E133&amp;"&amp;level=16&amp;marker="&amp;$F133&amp;","&amp;$E133,"Open")))</f>
        <v/>
      </c>
      <c r="Q133" s="4"/>
      <c r="R133" s="4"/>
      <c r="W133" s="6" t="str">
        <f t="shared" si="12"/>
        <v/>
      </c>
      <c r="X133" s="6" t="str">
        <f t="shared" si="13"/>
        <v/>
      </c>
      <c r="Y133" s="6" t="str">
        <f t="shared" si="14"/>
        <v/>
      </c>
      <c r="Z133" s="6" t="str">
        <f t="shared" si="15"/>
        <v/>
      </c>
      <c r="AA133" s="6" t="str">
        <f t="shared" si="16"/>
        <v/>
      </c>
      <c r="AB133" s="6" t="str">
        <f t="shared" si="17"/>
        <v/>
      </c>
      <c r="AC133" s="4"/>
      <c r="AD133" s="4"/>
    </row>
    <row r="134" spans="1:30" x14ac:dyDescent="0.45">
      <c r="A134" s="3"/>
      <c r="B134" s="3"/>
      <c r="C134" s="5" t="str">
        <f>IF($E134="","",COUNT($E$2:$E134))</f>
        <v/>
      </c>
      <c r="D134" s="3"/>
      <c r="E134" s="3"/>
      <c r="F134" s="3"/>
      <c r="G134" s="3"/>
      <c r="H134" s="3"/>
      <c r="I134" s="3"/>
      <c r="J134" s="3"/>
      <c r="K134" s="3"/>
      <c r="L134" s="4"/>
      <c r="M134" s="6" t="str">
        <f>IF(OR($E134="",$F134=""),"",IF(_xlfn.SINGLE(JobState)="",IF(ROW()=2,HYPERLINK("#JobState","Set State →"),""),HYPERLINK(IF(OR(_xlfn.SINGLE(JobState)="MI",_xlfn.SINGLE(JobState)=""),"https://fema.maps.arcgis.com/apps/mapviewer/index.html?webmap=6a1702b9147243d1a5ee62cd614bc681&amp;center="&amp;$F134&amp;","&amp;$E134&amp;"&amp;level=16&amp;marker="&amp;$F134&amp;","&amp;$E134&amp;"",IF(_xlfn.SINGLE(JobState)="IN","https://fema.maps.arcgis.com/apps/mapviewer/index.html?url=https%3A%2F%2Fgis.indot.in.gov%2Fro%2Frest%2Fservices%2FRAH_GIO_Collaboration%2FLRSE_Functional_Class%2FFeatureServer%2F22&amp;find="&amp;$F134&amp;"%2C"&amp;$E134&amp;"&amp;marker="&amp;$F134&amp;","&amp;$E134&amp;",4326&amp;level=16",IF(_xlfn.SINGLE(JobState)="WI","https://fema.maps.arcgis.com/apps/mapviewer/index.html?url=https://services5.arcgis.com/0pgGLzT0Nh7FVjon/arcgis/rest/services/Functional_Class_Local_Non_Prod/FeatureServer/1&amp;find="&amp;$F134&amp;"%2C"&amp;$E134&amp;"&amp;marker="&amp;$F134&amp;","&amp;$E134&amp;",4326&amp;level=16",IF(_xlfn.SINGLE(JobState)="MN","https://fema.maps.arcgis.com/apps/mapviewer/index.html?url=https%3A%2F%2Fdotapp9.dot.state.mn.us%2Fegis12%2Frest%2Fservices%2FBASEMAP%2Fmndot_commonlayers2%2FMapServer%2F11&amp;find="&amp;$F134&amp;"%2C"&amp;$E134&amp;"&amp;marker="&amp;$F134&amp;","&amp;$E134&amp;",4326&amp;level=16",IF(_xlfn.SINGLE(JobState)="IL","https://fema.maps.arcgis.com/apps/mapviewer/index.html?url=https%3A%2F%2Fgis1.dot.illinois.gov%2Farcgis%2Frest%2Fservices%2FAdministrativeData%2FFunctionalClass%2FMapServer%2F0&amp;find="&amp;$F134&amp;"%2C"&amp;$E134&amp;"&amp;marker="&amp;$F134&amp;","&amp;$E134&amp;",4326&amp;level=16",IF(_xlfn.SINGLE(JobState)="OH","https://fema.maps.arcgis.com/apps/mapviewer/index.html?url=https%3A%2F%2Ftims.dot.state.oh.us%2Fags%2Frest%2Fservices%2FRoadway_Information%2FFunctional_Class%2FMapServer%2F0&amp;find="&amp;$F134&amp;"%2C"&amp;$E134&amp;"&amp;marker="&amp;$F134&amp;","&amp;$E134&amp;",4326&amp;level=16","https://fema.maps.arcgis.com/apps/mapviewer/index.html?find="&amp;$F134&amp;"%2C"&amp;$E134&amp;"&amp;marker="&amp;$F134&amp;","&amp;$E134&amp;",4326&amp;level=16")))))),IF(_xlfn.SINGLE(JobState)="WI","Review Local Roads Layer","Review NFC AGOL Layer"))))</f>
        <v/>
      </c>
      <c r="N134" s="6" t="str">
        <f>IF(OR($E134="",$F134=""),"",IF(_xlfn.SINGLE(JobState)="",IF(ROW()=2,HYPERLINK("#JobState","Set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134&amp;"%2C"&amp;$E134&amp;"&amp;marker="&amp;$F134&amp;","&amp;$E134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4" s="6" t="str">
        <f>IF(OR($E134="", $F134=""),"",IF(_xlfn.SINGLE(JobAgolMap)="",HYPERLINK("https://fema.maps.arcgis.com/apps/mapviewer/index.html?find="&amp;$F134&amp;"%2C"&amp;$E134&amp;"&amp;marker="&amp;$F134&amp;","&amp;$E134&amp;",4326&amp;level=16","FEMA AGOL Map Viewer"),HYPERLINK(_xlfn.SINGLE(JobAgolMap)&amp;IF(ISNUMBER(FIND("?",_xlfn.SINGLE(JobAgolMap))),"&amp;","?")&amp;"center="&amp;$F134&amp;","&amp;$E134&amp;"&amp;level=16&amp;marker="&amp;$F134&amp;","&amp;$E134,"Open")))</f>
        <v/>
      </c>
      <c r="Q134" s="4"/>
      <c r="R134" s="4"/>
      <c r="W134" s="6" t="str">
        <f t="shared" si="12"/>
        <v/>
      </c>
      <c r="X134" s="6" t="str">
        <f t="shared" si="13"/>
        <v/>
      </c>
      <c r="Y134" s="6" t="str">
        <f t="shared" si="14"/>
        <v/>
      </c>
      <c r="Z134" s="6" t="str">
        <f t="shared" si="15"/>
        <v/>
      </c>
      <c r="AA134" s="6" t="str">
        <f t="shared" si="16"/>
        <v/>
      </c>
      <c r="AB134" s="6" t="str">
        <f t="shared" si="17"/>
        <v/>
      </c>
      <c r="AC134" s="4"/>
      <c r="AD134" s="4"/>
    </row>
    <row r="135" spans="1:30" x14ac:dyDescent="0.45">
      <c r="A135" s="3"/>
      <c r="B135" s="3"/>
      <c r="C135" s="5" t="str">
        <f>IF($E135="","",COUNT($E$2:$E135))</f>
        <v/>
      </c>
      <c r="D135" s="3"/>
      <c r="E135" s="3"/>
      <c r="F135" s="3"/>
      <c r="G135" s="3"/>
      <c r="H135" s="3"/>
      <c r="I135" s="3"/>
      <c r="J135" s="3"/>
      <c r="K135" s="3"/>
      <c r="L135" s="4"/>
      <c r="M135" s="6" t="str">
        <f>IF(OR($E135="",$F135=""),"",IF(_xlfn.SINGLE(JobState)="",IF(ROW()=2,HYPERLINK("#JobState","Set State →"),""),HYPERLINK(IF(OR(_xlfn.SINGLE(JobState)="MI",_xlfn.SINGLE(JobState)=""),"https://fema.maps.arcgis.com/apps/mapviewer/index.html?webmap=6a1702b9147243d1a5ee62cd614bc681&amp;center="&amp;$F135&amp;","&amp;$E135&amp;"&amp;level=16&amp;marker="&amp;$F135&amp;","&amp;$E135&amp;"",IF(_xlfn.SINGLE(JobState)="IN","https://fema.maps.arcgis.com/apps/mapviewer/index.html?url=https%3A%2F%2Fgis.indot.in.gov%2Fro%2Frest%2Fservices%2FRAH_GIO_Collaboration%2FLRSE_Functional_Class%2FFeatureServer%2F22&amp;find="&amp;$F135&amp;"%2C"&amp;$E135&amp;"&amp;marker="&amp;$F135&amp;","&amp;$E135&amp;",4326&amp;level=16",IF(_xlfn.SINGLE(JobState)="WI","https://fema.maps.arcgis.com/apps/mapviewer/index.html?url=https://services5.arcgis.com/0pgGLzT0Nh7FVjon/arcgis/rest/services/Functional_Class_Local_Non_Prod/FeatureServer/1&amp;find="&amp;$F135&amp;"%2C"&amp;$E135&amp;"&amp;marker="&amp;$F135&amp;","&amp;$E135&amp;",4326&amp;level=16",IF(_xlfn.SINGLE(JobState)="MN","https://fema.maps.arcgis.com/apps/mapviewer/index.html?url=https%3A%2F%2Fdotapp9.dot.state.mn.us%2Fegis12%2Frest%2Fservices%2FBASEMAP%2Fmndot_commonlayers2%2FMapServer%2F11&amp;find="&amp;$F135&amp;"%2C"&amp;$E135&amp;"&amp;marker="&amp;$F135&amp;","&amp;$E135&amp;",4326&amp;level=16",IF(_xlfn.SINGLE(JobState)="IL","https://fema.maps.arcgis.com/apps/mapviewer/index.html?url=https%3A%2F%2Fgis1.dot.illinois.gov%2Farcgis%2Frest%2Fservices%2FAdministrativeData%2FFunctionalClass%2FMapServer%2F0&amp;find="&amp;$F135&amp;"%2C"&amp;$E135&amp;"&amp;marker="&amp;$F135&amp;","&amp;$E135&amp;",4326&amp;level=16",IF(_xlfn.SINGLE(JobState)="OH","https://fema.maps.arcgis.com/apps/mapviewer/index.html?url=https%3A%2F%2Ftims.dot.state.oh.us%2Fags%2Frest%2Fservices%2FRoadway_Information%2FFunctional_Class%2FMapServer%2F0&amp;find="&amp;$F135&amp;"%2C"&amp;$E135&amp;"&amp;marker="&amp;$F135&amp;","&amp;$E135&amp;",4326&amp;level=16","https://fema.maps.arcgis.com/apps/mapviewer/index.html?find="&amp;$F135&amp;"%2C"&amp;$E135&amp;"&amp;marker="&amp;$F135&amp;","&amp;$E135&amp;",4326&amp;level=16")))))),IF(_xlfn.SINGLE(JobState)="WI","Review Local Roads Layer","Review NFC AGOL Layer"))))</f>
        <v/>
      </c>
      <c r="N135" s="6" t="str">
        <f>IF(OR($E135="",$F135=""),"",IF(_xlfn.SINGLE(JobState)="",IF(ROW()=2,HYPERLINK("#JobState","Set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135&amp;"%2C"&amp;$E135&amp;"&amp;marker="&amp;$F135&amp;","&amp;$E135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5" s="6" t="str">
        <f>IF(OR($E135="", $F135=""),"",IF(_xlfn.SINGLE(JobAgolMap)="",HYPERLINK("https://fema.maps.arcgis.com/apps/mapviewer/index.html?find="&amp;$F135&amp;"%2C"&amp;$E135&amp;"&amp;marker="&amp;$F135&amp;","&amp;$E135&amp;",4326&amp;level=16","FEMA AGOL Map Viewer"),HYPERLINK(_xlfn.SINGLE(JobAgolMap)&amp;IF(ISNUMBER(FIND("?",_xlfn.SINGLE(JobAgolMap))),"&amp;","?")&amp;"center="&amp;$F135&amp;","&amp;$E135&amp;"&amp;level=16&amp;marker="&amp;$F135&amp;","&amp;$E135,"Open")))</f>
        <v/>
      </c>
      <c r="Q135" s="4"/>
      <c r="R135" s="4"/>
      <c r="W135" s="6" t="str">
        <f t="shared" si="12"/>
        <v/>
      </c>
      <c r="X135" s="6" t="str">
        <f t="shared" si="13"/>
        <v/>
      </c>
      <c r="Y135" s="6" t="str">
        <f t="shared" si="14"/>
        <v/>
      </c>
      <c r="Z135" s="6" t="str">
        <f t="shared" si="15"/>
        <v/>
      </c>
      <c r="AA135" s="6" t="str">
        <f t="shared" si="16"/>
        <v/>
      </c>
      <c r="AB135" s="6" t="str">
        <f t="shared" si="17"/>
        <v/>
      </c>
      <c r="AC135" s="4"/>
      <c r="AD135" s="4"/>
    </row>
    <row r="136" spans="1:30" x14ac:dyDescent="0.45">
      <c r="A136" s="3"/>
      <c r="B136" s="3"/>
      <c r="C136" s="5" t="str">
        <f>IF($E136="","",COUNT($E$2:$E136))</f>
        <v/>
      </c>
      <c r="D136" s="3"/>
      <c r="E136" s="3"/>
      <c r="F136" s="3"/>
      <c r="G136" s="3"/>
      <c r="H136" s="3"/>
      <c r="I136" s="3"/>
      <c r="J136" s="3"/>
      <c r="K136" s="3"/>
      <c r="L136" s="4"/>
      <c r="M136" s="6" t="str">
        <f>IF(OR($E136="",$F136=""),"",IF(_xlfn.SINGLE(JobState)="",IF(ROW()=2,HYPERLINK("#JobState","Set State →"),""),HYPERLINK(IF(OR(_xlfn.SINGLE(JobState)="MI",_xlfn.SINGLE(JobState)=""),"https://fema.maps.arcgis.com/apps/mapviewer/index.html?webmap=6a1702b9147243d1a5ee62cd614bc681&amp;center="&amp;$F136&amp;","&amp;$E136&amp;"&amp;level=16&amp;marker="&amp;$F136&amp;","&amp;$E136&amp;"",IF(_xlfn.SINGLE(JobState)="IN","https://fema.maps.arcgis.com/apps/mapviewer/index.html?url=https%3A%2F%2Fgis.indot.in.gov%2Fro%2Frest%2Fservices%2FRAH_GIO_Collaboration%2FLRSE_Functional_Class%2FFeatureServer%2F22&amp;find="&amp;$F136&amp;"%2C"&amp;$E136&amp;"&amp;marker="&amp;$F136&amp;","&amp;$E136&amp;",4326&amp;level=16",IF(_xlfn.SINGLE(JobState)="WI","https://fema.maps.arcgis.com/apps/mapviewer/index.html?url=https://services5.arcgis.com/0pgGLzT0Nh7FVjon/arcgis/rest/services/Functional_Class_Local_Non_Prod/FeatureServer/1&amp;find="&amp;$F136&amp;"%2C"&amp;$E136&amp;"&amp;marker="&amp;$F136&amp;","&amp;$E136&amp;",4326&amp;level=16",IF(_xlfn.SINGLE(JobState)="MN","https://fema.maps.arcgis.com/apps/mapviewer/index.html?url=https%3A%2F%2Fdotapp9.dot.state.mn.us%2Fegis12%2Frest%2Fservices%2FBASEMAP%2Fmndot_commonlayers2%2FMapServer%2F11&amp;find="&amp;$F136&amp;"%2C"&amp;$E136&amp;"&amp;marker="&amp;$F136&amp;","&amp;$E136&amp;",4326&amp;level=16",IF(_xlfn.SINGLE(JobState)="IL","https://fema.maps.arcgis.com/apps/mapviewer/index.html?url=https%3A%2F%2Fgis1.dot.illinois.gov%2Farcgis%2Frest%2Fservices%2FAdministrativeData%2FFunctionalClass%2FMapServer%2F0&amp;find="&amp;$F136&amp;"%2C"&amp;$E136&amp;"&amp;marker="&amp;$F136&amp;","&amp;$E136&amp;",4326&amp;level=16",IF(_xlfn.SINGLE(JobState)="OH","https://fema.maps.arcgis.com/apps/mapviewer/index.html?url=https%3A%2F%2Ftims.dot.state.oh.us%2Fags%2Frest%2Fservices%2FRoadway_Information%2FFunctional_Class%2FMapServer%2F0&amp;find="&amp;$F136&amp;"%2C"&amp;$E136&amp;"&amp;marker="&amp;$F136&amp;","&amp;$E136&amp;",4326&amp;level=16","https://fema.maps.arcgis.com/apps/mapviewer/index.html?find="&amp;$F136&amp;"%2C"&amp;$E136&amp;"&amp;marker="&amp;$F136&amp;","&amp;$E136&amp;",4326&amp;level=16")))))),IF(_xlfn.SINGLE(JobState)="WI","Review Local Roads Layer","Review NFC AGOL Layer"))))</f>
        <v/>
      </c>
      <c r="N136" s="6" t="str">
        <f>IF(OR($E136="",$F136=""),"",IF(_xlfn.SINGLE(JobState)="",IF(ROW()=2,HYPERLINK("#JobState","Set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136&amp;"%2C"&amp;$E136&amp;"&amp;marker="&amp;$F136&amp;","&amp;$E136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6" s="6" t="str">
        <f>IF(OR($E136="", $F136=""),"",IF(_xlfn.SINGLE(JobAgolMap)="",HYPERLINK("https://fema.maps.arcgis.com/apps/mapviewer/index.html?find="&amp;$F136&amp;"%2C"&amp;$E136&amp;"&amp;marker="&amp;$F136&amp;","&amp;$E136&amp;",4326&amp;level=16","FEMA AGOL Map Viewer"),HYPERLINK(_xlfn.SINGLE(JobAgolMap)&amp;IF(ISNUMBER(FIND("?",_xlfn.SINGLE(JobAgolMap))),"&amp;","?")&amp;"center="&amp;$F136&amp;","&amp;$E136&amp;"&amp;level=16&amp;marker="&amp;$F136&amp;","&amp;$E136,"Open")))</f>
        <v/>
      </c>
      <c r="Q136" s="4"/>
      <c r="R136" s="4"/>
      <c r="W136" s="6" t="str">
        <f t="shared" si="12"/>
        <v/>
      </c>
      <c r="X136" s="6" t="str">
        <f t="shared" si="13"/>
        <v/>
      </c>
      <c r="Y136" s="6" t="str">
        <f t="shared" si="14"/>
        <v/>
      </c>
      <c r="Z136" s="6" t="str">
        <f t="shared" si="15"/>
        <v/>
      </c>
      <c r="AA136" s="6" t="str">
        <f t="shared" si="16"/>
        <v/>
      </c>
      <c r="AB136" s="6" t="str">
        <f t="shared" si="17"/>
        <v/>
      </c>
      <c r="AC136" s="4"/>
      <c r="AD136" s="4"/>
    </row>
    <row r="137" spans="1:30" x14ac:dyDescent="0.45">
      <c r="A137" s="3"/>
      <c r="B137" s="3"/>
      <c r="C137" s="5" t="str">
        <f>IF($E137="","",COUNT($E$2:$E137))</f>
        <v/>
      </c>
      <c r="D137" s="3"/>
      <c r="E137" s="3"/>
      <c r="F137" s="3"/>
      <c r="G137" s="3"/>
      <c r="H137" s="3"/>
      <c r="I137" s="3"/>
      <c r="J137" s="3"/>
      <c r="K137" s="3"/>
      <c r="L137" s="4"/>
      <c r="M137" s="6" t="str">
        <f>IF(OR($E137="",$F137=""),"",IF(_xlfn.SINGLE(JobState)="",IF(ROW()=2,HYPERLINK("#JobState","Set State →"),""),HYPERLINK(IF(OR(_xlfn.SINGLE(JobState)="MI",_xlfn.SINGLE(JobState)=""),"https://fema.maps.arcgis.com/apps/mapviewer/index.html?webmap=6a1702b9147243d1a5ee62cd614bc681&amp;center="&amp;$F137&amp;","&amp;$E137&amp;"&amp;level=16&amp;marker="&amp;$F137&amp;","&amp;$E137&amp;"",IF(_xlfn.SINGLE(JobState)="IN","https://fema.maps.arcgis.com/apps/mapviewer/index.html?url=https%3A%2F%2Fgis.indot.in.gov%2Fro%2Frest%2Fservices%2FRAH_GIO_Collaboration%2FLRSE_Functional_Class%2FFeatureServer%2F22&amp;find="&amp;$F137&amp;"%2C"&amp;$E137&amp;"&amp;marker="&amp;$F137&amp;","&amp;$E137&amp;",4326&amp;level=16",IF(_xlfn.SINGLE(JobState)="WI","https://fema.maps.arcgis.com/apps/mapviewer/index.html?url=https://services5.arcgis.com/0pgGLzT0Nh7FVjon/arcgis/rest/services/Functional_Class_Local_Non_Prod/FeatureServer/1&amp;find="&amp;$F137&amp;"%2C"&amp;$E137&amp;"&amp;marker="&amp;$F137&amp;","&amp;$E137&amp;",4326&amp;level=16",IF(_xlfn.SINGLE(JobState)="MN","https://fema.maps.arcgis.com/apps/mapviewer/index.html?url=https%3A%2F%2Fdotapp9.dot.state.mn.us%2Fegis12%2Frest%2Fservices%2FBASEMAP%2Fmndot_commonlayers2%2FMapServer%2F11&amp;find="&amp;$F137&amp;"%2C"&amp;$E137&amp;"&amp;marker="&amp;$F137&amp;","&amp;$E137&amp;",4326&amp;level=16",IF(_xlfn.SINGLE(JobState)="IL","https://fema.maps.arcgis.com/apps/mapviewer/index.html?url=https%3A%2F%2Fgis1.dot.illinois.gov%2Farcgis%2Frest%2Fservices%2FAdministrativeData%2FFunctionalClass%2FMapServer%2F0&amp;find="&amp;$F137&amp;"%2C"&amp;$E137&amp;"&amp;marker="&amp;$F137&amp;","&amp;$E137&amp;",4326&amp;level=16",IF(_xlfn.SINGLE(JobState)="OH","https://fema.maps.arcgis.com/apps/mapviewer/index.html?url=https%3A%2F%2Ftims.dot.state.oh.us%2Fags%2Frest%2Fservices%2FRoadway_Information%2FFunctional_Class%2FMapServer%2F0&amp;find="&amp;$F137&amp;"%2C"&amp;$E137&amp;"&amp;marker="&amp;$F137&amp;","&amp;$E137&amp;",4326&amp;level=16","https://fema.maps.arcgis.com/apps/mapviewer/index.html?find="&amp;$F137&amp;"%2C"&amp;$E137&amp;"&amp;marker="&amp;$F137&amp;","&amp;$E137&amp;",4326&amp;level=16")))))),IF(_xlfn.SINGLE(JobState)="WI","Review Local Roads Layer","Review NFC AGOL Layer"))))</f>
        <v/>
      </c>
      <c r="N137" s="6" t="str">
        <f>IF(OR($E137="",$F137=""),"",IF(_xlfn.SINGLE(JobState)="",IF(ROW()=2,HYPERLINK("#JobState","Set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137&amp;"%2C"&amp;$E137&amp;"&amp;marker="&amp;$F137&amp;","&amp;$E137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7" s="6" t="str">
        <f>IF(OR($E137="", $F137=""),"",IF(_xlfn.SINGLE(JobAgolMap)="",HYPERLINK("https://fema.maps.arcgis.com/apps/mapviewer/index.html?find="&amp;$F137&amp;"%2C"&amp;$E137&amp;"&amp;marker="&amp;$F137&amp;","&amp;$E137&amp;",4326&amp;level=16","FEMA AGOL Map Viewer"),HYPERLINK(_xlfn.SINGLE(JobAgolMap)&amp;IF(ISNUMBER(FIND("?",_xlfn.SINGLE(JobAgolMap))),"&amp;","?")&amp;"center="&amp;$F137&amp;","&amp;$E137&amp;"&amp;level=16&amp;marker="&amp;$F137&amp;","&amp;$E137,"Open")))</f>
        <v/>
      </c>
      <c r="Q137" s="4"/>
      <c r="R137" s="4"/>
      <c r="W137" s="6" t="str">
        <f t="shared" si="12"/>
        <v/>
      </c>
      <c r="X137" s="6" t="str">
        <f t="shared" si="13"/>
        <v/>
      </c>
      <c r="Y137" s="6" t="str">
        <f t="shared" si="14"/>
        <v/>
      </c>
      <c r="Z137" s="6" t="str">
        <f t="shared" si="15"/>
        <v/>
      </c>
      <c r="AA137" s="6" t="str">
        <f t="shared" si="16"/>
        <v/>
      </c>
      <c r="AB137" s="6" t="str">
        <f t="shared" si="17"/>
        <v/>
      </c>
      <c r="AC137" s="4"/>
      <c r="AD137" s="4"/>
    </row>
    <row r="138" spans="1:30" x14ac:dyDescent="0.45">
      <c r="A138" s="3"/>
      <c r="B138" s="3"/>
      <c r="C138" s="5" t="str">
        <f>IF($E138="","",COUNT($E$2:$E138))</f>
        <v/>
      </c>
      <c r="D138" s="3"/>
      <c r="E138" s="3"/>
      <c r="F138" s="3"/>
      <c r="G138" s="3"/>
      <c r="H138" s="3"/>
      <c r="I138" s="3"/>
      <c r="J138" s="3"/>
      <c r="K138" s="3"/>
      <c r="L138" s="4"/>
      <c r="M138" s="6" t="str">
        <f>IF(OR($E138="",$F138=""),"",IF(_xlfn.SINGLE(JobState)="",IF(ROW()=2,HYPERLINK("#JobState","Set State →"),""),HYPERLINK(IF(OR(_xlfn.SINGLE(JobState)="MI",_xlfn.SINGLE(JobState)=""),"https://fema.maps.arcgis.com/apps/mapviewer/index.html?webmap=6a1702b9147243d1a5ee62cd614bc681&amp;center="&amp;$F138&amp;","&amp;$E138&amp;"&amp;level=16&amp;marker="&amp;$F138&amp;","&amp;$E138&amp;"",IF(_xlfn.SINGLE(JobState)="IN","https://fema.maps.arcgis.com/apps/mapviewer/index.html?url=https%3A%2F%2Fgis.indot.in.gov%2Fro%2Frest%2Fservices%2FRAH_GIO_Collaboration%2FLRSE_Functional_Class%2FFeatureServer%2F22&amp;find="&amp;$F138&amp;"%2C"&amp;$E138&amp;"&amp;marker="&amp;$F138&amp;","&amp;$E138&amp;",4326&amp;level=16",IF(_xlfn.SINGLE(JobState)="WI","https://fema.maps.arcgis.com/apps/mapviewer/index.html?url=https://services5.arcgis.com/0pgGLzT0Nh7FVjon/arcgis/rest/services/Functional_Class_Local_Non_Prod/FeatureServer/1&amp;find="&amp;$F138&amp;"%2C"&amp;$E138&amp;"&amp;marker="&amp;$F138&amp;","&amp;$E138&amp;",4326&amp;level=16",IF(_xlfn.SINGLE(JobState)="MN","https://fema.maps.arcgis.com/apps/mapviewer/index.html?url=https%3A%2F%2Fdotapp9.dot.state.mn.us%2Fegis12%2Frest%2Fservices%2FBASEMAP%2Fmndot_commonlayers2%2FMapServer%2F11&amp;find="&amp;$F138&amp;"%2C"&amp;$E138&amp;"&amp;marker="&amp;$F138&amp;","&amp;$E138&amp;",4326&amp;level=16",IF(_xlfn.SINGLE(JobState)="IL","https://fema.maps.arcgis.com/apps/mapviewer/index.html?url=https%3A%2F%2Fgis1.dot.illinois.gov%2Farcgis%2Frest%2Fservices%2FAdministrativeData%2FFunctionalClass%2FMapServer%2F0&amp;find="&amp;$F138&amp;"%2C"&amp;$E138&amp;"&amp;marker="&amp;$F138&amp;","&amp;$E138&amp;",4326&amp;level=16",IF(_xlfn.SINGLE(JobState)="OH","https://fema.maps.arcgis.com/apps/mapviewer/index.html?url=https%3A%2F%2Ftims.dot.state.oh.us%2Fags%2Frest%2Fservices%2FRoadway_Information%2FFunctional_Class%2FMapServer%2F0&amp;find="&amp;$F138&amp;"%2C"&amp;$E138&amp;"&amp;marker="&amp;$F138&amp;","&amp;$E138&amp;",4326&amp;level=16","https://fema.maps.arcgis.com/apps/mapviewer/index.html?find="&amp;$F138&amp;"%2C"&amp;$E138&amp;"&amp;marker="&amp;$F138&amp;","&amp;$E138&amp;",4326&amp;level=16")))))),IF(_xlfn.SINGLE(JobState)="WI","Review Local Roads Layer","Review NFC AGOL Layer"))))</f>
        <v/>
      </c>
      <c r="N138" s="6" t="str">
        <f>IF(OR($E138="",$F138=""),"",IF(_xlfn.SINGLE(JobState)="",IF(ROW()=2,HYPERLINK("#JobState","Set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138&amp;"%2C"&amp;$E138&amp;"&amp;marker="&amp;$F138&amp;","&amp;$E138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8" s="6" t="str">
        <f>IF(OR($E138="", $F138=""),"",IF(_xlfn.SINGLE(JobAgolMap)="",HYPERLINK("https://fema.maps.arcgis.com/apps/mapviewer/index.html?find="&amp;$F138&amp;"%2C"&amp;$E138&amp;"&amp;marker="&amp;$F138&amp;","&amp;$E138&amp;",4326&amp;level=16","FEMA AGOL Map Viewer"),HYPERLINK(_xlfn.SINGLE(JobAgolMap)&amp;IF(ISNUMBER(FIND("?",_xlfn.SINGLE(JobAgolMap))),"&amp;","?")&amp;"center="&amp;$F138&amp;","&amp;$E138&amp;"&amp;level=16&amp;marker="&amp;$F138&amp;","&amp;$E138,"Open")))</f>
        <v/>
      </c>
      <c r="Q138" s="4"/>
      <c r="R138" s="4"/>
      <c r="W138" s="6" t="str">
        <f t="shared" si="12"/>
        <v/>
      </c>
      <c r="X138" s="6" t="str">
        <f t="shared" si="13"/>
        <v/>
      </c>
      <c r="Y138" s="6" t="str">
        <f t="shared" si="14"/>
        <v/>
      </c>
      <c r="Z138" s="6" t="str">
        <f t="shared" si="15"/>
        <v/>
      </c>
      <c r="AA138" s="6" t="str">
        <f t="shared" si="16"/>
        <v/>
      </c>
      <c r="AB138" s="6" t="str">
        <f t="shared" si="17"/>
        <v/>
      </c>
      <c r="AC138" s="4"/>
      <c r="AD138" s="4"/>
    </row>
    <row r="139" spans="1:30" x14ac:dyDescent="0.45">
      <c r="A139" s="3"/>
      <c r="B139" s="3"/>
      <c r="C139" s="5" t="str">
        <f>IF($E139="","",COUNT($E$2:$E139))</f>
        <v/>
      </c>
      <c r="D139" s="3"/>
      <c r="E139" s="3"/>
      <c r="F139" s="3"/>
      <c r="G139" s="3"/>
      <c r="H139" s="3"/>
      <c r="I139" s="3"/>
      <c r="J139" s="3"/>
      <c r="K139" s="3"/>
      <c r="L139" s="4"/>
      <c r="M139" s="6" t="str">
        <f>IF(OR($E139="",$F139=""),"",IF(_xlfn.SINGLE(JobState)="",IF(ROW()=2,HYPERLINK("#JobState","Set State →"),""),HYPERLINK(IF(OR(_xlfn.SINGLE(JobState)="MI",_xlfn.SINGLE(JobState)=""),"https://fema.maps.arcgis.com/apps/mapviewer/index.html?webmap=6a1702b9147243d1a5ee62cd614bc681&amp;center="&amp;$F139&amp;","&amp;$E139&amp;"&amp;level=16&amp;marker="&amp;$F139&amp;","&amp;$E139&amp;"",IF(_xlfn.SINGLE(JobState)="IN","https://fema.maps.arcgis.com/apps/mapviewer/index.html?url=https%3A%2F%2Fgis.indot.in.gov%2Fro%2Frest%2Fservices%2FRAH_GIO_Collaboration%2FLRSE_Functional_Class%2FFeatureServer%2F22&amp;find="&amp;$F139&amp;"%2C"&amp;$E139&amp;"&amp;marker="&amp;$F139&amp;","&amp;$E139&amp;",4326&amp;level=16",IF(_xlfn.SINGLE(JobState)="WI","https://fema.maps.arcgis.com/apps/mapviewer/index.html?url=https://services5.arcgis.com/0pgGLzT0Nh7FVjon/arcgis/rest/services/Functional_Class_Local_Non_Prod/FeatureServer/1&amp;find="&amp;$F139&amp;"%2C"&amp;$E139&amp;"&amp;marker="&amp;$F139&amp;","&amp;$E139&amp;",4326&amp;level=16",IF(_xlfn.SINGLE(JobState)="MN","https://fema.maps.arcgis.com/apps/mapviewer/index.html?url=https%3A%2F%2Fdotapp9.dot.state.mn.us%2Fegis12%2Frest%2Fservices%2FBASEMAP%2Fmndot_commonlayers2%2FMapServer%2F11&amp;find="&amp;$F139&amp;"%2C"&amp;$E139&amp;"&amp;marker="&amp;$F139&amp;","&amp;$E139&amp;",4326&amp;level=16",IF(_xlfn.SINGLE(JobState)="IL","https://fema.maps.arcgis.com/apps/mapviewer/index.html?url=https%3A%2F%2Fgis1.dot.illinois.gov%2Farcgis%2Frest%2Fservices%2FAdministrativeData%2FFunctionalClass%2FMapServer%2F0&amp;find="&amp;$F139&amp;"%2C"&amp;$E139&amp;"&amp;marker="&amp;$F139&amp;","&amp;$E139&amp;",4326&amp;level=16",IF(_xlfn.SINGLE(JobState)="OH","https://fema.maps.arcgis.com/apps/mapviewer/index.html?url=https%3A%2F%2Ftims.dot.state.oh.us%2Fags%2Frest%2Fservices%2FRoadway_Information%2FFunctional_Class%2FMapServer%2F0&amp;find="&amp;$F139&amp;"%2C"&amp;$E139&amp;"&amp;marker="&amp;$F139&amp;","&amp;$E139&amp;",4326&amp;level=16","https://fema.maps.arcgis.com/apps/mapviewer/index.html?find="&amp;$F139&amp;"%2C"&amp;$E139&amp;"&amp;marker="&amp;$F139&amp;","&amp;$E139&amp;",4326&amp;level=16")))))),IF(_xlfn.SINGLE(JobState)="WI","Review Local Roads Layer","Review NFC AGOL Layer"))))</f>
        <v/>
      </c>
      <c r="N139" s="6" t="str">
        <f>IF(OR($E139="",$F139=""),"",IF(_xlfn.SINGLE(JobState)="",IF(ROW()=2,HYPERLINK("#JobState","Set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139&amp;"%2C"&amp;$E139&amp;"&amp;marker="&amp;$F139&amp;","&amp;$E139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9" s="6" t="str">
        <f>IF(OR($E139="", $F139=""),"",IF(_xlfn.SINGLE(JobAgolMap)="",HYPERLINK("https://fema.maps.arcgis.com/apps/mapviewer/index.html?find="&amp;$F139&amp;"%2C"&amp;$E139&amp;"&amp;marker="&amp;$F139&amp;","&amp;$E139&amp;",4326&amp;level=16","FEMA AGOL Map Viewer"),HYPERLINK(_xlfn.SINGLE(JobAgolMap)&amp;IF(ISNUMBER(FIND("?",_xlfn.SINGLE(JobAgolMap))),"&amp;","?")&amp;"center="&amp;$F139&amp;","&amp;$E139&amp;"&amp;level=16&amp;marker="&amp;$F139&amp;","&amp;$E139,"Open")))</f>
        <v/>
      </c>
      <c r="Q139" s="4"/>
      <c r="R139" s="4"/>
      <c r="W139" s="6" t="str">
        <f t="shared" si="12"/>
        <v/>
      </c>
      <c r="X139" s="6" t="str">
        <f t="shared" si="13"/>
        <v/>
      </c>
      <c r="Y139" s="6" t="str">
        <f t="shared" si="14"/>
        <v/>
      </c>
      <c r="Z139" s="6" t="str">
        <f t="shared" si="15"/>
        <v/>
      </c>
      <c r="AA139" s="6" t="str">
        <f t="shared" si="16"/>
        <v/>
      </c>
      <c r="AB139" s="6" t="str">
        <f t="shared" si="17"/>
        <v/>
      </c>
      <c r="AC139" s="4"/>
      <c r="AD139" s="4"/>
    </row>
    <row r="140" spans="1:30" x14ac:dyDescent="0.45">
      <c r="A140" s="3"/>
      <c r="B140" s="3"/>
      <c r="C140" s="5" t="str">
        <f>IF($E140="","",COUNT($E$2:$E140))</f>
        <v/>
      </c>
      <c r="D140" s="3"/>
      <c r="E140" s="3"/>
      <c r="F140" s="3"/>
      <c r="G140" s="3"/>
      <c r="H140" s="3"/>
      <c r="I140" s="3"/>
      <c r="J140" s="3"/>
      <c r="K140" s="3"/>
      <c r="L140" s="4"/>
      <c r="M140" s="6" t="str">
        <f>IF(OR($E140="",$F140=""),"",IF(_xlfn.SINGLE(JobState)="",IF(ROW()=2,HYPERLINK("#JobState","Set State →"),""),HYPERLINK(IF(OR(_xlfn.SINGLE(JobState)="MI",_xlfn.SINGLE(JobState)=""),"https://fema.maps.arcgis.com/apps/mapviewer/index.html?webmap=6a1702b9147243d1a5ee62cd614bc681&amp;center="&amp;$F140&amp;","&amp;$E140&amp;"&amp;level=16&amp;marker="&amp;$F140&amp;","&amp;$E140&amp;"",IF(_xlfn.SINGLE(JobState)="IN","https://fema.maps.arcgis.com/apps/mapviewer/index.html?url=https%3A%2F%2Fgis.indot.in.gov%2Fro%2Frest%2Fservices%2FRAH_GIO_Collaboration%2FLRSE_Functional_Class%2FFeatureServer%2F22&amp;find="&amp;$F140&amp;"%2C"&amp;$E140&amp;"&amp;marker="&amp;$F140&amp;","&amp;$E140&amp;",4326&amp;level=16",IF(_xlfn.SINGLE(JobState)="WI","https://fema.maps.arcgis.com/apps/mapviewer/index.html?url=https://services5.arcgis.com/0pgGLzT0Nh7FVjon/arcgis/rest/services/Functional_Class_Local_Non_Prod/FeatureServer/1&amp;find="&amp;$F140&amp;"%2C"&amp;$E140&amp;"&amp;marker="&amp;$F140&amp;","&amp;$E140&amp;",4326&amp;level=16",IF(_xlfn.SINGLE(JobState)="MN","https://fema.maps.arcgis.com/apps/mapviewer/index.html?url=https%3A%2F%2Fdotapp9.dot.state.mn.us%2Fegis12%2Frest%2Fservices%2FBASEMAP%2Fmndot_commonlayers2%2FMapServer%2F11&amp;find="&amp;$F140&amp;"%2C"&amp;$E140&amp;"&amp;marker="&amp;$F140&amp;","&amp;$E140&amp;",4326&amp;level=16",IF(_xlfn.SINGLE(JobState)="IL","https://fema.maps.arcgis.com/apps/mapviewer/index.html?url=https%3A%2F%2Fgis1.dot.illinois.gov%2Farcgis%2Frest%2Fservices%2FAdministrativeData%2FFunctionalClass%2FMapServer%2F0&amp;find="&amp;$F140&amp;"%2C"&amp;$E140&amp;"&amp;marker="&amp;$F140&amp;","&amp;$E140&amp;",4326&amp;level=16",IF(_xlfn.SINGLE(JobState)="OH","https://fema.maps.arcgis.com/apps/mapviewer/index.html?url=https%3A%2F%2Ftims.dot.state.oh.us%2Fags%2Frest%2Fservices%2FRoadway_Information%2FFunctional_Class%2FMapServer%2F0&amp;find="&amp;$F140&amp;"%2C"&amp;$E140&amp;"&amp;marker="&amp;$F140&amp;","&amp;$E140&amp;",4326&amp;level=16","https://fema.maps.arcgis.com/apps/mapviewer/index.html?find="&amp;$F140&amp;"%2C"&amp;$E140&amp;"&amp;marker="&amp;$F140&amp;","&amp;$E140&amp;",4326&amp;level=16")))))),IF(_xlfn.SINGLE(JobState)="WI","Review Local Roads Layer","Review NFC AGOL Layer"))))</f>
        <v/>
      </c>
      <c r="N140" s="6" t="str">
        <f>IF(OR($E140="",$F140=""),"",IF(_xlfn.SINGLE(JobState)="",IF(ROW()=2,HYPERLINK("#JobState","Set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140&amp;"%2C"&amp;$E140&amp;"&amp;marker="&amp;$F140&amp;","&amp;$E140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0" s="6" t="str">
        <f>IF(OR($E140="", $F140=""),"",IF(_xlfn.SINGLE(JobAgolMap)="",HYPERLINK("https://fema.maps.arcgis.com/apps/mapviewer/index.html?find="&amp;$F140&amp;"%2C"&amp;$E140&amp;"&amp;marker="&amp;$F140&amp;","&amp;$E140&amp;",4326&amp;level=16","FEMA AGOL Map Viewer"),HYPERLINK(_xlfn.SINGLE(JobAgolMap)&amp;IF(ISNUMBER(FIND("?",_xlfn.SINGLE(JobAgolMap))),"&amp;","?")&amp;"center="&amp;$F140&amp;","&amp;$E140&amp;"&amp;level=16&amp;marker="&amp;$F140&amp;","&amp;$E140,"Open")))</f>
        <v/>
      </c>
      <c r="Q140" s="4"/>
      <c r="R140" s="4"/>
      <c r="W140" s="6" t="str">
        <f t="shared" si="12"/>
        <v/>
      </c>
      <c r="X140" s="6" t="str">
        <f t="shared" si="13"/>
        <v/>
      </c>
      <c r="Y140" s="6" t="str">
        <f t="shared" si="14"/>
        <v/>
      </c>
      <c r="Z140" s="6" t="str">
        <f t="shared" si="15"/>
        <v/>
      </c>
      <c r="AA140" s="6" t="str">
        <f t="shared" si="16"/>
        <v/>
      </c>
      <c r="AB140" s="6" t="str">
        <f t="shared" si="17"/>
        <v/>
      </c>
      <c r="AC140" s="4"/>
      <c r="AD140" s="4"/>
    </row>
    <row r="141" spans="1:30" x14ac:dyDescent="0.45">
      <c r="A141" s="3"/>
      <c r="B141" s="3"/>
      <c r="C141" s="5" t="str">
        <f>IF($E141="","",COUNT($E$2:$E141))</f>
        <v/>
      </c>
      <c r="D141" s="3"/>
      <c r="E141" s="3"/>
      <c r="F141" s="3"/>
      <c r="G141" s="3"/>
      <c r="H141" s="3"/>
      <c r="I141" s="3"/>
      <c r="J141" s="3"/>
      <c r="K141" s="3"/>
      <c r="L141" s="4"/>
      <c r="M141" s="6" t="str">
        <f>IF(OR($E141="",$F141=""),"",IF(_xlfn.SINGLE(JobState)="",IF(ROW()=2,HYPERLINK("#JobState","Set State →"),""),HYPERLINK(IF(OR(_xlfn.SINGLE(JobState)="MI",_xlfn.SINGLE(JobState)=""),"https://fema.maps.arcgis.com/apps/mapviewer/index.html?webmap=6a1702b9147243d1a5ee62cd614bc681&amp;center="&amp;$F141&amp;","&amp;$E141&amp;"&amp;level=16&amp;marker="&amp;$F141&amp;","&amp;$E141&amp;"",IF(_xlfn.SINGLE(JobState)="IN","https://fema.maps.arcgis.com/apps/mapviewer/index.html?url=https%3A%2F%2Fgis.indot.in.gov%2Fro%2Frest%2Fservices%2FRAH_GIO_Collaboration%2FLRSE_Functional_Class%2FFeatureServer%2F22&amp;find="&amp;$F141&amp;"%2C"&amp;$E141&amp;"&amp;marker="&amp;$F141&amp;","&amp;$E141&amp;",4326&amp;level=16",IF(_xlfn.SINGLE(JobState)="WI","https://fema.maps.arcgis.com/apps/mapviewer/index.html?url=https://services5.arcgis.com/0pgGLzT0Nh7FVjon/arcgis/rest/services/Functional_Class_Local_Non_Prod/FeatureServer/1&amp;find="&amp;$F141&amp;"%2C"&amp;$E141&amp;"&amp;marker="&amp;$F141&amp;","&amp;$E141&amp;",4326&amp;level=16",IF(_xlfn.SINGLE(JobState)="MN","https://fema.maps.arcgis.com/apps/mapviewer/index.html?url=https%3A%2F%2Fdotapp9.dot.state.mn.us%2Fegis12%2Frest%2Fservices%2FBASEMAP%2Fmndot_commonlayers2%2FMapServer%2F11&amp;find="&amp;$F141&amp;"%2C"&amp;$E141&amp;"&amp;marker="&amp;$F141&amp;","&amp;$E141&amp;",4326&amp;level=16",IF(_xlfn.SINGLE(JobState)="IL","https://fema.maps.arcgis.com/apps/mapviewer/index.html?url=https%3A%2F%2Fgis1.dot.illinois.gov%2Farcgis%2Frest%2Fservices%2FAdministrativeData%2FFunctionalClass%2FMapServer%2F0&amp;find="&amp;$F141&amp;"%2C"&amp;$E141&amp;"&amp;marker="&amp;$F141&amp;","&amp;$E141&amp;",4326&amp;level=16",IF(_xlfn.SINGLE(JobState)="OH","https://fema.maps.arcgis.com/apps/mapviewer/index.html?url=https%3A%2F%2Ftims.dot.state.oh.us%2Fags%2Frest%2Fservices%2FRoadway_Information%2FFunctional_Class%2FMapServer%2F0&amp;find="&amp;$F141&amp;"%2C"&amp;$E141&amp;"&amp;marker="&amp;$F141&amp;","&amp;$E141&amp;",4326&amp;level=16","https://fema.maps.arcgis.com/apps/mapviewer/index.html?find="&amp;$F141&amp;"%2C"&amp;$E141&amp;"&amp;marker="&amp;$F141&amp;","&amp;$E141&amp;",4326&amp;level=16")))))),IF(_xlfn.SINGLE(JobState)="WI","Review Local Roads Layer","Review NFC AGOL Layer"))))</f>
        <v/>
      </c>
      <c r="N141" s="6" t="str">
        <f>IF(OR($E141="",$F141=""),"",IF(_xlfn.SINGLE(JobState)="",IF(ROW()=2,HYPERLINK("#JobState","Set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141&amp;"%2C"&amp;$E141&amp;"&amp;marker="&amp;$F141&amp;","&amp;$E141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1" s="6" t="str">
        <f>IF(OR($E141="", $F141=""),"",IF(_xlfn.SINGLE(JobAgolMap)="",HYPERLINK("https://fema.maps.arcgis.com/apps/mapviewer/index.html?find="&amp;$F141&amp;"%2C"&amp;$E141&amp;"&amp;marker="&amp;$F141&amp;","&amp;$E141&amp;",4326&amp;level=16","FEMA AGOL Map Viewer"),HYPERLINK(_xlfn.SINGLE(JobAgolMap)&amp;IF(ISNUMBER(FIND("?",_xlfn.SINGLE(JobAgolMap))),"&amp;","?")&amp;"center="&amp;$F141&amp;","&amp;$E141&amp;"&amp;level=16&amp;marker="&amp;$F141&amp;","&amp;$E141,"Open")))</f>
        <v/>
      </c>
      <c r="Q141" s="4"/>
      <c r="R141" s="4"/>
      <c r="W141" s="6" t="str">
        <f t="shared" si="12"/>
        <v/>
      </c>
      <c r="X141" s="6" t="str">
        <f t="shared" si="13"/>
        <v/>
      </c>
      <c r="Y141" s="6" t="str">
        <f t="shared" si="14"/>
        <v/>
      </c>
      <c r="Z141" s="6" t="str">
        <f t="shared" si="15"/>
        <v/>
      </c>
      <c r="AA141" s="6" t="str">
        <f t="shared" si="16"/>
        <v/>
      </c>
      <c r="AB141" s="6" t="str">
        <f t="shared" si="17"/>
        <v/>
      </c>
      <c r="AC141" s="4"/>
      <c r="AD141" s="4"/>
    </row>
    <row r="142" spans="1:30" x14ac:dyDescent="0.45">
      <c r="A142" s="3"/>
      <c r="B142" s="3"/>
      <c r="C142" s="5" t="str">
        <f>IF($E142="","",COUNT($E$2:$E142))</f>
        <v/>
      </c>
      <c r="D142" s="3"/>
      <c r="E142" s="3"/>
      <c r="F142" s="3"/>
      <c r="G142" s="3"/>
      <c r="H142" s="3"/>
      <c r="I142" s="3"/>
      <c r="J142" s="3"/>
      <c r="K142" s="3"/>
      <c r="L142" s="4"/>
      <c r="M142" s="6" t="str">
        <f>IF(OR($E142="",$F142=""),"",IF(_xlfn.SINGLE(JobState)="",IF(ROW()=2,HYPERLINK("#JobState","Set State →"),""),HYPERLINK(IF(OR(_xlfn.SINGLE(JobState)="MI",_xlfn.SINGLE(JobState)=""),"https://fema.maps.arcgis.com/apps/mapviewer/index.html?webmap=6a1702b9147243d1a5ee62cd614bc681&amp;center="&amp;$F142&amp;","&amp;$E142&amp;"&amp;level=16&amp;marker="&amp;$F142&amp;","&amp;$E142&amp;"",IF(_xlfn.SINGLE(JobState)="IN","https://fema.maps.arcgis.com/apps/mapviewer/index.html?url=https%3A%2F%2Fgis.indot.in.gov%2Fro%2Frest%2Fservices%2FRAH_GIO_Collaboration%2FLRSE_Functional_Class%2FFeatureServer%2F22&amp;find="&amp;$F142&amp;"%2C"&amp;$E142&amp;"&amp;marker="&amp;$F142&amp;","&amp;$E142&amp;",4326&amp;level=16",IF(_xlfn.SINGLE(JobState)="WI","https://fema.maps.arcgis.com/apps/mapviewer/index.html?url=https://services5.arcgis.com/0pgGLzT0Nh7FVjon/arcgis/rest/services/Functional_Class_Local_Non_Prod/FeatureServer/1&amp;find="&amp;$F142&amp;"%2C"&amp;$E142&amp;"&amp;marker="&amp;$F142&amp;","&amp;$E142&amp;",4326&amp;level=16",IF(_xlfn.SINGLE(JobState)="MN","https://fema.maps.arcgis.com/apps/mapviewer/index.html?url=https%3A%2F%2Fdotapp9.dot.state.mn.us%2Fegis12%2Frest%2Fservices%2FBASEMAP%2Fmndot_commonlayers2%2FMapServer%2F11&amp;find="&amp;$F142&amp;"%2C"&amp;$E142&amp;"&amp;marker="&amp;$F142&amp;","&amp;$E142&amp;",4326&amp;level=16",IF(_xlfn.SINGLE(JobState)="IL","https://fema.maps.arcgis.com/apps/mapviewer/index.html?url=https%3A%2F%2Fgis1.dot.illinois.gov%2Farcgis%2Frest%2Fservices%2FAdministrativeData%2FFunctionalClass%2FMapServer%2F0&amp;find="&amp;$F142&amp;"%2C"&amp;$E142&amp;"&amp;marker="&amp;$F142&amp;","&amp;$E142&amp;",4326&amp;level=16",IF(_xlfn.SINGLE(JobState)="OH","https://fema.maps.arcgis.com/apps/mapviewer/index.html?url=https%3A%2F%2Ftims.dot.state.oh.us%2Fags%2Frest%2Fservices%2FRoadway_Information%2FFunctional_Class%2FMapServer%2F0&amp;find="&amp;$F142&amp;"%2C"&amp;$E142&amp;"&amp;marker="&amp;$F142&amp;","&amp;$E142&amp;",4326&amp;level=16","https://fema.maps.arcgis.com/apps/mapviewer/index.html?find="&amp;$F142&amp;"%2C"&amp;$E142&amp;"&amp;marker="&amp;$F142&amp;","&amp;$E142&amp;",4326&amp;level=16")))))),IF(_xlfn.SINGLE(JobState)="WI","Review Local Roads Layer","Review NFC AGOL Layer"))))</f>
        <v/>
      </c>
      <c r="N142" s="6" t="str">
        <f>IF(OR($E142="",$F142=""),"",IF(_xlfn.SINGLE(JobState)="",IF(ROW()=2,HYPERLINK("#JobState","Set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142&amp;"%2C"&amp;$E142&amp;"&amp;marker="&amp;$F142&amp;","&amp;$E142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2" s="6" t="str">
        <f>IF(OR($E142="", $F142=""),"",IF(_xlfn.SINGLE(JobAgolMap)="",HYPERLINK("https://fema.maps.arcgis.com/apps/mapviewer/index.html?find="&amp;$F142&amp;"%2C"&amp;$E142&amp;"&amp;marker="&amp;$F142&amp;","&amp;$E142&amp;",4326&amp;level=16","FEMA AGOL Map Viewer"),HYPERLINK(_xlfn.SINGLE(JobAgolMap)&amp;IF(ISNUMBER(FIND("?",_xlfn.SINGLE(JobAgolMap))),"&amp;","?")&amp;"center="&amp;$F142&amp;","&amp;$E142&amp;"&amp;level=16&amp;marker="&amp;$F142&amp;","&amp;$E142,"Open")))</f>
        <v/>
      </c>
      <c r="Q142" s="4"/>
      <c r="R142" s="4"/>
      <c r="W142" s="6" t="str">
        <f t="shared" si="12"/>
        <v/>
      </c>
      <c r="X142" s="6" t="str">
        <f t="shared" si="13"/>
        <v/>
      </c>
      <c r="Y142" s="6" t="str">
        <f t="shared" si="14"/>
        <v/>
      </c>
      <c r="Z142" s="6" t="str">
        <f t="shared" si="15"/>
        <v/>
      </c>
      <c r="AA142" s="6" t="str">
        <f t="shared" si="16"/>
        <v/>
      </c>
      <c r="AB142" s="6" t="str">
        <f t="shared" si="17"/>
        <v/>
      </c>
      <c r="AC142" s="4"/>
      <c r="AD142" s="4"/>
    </row>
    <row r="143" spans="1:30" x14ac:dyDescent="0.45">
      <c r="A143" s="3"/>
      <c r="B143" s="3"/>
      <c r="C143" s="5" t="str">
        <f>IF($E143="","",COUNT($E$2:$E143))</f>
        <v/>
      </c>
      <c r="D143" s="3"/>
      <c r="E143" s="3"/>
      <c r="F143" s="3"/>
      <c r="G143" s="3"/>
      <c r="H143" s="3"/>
      <c r="I143" s="3"/>
      <c r="J143" s="3"/>
      <c r="K143" s="3"/>
      <c r="L143" s="4"/>
      <c r="M143" s="6" t="str">
        <f>IF(OR($E143="",$F143=""),"",IF(_xlfn.SINGLE(JobState)="",IF(ROW()=2,HYPERLINK("#JobState","Set State →"),""),HYPERLINK(IF(OR(_xlfn.SINGLE(JobState)="MI",_xlfn.SINGLE(JobState)=""),"https://fema.maps.arcgis.com/apps/mapviewer/index.html?webmap=6a1702b9147243d1a5ee62cd614bc681&amp;center="&amp;$F143&amp;","&amp;$E143&amp;"&amp;level=16&amp;marker="&amp;$F143&amp;","&amp;$E143&amp;"",IF(_xlfn.SINGLE(JobState)="IN","https://fema.maps.arcgis.com/apps/mapviewer/index.html?url=https%3A%2F%2Fgis.indot.in.gov%2Fro%2Frest%2Fservices%2FRAH_GIO_Collaboration%2FLRSE_Functional_Class%2FFeatureServer%2F22&amp;find="&amp;$F143&amp;"%2C"&amp;$E143&amp;"&amp;marker="&amp;$F143&amp;","&amp;$E143&amp;",4326&amp;level=16",IF(_xlfn.SINGLE(JobState)="WI","https://fema.maps.arcgis.com/apps/mapviewer/index.html?url=https://services5.arcgis.com/0pgGLzT0Nh7FVjon/arcgis/rest/services/Functional_Class_Local_Non_Prod/FeatureServer/1&amp;find="&amp;$F143&amp;"%2C"&amp;$E143&amp;"&amp;marker="&amp;$F143&amp;","&amp;$E143&amp;",4326&amp;level=16",IF(_xlfn.SINGLE(JobState)="MN","https://fema.maps.arcgis.com/apps/mapviewer/index.html?url=https%3A%2F%2Fdotapp9.dot.state.mn.us%2Fegis12%2Frest%2Fservices%2FBASEMAP%2Fmndot_commonlayers2%2FMapServer%2F11&amp;find="&amp;$F143&amp;"%2C"&amp;$E143&amp;"&amp;marker="&amp;$F143&amp;","&amp;$E143&amp;",4326&amp;level=16",IF(_xlfn.SINGLE(JobState)="IL","https://fema.maps.arcgis.com/apps/mapviewer/index.html?url=https%3A%2F%2Fgis1.dot.illinois.gov%2Farcgis%2Frest%2Fservices%2FAdministrativeData%2FFunctionalClass%2FMapServer%2F0&amp;find="&amp;$F143&amp;"%2C"&amp;$E143&amp;"&amp;marker="&amp;$F143&amp;","&amp;$E143&amp;",4326&amp;level=16",IF(_xlfn.SINGLE(JobState)="OH","https://fema.maps.arcgis.com/apps/mapviewer/index.html?url=https%3A%2F%2Ftims.dot.state.oh.us%2Fags%2Frest%2Fservices%2FRoadway_Information%2FFunctional_Class%2FMapServer%2F0&amp;find="&amp;$F143&amp;"%2C"&amp;$E143&amp;"&amp;marker="&amp;$F143&amp;","&amp;$E143&amp;",4326&amp;level=16","https://fema.maps.arcgis.com/apps/mapviewer/index.html?find="&amp;$F143&amp;"%2C"&amp;$E143&amp;"&amp;marker="&amp;$F143&amp;","&amp;$E143&amp;",4326&amp;level=16")))))),IF(_xlfn.SINGLE(JobState)="WI","Review Local Roads Layer","Review NFC AGOL Layer"))))</f>
        <v/>
      </c>
      <c r="N143" s="6" t="str">
        <f>IF(OR($E143="",$F143=""),"",IF(_xlfn.SINGLE(JobState)="",IF(ROW()=2,HYPERLINK("#JobState","Set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143&amp;"%2C"&amp;$E143&amp;"&amp;marker="&amp;$F143&amp;","&amp;$E143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3" s="6" t="str">
        <f>IF(OR($E143="", $F143=""),"",IF(_xlfn.SINGLE(JobAgolMap)="",HYPERLINK("https://fema.maps.arcgis.com/apps/mapviewer/index.html?find="&amp;$F143&amp;"%2C"&amp;$E143&amp;"&amp;marker="&amp;$F143&amp;","&amp;$E143&amp;",4326&amp;level=16","FEMA AGOL Map Viewer"),HYPERLINK(_xlfn.SINGLE(JobAgolMap)&amp;IF(ISNUMBER(FIND("?",_xlfn.SINGLE(JobAgolMap))),"&amp;","?")&amp;"center="&amp;$F143&amp;","&amp;$E143&amp;"&amp;level=16&amp;marker="&amp;$F143&amp;","&amp;$E143,"Open")))</f>
        <v/>
      </c>
      <c r="Q143" s="4"/>
      <c r="R143" s="4"/>
      <c r="W143" s="6" t="str">
        <f t="shared" si="12"/>
        <v/>
      </c>
      <c r="X143" s="6" t="str">
        <f t="shared" si="13"/>
        <v/>
      </c>
      <c r="Y143" s="6" t="str">
        <f t="shared" si="14"/>
        <v/>
      </c>
      <c r="Z143" s="6" t="str">
        <f t="shared" si="15"/>
        <v/>
      </c>
      <c r="AA143" s="6" t="str">
        <f t="shared" si="16"/>
        <v/>
      </c>
      <c r="AB143" s="6" t="str">
        <f t="shared" si="17"/>
        <v/>
      </c>
      <c r="AC143" s="4"/>
      <c r="AD143" s="4"/>
    </row>
    <row r="144" spans="1:30" x14ac:dyDescent="0.45">
      <c r="A144" s="3"/>
      <c r="B144" s="3"/>
      <c r="C144" s="5" t="str">
        <f>IF($E144="","",COUNT($E$2:$E144))</f>
        <v/>
      </c>
      <c r="D144" s="3"/>
      <c r="E144" s="3"/>
      <c r="F144" s="3"/>
      <c r="G144" s="3"/>
      <c r="H144" s="3"/>
      <c r="I144" s="3"/>
      <c r="J144" s="3"/>
      <c r="K144" s="3"/>
      <c r="L144" s="4"/>
      <c r="M144" s="6" t="str">
        <f>IF(OR($E144="",$F144=""),"",IF(_xlfn.SINGLE(JobState)="",IF(ROW()=2,HYPERLINK("#JobState","Set State →"),""),HYPERLINK(IF(OR(_xlfn.SINGLE(JobState)="MI",_xlfn.SINGLE(JobState)=""),"https://fema.maps.arcgis.com/apps/mapviewer/index.html?webmap=6a1702b9147243d1a5ee62cd614bc681&amp;center="&amp;$F144&amp;","&amp;$E144&amp;"&amp;level=16&amp;marker="&amp;$F144&amp;","&amp;$E144&amp;"",IF(_xlfn.SINGLE(JobState)="IN","https://fema.maps.arcgis.com/apps/mapviewer/index.html?url=https%3A%2F%2Fgis.indot.in.gov%2Fro%2Frest%2Fservices%2FRAH_GIO_Collaboration%2FLRSE_Functional_Class%2FFeatureServer%2F22&amp;find="&amp;$F144&amp;"%2C"&amp;$E144&amp;"&amp;marker="&amp;$F144&amp;","&amp;$E144&amp;",4326&amp;level=16",IF(_xlfn.SINGLE(JobState)="WI","https://fema.maps.arcgis.com/apps/mapviewer/index.html?url=https://services5.arcgis.com/0pgGLzT0Nh7FVjon/arcgis/rest/services/Functional_Class_Local_Non_Prod/FeatureServer/1&amp;find="&amp;$F144&amp;"%2C"&amp;$E144&amp;"&amp;marker="&amp;$F144&amp;","&amp;$E144&amp;",4326&amp;level=16",IF(_xlfn.SINGLE(JobState)="MN","https://fema.maps.arcgis.com/apps/mapviewer/index.html?url=https%3A%2F%2Fdotapp9.dot.state.mn.us%2Fegis12%2Frest%2Fservices%2FBASEMAP%2Fmndot_commonlayers2%2FMapServer%2F11&amp;find="&amp;$F144&amp;"%2C"&amp;$E144&amp;"&amp;marker="&amp;$F144&amp;","&amp;$E144&amp;",4326&amp;level=16",IF(_xlfn.SINGLE(JobState)="IL","https://fema.maps.arcgis.com/apps/mapviewer/index.html?url=https%3A%2F%2Fgis1.dot.illinois.gov%2Farcgis%2Frest%2Fservices%2FAdministrativeData%2FFunctionalClass%2FMapServer%2F0&amp;find="&amp;$F144&amp;"%2C"&amp;$E144&amp;"&amp;marker="&amp;$F144&amp;","&amp;$E144&amp;",4326&amp;level=16",IF(_xlfn.SINGLE(JobState)="OH","https://fema.maps.arcgis.com/apps/mapviewer/index.html?url=https%3A%2F%2Ftims.dot.state.oh.us%2Fags%2Frest%2Fservices%2FRoadway_Information%2FFunctional_Class%2FMapServer%2F0&amp;find="&amp;$F144&amp;"%2C"&amp;$E144&amp;"&amp;marker="&amp;$F144&amp;","&amp;$E144&amp;",4326&amp;level=16","https://fema.maps.arcgis.com/apps/mapviewer/index.html?find="&amp;$F144&amp;"%2C"&amp;$E144&amp;"&amp;marker="&amp;$F144&amp;","&amp;$E144&amp;",4326&amp;level=16")))))),IF(_xlfn.SINGLE(JobState)="WI","Review Local Roads Layer","Review NFC AGOL Layer"))))</f>
        <v/>
      </c>
      <c r="N144" s="6" t="str">
        <f>IF(OR($E144="",$F144=""),"",IF(_xlfn.SINGLE(JobState)="",IF(ROW()=2,HYPERLINK("#JobState","Set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144&amp;"%2C"&amp;$E144&amp;"&amp;marker="&amp;$F144&amp;","&amp;$E144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4" s="6" t="str">
        <f>IF(OR($E144="", $F144=""),"",IF(_xlfn.SINGLE(JobAgolMap)="",HYPERLINK("https://fema.maps.arcgis.com/apps/mapviewer/index.html?find="&amp;$F144&amp;"%2C"&amp;$E144&amp;"&amp;marker="&amp;$F144&amp;","&amp;$E144&amp;",4326&amp;level=16","FEMA AGOL Map Viewer"),HYPERLINK(_xlfn.SINGLE(JobAgolMap)&amp;IF(ISNUMBER(FIND("?",_xlfn.SINGLE(JobAgolMap))),"&amp;","?")&amp;"center="&amp;$F144&amp;","&amp;$E144&amp;"&amp;level=16&amp;marker="&amp;$F144&amp;","&amp;$E144,"Open")))</f>
        <v/>
      </c>
      <c r="Q144" s="4"/>
      <c r="R144" s="4"/>
      <c r="W144" s="6" t="str">
        <f t="shared" si="12"/>
        <v/>
      </c>
      <c r="X144" s="6" t="str">
        <f t="shared" si="13"/>
        <v/>
      </c>
      <c r="Y144" s="6" t="str">
        <f t="shared" si="14"/>
        <v/>
      </c>
      <c r="Z144" s="6" t="str">
        <f t="shared" si="15"/>
        <v/>
      </c>
      <c r="AA144" s="6" t="str">
        <f t="shared" si="16"/>
        <v/>
      </c>
      <c r="AB144" s="6" t="str">
        <f t="shared" si="17"/>
        <v/>
      </c>
      <c r="AC144" s="4"/>
      <c r="AD144" s="4"/>
    </row>
    <row r="145" spans="1:30" x14ac:dyDescent="0.45">
      <c r="A145" s="3"/>
      <c r="B145" s="3"/>
      <c r="C145" s="5" t="str">
        <f>IF($E145="","",COUNT($E$2:$E145))</f>
        <v/>
      </c>
      <c r="D145" s="3"/>
      <c r="E145" s="3"/>
      <c r="F145" s="3"/>
      <c r="G145" s="3"/>
      <c r="H145" s="3"/>
      <c r="I145" s="3"/>
      <c r="J145" s="3"/>
      <c r="K145" s="3"/>
      <c r="L145" s="4"/>
      <c r="M145" s="6" t="str">
        <f>IF(OR($E145="",$F145=""),"",IF(_xlfn.SINGLE(JobState)="",IF(ROW()=2,HYPERLINK("#JobState","Set State →"),""),HYPERLINK(IF(OR(_xlfn.SINGLE(JobState)="MI",_xlfn.SINGLE(JobState)=""),"https://fema.maps.arcgis.com/apps/mapviewer/index.html?webmap=6a1702b9147243d1a5ee62cd614bc681&amp;center="&amp;$F145&amp;","&amp;$E145&amp;"&amp;level=16&amp;marker="&amp;$F145&amp;","&amp;$E145&amp;"",IF(_xlfn.SINGLE(JobState)="IN","https://fema.maps.arcgis.com/apps/mapviewer/index.html?url=https%3A%2F%2Fgis.indot.in.gov%2Fro%2Frest%2Fservices%2FRAH_GIO_Collaboration%2FLRSE_Functional_Class%2FFeatureServer%2F22&amp;find="&amp;$F145&amp;"%2C"&amp;$E145&amp;"&amp;marker="&amp;$F145&amp;","&amp;$E145&amp;",4326&amp;level=16",IF(_xlfn.SINGLE(JobState)="WI","https://fema.maps.arcgis.com/apps/mapviewer/index.html?url=https://services5.arcgis.com/0pgGLzT0Nh7FVjon/arcgis/rest/services/Functional_Class_Local_Non_Prod/FeatureServer/1&amp;find="&amp;$F145&amp;"%2C"&amp;$E145&amp;"&amp;marker="&amp;$F145&amp;","&amp;$E145&amp;",4326&amp;level=16",IF(_xlfn.SINGLE(JobState)="MN","https://fema.maps.arcgis.com/apps/mapviewer/index.html?url=https%3A%2F%2Fdotapp9.dot.state.mn.us%2Fegis12%2Frest%2Fservices%2FBASEMAP%2Fmndot_commonlayers2%2FMapServer%2F11&amp;find="&amp;$F145&amp;"%2C"&amp;$E145&amp;"&amp;marker="&amp;$F145&amp;","&amp;$E145&amp;",4326&amp;level=16",IF(_xlfn.SINGLE(JobState)="IL","https://fema.maps.arcgis.com/apps/mapviewer/index.html?url=https%3A%2F%2Fgis1.dot.illinois.gov%2Farcgis%2Frest%2Fservices%2FAdministrativeData%2FFunctionalClass%2FMapServer%2F0&amp;find="&amp;$F145&amp;"%2C"&amp;$E145&amp;"&amp;marker="&amp;$F145&amp;","&amp;$E145&amp;",4326&amp;level=16",IF(_xlfn.SINGLE(JobState)="OH","https://fema.maps.arcgis.com/apps/mapviewer/index.html?url=https%3A%2F%2Ftims.dot.state.oh.us%2Fags%2Frest%2Fservices%2FRoadway_Information%2FFunctional_Class%2FMapServer%2F0&amp;find="&amp;$F145&amp;"%2C"&amp;$E145&amp;"&amp;marker="&amp;$F145&amp;","&amp;$E145&amp;",4326&amp;level=16","https://fema.maps.arcgis.com/apps/mapviewer/index.html?find="&amp;$F145&amp;"%2C"&amp;$E145&amp;"&amp;marker="&amp;$F145&amp;","&amp;$E145&amp;",4326&amp;level=16")))))),IF(_xlfn.SINGLE(JobState)="WI","Review Local Roads Layer","Review NFC AGOL Layer"))))</f>
        <v/>
      </c>
      <c r="N145" s="6" t="str">
        <f>IF(OR($E145="",$F145=""),"",IF(_xlfn.SINGLE(JobState)="",IF(ROW()=2,HYPERLINK("#JobState","Set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145&amp;"%2C"&amp;$E145&amp;"&amp;marker="&amp;$F145&amp;","&amp;$E145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5" s="6" t="str">
        <f>IF(OR($E145="", $F145=""),"",IF(_xlfn.SINGLE(JobAgolMap)="",HYPERLINK("https://fema.maps.arcgis.com/apps/mapviewer/index.html?find="&amp;$F145&amp;"%2C"&amp;$E145&amp;"&amp;marker="&amp;$F145&amp;","&amp;$E145&amp;",4326&amp;level=16","FEMA AGOL Map Viewer"),HYPERLINK(_xlfn.SINGLE(JobAgolMap)&amp;IF(ISNUMBER(FIND("?",_xlfn.SINGLE(JobAgolMap))),"&amp;","?")&amp;"center="&amp;$F145&amp;","&amp;$E145&amp;"&amp;level=16&amp;marker="&amp;$F145&amp;","&amp;$E145,"Open")))</f>
        <v/>
      </c>
      <c r="Q145" s="4"/>
      <c r="R145" s="4"/>
      <c r="W145" s="6" t="str">
        <f t="shared" si="12"/>
        <v/>
      </c>
      <c r="X145" s="6" t="str">
        <f t="shared" si="13"/>
        <v/>
      </c>
      <c r="Y145" s="6" t="str">
        <f t="shared" si="14"/>
        <v/>
      </c>
      <c r="Z145" s="6" t="str">
        <f t="shared" si="15"/>
        <v/>
      </c>
      <c r="AA145" s="6" t="str">
        <f t="shared" si="16"/>
        <v/>
      </c>
      <c r="AB145" s="6" t="str">
        <f t="shared" si="17"/>
        <v/>
      </c>
      <c r="AC145" s="4"/>
      <c r="AD145" s="4"/>
    </row>
    <row r="146" spans="1:30" x14ac:dyDescent="0.45">
      <c r="A146" s="3"/>
      <c r="B146" s="3"/>
      <c r="C146" s="5" t="str">
        <f>IF($E146="","",COUNT($E$2:$E146))</f>
        <v/>
      </c>
      <c r="D146" s="3"/>
      <c r="E146" s="3"/>
      <c r="F146" s="3"/>
      <c r="G146" s="3"/>
      <c r="H146" s="3"/>
      <c r="I146" s="3"/>
      <c r="J146" s="3"/>
      <c r="K146" s="3"/>
      <c r="L146" s="4"/>
      <c r="M146" s="6" t="str">
        <f>IF(OR($E146="",$F146=""),"",IF(_xlfn.SINGLE(JobState)="",IF(ROW()=2,HYPERLINK("#JobState","Set State →"),""),HYPERLINK(IF(OR(_xlfn.SINGLE(JobState)="MI",_xlfn.SINGLE(JobState)=""),"https://fema.maps.arcgis.com/apps/mapviewer/index.html?webmap=6a1702b9147243d1a5ee62cd614bc681&amp;center="&amp;$F146&amp;","&amp;$E146&amp;"&amp;level=16&amp;marker="&amp;$F146&amp;","&amp;$E146&amp;"",IF(_xlfn.SINGLE(JobState)="IN","https://fema.maps.arcgis.com/apps/mapviewer/index.html?url=https%3A%2F%2Fgis.indot.in.gov%2Fro%2Frest%2Fservices%2FRAH_GIO_Collaboration%2FLRSE_Functional_Class%2FFeatureServer%2F22&amp;find="&amp;$F146&amp;"%2C"&amp;$E146&amp;"&amp;marker="&amp;$F146&amp;","&amp;$E146&amp;",4326&amp;level=16",IF(_xlfn.SINGLE(JobState)="WI","https://fema.maps.arcgis.com/apps/mapviewer/index.html?url=https://services5.arcgis.com/0pgGLzT0Nh7FVjon/arcgis/rest/services/Functional_Class_Local_Non_Prod/FeatureServer/1&amp;find="&amp;$F146&amp;"%2C"&amp;$E146&amp;"&amp;marker="&amp;$F146&amp;","&amp;$E146&amp;",4326&amp;level=16",IF(_xlfn.SINGLE(JobState)="MN","https://fema.maps.arcgis.com/apps/mapviewer/index.html?url=https%3A%2F%2Fdotapp9.dot.state.mn.us%2Fegis12%2Frest%2Fservices%2FBASEMAP%2Fmndot_commonlayers2%2FMapServer%2F11&amp;find="&amp;$F146&amp;"%2C"&amp;$E146&amp;"&amp;marker="&amp;$F146&amp;","&amp;$E146&amp;",4326&amp;level=16",IF(_xlfn.SINGLE(JobState)="IL","https://fema.maps.arcgis.com/apps/mapviewer/index.html?url=https%3A%2F%2Fgis1.dot.illinois.gov%2Farcgis%2Frest%2Fservices%2FAdministrativeData%2FFunctionalClass%2FMapServer%2F0&amp;find="&amp;$F146&amp;"%2C"&amp;$E146&amp;"&amp;marker="&amp;$F146&amp;","&amp;$E146&amp;",4326&amp;level=16",IF(_xlfn.SINGLE(JobState)="OH","https://fema.maps.arcgis.com/apps/mapviewer/index.html?url=https%3A%2F%2Ftims.dot.state.oh.us%2Fags%2Frest%2Fservices%2FRoadway_Information%2FFunctional_Class%2FMapServer%2F0&amp;find="&amp;$F146&amp;"%2C"&amp;$E146&amp;"&amp;marker="&amp;$F146&amp;","&amp;$E146&amp;",4326&amp;level=16","https://fema.maps.arcgis.com/apps/mapviewer/index.html?find="&amp;$F146&amp;"%2C"&amp;$E146&amp;"&amp;marker="&amp;$F146&amp;","&amp;$E146&amp;",4326&amp;level=16")))))),IF(_xlfn.SINGLE(JobState)="WI","Review Local Roads Layer","Review NFC AGOL Layer"))))</f>
        <v/>
      </c>
      <c r="N146" s="6" t="str">
        <f>IF(OR($E146="",$F146=""),"",IF(_xlfn.SINGLE(JobState)="",IF(ROW()=2,HYPERLINK("#JobState","Set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146&amp;"%2C"&amp;$E146&amp;"&amp;marker="&amp;$F146&amp;","&amp;$E146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6" s="6" t="str">
        <f>IF(OR($E146="", $F146=""),"",IF(_xlfn.SINGLE(JobAgolMap)="",HYPERLINK("https://fema.maps.arcgis.com/apps/mapviewer/index.html?find="&amp;$F146&amp;"%2C"&amp;$E146&amp;"&amp;marker="&amp;$F146&amp;","&amp;$E146&amp;",4326&amp;level=16","FEMA AGOL Map Viewer"),HYPERLINK(_xlfn.SINGLE(JobAgolMap)&amp;IF(ISNUMBER(FIND("?",_xlfn.SINGLE(JobAgolMap))),"&amp;","?")&amp;"center="&amp;$F146&amp;","&amp;$E146&amp;"&amp;level=16&amp;marker="&amp;$F146&amp;","&amp;$E146,"Open")))</f>
        <v/>
      </c>
      <c r="Q146" s="4"/>
      <c r="R146" s="4"/>
      <c r="W146" s="6" t="str">
        <f t="shared" si="12"/>
        <v/>
      </c>
      <c r="X146" s="6" t="str">
        <f t="shared" si="13"/>
        <v/>
      </c>
      <c r="Y146" s="6" t="str">
        <f t="shared" si="14"/>
        <v/>
      </c>
      <c r="Z146" s="6" t="str">
        <f t="shared" si="15"/>
        <v/>
      </c>
      <c r="AA146" s="6" t="str">
        <f t="shared" si="16"/>
        <v/>
      </c>
      <c r="AB146" s="6" t="str">
        <f t="shared" si="17"/>
        <v/>
      </c>
      <c r="AC146" s="4"/>
      <c r="AD146" s="4"/>
    </row>
    <row r="147" spans="1:30" x14ac:dyDescent="0.45">
      <c r="A147" s="3"/>
      <c r="B147" s="3"/>
      <c r="C147" s="5" t="str">
        <f>IF($E147="","",COUNT($E$2:$E147))</f>
        <v/>
      </c>
      <c r="D147" s="3"/>
      <c r="E147" s="3"/>
      <c r="F147" s="3"/>
      <c r="G147" s="3"/>
      <c r="H147" s="3"/>
      <c r="I147" s="3"/>
      <c r="J147" s="3"/>
      <c r="K147" s="3"/>
      <c r="L147" s="4"/>
      <c r="M147" s="6" t="str">
        <f>IF(OR($E147="",$F147=""),"",IF(_xlfn.SINGLE(JobState)="",IF(ROW()=2,HYPERLINK("#JobState","Set State →"),""),HYPERLINK(IF(OR(_xlfn.SINGLE(JobState)="MI",_xlfn.SINGLE(JobState)=""),"https://fema.maps.arcgis.com/apps/mapviewer/index.html?webmap=6a1702b9147243d1a5ee62cd614bc681&amp;center="&amp;$F147&amp;","&amp;$E147&amp;"&amp;level=16&amp;marker="&amp;$F147&amp;","&amp;$E147&amp;"",IF(_xlfn.SINGLE(JobState)="IN","https://fema.maps.arcgis.com/apps/mapviewer/index.html?url=https%3A%2F%2Fgis.indot.in.gov%2Fro%2Frest%2Fservices%2FRAH_GIO_Collaboration%2FLRSE_Functional_Class%2FFeatureServer%2F22&amp;find="&amp;$F147&amp;"%2C"&amp;$E147&amp;"&amp;marker="&amp;$F147&amp;","&amp;$E147&amp;",4326&amp;level=16",IF(_xlfn.SINGLE(JobState)="WI","https://fema.maps.arcgis.com/apps/mapviewer/index.html?url=https://services5.arcgis.com/0pgGLzT0Nh7FVjon/arcgis/rest/services/Functional_Class_Local_Non_Prod/FeatureServer/1&amp;find="&amp;$F147&amp;"%2C"&amp;$E147&amp;"&amp;marker="&amp;$F147&amp;","&amp;$E147&amp;",4326&amp;level=16",IF(_xlfn.SINGLE(JobState)="MN","https://fema.maps.arcgis.com/apps/mapviewer/index.html?url=https%3A%2F%2Fdotapp9.dot.state.mn.us%2Fegis12%2Frest%2Fservices%2FBASEMAP%2Fmndot_commonlayers2%2FMapServer%2F11&amp;find="&amp;$F147&amp;"%2C"&amp;$E147&amp;"&amp;marker="&amp;$F147&amp;","&amp;$E147&amp;",4326&amp;level=16",IF(_xlfn.SINGLE(JobState)="IL","https://fema.maps.arcgis.com/apps/mapviewer/index.html?url=https%3A%2F%2Fgis1.dot.illinois.gov%2Farcgis%2Frest%2Fservices%2FAdministrativeData%2FFunctionalClass%2FMapServer%2F0&amp;find="&amp;$F147&amp;"%2C"&amp;$E147&amp;"&amp;marker="&amp;$F147&amp;","&amp;$E147&amp;",4326&amp;level=16",IF(_xlfn.SINGLE(JobState)="OH","https://fema.maps.arcgis.com/apps/mapviewer/index.html?url=https%3A%2F%2Ftims.dot.state.oh.us%2Fags%2Frest%2Fservices%2FRoadway_Information%2FFunctional_Class%2FMapServer%2F0&amp;find="&amp;$F147&amp;"%2C"&amp;$E147&amp;"&amp;marker="&amp;$F147&amp;","&amp;$E147&amp;",4326&amp;level=16","https://fema.maps.arcgis.com/apps/mapviewer/index.html?find="&amp;$F147&amp;"%2C"&amp;$E147&amp;"&amp;marker="&amp;$F147&amp;","&amp;$E147&amp;",4326&amp;level=16")))))),IF(_xlfn.SINGLE(JobState)="WI","Review Local Roads Layer","Review NFC AGOL Layer"))))</f>
        <v/>
      </c>
      <c r="N147" s="6" t="str">
        <f>IF(OR($E147="",$F147=""),"",IF(_xlfn.SINGLE(JobState)="",IF(ROW()=2,HYPERLINK("#JobState","Set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147&amp;"%2C"&amp;$E147&amp;"&amp;marker="&amp;$F147&amp;","&amp;$E147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7" s="6" t="str">
        <f>IF(OR($E147="", $F147=""),"",IF(_xlfn.SINGLE(JobAgolMap)="",HYPERLINK("https://fema.maps.arcgis.com/apps/mapviewer/index.html?find="&amp;$F147&amp;"%2C"&amp;$E147&amp;"&amp;marker="&amp;$F147&amp;","&amp;$E147&amp;",4326&amp;level=16","FEMA AGOL Map Viewer"),HYPERLINK(_xlfn.SINGLE(JobAgolMap)&amp;IF(ISNUMBER(FIND("?",_xlfn.SINGLE(JobAgolMap))),"&amp;","?")&amp;"center="&amp;$F147&amp;","&amp;$E147&amp;"&amp;level=16&amp;marker="&amp;$F147&amp;","&amp;$E147,"Open")))</f>
        <v/>
      </c>
      <c r="Q147" s="4"/>
      <c r="R147" s="4"/>
      <c r="W147" s="6" t="str">
        <f t="shared" si="12"/>
        <v/>
      </c>
      <c r="X147" s="6" t="str">
        <f t="shared" si="13"/>
        <v/>
      </c>
      <c r="Y147" s="6" t="str">
        <f t="shared" si="14"/>
        <v/>
      </c>
      <c r="Z147" s="6" t="str">
        <f t="shared" si="15"/>
        <v/>
      </c>
      <c r="AA147" s="6" t="str">
        <f t="shared" si="16"/>
        <v/>
      </c>
      <c r="AB147" s="6" t="str">
        <f t="shared" si="17"/>
        <v/>
      </c>
      <c r="AC147" s="4"/>
      <c r="AD147" s="4"/>
    </row>
    <row r="148" spans="1:30" x14ac:dyDescent="0.45">
      <c r="A148" s="3"/>
      <c r="B148" s="3"/>
      <c r="C148" s="5" t="str">
        <f>IF($E148="","",COUNT($E$2:$E148))</f>
        <v/>
      </c>
      <c r="D148" s="3"/>
      <c r="E148" s="3"/>
      <c r="F148" s="3"/>
      <c r="G148" s="3"/>
      <c r="H148" s="3"/>
      <c r="I148" s="3"/>
      <c r="J148" s="3"/>
      <c r="K148" s="3"/>
      <c r="L148" s="4"/>
      <c r="M148" s="6" t="str">
        <f>IF(OR($E148="",$F148=""),"",IF(_xlfn.SINGLE(JobState)="",IF(ROW()=2,HYPERLINK("#JobState","Set State →"),""),HYPERLINK(IF(OR(_xlfn.SINGLE(JobState)="MI",_xlfn.SINGLE(JobState)=""),"https://fema.maps.arcgis.com/apps/mapviewer/index.html?webmap=6a1702b9147243d1a5ee62cd614bc681&amp;center="&amp;$F148&amp;","&amp;$E148&amp;"&amp;level=16&amp;marker="&amp;$F148&amp;","&amp;$E148&amp;"",IF(_xlfn.SINGLE(JobState)="IN","https://fema.maps.arcgis.com/apps/mapviewer/index.html?url=https%3A%2F%2Fgis.indot.in.gov%2Fro%2Frest%2Fservices%2FRAH_GIO_Collaboration%2FLRSE_Functional_Class%2FFeatureServer%2F22&amp;find="&amp;$F148&amp;"%2C"&amp;$E148&amp;"&amp;marker="&amp;$F148&amp;","&amp;$E148&amp;",4326&amp;level=16",IF(_xlfn.SINGLE(JobState)="WI","https://fema.maps.arcgis.com/apps/mapviewer/index.html?url=https://services5.arcgis.com/0pgGLzT0Nh7FVjon/arcgis/rest/services/Functional_Class_Local_Non_Prod/FeatureServer/1&amp;find="&amp;$F148&amp;"%2C"&amp;$E148&amp;"&amp;marker="&amp;$F148&amp;","&amp;$E148&amp;",4326&amp;level=16",IF(_xlfn.SINGLE(JobState)="MN","https://fema.maps.arcgis.com/apps/mapviewer/index.html?url=https%3A%2F%2Fdotapp9.dot.state.mn.us%2Fegis12%2Frest%2Fservices%2FBASEMAP%2Fmndot_commonlayers2%2FMapServer%2F11&amp;find="&amp;$F148&amp;"%2C"&amp;$E148&amp;"&amp;marker="&amp;$F148&amp;","&amp;$E148&amp;",4326&amp;level=16",IF(_xlfn.SINGLE(JobState)="IL","https://fema.maps.arcgis.com/apps/mapviewer/index.html?url=https%3A%2F%2Fgis1.dot.illinois.gov%2Farcgis%2Frest%2Fservices%2FAdministrativeData%2FFunctionalClass%2FMapServer%2F0&amp;find="&amp;$F148&amp;"%2C"&amp;$E148&amp;"&amp;marker="&amp;$F148&amp;","&amp;$E148&amp;",4326&amp;level=16",IF(_xlfn.SINGLE(JobState)="OH","https://fema.maps.arcgis.com/apps/mapviewer/index.html?url=https%3A%2F%2Ftims.dot.state.oh.us%2Fags%2Frest%2Fservices%2FRoadway_Information%2FFunctional_Class%2FMapServer%2F0&amp;find="&amp;$F148&amp;"%2C"&amp;$E148&amp;"&amp;marker="&amp;$F148&amp;","&amp;$E148&amp;",4326&amp;level=16","https://fema.maps.arcgis.com/apps/mapviewer/index.html?find="&amp;$F148&amp;"%2C"&amp;$E148&amp;"&amp;marker="&amp;$F148&amp;","&amp;$E148&amp;",4326&amp;level=16")))))),IF(_xlfn.SINGLE(JobState)="WI","Review Local Roads Layer","Review NFC AGOL Layer"))))</f>
        <v/>
      </c>
      <c r="N148" s="6" t="str">
        <f>IF(OR($E148="",$F148=""),"",IF(_xlfn.SINGLE(JobState)="",IF(ROW()=2,HYPERLINK("#JobState","Set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148&amp;"%2C"&amp;$E148&amp;"&amp;marker="&amp;$F148&amp;","&amp;$E148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8" s="6" t="str">
        <f>IF(OR($E148="", $F148=""),"",IF(_xlfn.SINGLE(JobAgolMap)="",HYPERLINK("https://fema.maps.arcgis.com/apps/mapviewer/index.html?find="&amp;$F148&amp;"%2C"&amp;$E148&amp;"&amp;marker="&amp;$F148&amp;","&amp;$E148&amp;",4326&amp;level=16","FEMA AGOL Map Viewer"),HYPERLINK(_xlfn.SINGLE(JobAgolMap)&amp;IF(ISNUMBER(FIND("?",_xlfn.SINGLE(JobAgolMap))),"&amp;","?")&amp;"center="&amp;$F148&amp;","&amp;$E148&amp;"&amp;level=16&amp;marker="&amp;$F148&amp;","&amp;$E148,"Open")))</f>
        <v/>
      </c>
      <c r="Q148" s="4"/>
      <c r="R148" s="4"/>
      <c r="W148" s="6" t="str">
        <f t="shared" si="12"/>
        <v/>
      </c>
      <c r="X148" s="6" t="str">
        <f t="shared" si="13"/>
        <v/>
      </c>
      <c r="Y148" s="6" t="str">
        <f t="shared" si="14"/>
        <v/>
      </c>
      <c r="Z148" s="6" t="str">
        <f t="shared" si="15"/>
        <v/>
      </c>
      <c r="AA148" s="6" t="str">
        <f t="shared" si="16"/>
        <v/>
      </c>
      <c r="AB148" s="6" t="str">
        <f t="shared" si="17"/>
        <v/>
      </c>
      <c r="AC148" s="4"/>
      <c r="AD148" s="4"/>
    </row>
    <row r="149" spans="1:30" x14ac:dyDescent="0.45">
      <c r="A149" s="3"/>
      <c r="B149" s="3"/>
      <c r="C149" s="5" t="str">
        <f>IF($E149="","",COUNT($E$2:$E149))</f>
        <v/>
      </c>
      <c r="D149" s="3"/>
      <c r="E149" s="3"/>
      <c r="F149" s="3"/>
      <c r="G149" s="3"/>
      <c r="H149" s="3"/>
      <c r="I149" s="3"/>
      <c r="J149" s="3"/>
      <c r="K149" s="3"/>
      <c r="L149" s="4"/>
      <c r="M149" s="6" t="str">
        <f>IF(OR($E149="",$F149=""),"",IF(_xlfn.SINGLE(JobState)="",IF(ROW()=2,HYPERLINK("#JobState","Set State →"),""),HYPERLINK(IF(OR(_xlfn.SINGLE(JobState)="MI",_xlfn.SINGLE(JobState)=""),"https://fema.maps.arcgis.com/apps/mapviewer/index.html?webmap=6a1702b9147243d1a5ee62cd614bc681&amp;center="&amp;$F149&amp;","&amp;$E149&amp;"&amp;level=16&amp;marker="&amp;$F149&amp;","&amp;$E149&amp;"",IF(_xlfn.SINGLE(JobState)="IN","https://fema.maps.arcgis.com/apps/mapviewer/index.html?url=https%3A%2F%2Fgis.indot.in.gov%2Fro%2Frest%2Fservices%2FRAH_GIO_Collaboration%2FLRSE_Functional_Class%2FFeatureServer%2F22&amp;find="&amp;$F149&amp;"%2C"&amp;$E149&amp;"&amp;marker="&amp;$F149&amp;","&amp;$E149&amp;",4326&amp;level=16",IF(_xlfn.SINGLE(JobState)="WI","https://fema.maps.arcgis.com/apps/mapviewer/index.html?url=https://services5.arcgis.com/0pgGLzT0Nh7FVjon/arcgis/rest/services/Functional_Class_Local_Non_Prod/FeatureServer/1&amp;find="&amp;$F149&amp;"%2C"&amp;$E149&amp;"&amp;marker="&amp;$F149&amp;","&amp;$E149&amp;",4326&amp;level=16",IF(_xlfn.SINGLE(JobState)="MN","https://fema.maps.arcgis.com/apps/mapviewer/index.html?url=https%3A%2F%2Fdotapp9.dot.state.mn.us%2Fegis12%2Frest%2Fservices%2FBASEMAP%2Fmndot_commonlayers2%2FMapServer%2F11&amp;find="&amp;$F149&amp;"%2C"&amp;$E149&amp;"&amp;marker="&amp;$F149&amp;","&amp;$E149&amp;",4326&amp;level=16",IF(_xlfn.SINGLE(JobState)="IL","https://fema.maps.arcgis.com/apps/mapviewer/index.html?url=https%3A%2F%2Fgis1.dot.illinois.gov%2Farcgis%2Frest%2Fservices%2FAdministrativeData%2FFunctionalClass%2FMapServer%2F0&amp;find="&amp;$F149&amp;"%2C"&amp;$E149&amp;"&amp;marker="&amp;$F149&amp;","&amp;$E149&amp;",4326&amp;level=16",IF(_xlfn.SINGLE(JobState)="OH","https://fema.maps.arcgis.com/apps/mapviewer/index.html?url=https%3A%2F%2Ftims.dot.state.oh.us%2Fags%2Frest%2Fservices%2FRoadway_Information%2FFunctional_Class%2FMapServer%2F0&amp;find="&amp;$F149&amp;"%2C"&amp;$E149&amp;"&amp;marker="&amp;$F149&amp;","&amp;$E149&amp;",4326&amp;level=16","https://fema.maps.arcgis.com/apps/mapviewer/index.html?find="&amp;$F149&amp;"%2C"&amp;$E149&amp;"&amp;marker="&amp;$F149&amp;","&amp;$E149&amp;",4326&amp;level=16")))))),IF(_xlfn.SINGLE(JobState)="WI","Review Local Roads Layer","Review NFC AGOL Layer"))))</f>
        <v/>
      </c>
      <c r="N149" s="6" t="str">
        <f>IF(OR($E149="",$F149=""),"",IF(_xlfn.SINGLE(JobState)="",IF(ROW()=2,HYPERLINK("#JobState","Set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149&amp;"%2C"&amp;$E149&amp;"&amp;marker="&amp;$F149&amp;","&amp;$E149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9" s="6" t="str">
        <f>IF(OR($E149="", $F149=""),"",IF(_xlfn.SINGLE(JobAgolMap)="",HYPERLINK("https://fema.maps.arcgis.com/apps/mapviewer/index.html?find="&amp;$F149&amp;"%2C"&amp;$E149&amp;"&amp;marker="&amp;$F149&amp;","&amp;$E149&amp;",4326&amp;level=16","FEMA AGOL Map Viewer"),HYPERLINK(_xlfn.SINGLE(JobAgolMap)&amp;IF(ISNUMBER(FIND("?",_xlfn.SINGLE(JobAgolMap))),"&amp;","?")&amp;"center="&amp;$F149&amp;","&amp;$E149&amp;"&amp;level=16&amp;marker="&amp;$F149&amp;","&amp;$E149,"Open")))</f>
        <v/>
      </c>
      <c r="Q149" s="4"/>
      <c r="R149" s="4"/>
      <c r="W149" s="6" t="str">
        <f t="shared" si="12"/>
        <v/>
      </c>
      <c r="X149" s="6" t="str">
        <f t="shared" si="13"/>
        <v/>
      </c>
      <c r="Y149" s="6" t="str">
        <f t="shared" si="14"/>
        <v/>
      </c>
      <c r="Z149" s="6" t="str">
        <f t="shared" si="15"/>
        <v/>
      </c>
      <c r="AA149" s="6" t="str">
        <f t="shared" si="16"/>
        <v/>
      </c>
      <c r="AB149" s="6" t="str">
        <f t="shared" si="17"/>
        <v/>
      </c>
      <c r="AC149" s="4"/>
      <c r="AD149" s="4"/>
    </row>
    <row r="150" spans="1:30" x14ac:dyDescent="0.45">
      <c r="A150" s="3"/>
      <c r="B150" s="3"/>
      <c r="C150" s="5" t="str">
        <f>IF($E150="","",COUNT($E$2:$E150))</f>
        <v/>
      </c>
      <c r="D150" s="3"/>
      <c r="E150" s="3"/>
      <c r="F150" s="3"/>
      <c r="G150" s="3"/>
      <c r="H150" s="3"/>
      <c r="I150" s="3"/>
      <c r="J150" s="3"/>
      <c r="K150" s="3"/>
      <c r="L150" s="4"/>
      <c r="M150" s="6" t="str">
        <f>IF(OR($E150="",$F150=""),"",IF(_xlfn.SINGLE(JobState)="",IF(ROW()=2,HYPERLINK("#JobState","Set State →"),""),HYPERLINK(IF(OR(_xlfn.SINGLE(JobState)="MI",_xlfn.SINGLE(JobState)=""),"https://fema.maps.arcgis.com/apps/mapviewer/index.html?webmap=6a1702b9147243d1a5ee62cd614bc681&amp;center="&amp;$F150&amp;","&amp;$E150&amp;"&amp;level=16&amp;marker="&amp;$F150&amp;","&amp;$E150&amp;"",IF(_xlfn.SINGLE(JobState)="IN","https://fema.maps.arcgis.com/apps/mapviewer/index.html?url=https%3A%2F%2Fgis.indot.in.gov%2Fro%2Frest%2Fservices%2FRAH_GIO_Collaboration%2FLRSE_Functional_Class%2FFeatureServer%2F22&amp;find="&amp;$F150&amp;"%2C"&amp;$E150&amp;"&amp;marker="&amp;$F150&amp;","&amp;$E150&amp;",4326&amp;level=16",IF(_xlfn.SINGLE(JobState)="WI","https://fema.maps.arcgis.com/apps/mapviewer/index.html?url=https://services5.arcgis.com/0pgGLzT0Nh7FVjon/arcgis/rest/services/Functional_Class_Local_Non_Prod/FeatureServer/1&amp;find="&amp;$F150&amp;"%2C"&amp;$E150&amp;"&amp;marker="&amp;$F150&amp;","&amp;$E150&amp;",4326&amp;level=16",IF(_xlfn.SINGLE(JobState)="MN","https://fema.maps.arcgis.com/apps/mapviewer/index.html?url=https%3A%2F%2Fdotapp9.dot.state.mn.us%2Fegis12%2Frest%2Fservices%2FBASEMAP%2Fmndot_commonlayers2%2FMapServer%2F11&amp;find="&amp;$F150&amp;"%2C"&amp;$E150&amp;"&amp;marker="&amp;$F150&amp;","&amp;$E150&amp;",4326&amp;level=16",IF(_xlfn.SINGLE(JobState)="IL","https://fema.maps.arcgis.com/apps/mapviewer/index.html?url=https%3A%2F%2Fgis1.dot.illinois.gov%2Farcgis%2Frest%2Fservices%2FAdministrativeData%2FFunctionalClass%2FMapServer%2F0&amp;find="&amp;$F150&amp;"%2C"&amp;$E150&amp;"&amp;marker="&amp;$F150&amp;","&amp;$E150&amp;",4326&amp;level=16",IF(_xlfn.SINGLE(JobState)="OH","https://fema.maps.arcgis.com/apps/mapviewer/index.html?url=https%3A%2F%2Ftims.dot.state.oh.us%2Fags%2Frest%2Fservices%2FRoadway_Information%2FFunctional_Class%2FMapServer%2F0&amp;find="&amp;$F150&amp;"%2C"&amp;$E150&amp;"&amp;marker="&amp;$F150&amp;","&amp;$E150&amp;",4326&amp;level=16","https://fema.maps.arcgis.com/apps/mapviewer/index.html?find="&amp;$F150&amp;"%2C"&amp;$E150&amp;"&amp;marker="&amp;$F150&amp;","&amp;$E150&amp;",4326&amp;level=16")))))),IF(_xlfn.SINGLE(JobState)="WI","Review Local Roads Layer","Review NFC AGOL Layer"))))</f>
        <v/>
      </c>
      <c r="N150" s="6" t="str">
        <f>IF(OR($E150="",$F150=""),"",IF(_xlfn.SINGLE(JobState)="",IF(ROW()=2,HYPERLINK("#JobState","Set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150&amp;"%2C"&amp;$E150&amp;"&amp;marker="&amp;$F150&amp;","&amp;$E150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0" s="6" t="str">
        <f>IF(OR($E150="", $F150=""),"",IF(_xlfn.SINGLE(JobAgolMap)="",HYPERLINK("https://fema.maps.arcgis.com/apps/mapviewer/index.html?find="&amp;$F150&amp;"%2C"&amp;$E150&amp;"&amp;marker="&amp;$F150&amp;","&amp;$E150&amp;",4326&amp;level=16","FEMA AGOL Map Viewer"),HYPERLINK(_xlfn.SINGLE(JobAgolMap)&amp;IF(ISNUMBER(FIND("?",_xlfn.SINGLE(JobAgolMap))),"&amp;","?")&amp;"center="&amp;$F150&amp;","&amp;$E150&amp;"&amp;level=16&amp;marker="&amp;$F150&amp;","&amp;$E150,"Open")))</f>
        <v/>
      </c>
      <c r="Q150" s="4"/>
      <c r="R150" s="4"/>
      <c r="W150" s="6" t="str">
        <f t="shared" si="12"/>
        <v/>
      </c>
      <c r="X150" s="6" t="str">
        <f t="shared" si="13"/>
        <v/>
      </c>
      <c r="Y150" s="6" t="str">
        <f t="shared" si="14"/>
        <v/>
      </c>
      <c r="Z150" s="6" t="str">
        <f t="shared" si="15"/>
        <v/>
      </c>
      <c r="AA150" s="6" t="str">
        <f t="shared" si="16"/>
        <v/>
      </c>
      <c r="AB150" s="6" t="str">
        <f t="shared" si="17"/>
        <v/>
      </c>
      <c r="AC150" s="4"/>
      <c r="AD150" s="4"/>
    </row>
    <row r="151" spans="1:30" x14ac:dyDescent="0.45">
      <c r="A151" s="3"/>
      <c r="B151" s="3"/>
      <c r="C151" s="5" t="str">
        <f>IF($E151="","",COUNT($E$2:$E151))</f>
        <v/>
      </c>
      <c r="D151" s="3"/>
      <c r="E151" s="3"/>
      <c r="F151" s="3"/>
      <c r="G151" s="3"/>
      <c r="H151" s="3"/>
      <c r="I151" s="3"/>
      <c r="J151" s="3"/>
      <c r="K151" s="3"/>
      <c r="L151" s="4"/>
      <c r="M151" s="6" t="str">
        <f>IF(OR($E151="",$F151=""),"",IF(_xlfn.SINGLE(JobState)="",IF(ROW()=2,HYPERLINK("#JobState","Set State →"),""),HYPERLINK(IF(OR(_xlfn.SINGLE(JobState)="MI",_xlfn.SINGLE(JobState)=""),"https://fema.maps.arcgis.com/apps/mapviewer/index.html?webmap=6a1702b9147243d1a5ee62cd614bc681&amp;center="&amp;$F151&amp;","&amp;$E151&amp;"&amp;level=16&amp;marker="&amp;$F151&amp;","&amp;$E151&amp;"",IF(_xlfn.SINGLE(JobState)="IN","https://fema.maps.arcgis.com/apps/mapviewer/index.html?url=https%3A%2F%2Fgis.indot.in.gov%2Fro%2Frest%2Fservices%2FRAH_GIO_Collaboration%2FLRSE_Functional_Class%2FFeatureServer%2F22&amp;find="&amp;$F151&amp;"%2C"&amp;$E151&amp;"&amp;marker="&amp;$F151&amp;","&amp;$E151&amp;",4326&amp;level=16",IF(_xlfn.SINGLE(JobState)="WI","https://fema.maps.arcgis.com/apps/mapviewer/index.html?url=https://services5.arcgis.com/0pgGLzT0Nh7FVjon/arcgis/rest/services/Functional_Class_Local_Non_Prod/FeatureServer/1&amp;find="&amp;$F151&amp;"%2C"&amp;$E151&amp;"&amp;marker="&amp;$F151&amp;","&amp;$E151&amp;",4326&amp;level=16",IF(_xlfn.SINGLE(JobState)="MN","https://fema.maps.arcgis.com/apps/mapviewer/index.html?url=https%3A%2F%2Fdotapp9.dot.state.mn.us%2Fegis12%2Frest%2Fservices%2FBASEMAP%2Fmndot_commonlayers2%2FMapServer%2F11&amp;find="&amp;$F151&amp;"%2C"&amp;$E151&amp;"&amp;marker="&amp;$F151&amp;","&amp;$E151&amp;",4326&amp;level=16",IF(_xlfn.SINGLE(JobState)="IL","https://fema.maps.arcgis.com/apps/mapviewer/index.html?url=https%3A%2F%2Fgis1.dot.illinois.gov%2Farcgis%2Frest%2Fservices%2FAdministrativeData%2FFunctionalClass%2FMapServer%2F0&amp;find="&amp;$F151&amp;"%2C"&amp;$E151&amp;"&amp;marker="&amp;$F151&amp;","&amp;$E151&amp;",4326&amp;level=16",IF(_xlfn.SINGLE(JobState)="OH","https://fema.maps.arcgis.com/apps/mapviewer/index.html?url=https%3A%2F%2Ftims.dot.state.oh.us%2Fags%2Frest%2Fservices%2FRoadway_Information%2FFunctional_Class%2FMapServer%2F0&amp;find="&amp;$F151&amp;"%2C"&amp;$E151&amp;"&amp;marker="&amp;$F151&amp;","&amp;$E151&amp;",4326&amp;level=16","https://fema.maps.arcgis.com/apps/mapviewer/index.html?find="&amp;$F151&amp;"%2C"&amp;$E151&amp;"&amp;marker="&amp;$F151&amp;","&amp;$E151&amp;",4326&amp;level=16")))))),IF(_xlfn.SINGLE(JobState)="WI","Review Local Roads Layer","Review NFC AGOL Layer"))))</f>
        <v/>
      </c>
      <c r="N151" s="6" t="str">
        <f>IF(OR($E151="",$F151=""),"",IF(_xlfn.SINGLE(JobState)="",IF(ROW()=2,HYPERLINK("#JobState","Set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151&amp;"%2C"&amp;$E151&amp;"&amp;marker="&amp;$F151&amp;","&amp;$E151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1" s="6" t="str">
        <f>IF(OR($E151="", $F151=""),"",IF(_xlfn.SINGLE(JobAgolMap)="",HYPERLINK("https://fema.maps.arcgis.com/apps/mapviewer/index.html?find="&amp;$F151&amp;"%2C"&amp;$E151&amp;"&amp;marker="&amp;$F151&amp;","&amp;$E151&amp;",4326&amp;level=16","FEMA AGOL Map Viewer"),HYPERLINK(_xlfn.SINGLE(JobAgolMap)&amp;IF(ISNUMBER(FIND("?",_xlfn.SINGLE(JobAgolMap))),"&amp;","?")&amp;"center="&amp;$F151&amp;","&amp;$E151&amp;"&amp;level=16&amp;marker="&amp;$F151&amp;","&amp;$E151,"Open")))</f>
        <v/>
      </c>
      <c r="Q151" s="4"/>
      <c r="R151" s="4"/>
      <c r="W151" s="6" t="str">
        <f t="shared" si="12"/>
        <v/>
      </c>
      <c r="X151" s="6" t="str">
        <f t="shared" si="13"/>
        <v/>
      </c>
      <c r="Y151" s="6" t="str">
        <f t="shared" si="14"/>
        <v/>
      </c>
      <c r="Z151" s="6" t="str">
        <f t="shared" si="15"/>
        <v/>
      </c>
      <c r="AA151" s="6" t="str">
        <f t="shared" si="16"/>
        <v/>
      </c>
      <c r="AB151" s="6" t="str">
        <f t="shared" si="17"/>
        <v/>
      </c>
      <c r="AC151" s="4"/>
      <c r="AD151" s="4"/>
    </row>
    <row r="152" spans="1:30" x14ac:dyDescent="0.45">
      <c r="A152" s="3"/>
      <c r="B152" s="3"/>
      <c r="C152" s="5" t="str">
        <f>IF($E152="","",COUNT($E$2:$E152))</f>
        <v/>
      </c>
      <c r="D152" s="3"/>
      <c r="E152" s="3"/>
      <c r="F152" s="3"/>
      <c r="G152" s="3"/>
      <c r="H152" s="3"/>
      <c r="I152" s="3"/>
      <c r="J152" s="3"/>
      <c r="K152" s="3"/>
      <c r="L152" s="4"/>
      <c r="M152" s="6" t="str">
        <f>IF(OR($E152="",$F152=""),"",IF(_xlfn.SINGLE(JobState)="",IF(ROW()=2,HYPERLINK("#JobState","Set State →"),""),HYPERLINK(IF(OR(_xlfn.SINGLE(JobState)="MI",_xlfn.SINGLE(JobState)=""),"https://fema.maps.arcgis.com/apps/mapviewer/index.html?webmap=6a1702b9147243d1a5ee62cd614bc681&amp;center="&amp;$F152&amp;","&amp;$E152&amp;"&amp;level=16&amp;marker="&amp;$F152&amp;","&amp;$E152&amp;"",IF(_xlfn.SINGLE(JobState)="IN","https://fema.maps.arcgis.com/apps/mapviewer/index.html?url=https%3A%2F%2Fgis.indot.in.gov%2Fro%2Frest%2Fservices%2FRAH_GIO_Collaboration%2FLRSE_Functional_Class%2FFeatureServer%2F22&amp;find="&amp;$F152&amp;"%2C"&amp;$E152&amp;"&amp;marker="&amp;$F152&amp;","&amp;$E152&amp;",4326&amp;level=16",IF(_xlfn.SINGLE(JobState)="WI","https://fema.maps.arcgis.com/apps/mapviewer/index.html?url=https://services5.arcgis.com/0pgGLzT0Nh7FVjon/arcgis/rest/services/Functional_Class_Local_Non_Prod/FeatureServer/1&amp;find="&amp;$F152&amp;"%2C"&amp;$E152&amp;"&amp;marker="&amp;$F152&amp;","&amp;$E152&amp;",4326&amp;level=16",IF(_xlfn.SINGLE(JobState)="MN","https://fema.maps.arcgis.com/apps/mapviewer/index.html?url=https%3A%2F%2Fdotapp9.dot.state.mn.us%2Fegis12%2Frest%2Fservices%2FBASEMAP%2Fmndot_commonlayers2%2FMapServer%2F11&amp;find="&amp;$F152&amp;"%2C"&amp;$E152&amp;"&amp;marker="&amp;$F152&amp;","&amp;$E152&amp;",4326&amp;level=16",IF(_xlfn.SINGLE(JobState)="IL","https://fema.maps.arcgis.com/apps/mapviewer/index.html?url=https%3A%2F%2Fgis1.dot.illinois.gov%2Farcgis%2Frest%2Fservices%2FAdministrativeData%2FFunctionalClass%2FMapServer%2F0&amp;find="&amp;$F152&amp;"%2C"&amp;$E152&amp;"&amp;marker="&amp;$F152&amp;","&amp;$E152&amp;",4326&amp;level=16",IF(_xlfn.SINGLE(JobState)="OH","https://fema.maps.arcgis.com/apps/mapviewer/index.html?url=https%3A%2F%2Ftims.dot.state.oh.us%2Fags%2Frest%2Fservices%2FRoadway_Information%2FFunctional_Class%2FMapServer%2F0&amp;find="&amp;$F152&amp;"%2C"&amp;$E152&amp;"&amp;marker="&amp;$F152&amp;","&amp;$E152&amp;",4326&amp;level=16","https://fema.maps.arcgis.com/apps/mapviewer/index.html?find="&amp;$F152&amp;"%2C"&amp;$E152&amp;"&amp;marker="&amp;$F152&amp;","&amp;$E152&amp;",4326&amp;level=16")))))),IF(_xlfn.SINGLE(JobState)="WI","Review Local Roads Layer","Review NFC AGOL Layer"))))</f>
        <v/>
      </c>
      <c r="N152" s="6" t="str">
        <f>IF(OR($E152="",$F152=""),"",IF(_xlfn.SINGLE(JobState)="",IF(ROW()=2,HYPERLINK("#JobState","Set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152&amp;"%2C"&amp;$E152&amp;"&amp;marker="&amp;$F152&amp;","&amp;$E152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2" s="6" t="str">
        <f>IF(OR($E152="", $F152=""),"",IF(_xlfn.SINGLE(JobAgolMap)="",HYPERLINK("https://fema.maps.arcgis.com/apps/mapviewer/index.html?find="&amp;$F152&amp;"%2C"&amp;$E152&amp;"&amp;marker="&amp;$F152&amp;","&amp;$E152&amp;",4326&amp;level=16","FEMA AGOL Map Viewer"),HYPERLINK(_xlfn.SINGLE(JobAgolMap)&amp;IF(ISNUMBER(FIND("?",_xlfn.SINGLE(JobAgolMap))),"&amp;","?")&amp;"center="&amp;$F152&amp;","&amp;$E152&amp;"&amp;level=16&amp;marker="&amp;$F152&amp;","&amp;$E152,"Open")))</f>
        <v/>
      </c>
      <c r="Q152" s="4"/>
      <c r="R152" s="4"/>
      <c r="W152" s="6" t="str">
        <f t="shared" si="12"/>
        <v/>
      </c>
      <c r="X152" s="6" t="str">
        <f t="shared" si="13"/>
        <v/>
      </c>
      <c r="Y152" s="6" t="str">
        <f t="shared" si="14"/>
        <v/>
      </c>
      <c r="Z152" s="6" t="str">
        <f t="shared" si="15"/>
        <v/>
      </c>
      <c r="AA152" s="6" t="str">
        <f t="shared" si="16"/>
        <v/>
      </c>
      <c r="AB152" s="6" t="str">
        <f t="shared" si="17"/>
        <v/>
      </c>
      <c r="AC152" s="4"/>
      <c r="AD152" s="4"/>
    </row>
    <row r="153" spans="1:30" x14ac:dyDescent="0.45">
      <c r="A153" s="3"/>
      <c r="B153" s="3"/>
      <c r="C153" s="5" t="str">
        <f>IF($E153="","",COUNT($E$2:$E153))</f>
        <v/>
      </c>
      <c r="D153" s="3"/>
      <c r="E153" s="3"/>
      <c r="F153" s="3"/>
      <c r="G153" s="3"/>
      <c r="H153" s="3"/>
      <c r="I153" s="3"/>
      <c r="J153" s="3"/>
      <c r="K153" s="3"/>
      <c r="L153" s="4"/>
      <c r="M153" s="6" t="str">
        <f>IF(OR($E153="",$F153=""),"",IF(_xlfn.SINGLE(JobState)="",IF(ROW()=2,HYPERLINK("#JobState","Set State →"),""),HYPERLINK(IF(OR(_xlfn.SINGLE(JobState)="MI",_xlfn.SINGLE(JobState)=""),"https://fema.maps.arcgis.com/apps/mapviewer/index.html?webmap=6a1702b9147243d1a5ee62cd614bc681&amp;center="&amp;$F153&amp;","&amp;$E153&amp;"&amp;level=16&amp;marker="&amp;$F153&amp;","&amp;$E153&amp;"",IF(_xlfn.SINGLE(JobState)="IN","https://fema.maps.arcgis.com/apps/mapviewer/index.html?url=https%3A%2F%2Fgis.indot.in.gov%2Fro%2Frest%2Fservices%2FRAH_GIO_Collaboration%2FLRSE_Functional_Class%2FFeatureServer%2F22&amp;find="&amp;$F153&amp;"%2C"&amp;$E153&amp;"&amp;marker="&amp;$F153&amp;","&amp;$E153&amp;",4326&amp;level=16",IF(_xlfn.SINGLE(JobState)="WI","https://fema.maps.arcgis.com/apps/mapviewer/index.html?url=https://services5.arcgis.com/0pgGLzT0Nh7FVjon/arcgis/rest/services/Functional_Class_Local_Non_Prod/FeatureServer/1&amp;find="&amp;$F153&amp;"%2C"&amp;$E153&amp;"&amp;marker="&amp;$F153&amp;","&amp;$E153&amp;",4326&amp;level=16",IF(_xlfn.SINGLE(JobState)="MN","https://fema.maps.arcgis.com/apps/mapviewer/index.html?url=https%3A%2F%2Fdotapp9.dot.state.mn.us%2Fegis12%2Frest%2Fservices%2FBASEMAP%2Fmndot_commonlayers2%2FMapServer%2F11&amp;find="&amp;$F153&amp;"%2C"&amp;$E153&amp;"&amp;marker="&amp;$F153&amp;","&amp;$E153&amp;",4326&amp;level=16",IF(_xlfn.SINGLE(JobState)="IL","https://fema.maps.arcgis.com/apps/mapviewer/index.html?url=https%3A%2F%2Fgis1.dot.illinois.gov%2Farcgis%2Frest%2Fservices%2FAdministrativeData%2FFunctionalClass%2FMapServer%2F0&amp;find="&amp;$F153&amp;"%2C"&amp;$E153&amp;"&amp;marker="&amp;$F153&amp;","&amp;$E153&amp;",4326&amp;level=16",IF(_xlfn.SINGLE(JobState)="OH","https://fema.maps.arcgis.com/apps/mapviewer/index.html?url=https%3A%2F%2Ftims.dot.state.oh.us%2Fags%2Frest%2Fservices%2FRoadway_Information%2FFunctional_Class%2FMapServer%2F0&amp;find="&amp;$F153&amp;"%2C"&amp;$E153&amp;"&amp;marker="&amp;$F153&amp;","&amp;$E153&amp;",4326&amp;level=16","https://fema.maps.arcgis.com/apps/mapviewer/index.html?find="&amp;$F153&amp;"%2C"&amp;$E153&amp;"&amp;marker="&amp;$F153&amp;","&amp;$E153&amp;",4326&amp;level=16")))))),IF(_xlfn.SINGLE(JobState)="WI","Review Local Roads Layer","Review NFC AGOL Layer"))))</f>
        <v/>
      </c>
      <c r="N153" s="6" t="str">
        <f>IF(OR($E153="",$F153=""),"",IF(_xlfn.SINGLE(JobState)="",IF(ROW()=2,HYPERLINK("#JobState","Set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153&amp;"%2C"&amp;$E153&amp;"&amp;marker="&amp;$F153&amp;","&amp;$E153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3" s="6" t="str">
        <f>IF(OR($E153="", $F153=""),"",IF(_xlfn.SINGLE(JobAgolMap)="",HYPERLINK("https://fema.maps.arcgis.com/apps/mapviewer/index.html?find="&amp;$F153&amp;"%2C"&amp;$E153&amp;"&amp;marker="&amp;$F153&amp;","&amp;$E153&amp;",4326&amp;level=16","FEMA AGOL Map Viewer"),HYPERLINK(_xlfn.SINGLE(JobAgolMap)&amp;IF(ISNUMBER(FIND("?",_xlfn.SINGLE(JobAgolMap))),"&amp;","?")&amp;"center="&amp;$F153&amp;","&amp;$E153&amp;"&amp;level=16&amp;marker="&amp;$F153&amp;","&amp;$E153,"Open")))</f>
        <v/>
      </c>
      <c r="Q153" s="4"/>
      <c r="R153" s="4"/>
      <c r="W153" s="6" t="str">
        <f t="shared" si="12"/>
        <v/>
      </c>
      <c r="X153" s="6" t="str">
        <f t="shared" si="13"/>
        <v/>
      </c>
      <c r="Y153" s="6" t="str">
        <f t="shared" si="14"/>
        <v/>
      </c>
      <c r="Z153" s="6" t="str">
        <f t="shared" si="15"/>
        <v/>
      </c>
      <c r="AA153" s="6" t="str">
        <f t="shared" si="16"/>
        <v/>
      </c>
      <c r="AB153" s="6" t="str">
        <f t="shared" si="17"/>
        <v/>
      </c>
      <c r="AC153" s="4"/>
      <c r="AD153" s="4"/>
    </row>
    <row r="154" spans="1:30" x14ac:dyDescent="0.45">
      <c r="A154" s="3"/>
      <c r="B154" s="3"/>
      <c r="C154" s="5" t="str">
        <f>IF($E154="","",COUNT($E$2:$E154))</f>
        <v/>
      </c>
      <c r="D154" s="3"/>
      <c r="E154" s="3"/>
      <c r="F154" s="3"/>
      <c r="G154" s="3"/>
      <c r="H154" s="3"/>
      <c r="I154" s="3"/>
      <c r="J154" s="3"/>
      <c r="K154" s="3"/>
      <c r="L154" s="4"/>
      <c r="M154" s="6" t="str">
        <f>IF(OR($E154="",$F154=""),"",IF(_xlfn.SINGLE(JobState)="",IF(ROW()=2,HYPERLINK("#JobState","Set State →"),""),HYPERLINK(IF(OR(_xlfn.SINGLE(JobState)="MI",_xlfn.SINGLE(JobState)=""),"https://fema.maps.arcgis.com/apps/mapviewer/index.html?webmap=6a1702b9147243d1a5ee62cd614bc681&amp;center="&amp;$F154&amp;","&amp;$E154&amp;"&amp;level=16&amp;marker="&amp;$F154&amp;","&amp;$E154&amp;"",IF(_xlfn.SINGLE(JobState)="IN","https://fema.maps.arcgis.com/apps/mapviewer/index.html?url=https%3A%2F%2Fgis.indot.in.gov%2Fro%2Frest%2Fservices%2FRAH_GIO_Collaboration%2FLRSE_Functional_Class%2FFeatureServer%2F22&amp;find="&amp;$F154&amp;"%2C"&amp;$E154&amp;"&amp;marker="&amp;$F154&amp;","&amp;$E154&amp;",4326&amp;level=16",IF(_xlfn.SINGLE(JobState)="WI","https://fema.maps.arcgis.com/apps/mapviewer/index.html?url=https://services5.arcgis.com/0pgGLzT0Nh7FVjon/arcgis/rest/services/Functional_Class_Local_Non_Prod/FeatureServer/1&amp;find="&amp;$F154&amp;"%2C"&amp;$E154&amp;"&amp;marker="&amp;$F154&amp;","&amp;$E154&amp;",4326&amp;level=16",IF(_xlfn.SINGLE(JobState)="MN","https://fema.maps.arcgis.com/apps/mapviewer/index.html?url=https%3A%2F%2Fdotapp9.dot.state.mn.us%2Fegis12%2Frest%2Fservices%2FBASEMAP%2Fmndot_commonlayers2%2FMapServer%2F11&amp;find="&amp;$F154&amp;"%2C"&amp;$E154&amp;"&amp;marker="&amp;$F154&amp;","&amp;$E154&amp;",4326&amp;level=16",IF(_xlfn.SINGLE(JobState)="IL","https://fema.maps.arcgis.com/apps/mapviewer/index.html?url=https%3A%2F%2Fgis1.dot.illinois.gov%2Farcgis%2Frest%2Fservices%2FAdministrativeData%2FFunctionalClass%2FMapServer%2F0&amp;find="&amp;$F154&amp;"%2C"&amp;$E154&amp;"&amp;marker="&amp;$F154&amp;","&amp;$E154&amp;",4326&amp;level=16",IF(_xlfn.SINGLE(JobState)="OH","https://fema.maps.arcgis.com/apps/mapviewer/index.html?url=https%3A%2F%2Ftims.dot.state.oh.us%2Fags%2Frest%2Fservices%2FRoadway_Information%2FFunctional_Class%2FMapServer%2F0&amp;find="&amp;$F154&amp;"%2C"&amp;$E154&amp;"&amp;marker="&amp;$F154&amp;","&amp;$E154&amp;",4326&amp;level=16","https://fema.maps.arcgis.com/apps/mapviewer/index.html?find="&amp;$F154&amp;"%2C"&amp;$E154&amp;"&amp;marker="&amp;$F154&amp;","&amp;$E154&amp;",4326&amp;level=16")))))),IF(_xlfn.SINGLE(JobState)="WI","Review Local Roads Layer","Review NFC AGOL Layer"))))</f>
        <v/>
      </c>
      <c r="N154" s="6" t="str">
        <f>IF(OR($E154="",$F154=""),"",IF(_xlfn.SINGLE(JobState)="",IF(ROW()=2,HYPERLINK("#JobState","Set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154&amp;"%2C"&amp;$E154&amp;"&amp;marker="&amp;$F154&amp;","&amp;$E154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4" s="6" t="str">
        <f>IF(OR($E154="", $F154=""),"",IF(_xlfn.SINGLE(JobAgolMap)="",HYPERLINK("https://fema.maps.arcgis.com/apps/mapviewer/index.html?find="&amp;$F154&amp;"%2C"&amp;$E154&amp;"&amp;marker="&amp;$F154&amp;","&amp;$E154&amp;",4326&amp;level=16","FEMA AGOL Map Viewer"),HYPERLINK(_xlfn.SINGLE(JobAgolMap)&amp;IF(ISNUMBER(FIND("?",_xlfn.SINGLE(JobAgolMap))),"&amp;","?")&amp;"center="&amp;$F154&amp;","&amp;$E154&amp;"&amp;level=16&amp;marker="&amp;$F154&amp;","&amp;$E154,"Open")))</f>
        <v/>
      </c>
      <c r="Q154" s="4"/>
      <c r="R154" s="4"/>
      <c r="W154" s="6" t="str">
        <f t="shared" si="12"/>
        <v/>
      </c>
      <c r="X154" s="6" t="str">
        <f t="shared" si="13"/>
        <v/>
      </c>
      <c r="Y154" s="6" t="str">
        <f t="shared" si="14"/>
        <v/>
      </c>
      <c r="Z154" s="6" t="str">
        <f t="shared" si="15"/>
        <v/>
      </c>
      <c r="AA154" s="6" t="str">
        <f t="shared" si="16"/>
        <v/>
      </c>
      <c r="AB154" s="6" t="str">
        <f t="shared" si="17"/>
        <v/>
      </c>
      <c r="AC154" s="4"/>
      <c r="AD154" s="4"/>
    </row>
    <row r="155" spans="1:30" x14ac:dyDescent="0.45">
      <c r="A155" s="3"/>
      <c r="B155" s="3"/>
      <c r="C155" s="5" t="str">
        <f>IF($E155="","",COUNT($E$2:$E155))</f>
        <v/>
      </c>
      <c r="D155" s="3"/>
      <c r="E155" s="3"/>
      <c r="F155" s="3"/>
      <c r="G155" s="3"/>
      <c r="H155" s="3"/>
      <c r="I155" s="3"/>
      <c r="J155" s="3"/>
      <c r="K155" s="3"/>
      <c r="L155" s="4"/>
      <c r="M155" s="6" t="str">
        <f>IF(OR($E155="",$F155=""),"",IF(_xlfn.SINGLE(JobState)="",IF(ROW()=2,HYPERLINK("#JobState","Set State →"),""),HYPERLINK(IF(OR(_xlfn.SINGLE(JobState)="MI",_xlfn.SINGLE(JobState)=""),"https://fema.maps.arcgis.com/apps/mapviewer/index.html?webmap=6a1702b9147243d1a5ee62cd614bc681&amp;center="&amp;$F155&amp;","&amp;$E155&amp;"&amp;level=16&amp;marker="&amp;$F155&amp;","&amp;$E155&amp;"",IF(_xlfn.SINGLE(JobState)="IN","https://fema.maps.arcgis.com/apps/mapviewer/index.html?url=https%3A%2F%2Fgis.indot.in.gov%2Fro%2Frest%2Fservices%2FRAH_GIO_Collaboration%2FLRSE_Functional_Class%2FFeatureServer%2F22&amp;find="&amp;$F155&amp;"%2C"&amp;$E155&amp;"&amp;marker="&amp;$F155&amp;","&amp;$E155&amp;",4326&amp;level=16",IF(_xlfn.SINGLE(JobState)="WI","https://fema.maps.arcgis.com/apps/mapviewer/index.html?url=https://services5.arcgis.com/0pgGLzT0Nh7FVjon/arcgis/rest/services/Functional_Class_Local_Non_Prod/FeatureServer/1&amp;find="&amp;$F155&amp;"%2C"&amp;$E155&amp;"&amp;marker="&amp;$F155&amp;","&amp;$E155&amp;",4326&amp;level=16",IF(_xlfn.SINGLE(JobState)="MN","https://fema.maps.arcgis.com/apps/mapviewer/index.html?url=https%3A%2F%2Fdotapp9.dot.state.mn.us%2Fegis12%2Frest%2Fservices%2FBASEMAP%2Fmndot_commonlayers2%2FMapServer%2F11&amp;find="&amp;$F155&amp;"%2C"&amp;$E155&amp;"&amp;marker="&amp;$F155&amp;","&amp;$E155&amp;",4326&amp;level=16",IF(_xlfn.SINGLE(JobState)="IL","https://fema.maps.arcgis.com/apps/mapviewer/index.html?url=https%3A%2F%2Fgis1.dot.illinois.gov%2Farcgis%2Frest%2Fservices%2FAdministrativeData%2FFunctionalClass%2FMapServer%2F0&amp;find="&amp;$F155&amp;"%2C"&amp;$E155&amp;"&amp;marker="&amp;$F155&amp;","&amp;$E155&amp;",4326&amp;level=16",IF(_xlfn.SINGLE(JobState)="OH","https://fema.maps.arcgis.com/apps/mapviewer/index.html?url=https%3A%2F%2Ftims.dot.state.oh.us%2Fags%2Frest%2Fservices%2FRoadway_Information%2FFunctional_Class%2FMapServer%2F0&amp;find="&amp;$F155&amp;"%2C"&amp;$E155&amp;"&amp;marker="&amp;$F155&amp;","&amp;$E155&amp;",4326&amp;level=16","https://fema.maps.arcgis.com/apps/mapviewer/index.html?find="&amp;$F155&amp;"%2C"&amp;$E155&amp;"&amp;marker="&amp;$F155&amp;","&amp;$E155&amp;",4326&amp;level=16")))))),IF(_xlfn.SINGLE(JobState)="WI","Review Local Roads Layer","Review NFC AGOL Layer"))))</f>
        <v/>
      </c>
      <c r="N155" s="6" t="str">
        <f>IF(OR($E155="",$F155=""),"",IF(_xlfn.SINGLE(JobState)="",IF(ROW()=2,HYPERLINK("#JobState","Set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155&amp;"%2C"&amp;$E155&amp;"&amp;marker="&amp;$F155&amp;","&amp;$E155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5" s="6" t="str">
        <f>IF(OR($E155="", $F155=""),"",IF(_xlfn.SINGLE(JobAgolMap)="",HYPERLINK("https://fema.maps.arcgis.com/apps/mapviewer/index.html?find="&amp;$F155&amp;"%2C"&amp;$E155&amp;"&amp;marker="&amp;$F155&amp;","&amp;$E155&amp;",4326&amp;level=16","FEMA AGOL Map Viewer"),HYPERLINK(_xlfn.SINGLE(JobAgolMap)&amp;IF(ISNUMBER(FIND("?",_xlfn.SINGLE(JobAgolMap))),"&amp;","?")&amp;"center="&amp;$F155&amp;","&amp;$E155&amp;"&amp;level=16&amp;marker="&amp;$F155&amp;","&amp;$E155,"Open")))</f>
        <v/>
      </c>
      <c r="Q155" s="4"/>
      <c r="R155" s="4"/>
      <c r="W155" s="6" t="str">
        <f t="shared" si="12"/>
        <v/>
      </c>
      <c r="X155" s="6" t="str">
        <f t="shared" si="13"/>
        <v/>
      </c>
      <c r="Y155" s="6" t="str">
        <f t="shared" si="14"/>
        <v/>
      </c>
      <c r="Z155" s="6" t="str">
        <f t="shared" si="15"/>
        <v/>
      </c>
      <c r="AA155" s="6" t="str">
        <f t="shared" si="16"/>
        <v/>
      </c>
      <c r="AB155" s="6" t="str">
        <f t="shared" si="17"/>
        <v/>
      </c>
      <c r="AC155" s="4"/>
      <c r="AD155" s="4"/>
    </row>
    <row r="156" spans="1:30" x14ac:dyDescent="0.45">
      <c r="A156" s="3"/>
      <c r="B156" s="3"/>
      <c r="C156" s="5" t="str">
        <f>IF($E156="","",COUNT($E$2:$E156))</f>
        <v/>
      </c>
      <c r="D156" s="3"/>
      <c r="E156" s="3"/>
      <c r="F156" s="3"/>
      <c r="G156" s="3"/>
      <c r="H156" s="3"/>
      <c r="I156" s="3"/>
      <c r="J156" s="3"/>
      <c r="K156" s="3"/>
      <c r="L156" s="4"/>
      <c r="M156" s="6" t="str">
        <f>IF(OR($E156="",$F156=""),"",IF(_xlfn.SINGLE(JobState)="",IF(ROW()=2,HYPERLINK("#JobState","Set State →"),""),HYPERLINK(IF(OR(_xlfn.SINGLE(JobState)="MI",_xlfn.SINGLE(JobState)=""),"https://fema.maps.arcgis.com/apps/mapviewer/index.html?webmap=6a1702b9147243d1a5ee62cd614bc681&amp;center="&amp;$F156&amp;","&amp;$E156&amp;"&amp;level=16&amp;marker="&amp;$F156&amp;","&amp;$E156&amp;"",IF(_xlfn.SINGLE(JobState)="IN","https://fema.maps.arcgis.com/apps/mapviewer/index.html?url=https%3A%2F%2Fgis.indot.in.gov%2Fro%2Frest%2Fservices%2FRAH_GIO_Collaboration%2FLRSE_Functional_Class%2FFeatureServer%2F22&amp;find="&amp;$F156&amp;"%2C"&amp;$E156&amp;"&amp;marker="&amp;$F156&amp;","&amp;$E156&amp;",4326&amp;level=16",IF(_xlfn.SINGLE(JobState)="WI","https://fema.maps.arcgis.com/apps/mapviewer/index.html?url=https://services5.arcgis.com/0pgGLzT0Nh7FVjon/arcgis/rest/services/Functional_Class_Local_Non_Prod/FeatureServer/1&amp;find="&amp;$F156&amp;"%2C"&amp;$E156&amp;"&amp;marker="&amp;$F156&amp;","&amp;$E156&amp;",4326&amp;level=16",IF(_xlfn.SINGLE(JobState)="MN","https://fema.maps.arcgis.com/apps/mapviewer/index.html?url=https%3A%2F%2Fdotapp9.dot.state.mn.us%2Fegis12%2Frest%2Fservices%2FBASEMAP%2Fmndot_commonlayers2%2FMapServer%2F11&amp;find="&amp;$F156&amp;"%2C"&amp;$E156&amp;"&amp;marker="&amp;$F156&amp;","&amp;$E156&amp;",4326&amp;level=16",IF(_xlfn.SINGLE(JobState)="IL","https://fema.maps.arcgis.com/apps/mapviewer/index.html?url=https%3A%2F%2Fgis1.dot.illinois.gov%2Farcgis%2Frest%2Fservices%2FAdministrativeData%2FFunctionalClass%2FMapServer%2F0&amp;find="&amp;$F156&amp;"%2C"&amp;$E156&amp;"&amp;marker="&amp;$F156&amp;","&amp;$E156&amp;",4326&amp;level=16",IF(_xlfn.SINGLE(JobState)="OH","https://fema.maps.arcgis.com/apps/mapviewer/index.html?url=https%3A%2F%2Ftims.dot.state.oh.us%2Fags%2Frest%2Fservices%2FRoadway_Information%2FFunctional_Class%2FMapServer%2F0&amp;find="&amp;$F156&amp;"%2C"&amp;$E156&amp;"&amp;marker="&amp;$F156&amp;","&amp;$E156&amp;",4326&amp;level=16","https://fema.maps.arcgis.com/apps/mapviewer/index.html?find="&amp;$F156&amp;"%2C"&amp;$E156&amp;"&amp;marker="&amp;$F156&amp;","&amp;$E156&amp;",4326&amp;level=16")))))),IF(_xlfn.SINGLE(JobState)="WI","Review Local Roads Layer","Review NFC AGOL Layer"))))</f>
        <v/>
      </c>
      <c r="N156" s="6" t="str">
        <f>IF(OR($E156="",$F156=""),"",IF(_xlfn.SINGLE(JobState)="",IF(ROW()=2,HYPERLINK("#JobState","Set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156&amp;"%2C"&amp;$E156&amp;"&amp;marker="&amp;$F156&amp;","&amp;$E156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6" s="6" t="str">
        <f>IF(OR($E156="", $F156=""),"",IF(_xlfn.SINGLE(JobAgolMap)="",HYPERLINK("https://fema.maps.arcgis.com/apps/mapviewer/index.html?find="&amp;$F156&amp;"%2C"&amp;$E156&amp;"&amp;marker="&amp;$F156&amp;","&amp;$E156&amp;",4326&amp;level=16","FEMA AGOL Map Viewer"),HYPERLINK(_xlfn.SINGLE(JobAgolMap)&amp;IF(ISNUMBER(FIND("?",_xlfn.SINGLE(JobAgolMap))),"&amp;","?")&amp;"center="&amp;$F156&amp;","&amp;$E156&amp;"&amp;level=16&amp;marker="&amp;$F156&amp;","&amp;$E156,"Open")))</f>
        <v/>
      </c>
      <c r="Q156" s="4"/>
      <c r="R156" s="4"/>
      <c r="W156" s="6" t="str">
        <f t="shared" si="12"/>
        <v/>
      </c>
      <c r="X156" s="6" t="str">
        <f t="shared" si="13"/>
        <v/>
      </c>
      <c r="Y156" s="6" t="str">
        <f t="shared" si="14"/>
        <v/>
      </c>
      <c r="Z156" s="6" t="str">
        <f t="shared" si="15"/>
        <v/>
      </c>
      <c r="AA156" s="6" t="str">
        <f t="shared" si="16"/>
        <v/>
      </c>
      <c r="AB156" s="6" t="str">
        <f t="shared" si="17"/>
        <v/>
      </c>
      <c r="AC156" s="4"/>
      <c r="AD156" s="4"/>
    </row>
    <row r="157" spans="1:30" x14ac:dyDescent="0.45">
      <c r="A157" s="3"/>
      <c r="B157" s="3"/>
      <c r="C157" s="5" t="str">
        <f>IF($E157="","",COUNT($E$2:$E157))</f>
        <v/>
      </c>
      <c r="D157" s="3"/>
      <c r="E157" s="3"/>
      <c r="F157" s="3"/>
      <c r="G157" s="3"/>
      <c r="H157" s="3"/>
      <c r="I157" s="3"/>
      <c r="J157" s="3"/>
      <c r="K157" s="3"/>
      <c r="L157" s="4"/>
      <c r="M157" s="6" t="str">
        <f>IF(OR($E157="",$F157=""),"",IF(_xlfn.SINGLE(JobState)="",IF(ROW()=2,HYPERLINK("#JobState","Set State →"),""),HYPERLINK(IF(OR(_xlfn.SINGLE(JobState)="MI",_xlfn.SINGLE(JobState)=""),"https://fema.maps.arcgis.com/apps/mapviewer/index.html?webmap=6a1702b9147243d1a5ee62cd614bc681&amp;center="&amp;$F157&amp;","&amp;$E157&amp;"&amp;level=16&amp;marker="&amp;$F157&amp;","&amp;$E157&amp;"",IF(_xlfn.SINGLE(JobState)="IN","https://fema.maps.arcgis.com/apps/mapviewer/index.html?url=https%3A%2F%2Fgis.indot.in.gov%2Fro%2Frest%2Fservices%2FRAH_GIO_Collaboration%2FLRSE_Functional_Class%2FFeatureServer%2F22&amp;find="&amp;$F157&amp;"%2C"&amp;$E157&amp;"&amp;marker="&amp;$F157&amp;","&amp;$E157&amp;",4326&amp;level=16",IF(_xlfn.SINGLE(JobState)="WI","https://fema.maps.arcgis.com/apps/mapviewer/index.html?url=https://services5.arcgis.com/0pgGLzT0Nh7FVjon/arcgis/rest/services/Functional_Class_Local_Non_Prod/FeatureServer/1&amp;find="&amp;$F157&amp;"%2C"&amp;$E157&amp;"&amp;marker="&amp;$F157&amp;","&amp;$E157&amp;",4326&amp;level=16",IF(_xlfn.SINGLE(JobState)="MN","https://fema.maps.arcgis.com/apps/mapviewer/index.html?url=https%3A%2F%2Fdotapp9.dot.state.mn.us%2Fegis12%2Frest%2Fservices%2FBASEMAP%2Fmndot_commonlayers2%2FMapServer%2F11&amp;find="&amp;$F157&amp;"%2C"&amp;$E157&amp;"&amp;marker="&amp;$F157&amp;","&amp;$E157&amp;",4326&amp;level=16",IF(_xlfn.SINGLE(JobState)="IL","https://fema.maps.arcgis.com/apps/mapviewer/index.html?url=https%3A%2F%2Fgis1.dot.illinois.gov%2Farcgis%2Frest%2Fservices%2FAdministrativeData%2FFunctionalClass%2FMapServer%2F0&amp;find="&amp;$F157&amp;"%2C"&amp;$E157&amp;"&amp;marker="&amp;$F157&amp;","&amp;$E157&amp;",4326&amp;level=16",IF(_xlfn.SINGLE(JobState)="OH","https://fema.maps.arcgis.com/apps/mapviewer/index.html?url=https%3A%2F%2Ftims.dot.state.oh.us%2Fags%2Frest%2Fservices%2FRoadway_Information%2FFunctional_Class%2FMapServer%2F0&amp;find="&amp;$F157&amp;"%2C"&amp;$E157&amp;"&amp;marker="&amp;$F157&amp;","&amp;$E157&amp;",4326&amp;level=16","https://fema.maps.arcgis.com/apps/mapviewer/index.html?find="&amp;$F157&amp;"%2C"&amp;$E157&amp;"&amp;marker="&amp;$F157&amp;","&amp;$E157&amp;",4326&amp;level=16")))))),IF(_xlfn.SINGLE(JobState)="WI","Review Local Roads Layer","Review NFC AGOL Layer"))))</f>
        <v/>
      </c>
      <c r="N157" s="6" t="str">
        <f>IF(OR($E157="",$F157=""),"",IF(_xlfn.SINGLE(JobState)="",IF(ROW()=2,HYPERLINK("#JobState","Set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157&amp;"%2C"&amp;$E157&amp;"&amp;marker="&amp;$F157&amp;","&amp;$E157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7" s="6" t="str">
        <f>IF(OR($E157="", $F157=""),"",IF(_xlfn.SINGLE(JobAgolMap)="",HYPERLINK("https://fema.maps.arcgis.com/apps/mapviewer/index.html?find="&amp;$F157&amp;"%2C"&amp;$E157&amp;"&amp;marker="&amp;$F157&amp;","&amp;$E157&amp;",4326&amp;level=16","FEMA AGOL Map Viewer"),HYPERLINK(_xlfn.SINGLE(JobAgolMap)&amp;IF(ISNUMBER(FIND("?",_xlfn.SINGLE(JobAgolMap))),"&amp;","?")&amp;"center="&amp;$F157&amp;","&amp;$E157&amp;"&amp;level=16&amp;marker="&amp;$F157&amp;","&amp;$E157,"Open")))</f>
        <v/>
      </c>
      <c r="Q157" s="4"/>
      <c r="R157" s="4"/>
      <c r="W157" s="6" t="str">
        <f t="shared" si="12"/>
        <v/>
      </c>
      <c r="X157" s="6" t="str">
        <f t="shared" si="13"/>
        <v/>
      </c>
      <c r="Y157" s="6" t="str">
        <f t="shared" si="14"/>
        <v/>
      </c>
      <c r="Z157" s="6" t="str">
        <f t="shared" si="15"/>
        <v/>
      </c>
      <c r="AA157" s="6" t="str">
        <f t="shared" si="16"/>
        <v/>
      </c>
      <c r="AB157" s="6" t="str">
        <f t="shared" si="17"/>
        <v/>
      </c>
      <c r="AC157" s="4"/>
      <c r="AD157" s="4"/>
    </row>
    <row r="158" spans="1:30" x14ac:dyDescent="0.45">
      <c r="A158" s="3"/>
      <c r="B158" s="3"/>
      <c r="C158" s="5" t="str">
        <f>IF($E158="","",COUNT($E$2:$E158))</f>
        <v/>
      </c>
      <c r="D158" s="3"/>
      <c r="E158" s="3"/>
      <c r="F158" s="3"/>
      <c r="G158" s="3"/>
      <c r="H158" s="3"/>
      <c r="I158" s="3"/>
      <c r="J158" s="3"/>
      <c r="K158" s="3"/>
      <c r="L158" s="4"/>
      <c r="M158" s="6" t="str">
        <f>IF(OR($E158="",$F158=""),"",IF(_xlfn.SINGLE(JobState)="",IF(ROW()=2,HYPERLINK("#JobState","Set State →"),""),HYPERLINK(IF(OR(_xlfn.SINGLE(JobState)="MI",_xlfn.SINGLE(JobState)=""),"https://fema.maps.arcgis.com/apps/mapviewer/index.html?webmap=6a1702b9147243d1a5ee62cd614bc681&amp;center="&amp;$F158&amp;","&amp;$E158&amp;"&amp;level=16&amp;marker="&amp;$F158&amp;","&amp;$E158&amp;"",IF(_xlfn.SINGLE(JobState)="IN","https://fema.maps.arcgis.com/apps/mapviewer/index.html?url=https%3A%2F%2Fgis.indot.in.gov%2Fro%2Frest%2Fservices%2FRAH_GIO_Collaboration%2FLRSE_Functional_Class%2FFeatureServer%2F22&amp;find="&amp;$F158&amp;"%2C"&amp;$E158&amp;"&amp;marker="&amp;$F158&amp;","&amp;$E158&amp;",4326&amp;level=16",IF(_xlfn.SINGLE(JobState)="WI","https://fema.maps.arcgis.com/apps/mapviewer/index.html?url=https://services5.arcgis.com/0pgGLzT0Nh7FVjon/arcgis/rest/services/Functional_Class_Local_Non_Prod/FeatureServer/1&amp;find="&amp;$F158&amp;"%2C"&amp;$E158&amp;"&amp;marker="&amp;$F158&amp;","&amp;$E158&amp;",4326&amp;level=16",IF(_xlfn.SINGLE(JobState)="MN","https://fema.maps.arcgis.com/apps/mapviewer/index.html?url=https%3A%2F%2Fdotapp9.dot.state.mn.us%2Fegis12%2Frest%2Fservices%2FBASEMAP%2Fmndot_commonlayers2%2FMapServer%2F11&amp;find="&amp;$F158&amp;"%2C"&amp;$E158&amp;"&amp;marker="&amp;$F158&amp;","&amp;$E158&amp;",4326&amp;level=16",IF(_xlfn.SINGLE(JobState)="IL","https://fema.maps.arcgis.com/apps/mapviewer/index.html?url=https%3A%2F%2Fgis1.dot.illinois.gov%2Farcgis%2Frest%2Fservices%2FAdministrativeData%2FFunctionalClass%2FMapServer%2F0&amp;find="&amp;$F158&amp;"%2C"&amp;$E158&amp;"&amp;marker="&amp;$F158&amp;","&amp;$E158&amp;",4326&amp;level=16",IF(_xlfn.SINGLE(JobState)="OH","https://fema.maps.arcgis.com/apps/mapviewer/index.html?url=https%3A%2F%2Ftims.dot.state.oh.us%2Fags%2Frest%2Fservices%2FRoadway_Information%2FFunctional_Class%2FMapServer%2F0&amp;find="&amp;$F158&amp;"%2C"&amp;$E158&amp;"&amp;marker="&amp;$F158&amp;","&amp;$E158&amp;",4326&amp;level=16","https://fema.maps.arcgis.com/apps/mapviewer/index.html?find="&amp;$F158&amp;"%2C"&amp;$E158&amp;"&amp;marker="&amp;$F158&amp;","&amp;$E158&amp;",4326&amp;level=16")))))),IF(_xlfn.SINGLE(JobState)="WI","Review Local Roads Layer","Review NFC AGOL Layer"))))</f>
        <v/>
      </c>
      <c r="N158" s="6" t="str">
        <f>IF(OR($E158="",$F158=""),"",IF(_xlfn.SINGLE(JobState)="",IF(ROW()=2,HYPERLINK("#JobState","Set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158&amp;"%2C"&amp;$E158&amp;"&amp;marker="&amp;$F158&amp;","&amp;$E158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8" s="6" t="str">
        <f>IF(OR($E158="", $F158=""),"",IF(_xlfn.SINGLE(JobAgolMap)="",HYPERLINK("https://fema.maps.arcgis.com/apps/mapviewer/index.html?find="&amp;$F158&amp;"%2C"&amp;$E158&amp;"&amp;marker="&amp;$F158&amp;","&amp;$E158&amp;",4326&amp;level=16","FEMA AGOL Map Viewer"),HYPERLINK(_xlfn.SINGLE(JobAgolMap)&amp;IF(ISNUMBER(FIND("?",_xlfn.SINGLE(JobAgolMap))),"&amp;","?")&amp;"center="&amp;$F158&amp;","&amp;$E158&amp;"&amp;level=16&amp;marker="&amp;$F158&amp;","&amp;$E158,"Open")))</f>
        <v/>
      </c>
      <c r="Q158" s="4"/>
      <c r="R158" s="4"/>
      <c r="W158" s="6" t="str">
        <f t="shared" si="12"/>
        <v/>
      </c>
      <c r="X158" s="6" t="str">
        <f t="shared" si="13"/>
        <v/>
      </c>
      <c r="Y158" s="6" t="str">
        <f t="shared" si="14"/>
        <v/>
      </c>
      <c r="Z158" s="6" t="str">
        <f t="shared" si="15"/>
        <v/>
      </c>
      <c r="AA158" s="6" t="str">
        <f t="shared" si="16"/>
        <v/>
      </c>
      <c r="AB158" s="6" t="str">
        <f t="shared" si="17"/>
        <v/>
      </c>
      <c r="AC158" s="4"/>
      <c r="AD158" s="4"/>
    </row>
    <row r="159" spans="1:30" x14ac:dyDescent="0.45">
      <c r="A159" s="3"/>
      <c r="B159" s="3"/>
      <c r="C159" s="5" t="str">
        <f>IF($E159="","",COUNT($E$2:$E159))</f>
        <v/>
      </c>
      <c r="D159" s="3"/>
      <c r="E159" s="3"/>
      <c r="F159" s="3"/>
      <c r="G159" s="3"/>
      <c r="H159" s="3"/>
      <c r="I159" s="3"/>
      <c r="J159" s="3"/>
      <c r="K159" s="3"/>
      <c r="L159" s="4"/>
      <c r="M159" s="6" t="str">
        <f>IF(OR($E159="",$F159=""),"",IF(_xlfn.SINGLE(JobState)="",IF(ROW()=2,HYPERLINK("#JobState","Set State →"),""),HYPERLINK(IF(OR(_xlfn.SINGLE(JobState)="MI",_xlfn.SINGLE(JobState)=""),"https://fema.maps.arcgis.com/apps/mapviewer/index.html?webmap=6a1702b9147243d1a5ee62cd614bc681&amp;center="&amp;$F159&amp;","&amp;$E159&amp;"&amp;level=16&amp;marker="&amp;$F159&amp;","&amp;$E159&amp;"",IF(_xlfn.SINGLE(JobState)="IN","https://fema.maps.arcgis.com/apps/mapviewer/index.html?url=https%3A%2F%2Fgis.indot.in.gov%2Fro%2Frest%2Fservices%2FRAH_GIO_Collaboration%2FLRSE_Functional_Class%2FFeatureServer%2F22&amp;find="&amp;$F159&amp;"%2C"&amp;$E159&amp;"&amp;marker="&amp;$F159&amp;","&amp;$E159&amp;",4326&amp;level=16",IF(_xlfn.SINGLE(JobState)="WI","https://fema.maps.arcgis.com/apps/mapviewer/index.html?url=https://services5.arcgis.com/0pgGLzT0Nh7FVjon/arcgis/rest/services/Functional_Class_Local_Non_Prod/FeatureServer/1&amp;find="&amp;$F159&amp;"%2C"&amp;$E159&amp;"&amp;marker="&amp;$F159&amp;","&amp;$E159&amp;",4326&amp;level=16",IF(_xlfn.SINGLE(JobState)="MN","https://fema.maps.arcgis.com/apps/mapviewer/index.html?url=https%3A%2F%2Fdotapp9.dot.state.mn.us%2Fegis12%2Frest%2Fservices%2FBASEMAP%2Fmndot_commonlayers2%2FMapServer%2F11&amp;find="&amp;$F159&amp;"%2C"&amp;$E159&amp;"&amp;marker="&amp;$F159&amp;","&amp;$E159&amp;",4326&amp;level=16",IF(_xlfn.SINGLE(JobState)="IL","https://fema.maps.arcgis.com/apps/mapviewer/index.html?url=https%3A%2F%2Fgis1.dot.illinois.gov%2Farcgis%2Frest%2Fservices%2FAdministrativeData%2FFunctionalClass%2FMapServer%2F0&amp;find="&amp;$F159&amp;"%2C"&amp;$E159&amp;"&amp;marker="&amp;$F159&amp;","&amp;$E159&amp;",4326&amp;level=16",IF(_xlfn.SINGLE(JobState)="OH","https://fema.maps.arcgis.com/apps/mapviewer/index.html?url=https%3A%2F%2Ftims.dot.state.oh.us%2Fags%2Frest%2Fservices%2FRoadway_Information%2FFunctional_Class%2FMapServer%2F0&amp;find="&amp;$F159&amp;"%2C"&amp;$E159&amp;"&amp;marker="&amp;$F159&amp;","&amp;$E159&amp;",4326&amp;level=16","https://fema.maps.arcgis.com/apps/mapviewer/index.html?find="&amp;$F159&amp;"%2C"&amp;$E159&amp;"&amp;marker="&amp;$F159&amp;","&amp;$E159&amp;",4326&amp;level=16")))))),IF(_xlfn.SINGLE(JobState)="WI","Review Local Roads Layer","Review NFC AGOL Layer"))))</f>
        <v/>
      </c>
      <c r="N159" s="6" t="str">
        <f>IF(OR($E159="",$F159=""),"",IF(_xlfn.SINGLE(JobState)="",IF(ROW()=2,HYPERLINK("#JobState","Set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159&amp;"%2C"&amp;$E159&amp;"&amp;marker="&amp;$F159&amp;","&amp;$E159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9" s="6" t="str">
        <f>IF(OR($E159="", $F159=""),"",IF(_xlfn.SINGLE(JobAgolMap)="",HYPERLINK("https://fema.maps.arcgis.com/apps/mapviewer/index.html?find="&amp;$F159&amp;"%2C"&amp;$E159&amp;"&amp;marker="&amp;$F159&amp;","&amp;$E159&amp;",4326&amp;level=16","FEMA AGOL Map Viewer"),HYPERLINK(_xlfn.SINGLE(JobAgolMap)&amp;IF(ISNUMBER(FIND("?",_xlfn.SINGLE(JobAgolMap))),"&amp;","?")&amp;"center="&amp;$F159&amp;","&amp;$E159&amp;"&amp;level=16&amp;marker="&amp;$F159&amp;","&amp;$E159,"Open")))</f>
        <v/>
      </c>
      <c r="Q159" s="4"/>
      <c r="R159" s="4"/>
      <c r="W159" s="6" t="str">
        <f t="shared" si="12"/>
        <v/>
      </c>
      <c r="X159" s="6" t="str">
        <f t="shared" si="13"/>
        <v/>
      </c>
      <c r="Y159" s="6" t="str">
        <f t="shared" si="14"/>
        <v/>
      </c>
      <c r="Z159" s="6" t="str">
        <f t="shared" si="15"/>
        <v/>
      </c>
      <c r="AA159" s="6" t="str">
        <f t="shared" si="16"/>
        <v/>
      </c>
      <c r="AB159" s="6" t="str">
        <f t="shared" si="17"/>
        <v/>
      </c>
      <c r="AC159" s="4"/>
      <c r="AD159" s="4"/>
    </row>
    <row r="160" spans="1:30" x14ac:dyDescent="0.45">
      <c r="A160" s="3"/>
      <c r="B160" s="3"/>
      <c r="C160" s="5" t="str">
        <f>IF($E160="","",COUNT($E$2:$E160))</f>
        <v/>
      </c>
      <c r="D160" s="3"/>
      <c r="E160" s="3"/>
      <c r="F160" s="3"/>
      <c r="G160" s="3"/>
      <c r="H160" s="3"/>
      <c r="I160" s="3"/>
      <c r="J160" s="3"/>
      <c r="K160" s="3"/>
      <c r="L160" s="4"/>
      <c r="M160" s="6" t="str">
        <f>IF(OR($E160="",$F160=""),"",IF(_xlfn.SINGLE(JobState)="",IF(ROW()=2,HYPERLINK("#JobState","Set State →"),""),HYPERLINK(IF(OR(_xlfn.SINGLE(JobState)="MI",_xlfn.SINGLE(JobState)=""),"https://fema.maps.arcgis.com/apps/mapviewer/index.html?webmap=6a1702b9147243d1a5ee62cd614bc681&amp;center="&amp;$F160&amp;","&amp;$E160&amp;"&amp;level=16&amp;marker="&amp;$F160&amp;","&amp;$E160&amp;"",IF(_xlfn.SINGLE(JobState)="IN","https://fema.maps.arcgis.com/apps/mapviewer/index.html?url=https%3A%2F%2Fgis.indot.in.gov%2Fro%2Frest%2Fservices%2FRAH_GIO_Collaboration%2FLRSE_Functional_Class%2FFeatureServer%2F22&amp;find="&amp;$F160&amp;"%2C"&amp;$E160&amp;"&amp;marker="&amp;$F160&amp;","&amp;$E160&amp;",4326&amp;level=16",IF(_xlfn.SINGLE(JobState)="WI","https://fema.maps.arcgis.com/apps/mapviewer/index.html?url=https://services5.arcgis.com/0pgGLzT0Nh7FVjon/arcgis/rest/services/Functional_Class_Local_Non_Prod/FeatureServer/1&amp;find="&amp;$F160&amp;"%2C"&amp;$E160&amp;"&amp;marker="&amp;$F160&amp;","&amp;$E160&amp;",4326&amp;level=16",IF(_xlfn.SINGLE(JobState)="MN","https://fema.maps.arcgis.com/apps/mapviewer/index.html?url=https%3A%2F%2Fdotapp9.dot.state.mn.us%2Fegis12%2Frest%2Fservices%2FBASEMAP%2Fmndot_commonlayers2%2FMapServer%2F11&amp;find="&amp;$F160&amp;"%2C"&amp;$E160&amp;"&amp;marker="&amp;$F160&amp;","&amp;$E160&amp;",4326&amp;level=16",IF(_xlfn.SINGLE(JobState)="IL","https://fema.maps.arcgis.com/apps/mapviewer/index.html?url=https%3A%2F%2Fgis1.dot.illinois.gov%2Farcgis%2Frest%2Fservices%2FAdministrativeData%2FFunctionalClass%2FMapServer%2F0&amp;find="&amp;$F160&amp;"%2C"&amp;$E160&amp;"&amp;marker="&amp;$F160&amp;","&amp;$E160&amp;",4326&amp;level=16",IF(_xlfn.SINGLE(JobState)="OH","https://fema.maps.arcgis.com/apps/mapviewer/index.html?url=https%3A%2F%2Ftims.dot.state.oh.us%2Fags%2Frest%2Fservices%2FRoadway_Information%2FFunctional_Class%2FMapServer%2F0&amp;find="&amp;$F160&amp;"%2C"&amp;$E160&amp;"&amp;marker="&amp;$F160&amp;","&amp;$E160&amp;",4326&amp;level=16","https://fema.maps.arcgis.com/apps/mapviewer/index.html?find="&amp;$F160&amp;"%2C"&amp;$E160&amp;"&amp;marker="&amp;$F160&amp;","&amp;$E160&amp;",4326&amp;level=16")))))),IF(_xlfn.SINGLE(JobState)="WI","Review Local Roads Layer","Review NFC AGOL Layer"))))</f>
        <v/>
      </c>
      <c r="N160" s="6" t="str">
        <f>IF(OR($E160="",$F160=""),"",IF(_xlfn.SINGLE(JobState)="",IF(ROW()=2,HYPERLINK("#JobState","Set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160&amp;"%2C"&amp;$E160&amp;"&amp;marker="&amp;$F160&amp;","&amp;$E160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0" s="6" t="str">
        <f>IF(OR($E160="", $F160=""),"",IF(_xlfn.SINGLE(JobAgolMap)="",HYPERLINK("https://fema.maps.arcgis.com/apps/mapviewer/index.html?find="&amp;$F160&amp;"%2C"&amp;$E160&amp;"&amp;marker="&amp;$F160&amp;","&amp;$E160&amp;",4326&amp;level=16","FEMA AGOL Map Viewer"),HYPERLINK(_xlfn.SINGLE(JobAgolMap)&amp;IF(ISNUMBER(FIND("?",_xlfn.SINGLE(JobAgolMap))),"&amp;","?")&amp;"center="&amp;$F160&amp;","&amp;$E160&amp;"&amp;level=16&amp;marker="&amp;$F160&amp;","&amp;$E160,"Open")))</f>
        <v/>
      </c>
      <c r="Q160" s="4"/>
      <c r="R160" s="4"/>
      <c r="W160" s="6" t="str">
        <f t="shared" si="12"/>
        <v/>
      </c>
      <c r="X160" s="6" t="str">
        <f t="shared" si="13"/>
        <v/>
      </c>
      <c r="Y160" s="6" t="str">
        <f t="shared" si="14"/>
        <v/>
      </c>
      <c r="Z160" s="6" t="str">
        <f t="shared" si="15"/>
        <v/>
      </c>
      <c r="AA160" s="6" t="str">
        <f t="shared" si="16"/>
        <v/>
      </c>
      <c r="AB160" s="6" t="str">
        <f t="shared" si="17"/>
        <v/>
      </c>
      <c r="AC160" s="4"/>
      <c r="AD160" s="4"/>
    </row>
    <row r="161" spans="1:30" x14ac:dyDescent="0.45">
      <c r="A161" s="3"/>
      <c r="B161" s="3"/>
      <c r="C161" s="5" t="str">
        <f>IF($E161="","",COUNT($E$2:$E161))</f>
        <v/>
      </c>
      <c r="D161" s="3"/>
      <c r="E161" s="3"/>
      <c r="F161" s="3"/>
      <c r="G161" s="3"/>
      <c r="H161" s="3"/>
      <c r="I161" s="3"/>
      <c r="J161" s="3"/>
      <c r="K161" s="3"/>
      <c r="L161" s="4"/>
      <c r="M161" s="6" t="str">
        <f>IF(OR($E161="",$F161=""),"",IF(_xlfn.SINGLE(JobState)="",IF(ROW()=2,HYPERLINK("#JobState","Set State →"),""),HYPERLINK(IF(OR(_xlfn.SINGLE(JobState)="MI",_xlfn.SINGLE(JobState)=""),"https://fema.maps.arcgis.com/apps/mapviewer/index.html?webmap=6a1702b9147243d1a5ee62cd614bc681&amp;center="&amp;$F161&amp;","&amp;$E161&amp;"&amp;level=16&amp;marker="&amp;$F161&amp;","&amp;$E161&amp;"",IF(_xlfn.SINGLE(JobState)="IN","https://fema.maps.arcgis.com/apps/mapviewer/index.html?url=https%3A%2F%2Fgis.indot.in.gov%2Fro%2Frest%2Fservices%2FRAH_GIO_Collaboration%2FLRSE_Functional_Class%2FFeatureServer%2F22&amp;find="&amp;$F161&amp;"%2C"&amp;$E161&amp;"&amp;marker="&amp;$F161&amp;","&amp;$E161&amp;",4326&amp;level=16",IF(_xlfn.SINGLE(JobState)="WI","https://fema.maps.arcgis.com/apps/mapviewer/index.html?url=https://services5.arcgis.com/0pgGLzT0Nh7FVjon/arcgis/rest/services/Functional_Class_Local_Non_Prod/FeatureServer/1&amp;find="&amp;$F161&amp;"%2C"&amp;$E161&amp;"&amp;marker="&amp;$F161&amp;","&amp;$E161&amp;",4326&amp;level=16",IF(_xlfn.SINGLE(JobState)="MN","https://fema.maps.arcgis.com/apps/mapviewer/index.html?url=https%3A%2F%2Fdotapp9.dot.state.mn.us%2Fegis12%2Frest%2Fservices%2FBASEMAP%2Fmndot_commonlayers2%2FMapServer%2F11&amp;find="&amp;$F161&amp;"%2C"&amp;$E161&amp;"&amp;marker="&amp;$F161&amp;","&amp;$E161&amp;",4326&amp;level=16",IF(_xlfn.SINGLE(JobState)="IL","https://fema.maps.arcgis.com/apps/mapviewer/index.html?url=https%3A%2F%2Fgis1.dot.illinois.gov%2Farcgis%2Frest%2Fservices%2FAdministrativeData%2FFunctionalClass%2FMapServer%2F0&amp;find="&amp;$F161&amp;"%2C"&amp;$E161&amp;"&amp;marker="&amp;$F161&amp;","&amp;$E161&amp;",4326&amp;level=16",IF(_xlfn.SINGLE(JobState)="OH","https://fema.maps.arcgis.com/apps/mapviewer/index.html?url=https%3A%2F%2Ftims.dot.state.oh.us%2Fags%2Frest%2Fservices%2FRoadway_Information%2FFunctional_Class%2FMapServer%2F0&amp;find="&amp;$F161&amp;"%2C"&amp;$E161&amp;"&amp;marker="&amp;$F161&amp;","&amp;$E161&amp;",4326&amp;level=16","https://fema.maps.arcgis.com/apps/mapviewer/index.html?find="&amp;$F161&amp;"%2C"&amp;$E161&amp;"&amp;marker="&amp;$F161&amp;","&amp;$E161&amp;",4326&amp;level=16")))))),IF(_xlfn.SINGLE(JobState)="WI","Review Local Roads Layer","Review NFC AGOL Layer"))))</f>
        <v/>
      </c>
      <c r="N161" s="6" t="str">
        <f>IF(OR($E161="",$F161=""),"",IF(_xlfn.SINGLE(JobState)="",IF(ROW()=2,HYPERLINK("#JobState","Set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161&amp;"%2C"&amp;$E161&amp;"&amp;marker="&amp;$F161&amp;","&amp;$E161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1" s="6" t="str">
        <f>IF(OR($E161="", $F161=""),"",IF(_xlfn.SINGLE(JobAgolMap)="",HYPERLINK("https://fema.maps.arcgis.com/apps/mapviewer/index.html?find="&amp;$F161&amp;"%2C"&amp;$E161&amp;"&amp;marker="&amp;$F161&amp;","&amp;$E161&amp;",4326&amp;level=16","FEMA AGOL Map Viewer"),HYPERLINK(_xlfn.SINGLE(JobAgolMap)&amp;IF(ISNUMBER(FIND("?",_xlfn.SINGLE(JobAgolMap))),"&amp;","?")&amp;"center="&amp;$F161&amp;","&amp;$E161&amp;"&amp;level=16&amp;marker="&amp;$F161&amp;","&amp;$E161,"Open")))</f>
        <v/>
      </c>
      <c r="Q161" s="4"/>
      <c r="R161" s="4"/>
      <c r="W161" s="6" t="str">
        <f t="shared" si="12"/>
        <v/>
      </c>
      <c r="X161" s="6" t="str">
        <f t="shared" si="13"/>
        <v/>
      </c>
      <c r="Y161" s="6" t="str">
        <f t="shared" si="14"/>
        <v/>
      </c>
      <c r="Z161" s="6" t="str">
        <f t="shared" si="15"/>
        <v/>
      </c>
      <c r="AA161" s="6" t="str">
        <f t="shared" si="16"/>
        <v/>
      </c>
      <c r="AB161" s="6" t="str">
        <f t="shared" si="17"/>
        <v/>
      </c>
      <c r="AC161" s="4"/>
      <c r="AD161" s="4"/>
    </row>
    <row r="162" spans="1:30" x14ac:dyDescent="0.45">
      <c r="A162" s="3"/>
      <c r="B162" s="3"/>
      <c r="C162" s="5" t="str">
        <f>IF($E162="","",COUNT($E$2:$E162))</f>
        <v/>
      </c>
      <c r="D162" s="3"/>
      <c r="E162" s="3"/>
      <c r="F162" s="3"/>
      <c r="G162" s="3"/>
      <c r="H162" s="3"/>
      <c r="I162" s="3"/>
      <c r="J162" s="3"/>
      <c r="K162" s="3"/>
      <c r="L162" s="4"/>
      <c r="M162" s="6" t="str">
        <f>IF(OR($E162="",$F162=""),"",IF(_xlfn.SINGLE(JobState)="",IF(ROW()=2,HYPERLINK("#JobState","Set State →"),""),HYPERLINK(IF(OR(_xlfn.SINGLE(JobState)="MI",_xlfn.SINGLE(JobState)=""),"https://fema.maps.arcgis.com/apps/mapviewer/index.html?webmap=6a1702b9147243d1a5ee62cd614bc681&amp;center="&amp;$F162&amp;","&amp;$E162&amp;"&amp;level=16&amp;marker="&amp;$F162&amp;","&amp;$E162&amp;"",IF(_xlfn.SINGLE(JobState)="IN","https://fema.maps.arcgis.com/apps/mapviewer/index.html?url=https%3A%2F%2Fgis.indot.in.gov%2Fro%2Frest%2Fservices%2FRAH_GIO_Collaboration%2FLRSE_Functional_Class%2FFeatureServer%2F22&amp;find="&amp;$F162&amp;"%2C"&amp;$E162&amp;"&amp;marker="&amp;$F162&amp;","&amp;$E162&amp;",4326&amp;level=16",IF(_xlfn.SINGLE(JobState)="WI","https://fema.maps.arcgis.com/apps/mapviewer/index.html?url=https://services5.arcgis.com/0pgGLzT0Nh7FVjon/arcgis/rest/services/Functional_Class_Local_Non_Prod/FeatureServer/1&amp;find="&amp;$F162&amp;"%2C"&amp;$E162&amp;"&amp;marker="&amp;$F162&amp;","&amp;$E162&amp;",4326&amp;level=16",IF(_xlfn.SINGLE(JobState)="MN","https://fema.maps.arcgis.com/apps/mapviewer/index.html?url=https%3A%2F%2Fdotapp9.dot.state.mn.us%2Fegis12%2Frest%2Fservices%2FBASEMAP%2Fmndot_commonlayers2%2FMapServer%2F11&amp;find="&amp;$F162&amp;"%2C"&amp;$E162&amp;"&amp;marker="&amp;$F162&amp;","&amp;$E162&amp;",4326&amp;level=16",IF(_xlfn.SINGLE(JobState)="IL","https://fema.maps.arcgis.com/apps/mapviewer/index.html?url=https%3A%2F%2Fgis1.dot.illinois.gov%2Farcgis%2Frest%2Fservices%2FAdministrativeData%2FFunctionalClass%2FMapServer%2F0&amp;find="&amp;$F162&amp;"%2C"&amp;$E162&amp;"&amp;marker="&amp;$F162&amp;","&amp;$E162&amp;",4326&amp;level=16",IF(_xlfn.SINGLE(JobState)="OH","https://fema.maps.arcgis.com/apps/mapviewer/index.html?url=https%3A%2F%2Ftims.dot.state.oh.us%2Fags%2Frest%2Fservices%2FRoadway_Information%2FFunctional_Class%2FMapServer%2F0&amp;find="&amp;$F162&amp;"%2C"&amp;$E162&amp;"&amp;marker="&amp;$F162&amp;","&amp;$E162&amp;",4326&amp;level=16","https://fema.maps.arcgis.com/apps/mapviewer/index.html?find="&amp;$F162&amp;"%2C"&amp;$E162&amp;"&amp;marker="&amp;$F162&amp;","&amp;$E162&amp;",4326&amp;level=16")))))),IF(_xlfn.SINGLE(JobState)="WI","Review Local Roads Layer","Review NFC AGOL Layer"))))</f>
        <v/>
      </c>
      <c r="N162" s="6" t="str">
        <f>IF(OR($E162="",$F162=""),"",IF(_xlfn.SINGLE(JobState)="",IF(ROW()=2,HYPERLINK("#JobState","Set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162&amp;"%2C"&amp;$E162&amp;"&amp;marker="&amp;$F162&amp;","&amp;$E162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2" s="6" t="str">
        <f>IF(OR($E162="", $F162=""),"",IF(_xlfn.SINGLE(JobAgolMap)="",HYPERLINK("https://fema.maps.arcgis.com/apps/mapviewer/index.html?find="&amp;$F162&amp;"%2C"&amp;$E162&amp;"&amp;marker="&amp;$F162&amp;","&amp;$E162&amp;",4326&amp;level=16","FEMA AGOL Map Viewer"),HYPERLINK(_xlfn.SINGLE(JobAgolMap)&amp;IF(ISNUMBER(FIND("?",_xlfn.SINGLE(JobAgolMap))),"&amp;","?")&amp;"center="&amp;$F162&amp;","&amp;$E162&amp;"&amp;level=16&amp;marker="&amp;$F162&amp;","&amp;$E162,"Open")))</f>
        <v/>
      </c>
      <c r="Q162" s="4"/>
      <c r="R162" s="4"/>
      <c r="W162" s="6" t="str">
        <f t="shared" si="12"/>
        <v/>
      </c>
      <c r="X162" s="6" t="str">
        <f t="shared" si="13"/>
        <v/>
      </c>
      <c r="Y162" s="6" t="str">
        <f t="shared" si="14"/>
        <v/>
      </c>
      <c r="Z162" s="6" t="str">
        <f t="shared" si="15"/>
        <v/>
      </c>
      <c r="AA162" s="6" t="str">
        <f t="shared" si="16"/>
        <v/>
      </c>
      <c r="AB162" s="6" t="str">
        <f t="shared" si="17"/>
        <v/>
      </c>
      <c r="AC162" s="4"/>
      <c r="AD162" s="4"/>
    </row>
    <row r="163" spans="1:30" x14ac:dyDescent="0.45">
      <c r="A163" s="3"/>
      <c r="B163" s="3"/>
      <c r="C163" s="5" t="str">
        <f>IF($E163="","",COUNT($E$2:$E163))</f>
        <v/>
      </c>
      <c r="D163" s="3"/>
      <c r="E163" s="3"/>
      <c r="F163" s="3"/>
      <c r="G163" s="3"/>
      <c r="H163" s="3"/>
      <c r="I163" s="3"/>
      <c r="J163" s="3"/>
      <c r="K163" s="3"/>
      <c r="L163" s="4"/>
      <c r="M163" s="6" t="str">
        <f>IF(OR($E163="",$F163=""),"",IF(_xlfn.SINGLE(JobState)="",IF(ROW()=2,HYPERLINK("#JobState","Set State →"),""),HYPERLINK(IF(OR(_xlfn.SINGLE(JobState)="MI",_xlfn.SINGLE(JobState)=""),"https://fema.maps.arcgis.com/apps/mapviewer/index.html?webmap=6a1702b9147243d1a5ee62cd614bc681&amp;center="&amp;$F163&amp;","&amp;$E163&amp;"&amp;level=16&amp;marker="&amp;$F163&amp;","&amp;$E163&amp;"",IF(_xlfn.SINGLE(JobState)="IN","https://fema.maps.arcgis.com/apps/mapviewer/index.html?url=https%3A%2F%2Fgis.indot.in.gov%2Fro%2Frest%2Fservices%2FRAH_GIO_Collaboration%2FLRSE_Functional_Class%2FFeatureServer%2F22&amp;find="&amp;$F163&amp;"%2C"&amp;$E163&amp;"&amp;marker="&amp;$F163&amp;","&amp;$E163&amp;",4326&amp;level=16",IF(_xlfn.SINGLE(JobState)="WI","https://fema.maps.arcgis.com/apps/mapviewer/index.html?url=https://services5.arcgis.com/0pgGLzT0Nh7FVjon/arcgis/rest/services/Functional_Class_Local_Non_Prod/FeatureServer/1&amp;find="&amp;$F163&amp;"%2C"&amp;$E163&amp;"&amp;marker="&amp;$F163&amp;","&amp;$E163&amp;",4326&amp;level=16",IF(_xlfn.SINGLE(JobState)="MN","https://fema.maps.arcgis.com/apps/mapviewer/index.html?url=https%3A%2F%2Fdotapp9.dot.state.mn.us%2Fegis12%2Frest%2Fservices%2FBASEMAP%2Fmndot_commonlayers2%2FMapServer%2F11&amp;find="&amp;$F163&amp;"%2C"&amp;$E163&amp;"&amp;marker="&amp;$F163&amp;","&amp;$E163&amp;",4326&amp;level=16",IF(_xlfn.SINGLE(JobState)="IL","https://fema.maps.arcgis.com/apps/mapviewer/index.html?url=https%3A%2F%2Fgis1.dot.illinois.gov%2Farcgis%2Frest%2Fservices%2FAdministrativeData%2FFunctionalClass%2FMapServer%2F0&amp;find="&amp;$F163&amp;"%2C"&amp;$E163&amp;"&amp;marker="&amp;$F163&amp;","&amp;$E163&amp;",4326&amp;level=16",IF(_xlfn.SINGLE(JobState)="OH","https://fema.maps.arcgis.com/apps/mapviewer/index.html?url=https%3A%2F%2Ftims.dot.state.oh.us%2Fags%2Frest%2Fservices%2FRoadway_Information%2FFunctional_Class%2FMapServer%2F0&amp;find="&amp;$F163&amp;"%2C"&amp;$E163&amp;"&amp;marker="&amp;$F163&amp;","&amp;$E163&amp;",4326&amp;level=16","https://fema.maps.arcgis.com/apps/mapviewer/index.html?find="&amp;$F163&amp;"%2C"&amp;$E163&amp;"&amp;marker="&amp;$F163&amp;","&amp;$E163&amp;",4326&amp;level=16")))))),IF(_xlfn.SINGLE(JobState)="WI","Review Local Roads Layer","Review NFC AGOL Layer"))))</f>
        <v/>
      </c>
      <c r="N163" s="6" t="str">
        <f>IF(OR($E163="",$F163=""),"",IF(_xlfn.SINGLE(JobState)="",IF(ROW()=2,HYPERLINK("#JobState","Set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163&amp;"%2C"&amp;$E163&amp;"&amp;marker="&amp;$F163&amp;","&amp;$E163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3" s="6" t="str">
        <f>IF(OR($E163="", $F163=""),"",IF(_xlfn.SINGLE(JobAgolMap)="",HYPERLINK("https://fema.maps.arcgis.com/apps/mapviewer/index.html?find="&amp;$F163&amp;"%2C"&amp;$E163&amp;"&amp;marker="&amp;$F163&amp;","&amp;$E163&amp;",4326&amp;level=16","FEMA AGOL Map Viewer"),HYPERLINK(_xlfn.SINGLE(JobAgolMap)&amp;IF(ISNUMBER(FIND("?",_xlfn.SINGLE(JobAgolMap))),"&amp;","?")&amp;"center="&amp;$F163&amp;","&amp;$E163&amp;"&amp;level=16&amp;marker="&amp;$F163&amp;","&amp;$E163,"Open")))</f>
        <v/>
      </c>
      <c r="Q163" s="4"/>
      <c r="R163" s="4"/>
      <c r="W163" s="6" t="str">
        <f t="shared" si="12"/>
        <v/>
      </c>
      <c r="X163" s="6" t="str">
        <f t="shared" si="13"/>
        <v/>
      </c>
      <c r="Y163" s="6" t="str">
        <f t="shared" si="14"/>
        <v/>
      </c>
      <c r="Z163" s="6" t="str">
        <f t="shared" si="15"/>
        <v/>
      </c>
      <c r="AA163" s="6" t="str">
        <f t="shared" si="16"/>
        <v/>
      </c>
      <c r="AB163" s="6" t="str">
        <f t="shared" si="17"/>
        <v/>
      </c>
      <c r="AC163" s="4"/>
      <c r="AD163" s="4"/>
    </row>
    <row r="164" spans="1:30" x14ac:dyDescent="0.45">
      <c r="A164" s="3"/>
      <c r="B164" s="3"/>
      <c r="C164" s="5" t="str">
        <f>IF($E164="","",COUNT($E$2:$E164))</f>
        <v/>
      </c>
      <c r="D164" s="3"/>
      <c r="E164" s="3"/>
      <c r="F164" s="3"/>
      <c r="G164" s="3"/>
      <c r="H164" s="3"/>
      <c r="I164" s="3"/>
      <c r="J164" s="3"/>
      <c r="K164" s="3"/>
      <c r="L164" s="4"/>
      <c r="M164" s="6" t="str">
        <f>IF(OR($E164="",$F164=""),"",IF(_xlfn.SINGLE(JobState)="",IF(ROW()=2,HYPERLINK("#JobState","Set State →"),""),HYPERLINK(IF(OR(_xlfn.SINGLE(JobState)="MI",_xlfn.SINGLE(JobState)=""),"https://fema.maps.arcgis.com/apps/mapviewer/index.html?webmap=6a1702b9147243d1a5ee62cd614bc681&amp;center="&amp;$F164&amp;","&amp;$E164&amp;"&amp;level=16&amp;marker="&amp;$F164&amp;","&amp;$E164&amp;"",IF(_xlfn.SINGLE(JobState)="IN","https://fema.maps.arcgis.com/apps/mapviewer/index.html?url=https%3A%2F%2Fgis.indot.in.gov%2Fro%2Frest%2Fservices%2FRAH_GIO_Collaboration%2FLRSE_Functional_Class%2FFeatureServer%2F22&amp;find="&amp;$F164&amp;"%2C"&amp;$E164&amp;"&amp;marker="&amp;$F164&amp;","&amp;$E164&amp;",4326&amp;level=16",IF(_xlfn.SINGLE(JobState)="WI","https://fema.maps.arcgis.com/apps/mapviewer/index.html?url=https://services5.arcgis.com/0pgGLzT0Nh7FVjon/arcgis/rest/services/Functional_Class_Local_Non_Prod/FeatureServer/1&amp;find="&amp;$F164&amp;"%2C"&amp;$E164&amp;"&amp;marker="&amp;$F164&amp;","&amp;$E164&amp;",4326&amp;level=16",IF(_xlfn.SINGLE(JobState)="MN","https://fema.maps.arcgis.com/apps/mapviewer/index.html?url=https%3A%2F%2Fdotapp9.dot.state.mn.us%2Fegis12%2Frest%2Fservices%2FBASEMAP%2Fmndot_commonlayers2%2FMapServer%2F11&amp;find="&amp;$F164&amp;"%2C"&amp;$E164&amp;"&amp;marker="&amp;$F164&amp;","&amp;$E164&amp;",4326&amp;level=16",IF(_xlfn.SINGLE(JobState)="IL","https://fema.maps.arcgis.com/apps/mapviewer/index.html?url=https%3A%2F%2Fgis1.dot.illinois.gov%2Farcgis%2Frest%2Fservices%2FAdministrativeData%2FFunctionalClass%2FMapServer%2F0&amp;find="&amp;$F164&amp;"%2C"&amp;$E164&amp;"&amp;marker="&amp;$F164&amp;","&amp;$E164&amp;",4326&amp;level=16",IF(_xlfn.SINGLE(JobState)="OH","https://fema.maps.arcgis.com/apps/mapviewer/index.html?url=https%3A%2F%2Ftims.dot.state.oh.us%2Fags%2Frest%2Fservices%2FRoadway_Information%2FFunctional_Class%2FMapServer%2F0&amp;find="&amp;$F164&amp;"%2C"&amp;$E164&amp;"&amp;marker="&amp;$F164&amp;","&amp;$E164&amp;",4326&amp;level=16","https://fema.maps.arcgis.com/apps/mapviewer/index.html?find="&amp;$F164&amp;"%2C"&amp;$E164&amp;"&amp;marker="&amp;$F164&amp;","&amp;$E164&amp;",4326&amp;level=16")))))),IF(_xlfn.SINGLE(JobState)="WI","Review Local Roads Layer","Review NFC AGOL Layer"))))</f>
        <v/>
      </c>
      <c r="N164" s="6" t="str">
        <f>IF(OR($E164="",$F164=""),"",IF(_xlfn.SINGLE(JobState)="",IF(ROW()=2,HYPERLINK("#JobState","Set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164&amp;"%2C"&amp;$E164&amp;"&amp;marker="&amp;$F164&amp;","&amp;$E164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4" s="6" t="str">
        <f>IF(OR($E164="", $F164=""),"",IF(_xlfn.SINGLE(JobAgolMap)="",HYPERLINK("https://fema.maps.arcgis.com/apps/mapviewer/index.html?find="&amp;$F164&amp;"%2C"&amp;$E164&amp;"&amp;marker="&amp;$F164&amp;","&amp;$E164&amp;",4326&amp;level=16","FEMA AGOL Map Viewer"),HYPERLINK(_xlfn.SINGLE(JobAgolMap)&amp;IF(ISNUMBER(FIND("?",_xlfn.SINGLE(JobAgolMap))),"&amp;","?")&amp;"center="&amp;$F164&amp;","&amp;$E164&amp;"&amp;level=16&amp;marker="&amp;$F164&amp;","&amp;$E164,"Open")))</f>
        <v/>
      </c>
      <c r="Q164" s="4"/>
      <c r="R164" s="4"/>
      <c r="W164" s="6" t="str">
        <f t="shared" si="12"/>
        <v/>
      </c>
      <c r="X164" s="6" t="str">
        <f t="shared" si="13"/>
        <v/>
      </c>
      <c r="Y164" s="6" t="str">
        <f t="shared" si="14"/>
        <v/>
      </c>
      <c r="Z164" s="6" t="str">
        <f t="shared" si="15"/>
        <v/>
      </c>
      <c r="AA164" s="6" t="str">
        <f t="shared" si="16"/>
        <v/>
      </c>
      <c r="AB164" s="6" t="str">
        <f t="shared" si="17"/>
        <v/>
      </c>
      <c r="AC164" s="4"/>
      <c r="AD164" s="4"/>
    </row>
    <row r="165" spans="1:30" x14ac:dyDescent="0.45">
      <c r="A165" s="3"/>
      <c r="B165" s="3"/>
      <c r="C165" s="5" t="str">
        <f>IF($E165="","",COUNT($E$2:$E165))</f>
        <v/>
      </c>
      <c r="D165" s="3"/>
      <c r="E165" s="3"/>
      <c r="F165" s="3"/>
      <c r="G165" s="3"/>
      <c r="H165" s="3"/>
      <c r="I165" s="3"/>
      <c r="J165" s="3"/>
      <c r="K165" s="3"/>
      <c r="L165" s="4"/>
      <c r="M165" s="6" t="str">
        <f>IF(OR($E165="",$F165=""),"",IF(_xlfn.SINGLE(JobState)="",IF(ROW()=2,HYPERLINK("#JobState","Set State →"),""),HYPERLINK(IF(OR(_xlfn.SINGLE(JobState)="MI",_xlfn.SINGLE(JobState)=""),"https://fema.maps.arcgis.com/apps/mapviewer/index.html?webmap=6a1702b9147243d1a5ee62cd614bc681&amp;center="&amp;$F165&amp;","&amp;$E165&amp;"&amp;level=16&amp;marker="&amp;$F165&amp;","&amp;$E165&amp;"",IF(_xlfn.SINGLE(JobState)="IN","https://fema.maps.arcgis.com/apps/mapviewer/index.html?url=https%3A%2F%2Fgis.indot.in.gov%2Fro%2Frest%2Fservices%2FRAH_GIO_Collaboration%2FLRSE_Functional_Class%2FFeatureServer%2F22&amp;find="&amp;$F165&amp;"%2C"&amp;$E165&amp;"&amp;marker="&amp;$F165&amp;","&amp;$E165&amp;",4326&amp;level=16",IF(_xlfn.SINGLE(JobState)="WI","https://fema.maps.arcgis.com/apps/mapviewer/index.html?url=https://services5.arcgis.com/0pgGLzT0Nh7FVjon/arcgis/rest/services/Functional_Class_Local_Non_Prod/FeatureServer/1&amp;find="&amp;$F165&amp;"%2C"&amp;$E165&amp;"&amp;marker="&amp;$F165&amp;","&amp;$E165&amp;",4326&amp;level=16",IF(_xlfn.SINGLE(JobState)="MN","https://fema.maps.arcgis.com/apps/mapviewer/index.html?url=https%3A%2F%2Fdotapp9.dot.state.mn.us%2Fegis12%2Frest%2Fservices%2FBASEMAP%2Fmndot_commonlayers2%2FMapServer%2F11&amp;find="&amp;$F165&amp;"%2C"&amp;$E165&amp;"&amp;marker="&amp;$F165&amp;","&amp;$E165&amp;",4326&amp;level=16",IF(_xlfn.SINGLE(JobState)="IL","https://fema.maps.arcgis.com/apps/mapviewer/index.html?url=https%3A%2F%2Fgis1.dot.illinois.gov%2Farcgis%2Frest%2Fservices%2FAdministrativeData%2FFunctionalClass%2FMapServer%2F0&amp;find="&amp;$F165&amp;"%2C"&amp;$E165&amp;"&amp;marker="&amp;$F165&amp;","&amp;$E165&amp;",4326&amp;level=16",IF(_xlfn.SINGLE(JobState)="OH","https://fema.maps.arcgis.com/apps/mapviewer/index.html?url=https%3A%2F%2Ftims.dot.state.oh.us%2Fags%2Frest%2Fservices%2FRoadway_Information%2FFunctional_Class%2FMapServer%2F0&amp;find="&amp;$F165&amp;"%2C"&amp;$E165&amp;"&amp;marker="&amp;$F165&amp;","&amp;$E165&amp;",4326&amp;level=16","https://fema.maps.arcgis.com/apps/mapviewer/index.html?find="&amp;$F165&amp;"%2C"&amp;$E165&amp;"&amp;marker="&amp;$F165&amp;","&amp;$E165&amp;",4326&amp;level=16")))))),IF(_xlfn.SINGLE(JobState)="WI","Review Local Roads Layer","Review NFC AGOL Layer"))))</f>
        <v/>
      </c>
      <c r="N165" s="6" t="str">
        <f>IF(OR($E165="",$F165=""),"",IF(_xlfn.SINGLE(JobState)="",IF(ROW()=2,HYPERLINK("#JobState","Set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165&amp;"%2C"&amp;$E165&amp;"&amp;marker="&amp;$F165&amp;","&amp;$E165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5" s="6" t="str">
        <f>IF(OR($E165="", $F165=""),"",IF(_xlfn.SINGLE(JobAgolMap)="",HYPERLINK("https://fema.maps.arcgis.com/apps/mapviewer/index.html?find="&amp;$F165&amp;"%2C"&amp;$E165&amp;"&amp;marker="&amp;$F165&amp;","&amp;$E165&amp;",4326&amp;level=16","FEMA AGOL Map Viewer"),HYPERLINK(_xlfn.SINGLE(JobAgolMap)&amp;IF(ISNUMBER(FIND("?",_xlfn.SINGLE(JobAgolMap))),"&amp;","?")&amp;"center="&amp;$F165&amp;","&amp;$E165&amp;"&amp;level=16&amp;marker="&amp;$F165&amp;","&amp;$E165,"Open")))</f>
        <v/>
      </c>
      <c r="Q165" s="4"/>
      <c r="R165" s="4"/>
      <c r="W165" s="6" t="str">
        <f t="shared" si="12"/>
        <v/>
      </c>
      <c r="X165" s="6" t="str">
        <f t="shared" si="13"/>
        <v/>
      </c>
      <c r="Y165" s="6" t="str">
        <f t="shared" si="14"/>
        <v/>
      </c>
      <c r="Z165" s="6" t="str">
        <f t="shared" si="15"/>
        <v/>
      </c>
      <c r="AA165" s="6" t="str">
        <f t="shared" si="16"/>
        <v/>
      </c>
      <c r="AB165" s="6" t="str">
        <f t="shared" si="17"/>
        <v/>
      </c>
      <c r="AC165" s="4"/>
      <c r="AD165" s="4"/>
    </row>
    <row r="166" spans="1:30" x14ac:dyDescent="0.45">
      <c r="A166" s="3"/>
      <c r="B166" s="3"/>
      <c r="C166" s="5" t="str">
        <f>IF($E166="","",COUNT($E$2:$E166))</f>
        <v/>
      </c>
      <c r="D166" s="3"/>
      <c r="E166" s="3"/>
      <c r="F166" s="3"/>
      <c r="G166" s="3"/>
      <c r="H166" s="3"/>
      <c r="I166" s="3"/>
      <c r="J166" s="3"/>
      <c r="K166" s="3"/>
      <c r="L166" s="4"/>
      <c r="M166" s="6" t="str">
        <f>IF(OR($E166="",$F166=""),"",IF(_xlfn.SINGLE(JobState)="",IF(ROW()=2,HYPERLINK("#JobState","Set State →"),""),HYPERLINK(IF(OR(_xlfn.SINGLE(JobState)="MI",_xlfn.SINGLE(JobState)=""),"https://fema.maps.arcgis.com/apps/mapviewer/index.html?webmap=6a1702b9147243d1a5ee62cd614bc681&amp;center="&amp;$F166&amp;","&amp;$E166&amp;"&amp;level=16&amp;marker="&amp;$F166&amp;","&amp;$E166&amp;"",IF(_xlfn.SINGLE(JobState)="IN","https://fema.maps.arcgis.com/apps/mapviewer/index.html?url=https%3A%2F%2Fgis.indot.in.gov%2Fro%2Frest%2Fservices%2FRAH_GIO_Collaboration%2FLRSE_Functional_Class%2FFeatureServer%2F22&amp;find="&amp;$F166&amp;"%2C"&amp;$E166&amp;"&amp;marker="&amp;$F166&amp;","&amp;$E166&amp;",4326&amp;level=16",IF(_xlfn.SINGLE(JobState)="WI","https://fema.maps.arcgis.com/apps/mapviewer/index.html?url=https://services5.arcgis.com/0pgGLzT0Nh7FVjon/arcgis/rest/services/Functional_Class_Local_Non_Prod/FeatureServer/1&amp;find="&amp;$F166&amp;"%2C"&amp;$E166&amp;"&amp;marker="&amp;$F166&amp;","&amp;$E166&amp;",4326&amp;level=16",IF(_xlfn.SINGLE(JobState)="MN","https://fema.maps.arcgis.com/apps/mapviewer/index.html?url=https%3A%2F%2Fdotapp9.dot.state.mn.us%2Fegis12%2Frest%2Fservices%2FBASEMAP%2Fmndot_commonlayers2%2FMapServer%2F11&amp;find="&amp;$F166&amp;"%2C"&amp;$E166&amp;"&amp;marker="&amp;$F166&amp;","&amp;$E166&amp;",4326&amp;level=16",IF(_xlfn.SINGLE(JobState)="IL","https://fema.maps.arcgis.com/apps/mapviewer/index.html?url=https%3A%2F%2Fgis1.dot.illinois.gov%2Farcgis%2Frest%2Fservices%2FAdministrativeData%2FFunctionalClass%2FMapServer%2F0&amp;find="&amp;$F166&amp;"%2C"&amp;$E166&amp;"&amp;marker="&amp;$F166&amp;","&amp;$E166&amp;",4326&amp;level=16",IF(_xlfn.SINGLE(JobState)="OH","https://fema.maps.arcgis.com/apps/mapviewer/index.html?url=https%3A%2F%2Ftims.dot.state.oh.us%2Fags%2Frest%2Fservices%2FRoadway_Information%2FFunctional_Class%2FMapServer%2F0&amp;find="&amp;$F166&amp;"%2C"&amp;$E166&amp;"&amp;marker="&amp;$F166&amp;","&amp;$E166&amp;",4326&amp;level=16","https://fema.maps.arcgis.com/apps/mapviewer/index.html?find="&amp;$F166&amp;"%2C"&amp;$E166&amp;"&amp;marker="&amp;$F166&amp;","&amp;$E166&amp;",4326&amp;level=16")))))),IF(_xlfn.SINGLE(JobState)="WI","Review Local Roads Layer","Review NFC AGOL Layer"))))</f>
        <v/>
      </c>
      <c r="N166" s="6" t="str">
        <f>IF(OR($E166="",$F166=""),"",IF(_xlfn.SINGLE(JobState)="",IF(ROW()=2,HYPERLINK("#JobState","Set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166&amp;"%2C"&amp;$E166&amp;"&amp;marker="&amp;$F166&amp;","&amp;$E166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6" s="6" t="str">
        <f>IF(OR($E166="", $F166=""),"",IF(_xlfn.SINGLE(JobAgolMap)="",HYPERLINK("https://fema.maps.arcgis.com/apps/mapviewer/index.html?find="&amp;$F166&amp;"%2C"&amp;$E166&amp;"&amp;marker="&amp;$F166&amp;","&amp;$E166&amp;",4326&amp;level=16","FEMA AGOL Map Viewer"),HYPERLINK(_xlfn.SINGLE(JobAgolMap)&amp;IF(ISNUMBER(FIND("?",_xlfn.SINGLE(JobAgolMap))),"&amp;","?")&amp;"center="&amp;$F166&amp;","&amp;$E166&amp;"&amp;level=16&amp;marker="&amp;$F166&amp;","&amp;$E166,"Open")))</f>
        <v/>
      </c>
      <c r="Q166" s="4"/>
      <c r="R166" s="4"/>
      <c r="W166" s="6" t="str">
        <f t="shared" si="12"/>
        <v/>
      </c>
      <c r="X166" s="6" t="str">
        <f t="shared" si="13"/>
        <v/>
      </c>
      <c r="Y166" s="6" t="str">
        <f t="shared" si="14"/>
        <v/>
      </c>
      <c r="Z166" s="6" t="str">
        <f t="shared" si="15"/>
        <v/>
      </c>
      <c r="AA166" s="6" t="str">
        <f t="shared" si="16"/>
        <v/>
      </c>
      <c r="AB166" s="6" t="str">
        <f t="shared" si="17"/>
        <v/>
      </c>
      <c r="AC166" s="4"/>
      <c r="AD166" s="4"/>
    </row>
    <row r="167" spans="1:30" x14ac:dyDescent="0.45">
      <c r="A167" s="3"/>
      <c r="B167" s="3"/>
      <c r="C167" s="5" t="str">
        <f>IF($E167="","",COUNT($E$2:$E167))</f>
        <v/>
      </c>
      <c r="D167" s="3"/>
      <c r="E167" s="3"/>
      <c r="F167" s="3"/>
      <c r="G167" s="3"/>
      <c r="H167" s="3"/>
      <c r="I167" s="3"/>
      <c r="J167" s="3"/>
      <c r="K167" s="3"/>
      <c r="L167" s="4"/>
      <c r="M167" s="6" t="str">
        <f>IF(OR($E167="",$F167=""),"",IF(_xlfn.SINGLE(JobState)="",IF(ROW()=2,HYPERLINK("#JobState","Set State →"),""),HYPERLINK(IF(OR(_xlfn.SINGLE(JobState)="MI",_xlfn.SINGLE(JobState)=""),"https://fema.maps.arcgis.com/apps/mapviewer/index.html?webmap=6a1702b9147243d1a5ee62cd614bc681&amp;center="&amp;$F167&amp;","&amp;$E167&amp;"&amp;level=16&amp;marker="&amp;$F167&amp;","&amp;$E167&amp;"",IF(_xlfn.SINGLE(JobState)="IN","https://fema.maps.arcgis.com/apps/mapviewer/index.html?url=https%3A%2F%2Fgis.indot.in.gov%2Fro%2Frest%2Fservices%2FRAH_GIO_Collaboration%2FLRSE_Functional_Class%2FFeatureServer%2F22&amp;find="&amp;$F167&amp;"%2C"&amp;$E167&amp;"&amp;marker="&amp;$F167&amp;","&amp;$E167&amp;",4326&amp;level=16",IF(_xlfn.SINGLE(JobState)="WI","https://fema.maps.arcgis.com/apps/mapviewer/index.html?url=https://services5.arcgis.com/0pgGLzT0Nh7FVjon/arcgis/rest/services/Functional_Class_Local_Non_Prod/FeatureServer/1&amp;find="&amp;$F167&amp;"%2C"&amp;$E167&amp;"&amp;marker="&amp;$F167&amp;","&amp;$E167&amp;",4326&amp;level=16",IF(_xlfn.SINGLE(JobState)="MN","https://fema.maps.arcgis.com/apps/mapviewer/index.html?url=https%3A%2F%2Fdotapp9.dot.state.mn.us%2Fegis12%2Frest%2Fservices%2FBASEMAP%2Fmndot_commonlayers2%2FMapServer%2F11&amp;find="&amp;$F167&amp;"%2C"&amp;$E167&amp;"&amp;marker="&amp;$F167&amp;","&amp;$E167&amp;",4326&amp;level=16",IF(_xlfn.SINGLE(JobState)="IL","https://fema.maps.arcgis.com/apps/mapviewer/index.html?url=https%3A%2F%2Fgis1.dot.illinois.gov%2Farcgis%2Frest%2Fservices%2FAdministrativeData%2FFunctionalClass%2FMapServer%2F0&amp;find="&amp;$F167&amp;"%2C"&amp;$E167&amp;"&amp;marker="&amp;$F167&amp;","&amp;$E167&amp;",4326&amp;level=16",IF(_xlfn.SINGLE(JobState)="OH","https://fema.maps.arcgis.com/apps/mapviewer/index.html?url=https%3A%2F%2Ftims.dot.state.oh.us%2Fags%2Frest%2Fservices%2FRoadway_Information%2FFunctional_Class%2FMapServer%2F0&amp;find="&amp;$F167&amp;"%2C"&amp;$E167&amp;"&amp;marker="&amp;$F167&amp;","&amp;$E167&amp;",4326&amp;level=16","https://fema.maps.arcgis.com/apps/mapviewer/index.html?find="&amp;$F167&amp;"%2C"&amp;$E167&amp;"&amp;marker="&amp;$F167&amp;","&amp;$E167&amp;",4326&amp;level=16")))))),IF(_xlfn.SINGLE(JobState)="WI","Review Local Roads Layer","Review NFC AGOL Layer"))))</f>
        <v/>
      </c>
      <c r="N167" s="6" t="str">
        <f>IF(OR($E167="",$F167=""),"",IF(_xlfn.SINGLE(JobState)="",IF(ROW()=2,HYPERLINK("#JobState","Set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167&amp;"%2C"&amp;$E167&amp;"&amp;marker="&amp;$F167&amp;","&amp;$E167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7" s="6" t="str">
        <f>IF(OR($E167="", $F167=""),"",IF(_xlfn.SINGLE(JobAgolMap)="",HYPERLINK("https://fema.maps.arcgis.com/apps/mapviewer/index.html?find="&amp;$F167&amp;"%2C"&amp;$E167&amp;"&amp;marker="&amp;$F167&amp;","&amp;$E167&amp;",4326&amp;level=16","FEMA AGOL Map Viewer"),HYPERLINK(_xlfn.SINGLE(JobAgolMap)&amp;IF(ISNUMBER(FIND("?",_xlfn.SINGLE(JobAgolMap))),"&amp;","?")&amp;"center="&amp;$F167&amp;","&amp;$E167&amp;"&amp;level=16&amp;marker="&amp;$F167&amp;","&amp;$E167,"Open")))</f>
        <v/>
      </c>
      <c r="Q167" s="4"/>
      <c r="R167" s="4"/>
      <c r="W167" s="6" t="str">
        <f t="shared" si="12"/>
        <v/>
      </c>
      <c r="X167" s="6" t="str">
        <f t="shared" si="13"/>
        <v/>
      </c>
      <c r="Y167" s="6" t="str">
        <f t="shared" si="14"/>
        <v/>
      </c>
      <c r="Z167" s="6" t="str">
        <f t="shared" si="15"/>
        <v/>
      </c>
      <c r="AA167" s="6" t="str">
        <f t="shared" si="16"/>
        <v/>
      </c>
      <c r="AB167" s="6" t="str">
        <f t="shared" si="17"/>
        <v/>
      </c>
      <c r="AC167" s="4"/>
      <c r="AD167" s="4"/>
    </row>
    <row r="168" spans="1:30" x14ac:dyDescent="0.45">
      <c r="A168" s="3"/>
      <c r="B168" s="3"/>
      <c r="C168" s="5" t="str">
        <f>IF($E168="","",COUNT($E$2:$E168))</f>
        <v/>
      </c>
      <c r="D168" s="3"/>
      <c r="E168" s="3"/>
      <c r="F168" s="3"/>
      <c r="G168" s="3"/>
      <c r="H168" s="3"/>
      <c r="I168" s="3"/>
      <c r="J168" s="3"/>
      <c r="K168" s="3"/>
      <c r="L168" s="4"/>
      <c r="M168" s="6" t="str">
        <f>IF(OR($E168="",$F168=""),"",IF(_xlfn.SINGLE(JobState)="",IF(ROW()=2,HYPERLINK("#JobState","Set State →"),""),HYPERLINK(IF(OR(_xlfn.SINGLE(JobState)="MI",_xlfn.SINGLE(JobState)=""),"https://fema.maps.arcgis.com/apps/mapviewer/index.html?webmap=6a1702b9147243d1a5ee62cd614bc681&amp;center="&amp;$F168&amp;","&amp;$E168&amp;"&amp;level=16&amp;marker="&amp;$F168&amp;","&amp;$E168&amp;"",IF(_xlfn.SINGLE(JobState)="IN","https://fema.maps.arcgis.com/apps/mapviewer/index.html?url=https%3A%2F%2Fgis.indot.in.gov%2Fro%2Frest%2Fservices%2FRAH_GIO_Collaboration%2FLRSE_Functional_Class%2FFeatureServer%2F22&amp;find="&amp;$F168&amp;"%2C"&amp;$E168&amp;"&amp;marker="&amp;$F168&amp;","&amp;$E168&amp;",4326&amp;level=16",IF(_xlfn.SINGLE(JobState)="WI","https://fema.maps.arcgis.com/apps/mapviewer/index.html?url=https://services5.arcgis.com/0pgGLzT0Nh7FVjon/arcgis/rest/services/Functional_Class_Local_Non_Prod/FeatureServer/1&amp;find="&amp;$F168&amp;"%2C"&amp;$E168&amp;"&amp;marker="&amp;$F168&amp;","&amp;$E168&amp;",4326&amp;level=16",IF(_xlfn.SINGLE(JobState)="MN","https://fema.maps.arcgis.com/apps/mapviewer/index.html?url=https%3A%2F%2Fdotapp9.dot.state.mn.us%2Fegis12%2Frest%2Fservices%2FBASEMAP%2Fmndot_commonlayers2%2FMapServer%2F11&amp;find="&amp;$F168&amp;"%2C"&amp;$E168&amp;"&amp;marker="&amp;$F168&amp;","&amp;$E168&amp;",4326&amp;level=16",IF(_xlfn.SINGLE(JobState)="IL","https://fema.maps.arcgis.com/apps/mapviewer/index.html?url=https%3A%2F%2Fgis1.dot.illinois.gov%2Farcgis%2Frest%2Fservices%2FAdministrativeData%2FFunctionalClass%2FMapServer%2F0&amp;find="&amp;$F168&amp;"%2C"&amp;$E168&amp;"&amp;marker="&amp;$F168&amp;","&amp;$E168&amp;",4326&amp;level=16",IF(_xlfn.SINGLE(JobState)="OH","https://fema.maps.arcgis.com/apps/mapviewer/index.html?url=https%3A%2F%2Ftims.dot.state.oh.us%2Fags%2Frest%2Fservices%2FRoadway_Information%2FFunctional_Class%2FMapServer%2F0&amp;find="&amp;$F168&amp;"%2C"&amp;$E168&amp;"&amp;marker="&amp;$F168&amp;","&amp;$E168&amp;",4326&amp;level=16","https://fema.maps.arcgis.com/apps/mapviewer/index.html?find="&amp;$F168&amp;"%2C"&amp;$E168&amp;"&amp;marker="&amp;$F168&amp;","&amp;$E168&amp;",4326&amp;level=16")))))),IF(_xlfn.SINGLE(JobState)="WI","Review Local Roads Layer","Review NFC AGOL Layer"))))</f>
        <v/>
      </c>
      <c r="N168" s="6" t="str">
        <f>IF(OR($E168="",$F168=""),"",IF(_xlfn.SINGLE(JobState)="",IF(ROW()=2,HYPERLINK("#JobState","Set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168&amp;"%2C"&amp;$E168&amp;"&amp;marker="&amp;$F168&amp;","&amp;$E168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8" s="6" t="str">
        <f>IF(OR($E168="", $F168=""),"",IF(_xlfn.SINGLE(JobAgolMap)="",HYPERLINK("https://fema.maps.arcgis.com/apps/mapviewer/index.html?find="&amp;$F168&amp;"%2C"&amp;$E168&amp;"&amp;marker="&amp;$F168&amp;","&amp;$E168&amp;",4326&amp;level=16","FEMA AGOL Map Viewer"),HYPERLINK(_xlfn.SINGLE(JobAgolMap)&amp;IF(ISNUMBER(FIND("?",_xlfn.SINGLE(JobAgolMap))),"&amp;","?")&amp;"center="&amp;$F168&amp;","&amp;$E168&amp;"&amp;level=16&amp;marker="&amp;$F168&amp;","&amp;$E168,"Open")))</f>
        <v/>
      </c>
      <c r="Q168" s="4"/>
      <c r="R168" s="4"/>
      <c r="W168" s="6" t="str">
        <f t="shared" si="12"/>
        <v/>
      </c>
      <c r="X168" s="6" t="str">
        <f t="shared" si="13"/>
        <v/>
      </c>
      <c r="Y168" s="6" t="str">
        <f t="shared" si="14"/>
        <v/>
      </c>
      <c r="Z168" s="6" t="str">
        <f t="shared" si="15"/>
        <v/>
      </c>
      <c r="AA168" s="6" t="str">
        <f t="shared" si="16"/>
        <v/>
      </c>
      <c r="AB168" s="6" t="str">
        <f t="shared" si="17"/>
        <v/>
      </c>
      <c r="AC168" s="4"/>
      <c r="AD168" s="4"/>
    </row>
    <row r="169" spans="1:30" x14ac:dyDescent="0.45">
      <c r="A169" s="3"/>
      <c r="B169" s="3"/>
      <c r="C169" s="5" t="str">
        <f>IF($E169="","",COUNT($E$2:$E169))</f>
        <v/>
      </c>
      <c r="D169" s="3"/>
      <c r="E169" s="3"/>
      <c r="F169" s="3"/>
      <c r="G169" s="3"/>
      <c r="H169" s="3"/>
      <c r="I169" s="3"/>
      <c r="J169" s="3"/>
      <c r="K169" s="3"/>
      <c r="L169" s="4"/>
      <c r="M169" s="6" t="str">
        <f>IF(OR($E169="",$F169=""),"",IF(_xlfn.SINGLE(JobState)="",IF(ROW()=2,HYPERLINK("#JobState","Set State →"),""),HYPERLINK(IF(OR(_xlfn.SINGLE(JobState)="MI",_xlfn.SINGLE(JobState)=""),"https://fema.maps.arcgis.com/apps/mapviewer/index.html?webmap=6a1702b9147243d1a5ee62cd614bc681&amp;center="&amp;$F169&amp;","&amp;$E169&amp;"&amp;level=16&amp;marker="&amp;$F169&amp;","&amp;$E169&amp;"",IF(_xlfn.SINGLE(JobState)="IN","https://fema.maps.arcgis.com/apps/mapviewer/index.html?url=https%3A%2F%2Fgis.indot.in.gov%2Fro%2Frest%2Fservices%2FRAH_GIO_Collaboration%2FLRSE_Functional_Class%2FFeatureServer%2F22&amp;find="&amp;$F169&amp;"%2C"&amp;$E169&amp;"&amp;marker="&amp;$F169&amp;","&amp;$E169&amp;",4326&amp;level=16",IF(_xlfn.SINGLE(JobState)="WI","https://fema.maps.arcgis.com/apps/mapviewer/index.html?url=https://services5.arcgis.com/0pgGLzT0Nh7FVjon/arcgis/rest/services/Functional_Class_Local_Non_Prod/FeatureServer/1&amp;find="&amp;$F169&amp;"%2C"&amp;$E169&amp;"&amp;marker="&amp;$F169&amp;","&amp;$E169&amp;",4326&amp;level=16",IF(_xlfn.SINGLE(JobState)="MN","https://fema.maps.arcgis.com/apps/mapviewer/index.html?url=https%3A%2F%2Fdotapp9.dot.state.mn.us%2Fegis12%2Frest%2Fservices%2FBASEMAP%2Fmndot_commonlayers2%2FMapServer%2F11&amp;find="&amp;$F169&amp;"%2C"&amp;$E169&amp;"&amp;marker="&amp;$F169&amp;","&amp;$E169&amp;",4326&amp;level=16",IF(_xlfn.SINGLE(JobState)="IL","https://fema.maps.arcgis.com/apps/mapviewer/index.html?url=https%3A%2F%2Fgis1.dot.illinois.gov%2Farcgis%2Frest%2Fservices%2FAdministrativeData%2FFunctionalClass%2FMapServer%2F0&amp;find="&amp;$F169&amp;"%2C"&amp;$E169&amp;"&amp;marker="&amp;$F169&amp;","&amp;$E169&amp;",4326&amp;level=16",IF(_xlfn.SINGLE(JobState)="OH","https://fema.maps.arcgis.com/apps/mapviewer/index.html?url=https%3A%2F%2Ftims.dot.state.oh.us%2Fags%2Frest%2Fservices%2FRoadway_Information%2FFunctional_Class%2FMapServer%2F0&amp;find="&amp;$F169&amp;"%2C"&amp;$E169&amp;"&amp;marker="&amp;$F169&amp;","&amp;$E169&amp;",4326&amp;level=16","https://fema.maps.arcgis.com/apps/mapviewer/index.html?find="&amp;$F169&amp;"%2C"&amp;$E169&amp;"&amp;marker="&amp;$F169&amp;","&amp;$E169&amp;",4326&amp;level=16")))))),IF(_xlfn.SINGLE(JobState)="WI","Review Local Roads Layer","Review NFC AGOL Layer"))))</f>
        <v/>
      </c>
      <c r="N169" s="6" t="str">
        <f>IF(OR($E169="",$F169=""),"",IF(_xlfn.SINGLE(JobState)="",IF(ROW()=2,HYPERLINK("#JobState","Set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169&amp;"%2C"&amp;$E169&amp;"&amp;marker="&amp;$F169&amp;","&amp;$E169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9" s="6" t="str">
        <f>IF(OR($E169="", $F169=""),"",IF(_xlfn.SINGLE(JobAgolMap)="",HYPERLINK("https://fema.maps.arcgis.com/apps/mapviewer/index.html?find="&amp;$F169&amp;"%2C"&amp;$E169&amp;"&amp;marker="&amp;$F169&amp;","&amp;$E169&amp;",4326&amp;level=16","FEMA AGOL Map Viewer"),HYPERLINK(_xlfn.SINGLE(JobAgolMap)&amp;IF(ISNUMBER(FIND("?",_xlfn.SINGLE(JobAgolMap))),"&amp;","?")&amp;"center="&amp;$F169&amp;","&amp;$E169&amp;"&amp;level=16&amp;marker="&amp;$F169&amp;","&amp;$E169,"Open")))</f>
        <v/>
      </c>
      <c r="Q169" s="4"/>
      <c r="R169" s="4"/>
      <c r="W169" s="6" t="str">
        <f t="shared" si="12"/>
        <v/>
      </c>
      <c r="X169" s="6" t="str">
        <f t="shared" si="13"/>
        <v/>
      </c>
      <c r="Y169" s="6" t="str">
        <f t="shared" si="14"/>
        <v/>
      </c>
      <c r="Z169" s="6" t="str">
        <f t="shared" si="15"/>
        <v/>
      </c>
      <c r="AA169" s="6" t="str">
        <f t="shared" si="16"/>
        <v/>
      </c>
      <c r="AB169" s="6" t="str">
        <f t="shared" si="17"/>
        <v/>
      </c>
      <c r="AC169" s="4"/>
      <c r="AD169" s="4"/>
    </row>
    <row r="170" spans="1:30" x14ac:dyDescent="0.45">
      <c r="A170" s="3"/>
      <c r="B170" s="3"/>
      <c r="C170" s="5" t="str">
        <f>IF($E170="","",COUNT($E$2:$E170))</f>
        <v/>
      </c>
      <c r="D170" s="3"/>
      <c r="E170" s="3"/>
      <c r="F170" s="3"/>
      <c r="G170" s="3"/>
      <c r="H170" s="3"/>
      <c r="I170" s="3"/>
      <c r="J170" s="3"/>
      <c r="K170" s="3"/>
      <c r="L170" s="4"/>
      <c r="M170" s="6" t="str">
        <f>IF(OR($E170="",$F170=""),"",IF(_xlfn.SINGLE(JobState)="",IF(ROW()=2,HYPERLINK("#JobState","Set State →"),""),HYPERLINK(IF(OR(_xlfn.SINGLE(JobState)="MI",_xlfn.SINGLE(JobState)=""),"https://fema.maps.arcgis.com/apps/mapviewer/index.html?webmap=6a1702b9147243d1a5ee62cd614bc681&amp;center="&amp;$F170&amp;","&amp;$E170&amp;"&amp;level=16&amp;marker="&amp;$F170&amp;","&amp;$E170&amp;"",IF(_xlfn.SINGLE(JobState)="IN","https://fema.maps.arcgis.com/apps/mapviewer/index.html?url=https%3A%2F%2Fgis.indot.in.gov%2Fro%2Frest%2Fservices%2FRAH_GIO_Collaboration%2FLRSE_Functional_Class%2FFeatureServer%2F22&amp;find="&amp;$F170&amp;"%2C"&amp;$E170&amp;"&amp;marker="&amp;$F170&amp;","&amp;$E170&amp;",4326&amp;level=16",IF(_xlfn.SINGLE(JobState)="WI","https://fema.maps.arcgis.com/apps/mapviewer/index.html?url=https://services5.arcgis.com/0pgGLzT0Nh7FVjon/arcgis/rest/services/Functional_Class_Local_Non_Prod/FeatureServer/1&amp;find="&amp;$F170&amp;"%2C"&amp;$E170&amp;"&amp;marker="&amp;$F170&amp;","&amp;$E170&amp;",4326&amp;level=16",IF(_xlfn.SINGLE(JobState)="MN","https://fema.maps.arcgis.com/apps/mapviewer/index.html?url=https%3A%2F%2Fdotapp9.dot.state.mn.us%2Fegis12%2Frest%2Fservices%2FBASEMAP%2Fmndot_commonlayers2%2FMapServer%2F11&amp;find="&amp;$F170&amp;"%2C"&amp;$E170&amp;"&amp;marker="&amp;$F170&amp;","&amp;$E170&amp;",4326&amp;level=16",IF(_xlfn.SINGLE(JobState)="IL","https://fema.maps.arcgis.com/apps/mapviewer/index.html?url=https%3A%2F%2Fgis1.dot.illinois.gov%2Farcgis%2Frest%2Fservices%2FAdministrativeData%2FFunctionalClass%2FMapServer%2F0&amp;find="&amp;$F170&amp;"%2C"&amp;$E170&amp;"&amp;marker="&amp;$F170&amp;","&amp;$E170&amp;",4326&amp;level=16",IF(_xlfn.SINGLE(JobState)="OH","https://fema.maps.arcgis.com/apps/mapviewer/index.html?url=https%3A%2F%2Ftims.dot.state.oh.us%2Fags%2Frest%2Fservices%2FRoadway_Information%2FFunctional_Class%2FMapServer%2F0&amp;find="&amp;$F170&amp;"%2C"&amp;$E170&amp;"&amp;marker="&amp;$F170&amp;","&amp;$E170&amp;",4326&amp;level=16","https://fema.maps.arcgis.com/apps/mapviewer/index.html?find="&amp;$F170&amp;"%2C"&amp;$E170&amp;"&amp;marker="&amp;$F170&amp;","&amp;$E170&amp;",4326&amp;level=16")))))),IF(_xlfn.SINGLE(JobState)="WI","Review Local Roads Layer","Review NFC AGOL Layer"))))</f>
        <v/>
      </c>
      <c r="N170" s="6" t="str">
        <f>IF(OR($E170="",$F170=""),"",IF(_xlfn.SINGLE(JobState)="",IF(ROW()=2,HYPERLINK("#JobState","Set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170&amp;"%2C"&amp;$E170&amp;"&amp;marker="&amp;$F170&amp;","&amp;$E170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0" s="6" t="str">
        <f>IF(OR($E170="", $F170=""),"",IF(_xlfn.SINGLE(JobAgolMap)="",HYPERLINK("https://fema.maps.arcgis.com/apps/mapviewer/index.html?find="&amp;$F170&amp;"%2C"&amp;$E170&amp;"&amp;marker="&amp;$F170&amp;","&amp;$E170&amp;",4326&amp;level=16","FEMA AGOL Map Viewer"),HYPERLINK(_xlfn.SINGLE(JobAgolMap)&amp;IF(ISNUMBER(FIND("?",_xlfn.SINGLE(JobAgolMap))),"&amp;","?")&amp;"center="&amp;$F170&amp;","&amp;$E170&amp;"&amp;level=16&amp;marker="&amp;$F170&amp;","&amp;$E170,"Open")))</f>
        <v/>
      </c>
      <c r="Q170" s="4"/>
      <c r="R170" s="4"/>
      <c r="W170" s="6" t="str">
        <f t="shared" si="12"/>
        <v/>
      </c>
      <c r="X170" s="6" t="str">
        <f t="shared" si="13"/>
        <v/>
      </c>
      <c r="Y170" s="6" t="str">
        <f t="shared" si="14"/>
        <v/>
      </c>
      <c r="Z170" s="6" t="str">
        <f t="shared" si="15"/>
        <v/>
      </c>
      <c r="AA170" s="6" t="str">
        <f t="shared" si="16"/>
        <v/>
      </c>
      <c r="AB170" s="6" t="str">
        <f t="shared" si="17"/>
        <v/>
      </c>
      <c r="AC170" s="4"/>
      <c r="AD170" s="4"/>
    </row>
    <row r="171" spans="1:30" x14ac:dyDescent="0.45">
      <c r="A171" s="3"/>
      <c r="B171" s="3"/>
      <c r="C171" s="5" t="str">
        <f>IF($E171="","",COUNT($E$2:$E171))</f>
        <v/>
      </c>
      <c r="D171" s="3"/>
      <c r="E171" s="3"/>
      <c r="F171" s="3"/>
      <c r="G171" s="3"/>
      <c r="H171" s="3"/>
      <c r="I171" s="3"/>
      <c r="J171" s="3"/>
      <c r="K171" s="3"/>
      <c r="L171" s="4"/>
      <c r="M171" s="6" t="str">
        <f>IF(OR($E171="",$F171=""),"",IF(_xlfn.SINGLE(JobState)="",IF(ROW()=2,HYPERLINK("#JobState","Set State →"),""),HYPERLINK(IF(OR(_xlfn.SINGLE(JobState)="MI",_xlfn.SINGLE(JobState)=""),"https://fema.maps.arcgis.com/apps/mapviewer/index.html?webmap=6a1702b9147243d1a5ee62cd614bc681&amp;center="&amp;$F171&amp;","&amp;$E171&amp;"&amp;level=16&amp;marker="&amp;$F171&amp;","&amp;$E171&amp;"",IF(_xlfn.SINGLE(JobState)="IN","https://fema.maps.arcgis.com/apps/mapviewer/index.html?url=https%3A%2F%2Fgis.indot.in.gov%2Fro%2Frest%2Fservices%2FRAH_GIO_Collaboration%2FLRSE_Functional_Class%2FFeatureServer%2F22&amp;find="&amp;$F171&amp;"%2C"&amp;$E171&amp;"&amp;marker="&amp;$F171&amp;","&amp;$E171&amp;",4326&amp;level=16",IF(_xlfn.SINGLE(JobState)="WI","https://fema.maps.arcgis.com/apps/mapviewer/index.html?url=https://services5.arcgis.com/0pgGLzT0Nh7FVjon/arcgis/rest/services/Functional_Class_Local_Non_Prod/FeatureServer/1&amp;find="&amp;$F171&amp;"%2C"&amp;$E171&amp;"&amp;marker="&amp;$F171&amp;","&amp;$E171&amp;",4326&amp;level=16",IF(_xlfn.SINGLE(JobState)="MN","https://fema.maps.arcgis.com/apps/mapviewer/index.html?url=https%3A%2F%2Fdotapp9.dot.state.mn.us%2Fegis12%2Frest%2Fservices%2FBASEMAP%2Fmndot_commonlayers2%2FMapServer%2F11&amp;find="&amp;$F171&amp;"%2C"&amp;$E171&amp;"&amp;marker="&amp;$F171&amp;","&amp;$E171&amp;",4326&amp;level=16",IF(_xlfn.SINGLE(JobState)="IL","https://fema.maps.arcgis.com/apps/mapviewer/index.html?url=https%3A%2F%2Fgis1.dot.illinois.gov%2Farcgis%2Frest%2Fservices%2FAdministrativeData%2FFunctionalClass%2FMapServer%2F0&amp;find="&amp;$F171&amp;"%2C"&amp;$E171&amp;"&amp;marker="&amp;$F171&amp;","&amp;$E171&amp;",4326&amp;level=16",IF(_xlfn.SINGLE(JobState)="OH","https://fema.maps.arcgis.com/apps/mapviewer/index.html?url=https%3A%2F%2Ftims.dot.state.oh.us%2Fags%2Frest%2Fservices%2FRoadway_Information%2FFunctional_Class%2FMapServer%2F0&amp;find="&amp;$F171&amp;"%2C"&amp;$E171&amp;"&amp;marker="&amp;$F171&amp;","&amp;$E171&amp;",4326&amp;level=16","https://fema.maps.arcgis.com/apps/mapviewer/index.html?find="&amp;$F171&amp;"%2C"&amp;$E171&amp;"&amp;marker="&amp;$F171&amp;","&amp;$E171&amp;",4326&amp;level=16")))))),IF(_xlfn.SINGLE(JobState)="WI","Review Local Roads Layer","Review NFC AGOL Layer"))))</f>
        <v/>
      </c>
      <c r="N171" s="6" t="str">
        <f>IF(OR($E171="",$F171=""),"",IF(_xlfn.SINGLE(JobState)="",IF(ROW()=2,HYPERLINK("#JobState","Set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171&amp;"%2C"&amp;$E171&amp;"&amp;marker="&amp;$F171&amp;","&amp;$E171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1" s="6" t="str">
        <f>IF(OR($E171="", $F171=""),"",IF(_xlfn.SINGLE(JobAgolMap)="",HYPERLINK("https://fema.maps.arcgis.com/apps/mapviewer/index.html?find="&amp;$F171&amp;"%2C"&amp;$E171&amp;"&amp;marker="&amp;$F171&amp;","&amp;$E171&amp;",4326&amp;level=16","FEMA AGOL Map Viewer"),HYPERLINK(_xlfn.SINGLE(JobAgolMap)&amp;IF(ISNUMBER(FIND("?",_xlfn.SINGLE(JobAgolMap))),"&amp;","?")&amp;"center="&amp;$F171&amp;","&amp;$E171&amp;"&amp;level=16&amp;marker="&amp;$F171&amp;","&amp;$E171,"Open")))</f>
        <v/>
      </c>
      <c r="Q171" s="4"/>
      <c r="R171" s="4"/>
      <c r="W171" s="6" t="str">
        <f t="shared" si="12"/>
        <v/>
      </c>
      <c r="X171" s="6" t="str">
        <f t="shared" si="13"/>
        <v/>
      </c>
      <c r="Y171" s="6" t="str">
        <f t="shared" si="14"/>
        <v/>
      </c>
      <c r="Z171" s="6" t="str">
        <f t="shared" si="15"/>
        <v/>
      </c>
      <c r="AA171" s="6" t="str">
        <f t="shared" si="16"/>
        <v/>
      </c>
      <c r="AB171" s="6" t="str">
        <f t="shared" si="17"/>
        <v/>
      </c>
      <c r="AC171" s="4"/>
      <c r="AD171" s="4"/>
    </row>
    <row r="172" spans="1:30" x14ac:dyDescent="0.45">
      <c r="A172" s="3"/>
      <c r="B172" s="3"/>
      <c r="C172" s="5" t="str">
        <f>IF($E172="","",COUNT($E$2:$E172))</f>
        <v/>
      </c>
      <c r="D172" s="3"/>
      <c r="E172" s="3"/>
      <c r="F172" s="3"/>
      <c r="G172" s="3"/>
      <c r="H172" s="3"/>
      <c r="I172" s="3"/>
      <c r="J172" s="3"/>
      <c r="K172" s="3"/>
      <c r="L172" s="4"/>
      <c r="M172" s="6" t="str">
        <f>IF(OR($E172="",$F172=""),"",IF(_xlfn.SINGLE(JobState)="",IF(ROW()=2,HYPERLINK("#JobState","Set State →"),""),HYPERLINK(IF(OR(_xlfn.SINGLE(JobState)="MI",_xlfn.SINGLE(JobState)=""),"https://fema.maps.arcgis.com/apps/mapviewer/index.html?webmap=6a1702b9147243d1a5ee62cd614bc681&amp;center="&amp;$F172&amp;","&amp;$E172&amp;"&amp;level=16&amp;marker="&amp;$F172&amp;","&amp;$E172&amp;"",IF(_xlfn.SINGLE(JobState)="IN","https://fema.maps.arcgis.com/apps/mapviewer/index.html?url=https%3A%2F%2Fgis.indot.in.gov%2Fro%2Frest%2Fservices%2FRAH_GIO_Collaboration%2FLRSE_Functional_Class%2FFeatureServer%2F22&amp;find="&amp;$F172&amp;"%2C"&amp;$E172&amp;"&amp;marker="&amp;$F172&amp;","&amp;$E172&amp;",4326&amp;level=16",IF(_xlfn.SINGLE(JobState)="WI","https://fema.maps.arcgis.com/apps/mapviewer/index.html?url=https://services5.arcgis.com/0pgGLzT0Nh7FVjon/arcgis/rest/services/Functional_Class_Local_Non_Prod/FeatureServer/1&amp;find="&amp;$F172&amp;"%2C"&amp;$E172&amp;"&amp;marker="&amp;$F172&amp;","&amp;$E172&amp;",4326&amp;level=16",IF(_xlfn.SINGLE(JobState)="MN","https://fema.maps.arcgis.com/apps/mapviewer/index.html?url=https%3A%2F%2Fdotapp9.dot.state.mn.us%2Fegis12%2Frest%2Fservices%2FBASEMAP%2Fmndot_commonlayers2%2FMapServer%2F11&amp;find="&amp;$F172&amp;"%2C"&amp;$E172&amp;"&amp;marker="&amp;$F172&amp;","&amp;$E172&amp;",4326&amp;level=16",IF(_xlfn.SINGLE(JobState)="IL","https://fema.maps.arcgis.com/apps/mapviewer/index.html?url=https%3A%2F%2Fgis1.dot.illinois.gov%2Farcgis%2Frest%2Fservices%2FAdministrativeData%2FFunctionalClass%2FMapServer%2F0&amp;find="&amp;$F172&amp;"%2C"&amp;$E172&amp;"&amp;marker="&amp;$F172&amp;","&amp;$E172&amp;",4326&amp;level=16",IF(_xlfn.SINGLE(JobState)="OH","https://fema.maps.arcgis.com/apps/mapviewer/index.html?url=https%3A%2F%2Ftims.dot.state.oh.us%2Fags%2Frest%2Fservices%2FRoadway_Information%2FFunctional_Class%2FMapServer%2F0&amp;find="&amp;$F172&amp;"%2C"&amp;$E172&amp;"&amp;marker="&amp;$F172&amp;","&amp;$E172&amp;",4326&amp;level=16","https://fema.maps.arcgis.com/apps/mapviewer/index.html?find="&amp;$F172&amp;"%2C"&amp;$E172&amp;"&amp;marker="&amp;$F172&amp;","&amp;$E172&amp;",4326&amp;level=16")))))),IF(_xlfn.SINGLE(JobState)="WI","Review Local Roads Layer","Review NFC AGOL Layer"))))</f>
        <v/>
      </c>
      <c r="N172" s="6" t="str">
        <f>IF(OR($E172="",$F172=""),"",IF(_xlfn.SINGLE(JobState)="",IF(ROW()=2,HYPERLINK("#JobState","Set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172&amp;"%2C"&amp;$E172&amp;"&amp;marker="&amp;$F172&amp;","&amp;$E172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2" s="6" t="str">
        <f>IF(OR($E172="", $F172=""),"",IF(_xlfn.SINGLE(JobAgolMap)="",HYPERLINK("https://fema.maps.arcgis.com/apps/mapviewer/index.html?find="&amp;$F172&amp;"%2C"&amp;$E172&amp;"&amp;marker="&amp;$F172&amp;","&amp;$E172&amp;",4326&amp;level=16","FEMA AGOL Map Viewer"),HYPERLINK(_xlfn.SINGLE(JobAgolMap)&amp;IF(ISNUMBER(FIND("?",_xlfn.SINGLE(JobAgolMap))),"&amp;","?")&amp;"center="&amp;$F172&amp;","&amp;$E172&amp;"&amp;level=16&amp;marker="&amp;$F172&amp;","&amp;$E172,"Open")))</f>
        <v/>
      </c>
      <c r="Q172" s="4"/>
      <c r="R172" s="4"/>
      <c r="W172" s="6" t="str">
        <f t="shared" si="12"/>
        <v/>
      </c>
      <c r="X172" s="6" t="str">
        <f t="shared" si="13"/>
        <v/>
      </c>
      <c r="Y172" s="6" t="str">
        <f t="shared" si="14"/>
        <v/>
      </c>
      <c r="Z172" s="6" t="str">
        <f t="shared" si="15"/>
        <v/>
      </c>
      <c r="AA172" s="6" t="str">
        <f t="shared" si="16"/>
        <v/>
      </c>
      <c r="AB172" s="6" t="str">
        <f t="shared" si="17"/>
        <v/>
      </c>
      <c r="AC172" s="4"/>
      <c r="AD172" s="4"/>
    </row>
    <row r="173" spans="1:30" x14ac:dyDescent="0.45">
      <c r="A173" s="3"/>
      <c r="B173" s="3"/>
      <c r="C173" s="5" t="str">
        <f>IF($E173="","",COUNT($E$2:$E173))</f>
        <v/>
      </c>
      <c r="D173" s="3"/>
      <c r="E173" s="3"/>
      <c r="F173" s="3"/>
      <c r="G173" s="3"/>
      <c r="H173" s="3"/>
      <c r="I173" s="3"/>
      <c r="J173" s="3"/>
      <c r="K173" s="3"/>
      <c r="L173" s="4"/>
      <c r="M173" s="6" t="str">
        <f>IF(OR($E173="",$F173=""),"",IF(_xlfn.SINGLE(JobState)="",IF(ROW()=2,HYPERLINK("#JobState","Set State →"),""),HYPERLINK(IF(OR(_xlfn.SINGLE(JobState)="MI",_xlfn.SINGLE(JobState)=""),"https://fema.maps.arcgis.com/apps/mapviewer/index.html?webmap=6a1702b9147243d1a5ee62cd614bc681&amp;center="&amp;$F173&amp;","&amp;$E173&amp;"&amp;level=16&amp;marker="&amp;$F173&amp;","&amp;$E173&amp;"",IF(_xlfn.SINGLE(JobState)="IN","https://fema.maps.arcgis.com/apps/mapviewer/index.html?url=https%3A%2F%2Fgis.indot.in.gov%2Fro%2Frest%2Fservices%2FRAH_GIO_Collaboration%2FLRSE_Functional_Class%2FFeatureServer%2F22&amp;find="&amp;$F173&amp;"%2C"&amp;$E173&amp;"&amp;marker="&amp;$F173&amp;","&amp;$E173&amp;",4326&amp;level=16",IF(_xlfn.SINGLE(JobState)="WI","https://fema.maps.arcgis.com/apps/mapviewer/index.html?url=https://services5.arcgis.com/0pgGLzT0Nh7FVjon/arcgis/rest/services/Functional_Class_Local_Non_Prod/FeatureServer/1&amp;find="&amp;$F173&amp;"%2C"&amp;$E173&amp;"&amp;marker="&amp;$F173&amp;","&amp;$E173&amp;",4326&amp;level=16",IF(_xlfn.SINGLE(JobState)="MN","https://fema.maps.arcgis.com/apps/mapviewer/index.html?url=https%3A%2F%2Fdotapp9.dot.state.mn.us%2Fegis12%2Frest%2Fservices%2FBASEMAP%2Fmndot_commonlayers2%2FMapServer%2F11&amp;find="&amp;$F173&amp;"%2C"&amp;$E173&amp;"&amp;marker="&amp;$F173&amp;","&amp;$E173&amp;",4326&amp;level=16",IF(_xlfn.SINGLE(JobState)="IL","https://fema.maps.arcgis.com/apps/mapviewer/index.html?url=https%3A%2F%2Fgis1.dot.illinois.gov%2Farcgis%2Frest%2Fservices%2FAdministrativeData%2FFunctionalClass%2FMapServer%2F0&amp;find="&amp;$F173&amp;"%2C"&amp;$E173&amp;"&amp;marker="&amp;$F173&amp;","&amp;$E173&amp;",4326&amp;level=16",IF(_xlfn.SINGLE(JobState)="OH","https://fema.maps.arcgis.com/apps/mapviewer/index.html?url=https%3A%2F%2Ftims.dot.state.oh.us%2Fags%2Frest%2Fservices%2FRoadway_Information%2FFunctional_Class%2FMapServer%2F0&amp;find="&amp;$F173&amp;"%2C"&amp;$E173&amp;"&amp;marker="&amp;$F173&amp;","&amp;$E173&amp;",4326&amp;level=16","https://fema.maps.arcgis.com/apps/mapviewer/index.html?find="&amp;$F173&amp;"%2C"&amp;$E173&amp;"&amp;marker="&amp;$F173&amp;","&amp;$E173&amp;",4326&amp;level=16")))))),IF(_xlfn.SINGLE(JobState)="WI","Review Local Roads Layer","Review NFC AGOL Layer"))))</f>
        <v/>
      </c>
      <c r="N173" s="6" t="str">
        <f>IF(OR($E173="",$F173=""),"",IF(_xlfn.SINGLE(JobState)="",IF(ROW()=2,HYPERLINK("#JobState","Set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173&amp;"%2C"&amp;$E173&amp;"&amp;marker="&amp;$F173&amp;","&amp;$E173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3" s="6" t="str">
        <f>IF(OR($E173="", $F173=""),"",IF(_xlfn.SINGLE(JobAgolMap)="",HYPERLINK("https://fema.maps.arcgis.com/apps/mapviewer/index.html?find="&amp;$F173&amp;"%2C"&amp;$E173&amp;"&amp;marker="&amp;$F173&amp;","&amp;$E173&amp;",4326&amp;level=16","FEMA AGOL Map Viewer"),HYPERLINK(_xlfn.SINGLE(JobAgolMap)&amp;IF(ISNUMBER(FIND("?",_xlfn.SINGLE(JobAgolMap))),"&amp;","?")&amp;"center="&amp;$F173&amp;","&amp;$E173&amp;"&amp;level=16&amp;marker="&amp;$F173&amp;","&amp;$E173,"Open")))</f>
        <v/>
      </c>
      <c r="Q173" s="4"/>
      <c r="R173" s="4"/>
      <c r="W173" s="6" t="str">
        <f t="shared" si="12"/>
        <v/>
      </c>
      <c r="X173" s="6" t="str">
        <f t="shared" si="13"/>
        <v/>
      </c>
      <c r="Y173" s="6" t="str">
        <f t="shared" si="14"/>
        <v/>
      </c>
      <c r="Z173" s="6" t="str">
        <f t="shared" si="15"/>
        <v/>
      </c>
      <c r="AA173" s="6" t="str">
        <f t="shared" si="16"/>
        <v/>
      </c>
      <c r="AB173" s="6" t="str">
        <f t="shared" si="17"/>
        <v/>
      </c>
      <c r="AC173" s="4"/>
      <c r="AD173" s="4"/>
    </row>
    <row r="174" spans="1:30" x14ac:dyDescent="0.45">
      <c r="A174" s="3"/>
      <c r="B174" s="3"/>
      <c r="C174" s="5" t="str">
        <f>IF($E174="","",COUNT($E$2:$E174))</f>
        <v/>
      </c>
      <c r="D174" s="3"/>
      <c r="E174" s="3"/>
      <c r="F174" s="3"/>
      <c r="G174" s="3"/>
      <c r="H174" s="3"/>
      <c r="I174" s="3"/>
      <c r="J174" s="3"/>
      <c r="K174" s="3"/>
      <c r="L174" s="4"/>
      <c r="M174" s="6" t="str">
        <f>IF(OR($E174="",$F174=""),"",IF(_xlfn.SINGLE(JobState)="",IF(ROW()=2,HYPERLINK("#JobState","Set State →"),""),HYPERLINK(IF(OR(_xlfn.SINGLE(JobState)="MI",_xlfn.SINGLE(JobState)=""),"https://fema.maps.arcgis.com/apps/mapviewer/index.html?webmap=6a1702b9147243d1a5ee62cd614bc681&amp;center="&amp;$F174&amp;","&amp;$E174&amp;"&amp;level=16&amp;marker="&amp;$F174&amp;","&amp;$E174&amp;"",IF(_xlfn.SINGLE(JobState)="IN","https://fema.maps.arcgis.com/apps/mapviewer/index.html?url=https%3A%2F%2Fgis.indot.in.gov%2Fro%2Frest%2Fservices%2FRAH_GIO_Collaboration%2FLRSE_Functional_Class%2FFeatureServer%2F22&amp;find="&amp;$F174&amp;"%2C"&amp;$E174&amp;"&amp;marker="&amp;$F174&amp;","&amp;$E174&amp;",4326&amp;level=16",IF(_xlfn.SINGLE(JobState)="WI","https://fema.maps.arcgis.com/apps/mapviewer/index.html?url=https://services5.arcgis.com/0pgGLzT0Nh7FVjon/arcgis/rest/services/Functional_Class_Local_Non_Prod/FeatureServer/1&amp;find="&amp;$F174&amp;"%2C"&amp;$E174&amp;"&amp;marker="&amp;$F174&amp;","&amp;$E174&amp;",4326&amp;level=16",IF(_xlfn.SINGLE(JobState)="MN","https://fema.maps.arcgis.com/apps/mapviewer/index.html?url=https%3A%2F%2Fdotapp9.dot.state.mn.us%2Fegis12%2Frest%2Fservices%2FBASEMAP%2Fmndot_commonlayers2%2FMapServer%2F11&amp;find="&amp;$F174&amp;"%2C"&amp;$E174&amp;"&amp;marker="&amp;$F174&amp;","&amp;$E174&amp;",4326&amp;level=16",IF(_xlfn.SINGLE(JobState)="IL","https://fema.maps.arcgis.com/apps/mapviewer/index.html?url=https%3A%2F%2Fgis1.dot.illinois.gov%2Farcgis%2Frest%2Fservices%2FAdministrativeData%2FFunctionalClass%2FMapServer%2F0&amp;find="&amp;$F174&amp;"%2C"&amp;$E174&amp;"&amp;marker="&amp;$F174&amp;","&amp;$E174&amp;",4326&amp;level=16",IF(_xlfn.SINGLE(JobState)="OH","https://fema.maps.arcgis.com/apps/mapviewer/index.html?url=https%3A%2F%2Ftims.dot.state.oh.us%2Fags%2Frest%2Fservices%2FRoadway_Information%2FFunctional_Class%2FMapServer%2F0&amp;find="&amp;$F174&amp;"%2C"&amp;$E174&amp;"&amp;marker="&amp;$F174&amp;","&amp;$E174&amp;",4326&amp;level=16","https://fema.maps.arcgis.com/apps/mapviewer/index.html?find="&amp;$F174&amp;"%2C"&amp;$E174&amp;"&amp;marker="&amp;$F174&amp;","&amp;$E174&amp;",4326&amp;level=16")))))),IF(_xlfn.SINGLE(JobState)="WI","Review Local Roads Layer","Review NFC AGOL Layer"))))</f>
        <v/>
      </c>
      <c r="N174" s="6" t="str">
        <f>IF(OR($E174="",$F174=""),"",IF(_xlfn.SINGLE(JobState)="",IF(ROW()=2,HYPERLINK("#JobState","Set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174&amp;"%2C"&amp;$E174&amp;"&amp;marker="&amp;$F174&amp;","&amp;$E174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4" s="6" t="str">
        <f>IF(OR($E174="", $F174=""),"",IF(_xlfn.SINGLE(JobAgolMap)="",HYPERLINK("https://fema.maps.arcgis.com/apps/mapviewer/index.html?find="&amp;$F174&amp;"%2C"&amp;$E174&amp;"&amp;marker="&amp;$F174&amp;","&amp;$E174&amp;",4326&amp;level=16","FEMA AGOL Map Viewer"),HYPERLINK(_xlfn.SINGLE(JobAgolMap)&amp;IF(ISNUMBER(FIND("?",_xlfn.SINGLE(JobAgolMap))),"&amp;","?")&amp;"center="&amp;$F174&amp;","&amp;$E174&amp;"&amp;level=16&amp;marker="&amp;$F174&amp;","&amp;$E174,"Open")))</f>
        <v/>
      </c>
      <c r="Q174" s="4"/>
      <c r="R174" s="4"/>
      <c r="W174" s="6" t="str">
        <f t="shared" si="12"/>
        <v/>
      </c>
      <c r="X174" s="6" t="str">
        <f t="shared" si="13"/>
        <v/>
      </c>
      <c r="Y174" s="6" t="str">
        <f t="shared" si="14"/>
        <v/>
      </c>
      <c r="Z174" s="6" t="str">
        <f t="shared" si="15"/>
        <v/>
      </c>
      <c r="AA174" s="6" t="str">
        <f t="shared" si="16"/>
        <v/>
      </c>
      <c r="AB174" s="6" t="str">
        <f t="shared" si="17"/>
        <v/>
      </c>
      <c r="AC174" s="4"/>
      <c r="AD174" s="4"/>
    </row>
    <row r="175" spans="1:30" x14ac:dyDescent="0.45">
      <c r="A175" s="3"/>
      <c r="B175" s="3"/>
      <c r="C175" s="5" t="str">
        <f>IF($E175="","",COUNT($E$2:$E175))</f>
        <v/>
      </c>
      <c r="D175" s="3"/>
      <c r="E175" s="3"/>
      <c r="F175" s="3"/>
      <c r="G175" s="3"/>
      <c r="H175" s="3"/>
      <c r="I175" s="3"/>
      <c r="J175" s="3"/>
      <c r="K175" s="3"/>
      <c r="L175" s="4"/>
      <c r="M175" s="6" t="str">
        <f>IF(OR($E175="",$F175=""),"",IF(_xlfn.SINGLE(JobState)="",IF(ROW()=2,HYPERLINK("#JobState","Set State →"),""),HYPERLINK(IF(OR(_xlfn.SINGLE(JobState)="MI",_xlfn.SINGLE(JobState)=""),"https://fema.maps.arcgis.com/apps/mapviewer/index.html?webmap=6a1702b9147243d1a5ee62cd614bc681&amp;center="&amp;$F175&amp;","&amp;$E175&amp;"&amp;level=16&amp;marker="&amp;$F175&amp;","&amp;$E175&amp;"",IF(_xlfn.SINGLE(JobState)="IN","https://fema.maps.arcgis.com/apps/mapviewer/index.html?url=https%3A%2F%2Fgis.indot.in.gov%2Fro%2Frest%2Fservices%2FRAH_GIO_Collaboration%2FLRSE_Functional_Class%2FFeatureServer%2F22&amp;find="&amp;$F175&amp;"%2C"&amp;$E175&amp;"&amp;marker="&amp;$F175&amp;","&amp;$E175&amp;",4326&amp;level=16",IF(_xlfn.SINGLE(JobState)="WI","https://fema.maps.arcgis.com/apps/mapviewer/index.html?url=https://services5.arcgis.com/0pgGLzT0Nh7FVjon/arcgis/rest/services/Functional_Class_Local_Non_Prod/FeatureServer/1&amp;find="&amp;$F175&amp;"%2C"&amp;$E175&amp;"&amp;marker="&amp;$F175&amp;","&amp;$E175&amp;",4326&amp;level=16",IF(_xlfn.SINGLE(JobState)="MN","https://fema.maps.arcgis.com/apps/mapviewer/index.html?url=https%3A%2F%2Fdotapp9.dot.state.mn.us%2Fegis12%2Frest%2Fservices%2FBASEMAP%2Fmndot_commonlayers2%2FMapServer%2F11&amp;find="&amp;$F175&amp;"%2C"&amp;$E175&amp;"&amp;marker="&amp;$F175&amp;","&amp;$E175&amp;",4326&amp;level=16",IF(_xlfn.SINGLE(JobState)="IL","https://fema.maps.arcgis.com/apps/mapviewer/index.html?url=https%3A%2F%2Fgis1.dot.illinois.gov%2Farcgis%2Frest%2Fservices%2FAdministrativeData%2FFunctionalClass%2FMapServer%2F0&amp;find="&amp;$F175&amp;"%2C"&amp;$E175&amp;"&amp;marker="&amp;$F175&amp;","&amp;$E175&amp;",4326&amp;level=16",IF(_xlfn.SINGLE(JobState)="OH","https://fema.maps.arcgis.com/apps/mapviewer/index.html?url=https%3A%2F%2Ftims.dot.state.oh.us%2Fags%2Frest%2Fservices%2FRoadway_Information%2FFunctional_Class%2FMapServer%2F0&amp;find="&amp;$F175&amp;"%2C"&amp;$E175&amp;"&amp;marker="&amp;$F175&amp;","&amp;$E175&amp;",4326&amp;level=16","https://fema.maps.arcgis.com/apps/mapviewer/index.html?find="&amp;$F175&amp;"%2C"&amp;$E175&amp;"&amp;marker="&amp;$F175&amp;","&amp;$E175&amp;",4326&amp;level=16")))))),IF(_xlfn.SINGLE(JobState)="WI","Review Local Roads Layer","Review NFC AGOL Layer"))))</f>
        <v/>
      </c>
      <c r="N175" s="6" t="str">
        <f>IF(OR($E175="",$F175=""),"",IF(_xlfn.SINGLE(JobState)="",IF(ROW()=2,HYPERLINK("#JobState","Set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175&amp;"%2C"&amp;$E175&amp;"&amp;marker="&amp;$F175&amp;","&amp;$E175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5" s="6" t="str">
        <f>IF(OR($E175="", $F175=""),"",IF(_xlfn.SINGLE(JobAgolMap)="",HYPERLINK("https://fema.maps.arcgis.com/apps/mapviewer/index.html?find="&amp;$F175&amp;"%2C"&amp;$E175&amp;"&amp;marker="&amp;$F175&amp;","&amp;$E175&amp;",4326&amp;level=16","FEMA AGOL Map Viewer"),HYPERLINK(_xlfn.SINGLE(JobAgolMap)&amp;IF(ISNUMBER(FIND("?",_xlfn.SINGLE(JobAgolMap))),"&amp;","?")&amp;"center="&amp;$F175&amp;","&amp;$E175&amp;"&amp;level=16&amp;marker="&amp;$F175&amp;","&amp;$E175,"Open")))</f>
        <v/>
      </c>
      <c r="Q175" s="4"/>
      <c r="R175" s="4"/>
      <c r="W175" s="6" t="str">
        <f t="shared" si="12"/>
        <v/>
      </c>
      <c r="X175" s="6" t="str">
        <f t="shared" si="13"/>
        <v/>
      </c>
      <c r="Y175" s="6" t="str">
        <f t="shared" si="14"/>
        <v/>
      </c>
      <c r="Z175" s="6" t="str">
        <f t="shared" si="15"/>
        <v/>
      </c>
      <c r="AA175" s="6" t="str">
        <f t="shared" si="16"/>
        <v/>
      </c>
      <c r="AB175" s="6" t="str">
        <f t="shared" si="17"/>
        <v/>
      </c>
      <c r="AC175" s="4"/>
      <c r="AD175" s="4"/>
    </row>
    <row r="176" spans="1:30" x14ac:dyDescent="0.45">
      <c r="A176" s="3"/>
      <c r="B176" s="3"/>
      <c r="C176" s="5" t="str">
        <f>IF($E176="","",COUNT($E$2:$E176))</f>
        <v/>
      </c>
      <c r="D176" s="3"/>
      <c r="E176" s="3"/>
      <c r="F176" s="3"/>
      <c r="G176" s="3"/>
      <c r="H176" s="3"/>
      <c r="I176" s="3"/>
      <c r="J176" s="3"/>
      <c r="K176" s="3"/>
      <c r="L176" s="4"/>
      <c r="M176" s="6" t="str">
        <f>IF(OR($E176="",$F176=""),"",IF(_xlfn.SINGLE(JobState)="",IF(ROW()=2,HYPERLINK("#JobState","Set State →"),""),HYPERLINK(IF(OR(_xlfn.SINGLE(JobState)="MI",_xlfn.SINGLE(JobState)=""),"https://fema.maps.arcgis.com/apps/mapviewer/index.html?webmap=6a1702b9147243d1a5ee62cd614bc681&amp;center="&amp;$F176&amp;","&amp;$E176&amp;"&amp;level=16&amp;marker="&amp;$F176&amp;","&amp;$E176&amp;"",IF(_xlfn.SINGLE(JobState)="IN","https://fema.maps.arcgis.com/apps/mapviewer/index.html?url=https%3A%2F%2Fgis.indot.in.gov%2Fro%2Frest%2Fservices%2FRAH_GIO_Collaboration%2FLRSE_Functional_Class%2FFeatureServer%2F22&amp;find="&amp;$F176&amp;"%2C"&amp;$E176&amp;"&amp;marker="&amp;$F176&amp;","&amp;$E176&amp;",4326&amp;level=16",IF(_xlfn.SINGLE(JobState)="WI","https://fema.maps.arcgis.com/apps/mapviewer/index.html?url=https://services5.arcgis.com/0pgGLzT0Nh7FVjon/arcgis/rest/services/Functional_Class_Local_Non_Prod/FeatureServer/1&amp;find="&amp;$F176&amp;"%2C"&amp;$E176&amp;"&amp;marker="&amp;$F176&amp;","&amp;$E176&amp;",4326&amp;level=16",IF(_xlfn.SINGLE(JobState)="MN","https://fema.maps.arcgis.com/apps/mapviewer/index.html?url=https%3A%2F%2Fdotapp9.dot.state.mn.us%2Fegis12%2Frest%2Fservices%2FBASEMAP%2Fmndot_commonlayers2%2FMapServer%2F11&amp;find="&amp;$F176&amp;"%2C"&amp;$E176&amp;"&amp;marker="&amp;$F176&amp;","&amp;$E176&amp;",4326&amp;level=16",IF(_xlfn.SINGLE(JobState)="IL","https://fema.maps.arcgis.com/apps/mapviewer/index.html?url=https%3A%2F%2Fgis1.dot.illinois.gov%2Farcgis%2Frest%2Fservices%2FAdministrativeData%2FFunctionalClass%2FMapServer%2F0&amp;find="&amp;$F176&amp;"%2C"&amp;$E176&amp;"&amp;marker="&amp;$F176&amp;","&amp;$E176&amp;",4326&amp;level=16",IF(_xlfn.SINGLE(JobState)="OH","https://fema.maps.arcgis.com/apps/mapviewer/index.html?url=https%3A%2F%2Ftims.dot.state.oh.us%2Fags%2Frest%2Fservices%2FRoadway_Information%2FFunctional_Class%2FMapServer%2F0&amp;find="&amp;$F176&amp;"%2C"&amp;$E176&amp;"&amp;marker="&amp;$F176&amp;","&amp;$E176&amp;",4326&amp;level=16","https://fema.maps.arcgis.com/apps/mapviewer/index.html?find="&amp;$F176&amp;"%2C"&amp;$E176&amp;"&amp;marker="&amp;$F176&amp;","&amp;$E176&amp;",4326&amp;level=16")))))),IF(_xlfn.SINGLE(JobState)="WI","Review Local Roads Layer","Review NFC AGOL Layer"))))</f>
        <v/>
      </c>
      <c r="N176" s="6" t="str">
        <f>IF(OR($E176="",$F176=""),"",IF(_xlfn.SINGLE(JobState)="",IF(ROW()=2,HYPERLINK("#JobState","Set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176&amp;"%2C"&amp;$E176&amp;"&amp;marker="&amp;$F176&amp;","&amp;$E176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6" s="6" t="str">
        <f>IF(OR($E176="", $F176=""),"",IF(_xlfn.SINGLE(JobAgolMap)="",HYPERLINK("https://fema.maps.arcgis.com/apps/mapviewer/index.html?find="&amp;$F176&amp;"%2C"&amp;$E176&amp;"&amp;marker="&amp;$F176&amp;","&amp;$E176&amp;",4326&amp;level=16","FEMA AGOL Map Viewer"),HYPERLINK(_xlfn.SINGLE(JobAgolMap)&amp;IF(ISNUMBER(FIND("?",_xlfn.SINGLE(JobAgolMap))),"&amp;","?")&amp;"center="&amp;$F176&amp;","&amp;$E176&amp;"&amp;level=16&amp;marker="&amp;$F176&amp;","&amp;$E176,"Open")))</f>
        <v/>
      </c>
      <c r="Q176" s="4"/>
      <c r="R176" s="4"/>
      <c r="W176" s="6" t="str">
        <f t="shared" si="12"/>
        <v/>
      </c>
      <c r="X176" s="6" t="str">
        <f t="shared" si="13"/>
        <v/>
      </c>
      <c r="Y176" s="6" t="str">
        <f t="shared" si="14"/>
        <v/>
      </c>
      <c r="Z176" s="6" t="str">
        <f t="shared" si="15"/>
        <v/>
      </c>
      <c r="AA176" s="6" t="str">
        <f t="shared" si="16"/>
        <v/>
      </c>
      <c r="AB176" s="6" t="str">
        <f t="shared" si="17"/>
        <v/>
      </c>
      <c r="AC176" s="4"/>
      <c r="AD176" s="4"/>
    </row>
    <row r="177" spans="1:30" x14ac:dyDescent="0.45">
      <c r="A177" s="3"/>
      <c r="B177" s="3"/>
      <c r="C177" s="5" t="str">
        <f>IF($E177="","",COUNT($E$2:$E177))</f>
        <v/>
      </c>
      <c r="D177" s="3"/>
      <c r="E177" s="3"/>
      <c r="F177" s="3"/>
      <c r="G177" s="3"/>
      <c r="H177" s="3"/>
      <c r="I177" s="3"/>
      <c r="J177" s="3"/>
      <c r="K177" s="3"/>
      <c r="L177" s="4"/>
      <c r="M177" s="6" t="str">
        <f>IF(OR($E177="",$F177=""),"",IF(_xlfn.SINGLE(JobState)="",IF(ROW()=2,HYPERLINK("#JobState","Set State →"),""),HYPERLINK(IF(OR(_xlfn.SINGLE(JobState)="MI",_xlfn.SINGLE(JobState)=""),"https://fema.maps.arcgis.com/apps/mapviewer/index.html?webmap=6a1702b9147243d1a5ee62cd614bc681&amp;center="&amp;$F177&amp;","&amp;$E177&amp;"&amp;level=16&amp;marker="&amp;$F177&amp;","&amp;$E177&amp;"",IF(_xlfn.SINGLE(JobState)="IN","https://fema.maps.arcgis.com/apps/mapviewer/index.html?url=https%3A%2F%2Fgis.indot.in.gov%2Fro%2Frest%2Fservices%2FRAH_GIO_Collaboration%2FLRSE_Functional_Class%2FFeatureServer%2F22&amp;find="&amp;$F177&amp;"%2C"&amp;$E177&amp;"&amp;marker="&amp;$F177&amp;","&amp;$E177&amp;",4326&amp;level=16",IF(_xlfn.SINGLE(JobState)="WI","https://fema.maps.arcgis.com/apps/mapviewer/index.html?url=https://services5.arcgis.com/0pgGLzT0Nh7FVjon/arcgis/rest/services/Functional_Class_Local_Non_Prod/FeatureServer/1&amp;find="&amp;$F177&amp;"%2C"&amp;$E177&amp;"&amp;marker="&amp;$F177&amp;","&amp;$E177&amp;",4326&amp;level=16",IF(_xlfn.SINGLE(JobState)="MN","https://fema.maps.arcgis.com/apps/mapviewer/index.html?url=https%3A%2F%2Fdotapp9.dot.state.mn.us%2Fegis12%2Frest%2Fservices%2FBASEMAP%2Fmndot_commonlayers2%2FMapServer%2F11&amp;find="&amp;$F177&amp;"%2C"&amp;$E177&amp;"&amp;marker="&amp;$F177&amp;","&amp;$E177&amp;",4326&amp;level=16",IF(_xlfn.SINGLE(JobState)="IL","https://fema.maps.arcgis.com/apps/mapviewer/index.html?url=https%3A%2F%2Fgis1.dot.illinois.gov%2Farcgis%2Frest%2Fservices%2FAdministrativeData%2FFunctionalClass%2FMapServer%2F0&amp;find="&amp;$F177&amp;"%2C"&amp;$E177&amp;"&amp;marker="&amp;$F177&amp;","&amp;$E177&amp;",4326&amp;level=16",IF(_xlfn.SINGLE(JobState)="OH","https://fema.maps.arcgis.com/apps/mapviewer/index.html?url=https%3A%2F%2Ftims.dot.state.oh.us%2Fags%2Frest%2Fservices%2FRoadway_Information%2FFunctional_Class%2FMapServer%2F0&amp;find="&amp;$F177&amp;"%2C"&amp;$E177&amp;"&amp;marker="&amp;$F177&amp;","&amp;$E177&amp;",4326&amp;level=16","https://fema.maps.arcgis.com/apps/mapviewer/index.html?find="&amp;$F177&amp;"%2C"&amp;$E177&amp;"&amp;marker="&amp;$F177&amp;","&amp;$E177&amp;",4326&amp;level=16")))))),IF(_xlfn.SINGLE(JobState)="WI","Review Local Roads Layer","Review NFC AGOL Layer"))))</f>
        <v/>
      </c>
      <c r="N177" s="6" t="str">
        <f>IF(OR($E177="",$F177=""),"",IF(_xlfn.SINGLE(JobState)="",IF(ROW()=2,HYPERLINK("#JobState","Set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177&amp;"%2C"&amp;$E177&amp;"&amp;marker="&amp;$F177&amp;","&amp;$E177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7" s="6" t="str">
        <f>IF(OR($E177="", $F177=""),"",IF(_xlfn.SINGLE(JobAgolMap)="",HYPERLINK("https://fema.maps.arcgis.com/apps/mapviewer/index.html?find="&amp;$F177&amp;"%2C"&amp;$E177&amp;"&amp;marker="&amp;$F177&amp;","&amp;$E177&amp;",4326&amp;level=16","FEMA AGOL Map Viewer"),HYPERLINK(_xlfn.SINGLE(JobAgolMap)&amp;IF(ISNUMBER(FIND("?",_xlfn.SINGLE(JobAgolMap))),"&amp;","?")&amp;"center="&amp;$F177&amp;","&amp;$E177&amp;"&amp;level=16&amp;marker="&amp;$F177&amp;","&amp;$E177,"Open")))</f>
        <v/>
      </c>
      <c r="Q177" s="4"/>
      <c r="R177" s="4"/>
      <c r="W177" s="6" t="str">
        <f t="shared" si="12"/>
        <v/>
      </c>
      <c r="X177" s="6" t="str">
        <f t="shared" si="13"/>
        <v/>
      </c>
      <c r="Y177" s="6" t="str">
        <f t="shared" si="14"/>
        <v/>
      </c>
      <c r="Z177" s="6" t="str">
        <f t="shared" si="15"/>
        <v/>
      </c>
      <c r="AA177" s="6" t="str">
        <f t="shared" si="16"/>
        <v/>
      </c>
      <c r="AB177" s="6" t="str">
        <f t="shared" si="17"/>
        <v/>
      </c>
      <c r="AC177" s="4"/>
      <c r="AD177" s="4"/>
    </row>
    <row r="178" spans="1:30" x14ac:dyDescent="0.45">
      <c r="A178" s="3"/>
      <c r="B178" s="3"/>
      <c r="C178" s="5" t="str">
        <f>IF($E178="","",COUNT($E$2:$E178))</f>
        <v/>
      </c>
      <c r="D178" s="3"/>
      <c r="E178" s="3"/>
      <c r="F178" s="3"/>
      <c r="G178" s="3"/>
      <c r="H178" s="3"/>
      <c r="I178" s="3"/>
      <c r="J178" s="3"/>
      <c r="K178" s="3"/>
      <c r="L178" s="4"/>
      <c r="M178" s="6" t="str">
        <f>IF(OR($E178="",$F178=""),"",IF(_xlfn.SINGLE(JobState)="",IF(ROW()=2,HYPERLINK("#JobState","Set State →"),""),HYPERLINK(IF(OR(_xlfn.SINGLE(JobState)="MI",_xlfn.SINGLE(JobState)=""),"https://fema.maps.arcgis.com/apps/mapviewer/index.html?webmap=6a1702b9147243d1a5ee62cd614bc681&amp;center="&amp;$F178&amp;","&amp;$E178&amp;"&amp;level=16&amp;marker="&amp;$F178&amp;","&amp;$E178&amp;"",IF(_xlfn.SINGLE(JobState)="IN","https://fema.maps.arcgis.com/apps/mapviewer/index.html?url=https%3A%2F%2Fgis.indot.in.gov%2Fro%2Frest%2Fservices%2FRAH_GIO_Collaboration%2FLRSE_Functional_Class%2FFeatureServer%2F22&amp;find="&amp;$F178&amp;"%2C"&amp;$E178&amp;"&amp;marker="&amp;$F178&amp;","&amp;$E178&amp;",4326&amp;level=16",IF(_xlfn.SINGLE(JobState)="WI","https://fema.maps.arcgis.com/apps/mapviewer/index.html?url=https://services5.arcgis.com/0pgGLzT0Nh7FVjon/arcgis/rest/services/Functional_Class_Local_Non_Prod/FeatureServer/1&amp;find="&amp;$F178&amp;"%2C"&amp;$E178&amp;"&amp;marker="&amp;$F178&amp;","&amp;$E178&amp;",4326&amp;level=16",IF(_xlfn.SINGLE(JobState)="MN","https://fema.maps.arcgis.com/apps/mapviewer/index.html?url=https%3A%2F%2Fdotapp9.dot.state.mn.us%2Fegis12%2Frest%2Fservices%2FBASEMAP%2Fmndot_commonlayers2%2FMapServer%2F11&amp;find="&amp;$F178&amp;"%2C"&amp;$E178&amp;"&amp;marker="&amp;$F178&amp;","&amp;$E178&amp;",4326&amp;level=16",IF(_xlfn.SINGLE(JobState)="IL","https://fema.maps.arcgis.com/apps/mapviewer/index.html?url=https%3A%2F%2Fgis1.dot.illinois.gov%2Farcgis%2Frest%2Fservices%2FAdministrativeData%2FFunctionalClass%2FMapServer%2F0&amp;find="&amp;$F178&amp;"%2C"&amp;$E178&amp;"&amp;marker="&amp;$F178&amp;","&amp;$E178&amp;",4326&amp;level=16",IF(_xlfn.SINGLE(JobState)="OH","https://fema.maps.arcgis.com/apps/mapviewer/index.html?url=https%3A%2F%2Ftims.dot.state.oh.us%2Fags%2Frest%2Fservices%2FRoadway_Information%2FFunctional_Class%2FMapServer%2F0&amp;find="&amp;$F178&amp;"%2C"&amp;$E178&amp;"&amp;marker="&amp;$F178&amp;","&amp;$E178&amp;",4326&amp;level=16","https://fema.maps.arcgis.com/apps/mapviewer/index.html?find="&amp;$F178&amp;"%2C"&amp;$E178&amp;"&amp;marker="&amp;$F178&amp;","&amp;$E178&amp;",4326&amp;level=16")))))),IF(_xlfn.SINGLE(JobState)="WI","Review Local Roads Layer","Review NFC AGOL Layer"))))</f>
        <v/>
      </c>
      <c r="N178" s="6" t="str">
        <f>IF(OR($E178="",$F178=""),"",IF(_xlfn.SINGLE(JobState)="",IF(ROW()=2,HYPERLINK("#JobState","Set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178&amp;"%2C"&amp;$E178&amp;"&amp;marker="&amp;$F178&amp;","&amp;$E178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8" s="6" t="str">
        <f>IF(OR($E178="", $F178=""),"",IF(_xlfn.SINGLE(JobAgolMap)="",HYPERLINK("https://fema.maps.arcgis.com/apps/mapviewer/index.html?find="&amp;$F178&amp;"%2C"&amp;$E178&amp;"&amp;marker="&amp;$F178&amp;","&amp;$E178&amp;",4326&amp;level=16","FEMA AGOL Map Viewer"),HYPERLINK(_xlfn.SINGLE(JobAgolMap)&amp;IF(ISNUMBER(FIND("?",_xlfn.SINGLE(JobAgolMap))),"&amp;","?")&amp;"center="&amp;$F178&amp;","&amp;$E178&amp;"&amp;level=16&amp;marker="&amp;$F178&amp;","&amp;$E178,"Open")))</f>
        <v/>
      </c>
      <c r="Q178" s="4"/>
      <c r="R178" s="4"/>
      <c r="W178" s="6" t="str">
        <f t="shared" si="12"/>
        <v/>
      </c>
      <c r="X178" s="6" t="str">
        <f t="shared" si="13"/>
        <v/>
      </c>
      <c r="Y178" s="6" t="str">
        <f t="shared" si="14"/>
        <v/>
      </c>
      <c r="Z178" s="6" t="str">
        <f t="shared" si="15"/>
        <v/>
      </c>
      <c r="AA178" s="6" t="str">
        <f t="shared" si="16"/>
        <v/>
      </c>
      <c r="AB178" s="6" t="str">
        <f t="shared" si="17"/>
        <v/>
      </c>
      <c r="AC178" s="4"/>
      <c r="AD178" s="4"/>
    </row>
    <row r="179" spans="1:30" x14ac:dyDescent="0.45">
      <c r="A179" s="3"/>
      <c r="B179" s="3"/>
      <c r="C179" s="5" t="str">
        <f>IF($E179="","",COUNT($E$2:$E179))</f>
        <v/>
      </c>
      <c r="D179" s="3"/>
      <c r="E179" s="3"/>
      <c r="F179" s="3"/>
      <c r="G179" s="3"/>
      <c r="H179" s="3"/>
      <c r="I179" s="3"/>
      <c r="J179" s="3"/>
      <c r="K179" s="3"/>
      <c r="L179" s="4"/>
      <c r="M179" s="6" t="str">
        <f>IF(OR($E179="",$F179=""),"",IF(_xlfn.SINGLE(JobState)="",IF(ROW()=2,HYPERLINK("#JobState","Set State →"),""),HYPERLINK(IF(OR(_xlfn.SINGLE(JobState)="MI",_xlfn.SINGLE(JobState)=""),"https://fema.maps.arcgis.com/apps/mapviewer/index.html?webmap=6a1702b9147243d1a5ee62cd614bc681&amp;center="&amp;$F179&amp;","&amp;$E179&amp;"&amp;level=16&amp;marker="&amp;$F179&amp;","&amp;$E179&amp;"",IF(_xlfn.SINGLE(JobState)="IN","https://fema.maps.arcgis.com/apps/mapviewer/index.html?url=https%3A%2F%2Fgis.indot.in.gov%2Fro%2Frest%2Fservices%2FRAH_GIO_Collaboration%2FLRSE_Functional_Class%2FFeatureServer%2F22&amp;find="&amp;$F179&amp;"%2C"&amp;$E179&amp;"&amp;marker="&amp;$F179&amp;","&amp;$E179&amp;",4326&amp;level=16",IF(_xlfn.SINGLE(JobState)="WI","https://fema.maps.arcgis.com/apps/mapviewer/index.html?url=https://services5.arcgis.com/0pgGLzT0Nh7FVjon/arcgis/rest/services/Functional_Class_Local_Non_Prod/FeatureServer/1&amp;find="&amp;$F179&amp;"%2C"&amp;$E179&amp;"&amp;marker="&amp;$F179&amp;","&amp;$E179&amp;",4326&amp;level=16",IF(_xlfn.SINGLE(JobState)="MN","https://fema.maps.arcgis.com/apps/mapviewer/index.html?url=https%3A%2F%2Fdotapp9.dot.state.mn.us%2Fegis12%2Frest%2Fservices%2FBASEMAP%2Fmndot_commonlayers2%2FMapServer%2F11&amp;find="&amp;$F179&amp;"%2C"&amp;$E179&amp;"&amp;marker="&amp;$F179&amp;","&amp;$E179&amp;",4326&amp;level=16",IF(_xlfn.SINGLE(JobState)="IL","https://fema.maps.arcgis.com/apps/mapviewer/index.html?url=https%3A%2F%2Fgis1.dot.illinois.gov%2Farcgis%2Frest%2Fservices%2FAdministrativeData%2FFunctionalClass%2FMapServer%2F0&amp;find="&amp;$F179&amp;"%2C"&amp;$E179&amp;"&amp;marker="&amp;$F179&amp;","&amp;$E179&amp;",4326&amp;level=16",IF(_xlfn.SINGLE(JobState)="OH","https://fema.maps.arcgis.com/apps/mapviewer/index.html?url=https%3A%2F%2Ftims.dot.state.oh.us%2Fags%2Frest%2Fservices%2FRoadway_Information%2FFunctional_Class%2FMapServer%2F0&amp;find="&amp;$F179&amp;"%2C"&amp;$E179&amp;"&amp;marker="&amp;$F179&amp;","&amp;$E179&amp;",4326&amp;level=16","https://fema.maps.arcgis.com/apps/mapviewer/index.html?find="&amp;$F179&amp;"%2C"&amp;$E179&amp;"&amp;marker="&amp;$F179&amp;","&amp;$E179&amp;",4326&amp;level=16")))))),IF(_xlfn.SINGLE(JobState)="WI","Review Local Roads Layer","Review NFC AGOL Layer"))))</f>
        <v/>
      </c>
      <c r="N179" s="6" t="str">
        <f>IF(OR($E179="",$F179=""),"",IF(_xlfn.SINGLE(JobState)="",IF(ROW()=2,HYPERLINK("#JobState","Set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179&amp;"%2C"&amp;$E179&amp;"&amp;marker="&amp;$F179&amp;","&amp;$E179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9" s="6" t="str">
        <f>IF(OR($E179="", $F179=""),"",IF(_xlfn.SINGLE(JobAgolMap)="",HYPERLINK("https://fema.maps.arcgis.com/apps/mapviewer/index.html?find="&amp;$F179&amp;"%2C"&amp;$E179&amp;"&amp;marker="&amp;$F179&amp;","&amp;$E179&amp;",4326&amp;level=16","FEMA AGOL Map Viewer"),HYPERLINK(_xlfn.SINGLE(JobAgolMap)&amp;IF(ISNUMBER(FIND("?",_xlfn.SINGLE(JobAgolMap))),"&amp;","?")&amp;"center="&amp;$F179&amp;","&amp;$E179&amp;"&amp;level=16&amp;marker="&amp;$F179&amp;","&amp;$E179,"Open")))</f>
        <v/>
      </c>
      <c r="Q179" s="4"/>
      <c r="R179" s="4"/>
      <c r="W179" s="6" t="str">
        <f t="shared" si="12"/>
        <v/>
      </c>
      <c r="X179" s="6" t="str">
        <f t="shared" si="13"/>
        <v/>
      </c>
      <c r="Y179" s="6" t="str">
        <f t="shared" si="14"/>
        <v/>
      </c>
      <c r="Z179" s="6" t="str">
        <f t="shared" si="15"/>
        <v/>
      </c>
      <c r="AA179" s="6" t="str">
        <f t="shared" si="16"/>
        <v/>
      </c>
      <c r="AB179" s="6" t="str">
        <f t="shared" si="17"/>
        <v/>
      </c>
      <c r="AC179" s="4"/>
      <c r="AD179" s="4"/>
    </row>
    <row r="180" spans="1:30" x14ac:dyDescent="0.45">
      <c r="A180" s="3"/>
      <c r="B180" s="3"/>
      <c r="C180" s="5" t="str">
        <f>IF($E180="","",COUNT($E$2:$E180))</f>
        <v/>
      </c>
      <c r="D180" s="3"/>
      <c r="E180" s="3"/>
      <c r="F180" s="3"/>
      <c r="G180" s="3"/>
      <c r="H180" s="3"/>
      <c r="I180" s="3"/>
      <c r="J180" s="3"/>
      <c r="K180" s="3"/>
      <c r="L180" s="4"/>
      <c r="M180" s="6" t="str">
        <f>IF(OR($E180="",$F180=""),"",IF(_xlfn.SINGLE(JobState)="",IF(ROW()=2,HYPERLINK("#JobState","Set State →"),""),HYPERLINK(IF(OR(_xlfn.SINGLE(JobState)="MI",_xlfn.SINGLE(JobState)=""),"https://fema.maps.arcgis.com/apps/mapviewer/index.html?webmap=6a1702b9147243d1a5ee62cd614bc681&amp;center="&amp;$F180&amp;","&amp;$E180&amp;"&amp;level=16&amp;marker="&amp;$F180&amp;","&amp;$E180&amp;"",IF(_xlfn.SINGLE(JobState)="IN","https://fema.maps.arcgis.com/apps/mapviewer/index.html?url=https%3A%2F%2Fgis.indot.in.gov%2Fro%2Frest%2Fservices%2FRAH_GIO_Collaboration%2FLRSE_Functional_Class%2FFeatureServer%2F22&amp;find="&amp;$F180&amp;"%2C"&amp;$E180&amp;"&amp;marker="&amp;$F180&amp;","&amp;$E180&amp;",4326&amp;level=16",IF(_xlfn.SINGLE(JobState)="WI","https://fema.maps.arcgis.com/apps/mapviewer/index.html?url=https://services5.arcgis.com/0pgGLzT0Nh7FVjon/arcgis/rest/services/Functional_Class_Local_Non_Prod/FeatureServer/1&amp;find="&amp;$F180&amp;"%2C"&amp;$E180&amp;"&amp;marker="&amp;$F180&amp;","&amp;$E180&amp;",4326&amp;level=16",IF(_xlfn.SINGLE(JobState)="MN","https://fema.maps.arcgis.com/apps/mapviewer/index.html?url=https%3A%2F%2Fdotapp9.dot.state.mn.us%2Fegis12%2Frest%2Fservices%2FBASEMAP%2Fmndot_commonlayers2%2FMapServer%2F11&amp;find="&amp;$F180&amp;"%2C"&amp;$E180&amp;"&amp;marker="&amp;$F180&amp;","&amp;$E180&amp;",4326&amp;level=16",IF(_xlfn.SINGLE(JobState)="IL","https://fema.maps.arcgis.com/apps/mapviewer/index.html?url=https%3A%2F%2Fgis1.dot.illinois.gov%2Farcgis%2Frest%2Fservices%2FAdministrativeData%2FFunctionalClass%2FMapServer%2F0&amp;find="&amp;$F180&amp;"%2C"&amp;$E180&amp;"&amp;marker="&amp;$F180&amp;","&amp;$E180&amp;",4326&amp;level=16",IF(_xlfn.SINGLE(JobState)="OH","https://fema.maps.arcgis.com/apps/mapviewer/index.html?url=https%3A%2F%2Ftims.dot.state.oh.us%2Fags%2Frest%2Fservices%2FRoadway_Information%2FFunctional_Class%2FMapServer%2F0&amp;find="&amp;$F180&amp;"%2C"&amp;$E180&amp;"&amp;marker="&amp;$F180&amp;","&amp;$E180&amp;",4326&amp;level=16","https://fema.maps.arcgis.com/apps/mapviewer/index.html?find="&amp;$F180&amp;"%2C"&amp;$E180&amp;"&amp;marker="&amp;$F180&amp;","&amp;$E180&amp;",4326&amp;level=16")))))),IF(_xlfn.SINGLE(JobState)="WI","Review Local Roads Layer","Review NFC AGOL Layer"))))</f>
        <v/>
      </c>
      <c r="N180" s="6" t="str">
        <f>IF(OR($E180="",$F180=""),"",IF(_xlfn.SINGLE(JobState)="",IF(ROW()=2,HYPERLINK("#JobState","Set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180&amp;"%2C"&amp;$E180&amp;"&amp;marker="&amp;$F180&amp;","&amp;$E180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0" s="6" t="str">
        <f>IF(OR($E180="", $F180=""),"",IF(_xlfn.SINGLE(JobAgolMap)="",HYPERLINK("https://fema.maps.arcgis.com/apps/mapviewer/index.html?find="&amp;$F180&amp;"%2C"&amp;$E180&amp;"&amp;marker="&amp;$F180&amp;","&amp;$E180&amp;",4326&amp;level=16","FEMA AGOL Map Viewer"),HYPERLINK(_xlfn.SINGLE(JobAgolMap)&amp;IF(ISNUMBER(FIND("?",_xlfn.SINGLE(JobAgolMap))),"&amp;","?")&amp;"center="&amp;$F180&amp;","&amp;$E180&amp;"&amp;level=16&amp;marker="&amp;$F180&amp;","&amp;$E180,"Open")))</f>
        <v/>
      </c>
      <c r="Q180" s="4"/>
      <c r="R180" s="4"/>
      <c r="W180" s="6" t="str">
        <f t="shared" si="12"/>
        <v/>
      </c>
      <c r="X180" s="6" t="str">
        <f t="shared" si="13"/>
        <v/>
      </c>
      <c r="Y180" s="6" t="str">
        <f t="shared" si="14"/>
        <v/>
      </c>
      <c r="Z180" s="6" t="str">
        <f t="shared" si="15"/>
        <v/>
      </c>
      <c r="AA180" s="6" t="str">
        <f t="shared" si="16"/>
        <v/>
      </c>
      <c r="AB180" s="6" t="str">
        <f t="shared" si="17"/>
        <v/>
      </c>
      <c r="AC180" s="4"/>
      <c r="AD180" s="4"/>
    </row>
    <row r="181" spans="1:30" x14ac:dyDescent="0.45">
      <c r="A181" s="3"/>
      <c r="B181" s="3"/>
      <c r="C181" s="5" t="str">
        <f>IF($E181="","",COUNT($E$2:$E181))</f>
        <v/>
      </c>
      <c r="D181" s="3"/>
      <c r="E181" s="3"/>
      <c r="F181" s="3"/>
      <c r="G181" s="3"/>
      <c r="H181" s="3"/>
      <c r="I181" s="3"/>
      <c r="J181" s="3"/>
      <c r="K181" s="3"/>
      <c r="L181" s="4"/>
      <c r="M181" s="6" t="str">
        <f>IF(OR($E181="",$F181=""),"",IF(_xlfn.SINGLE(JobState)="",IF(ROW()=2,HYPERLINK("#JobState","Set State →"),""),HYPERLINK(IF(OR(_xlfn.SINGLE(JobState)="MI",_xlfn.SINGLE(JobState)=""),"https://fema.maps.arcgis.com/apps/mapviewer/index.html?webmap=6a1702b9147243d1a5ee62cd614bc681&amp;center="&amp;$F181&amp;","&amp;$E181&amp;"&amp;level=16&amp;marker="&amp;$F181&amp;","&amp;$E181&amp;"",IF(_xlfn.SINGLE(JobState)="IN","https://fema.maps.arcgis.com/apps/mapviewer/index.html?url=https%3A%2F%2Fgis.indot.in.gov%2Fro%2Frest%2Fservices%2FRAH_GIO_Collaboration%2FLRSE_Functional_Class%2FFeatureServer%2F22&amp;find="&amp;$F181&amp;"%2C"&amp;$E181&amp;"&amp;marker="&amp;$F181&amp;","&amp;$E181&amp;",4326&amp;level=16",IF(_xlfn.SINGLE(JobState)="WI","https://fema.maps.arcgis.com/apps/mapviewer/index.html?url=https://services5.arcgis.com/0pgGLzT0Nh7FVjon/arcgis/rest/services/Functional_Class_Local_Non_Prod/FeatureServer/1&amp;find="&amp;$F181&amp;"%2C"&amp;$E181&amp;"&amp;marker="&amp;$F181&amp;","&amp;$E181&amp;",4326&amp;level=16",IF(_xlfn.SINGLE(JobState)="MN","https://fema.maps.arcgis.com/apps/mapviewer/index.html?url=https%3A%2F%2Fdotapp9.dot.state.mn.us%2Fegis12%2Frest%2Fservices%2FBASEMAP%2Fmndot_commonlayers2%2FMapServer%2F11&amp;find="&amp;$F181&amp;"%2C"&amp;$E181&amp;"&amp;marker="&amp;$F181&amp;","&amp;$E181&amp;",4326&amp;level=16",IF(_xlfn.SINGLE(JobState)="IL","https://fema.maps.arcgis.com/apps/mapviewer/index.html?url=https%3A%2F%2Fgis1.dot.illinois.gov%2Farcgis%2Frest%2Fservices%2FAdministrativeData%2FFunctionalClass%2FMapServer%2F0&amp;find="&amp;$F181&amp;"%2C"&amp;$E181&amp;"&amp;marker="&amp;$F181&amp;","&amp;$E181&amp;",4326&amp;level=16",IF(_xlfn.SINGLE(JobState)="OH","https://fema.maps.arcgis.com/apps/mapviewer/index.html?url=https%3A%2F%2Ftims.dot.state.oh.us%2Fags%2Frest%2Fservices%2FRoadway_Information%2FFunctional_Class%2FMapServer%2F0&amp;find="&amp;$F181&amp;"%2C"&amp;$E181&amp;"&amp;marker="&amp;$F181&amp;","&amp;$E181&amp;",4326&amp;level=16","https://fema.maps.arcgis.com/apps/mapviewer/index.html?find="&amp;$F181&amp;"%2C"&amp;$E181&amp;"&amp;marker="&amp;$F181&amp;","&amp;$E181&amp;",4326&amp;level=16")))))),IF(_xlfn.SINGLE(JobState)="WI","Review Local Roads Layer","Review NFC AGOL Layer"))))</f>
        <v/>
      </c>
      <c r="N181" s="6" t="str">
        <f>IF(OR($E181="",$F181=""),"",IF(_xlfn.SINGLE(JobState)="",IF(ROW()=2,HYPERLINK("#JobState","Set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181&amp;"%2C"&amp;$E181&amp;"&amp;marker="&amp;$F181&amp;","&amp;$E181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1" s="6" t="str">
        <f>IF(OR($E181="", $F181=""),"",IF(_xlfn.SINGLE(JobAgolMap)="",HYPERLINK("https://fema.maps.arcgis.com/apps/mapviewer/index.html?find="&amp;$F181&amp;"%2C"&amp;$E181&amp;"&amp;marker="&amp;$F181&amp;","&amp;$E181&amp;",4326&amp;level=16","FEMA AGOL Map Viewer"),HYPERLINK(_xlfn.SINGLE(JobAgolMap)&amp;IF(ISNUMBER(FIND("?",_xlfn.SINGLE(JobAgolMap))),"&amp;","?")&amp;"center="&amp;$F181&amp;","&amp;$E181&amp;"&amp;level=16&amp;marker="&amp;$F181&amp;","&amp;$E181,"Open")))</f>
        <v/>
      </c>
      <c r="Q181" s="4"/>
      <c r="R181" s="4"/>
      <c r="W181" s="6" t="str">
        <f t="shared" si="12"/>
        <v/>
      </c>
      <c r="X181" s="6" t="str">
        <f t="shared" si="13"/>
        <v/>
      </c>
      <c r="Y181" s="6" t="str">
        <f t="shared" si="14"/>
        <v/>
      </c>
      <c r="Z181" s="6" t="str">
        <f t="shared" si="15"/>
        <v/>
      </c>
      <c r="AA181" s="6" t="str">
        <f t="shared" si="16"/>
        <v/>
      </c>
      <c r="AB181" s="6" t="str">
        <f t="shared" si="17"/>
        <v/>
      </c>
      <c r="AC181" s="4"/>
      <c r="AD181" s="4"/>
    </row>
    <row r="182" spans="1:30" x14ac:dyDescent="0.45">
      <c r="A182" s="3"/>
      <c r="B182" s="3"/>
      <c r="C182" s="5" t="str">
        <f>IF($E182="","",COUNT($E$2:$E182))</f>
        <v/>
      </c>
      <c r="D182" s="3"/>
      <c r="E182" s="3"/>
      <c r="F182" s="3"/>
      <c r="G182" s="3"/>
      <c r="H182" s="3"/>
      <c r="I182" s="3"/>
      <c r="J182" s="3"/>
      <c r="K182" s="3"/>
      <c r="L182" s="4"/>
      <c r="M182" s="6" t="str">
        <f>IF(OR($E182="",$F182=""),"",IF(_xlfn.SINGLE(JobState)="",IF(ROW()=2,HYPERLINK("#JobState","Set State →"),""),HYPERLINK(IF(OR(_xlfn.SINGLE(JobState)="MI",_xlfn.SINGLE(JobState)=""),"https://fema.maps.arcgis.com/apps/mapviewer/index.html?webmap=6a1702b9147243d1a5ee62cd614bc681&amp;center="&amp;$F182&amp;","&amp;$E182&amp;"&amp;level=16&amp;marker="&amp;$F182&amp;","&amp;$E182&amp;"",IF(_xlfn.SINGLE(JobState)="IN","https://fema.maps.arcgis.com/apps/mapviewer/index.html?url=https%3A%2F%2Fgis.indot.in.gov%2Fro%2Frest%2Fservices%2FRAH_GIO_Collaboration%2FLRSE_Functional_Class%2FFeatureServer%2F22&amp;find="&amp;$F182&amp;"%2C"&amp;$E182&amp;"&amp;marker="&amp;$F182&amp;","&amp;$E182&amp;",4326&amp;level=16",IF(_xlfn.SINGLE(JobState)="WI","https://fema.maps.arcgis.com/apps/mapviewer/index.html?url=https://services5.arcgis.com/0pgGLzT0Nh7FVjon/arcgis/rest/services/Functional_Class_Local_Non_Prod/FeatureServer/1&amp;find="&amp;$F182&amp;"%2C"&amp;$E182&amp;"&amp;marker="&amp;$F182&amp;","&amp;$E182&amp;",4326&amp;level=16",IF(_xlfn.SINGLE(JobState)="MN","https://fema.maps.arcgis.com/apps/mapviewer/index.html?url=https%3A%2F%2Fdotapp9.dot.state.mn.us%2Fegis12%2Frest%2Fservices%2FBASEMAP%2Fmndot_commonlayers2%2FMapServer%2F11&amp;find="&amp;$F182&amp;"%2C"&amp;$E182&amp;"&amp;marker="&amp;$F182&amp;","&amp;$E182&amp;",4326&amp;level=16",IF(_xlfn.SINGLE(JobState)="IL","https://fema.maps.arcgis.com/apps/mapviewer/index.html?url=https%3A%2F%2Fgis1.dot.illinois.gov%2Farcgis%2Frest%2Fservices%2FAdministrativeData%2FFunctionalClass%2FMapServer%2F0&amp;find="&amp;$F182&amp;"%2C"&amp;$E182&amp;"&amp;marker="&amp;$F182&amp;","&amp;$E182&amp;",4326&amp;level=16",IF(_xlfn.SINGLE(JobState)="OH","https://fema.maps.arcgis.com/apps/mapviewer/index.html?url=https%3A%2F%2Ftims.dot.state.oh.us%2Fags%2Frest%2Fservices%2FRoadway_Information%2FFunctional_Class%2FMapServer%2F0&amp;find="&amp;$F182&amp;"%2C"&amp;$E182&amp;"&amp;marker="&amp;$F182&amp;","&amp;$E182&amp;",4326&amp;level=16","https://fema.maps.arcgis.com/apps/mapviewer/index.html?find="&amp;$F182&amp;"%2C"&amp;$E182&amp;"&amp;marker="&amp;$F182&amp;","&amp;$E182&amp;",4326&amp;level=16")))))),IF(_xlfn.SINGLE(JobState)="WI","Review Local Roads Layer","Review NFC AGOL Layer"))))</f>
        <v/>
      </c>
      <c r="N182" s="6" t="str">
        <f>IF(OR($E182="",$F182=""),"",IF(_xlfn.SINGLE(JobState)="",IF(ROW()=2,HYPERLINK("#JobState","Set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182&amp;"%2C"&amp;$E182&amp;"&amp;marker="&amp;$F182&amp;","&amp;$E182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2" s="6" t="str">
        <f>IF(OR($E182="", $F182=""),"",IF(_xlfn.SINGLE(JobAgolMap)="",HYPERLINK("https://fema.maps.arcgis.com/apps/mapviewer/index.html?find="&amp;$F182&amp;"%2C"&amp;$E182&amp;"&amp;marker="&amp;$F182&amp;","&amp;$E182&amp;",4326&amp;level=16","FEMA AGOL Map Viewer"),HYPERLINK(_xlfn.SINGLE(JobAgolMap)&amp;IF(ISNUMBER(FIND("?",_xlfn.SINGLE(JobAgolMap))),"&amp;","?")&amp;"center="&amp;$F182&amp;","&amp;$E182&amp;"&amp;level=16&amp;marker="&amp;$F182&amp;","&amp;$E182,"Open")))</f>
        <v/>
      </c>
      <c r="Q182" s="4"/>
      <c r="R182" s="4"/>
      <c r="W182" s="6" t="str">
        <f t="shared" si="12"/>
        <v/>
      </c>
      <c r="X182" s="6" t="str">
        <f t="shared" si="13"/>
        <v/>
      </c>
      <c r="Y182" s="6" t="str">
        <f t="shared" si="14"/>
        <v/>
      </c>
      <c r="Z182" s="6" t="str">
        <f t="shared" si="15"/>
        <v/>
      </c>
      <c r="AA182" s="6" t="str">
        <f t="shared" si="16"/>
        <v/>
      </c>
      <c r="AB182" s="6" t="str">
        <f t="shared" si="17"/>
        <v/>
      </c>
      <c r="AC182" s="4"/>
      <c r="AD182" s="4"/>
    </row>
    <row r="183" spans="1:30" x14ac:dyDescent="0.45">
      <c r="A183" s="3"/>
      <c r="B183" s="3"/>
      <c r="C183" s="5" t="str">
        <f>IF($E183="","",COUNT($E$2:$E183))</f>
        <v/>
      </c>
      <c r="D183" s="3"/>
      <c r="E183" s="3"/>
      <c r="F183" s="3"/>
      <c r="G183" s="3"/>
      <c r="H183" s="3"/>
      <c r="I183" s="3"/>
      <c r="J183" s="3"/>
      <c r="K183" s="3"/>
      <c r="L183" s="4"/>
      <c r="M183" s="6" t="str">
        <f>IF(OR($E183="",$F183=""),"",IF(_xlfn.SINGLE(JobState)="",IF(ROW()=2,HYPERLINK("#JobState","Set State →"),""),HYPERLINK(IF(OR(_xlfn.SINGLE(JobState)="MI",_xlfn.SINGLE(JobState)=""),"https://fema.maps.arcgis.com/apps/mapviewer/index.html?webmap=6a1702b9147243d1a5ee62cd614bc681&amp;center="&amp;$F183&amp;","&amp;$E183&amp;"&amp;level=16&amp;marker="&amp;$F183&amp;","&amp;$E183&amp;"",IF(_xlfn.SINGLE(JobState)="IN","https://fema.maps.arcgis.com/apps/mapviewer/index.html?url=https%3A%2F%2Fgis.indot.in.gov%2Fro%2Frest%2Fservices%2FRAH_GIO_Collaboration%2FLRSE_Functional_Class%2FFeatureServer%2F22&amp;find="&amp;$F183&amp;"%2C"&amp;$E183&amp;"&amp;marker="&amp;$F183&amp;","&amp;$E183&amp;",4326&amp;level=16",IF(_xlfn.SINGLE(JobState)="WI","https://fema.maps.arcgis.com/apps/mapviewer/index.html?url=https://services5.arcgis.com/0pgGLzT0Nh7FVjon/arcgis/rest/services/Functional_Class_Local_Non_Prod/FeatureServer/1&amp;find="&amp;$F183&amp;"%2C"&amp;$E183&amp;"&amp;marker="&amp;$F183&amp;","&amp;$E183&amp;",4326&amp;level=16",IF(_xlfn.SINGLE(JobState)="MN","https://fema.maps.arcgis.com/apps/mapviewer/index.html?url=https%3A%2F%2Fdotapp9.dot.state.mn.us%2Fegis12%2Frest%2Fservices%2FBASEMAP%2Fmndot_commonlayers2%2FMapServer%2F11&amp;find="&amp;$F183&amp;"%2C"&amp;$E183&amp;"&amp;marker="&amp;$F183&amp;","&amp;$E183&amp;",4326&amp;level=16",IF(_xlfn.SINGLE(JobState)="IL","https://fema.maps.arcgis.com/apps/mapviewer/index.html?url=https%3A%2F%2Fgis1.dot.illinois.gov%2Farcgis%2Frest%2Fservices%2FAdministrativeData%2FFunctionalClass%2FMapServer%2F0&amp;find="&amp;$F183&amp;"%2C"&amp;$E183&amp;"&amp;marker="&amp;$F183&amp;","&amp;$E183&amp;",4326&amp;level=16",IF(_xlfn.SINGLE(JobState)="OH","https://fema.maps.arcgis.com/apps/mapviewer/index.html?url=https%3A%2F%2Ftims.dot.state.oh.us%2Fags%2Frest%2Fservices%2FRoadway_Information%2FFunctional_Class%2FMapServer%2F0&amp;find="&amp;$F183&amp;"%2C"&amp;$E183&amp;"&amp;marker="&amp;$F183&amp;","&amp;$E183&amp;",4326&amp;level=16","https://fema.maps.arcgis.com/apps/mapviewer/index.html?find="&amp;$F183&amp;"%2C"&amp;$E183&amp;"&amp;marker="&amp;$F183&amp;","&amp;$E183&amp;",4326&amp;level=16")))))),IF(_xlfn.SINGLE(JobState)="WI","Review Local Roads Layer","Review NFC AGOL Layer"))))</f>
        <v/>
      </c>
      <c r="N183" s="6" t="str">
        <f>IF(OR($E183="",$F183=""),"",IF(_xlfn.SINGLE(JobState)="",IF(ROW()=2,HYPERLINK("#JobState","Set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183&amp;"%2C"&amp;$E183&amp;"&amp;marker="&amp;$F183&amp;","&amp;$E183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3" s="6" t="str">
        <f>IF(OR($E183="", $F183=""),"",IF(_xlfn.SINGLE(JobAgolMap)="",HYPERLINK("https://fema.maps.arcgis.com/apps/mapviewer/index.html?find="&amp;$F183&amp;"%2C"&amp;$E183&amp;"&amp;marker="&amp;$F183&amp;","&amp;$E183&amp;",4326&amp;level=16","FEMA AGOL Map Viewer"),HYPERLINK(_xlfn.SINGLE(JobAgolMap)&amp;IF(ISNUMBER(FIND("?",_xlfn.SINGLE(JobAgolMap))),"&amp;","?")&amp;"center="&amp;$F183&amp;","&amp;$E183&amp;"&amp;level=16&amp;marker="&amp;$F183&amp;","&amp;$E183,"Open")))</f>
        <v/>
      </c>
      <c r="Q183" s="4"/>
      <c r="R183" s="4"/>
      <c r="W183" s="6" t="str">
        <f t="shared" si="12"/>
        <v/>
      </c>
      <c r="X183" s="6" t="str">
        <f t="shared" si="13"/>
        <v/>
      </c>
      <c r="Y183" s="6" t="str">
        <f t="shared" si="14"/>
        <v/>
      </c>
      <c r="Z183" s="6" t="str">
        <f t="shared" si="15"/>
        <v/>
      </c>
      <c r="AA183" s="6" t="str">
        <f t="shared" si="16"/>
        <v/>
      </c>
      <c r="AB183" s="6" t="str">
        <f t="shared" si="17"/>
        <v/>
      </c>
      <c r="AC183" s="4"/>
      <c r="AD183" s="4"/>
    </row>
    <row r="184" spans="1:30" x14ac:dyDescent="0.45">
      <c r="A184" s="3"/>
      <c r="B184" s="3"/>
      <c r="C184" s="5" t="str">
        <f>IF($E184="","",COUNT($E$2:$E184))</f>
        <v/>
      </c>
      <c r="D184" s="3"/>
      <c r="E184" s="3"/>
      <c r="F184" s="3"/>
      <c r="G184" s="3"/>
      <c r="H184" s="3"/>
      <c r="I184" s="3"/>
      <c r="J184" s="3"/>
      <c r="K184" s="3"/>
      <c r="L184" s="4"/>
      <c r="M184" s="6" t="str">
        <f>IF(OR($E184="",$F184=""),"",IF(_xlfn.SINGLE(JobState)="",IF(ROW()=2,HYPERLINK("#JobState","Set State →"),""),HYPERLINK(IF(OR(_xlfn.SINGLE(JobState)="MI",_xlfn.SINGLE(JobState)=""),"https://fema.maps.arcgis.com/apps/mapviewer/index.html?webmap=6a1702b9147243d1a5ee62cd614bc681&amp;center="&amp;$F184&amp;","&amp;$E184&amp;"&amp;level=16&amp;marker="&amp;$F184&amp;","&amp;$E184&amp;"",IF(_xlfn.SINGLE(JobState)="IN","https://fema.maps.arcgis.com/apps/mapviewer/index.html?url=https%3A%2F%2Fgis.indot.in.gov%2Fro%2Frest%2Fservices%2FRAH_GIO_Collaboration%2FLRSE_Functional_Class%2FFeatureServer%2F22&amp;find="&amp;$F184&amp;"%2C"&amp;$E184&amp;"&amp;marker="&amp;$F184&amp;","&amp;$E184&amp;",4326&amp;level=16",IF(_xlfn.SINGLE(JobState)="WI","https://fema.maps.arcgis.com/apps/mapviewer/index.html?url=https://services5.arcgis.com/0pgGLzT0Nh7FVjon/arcgis/rest/services/Functional_Class_Local_Non_Prod/FeatureServer/1&amp;find="&amp;$F184&amp;"%2C"&amp;$E184&amp;"&amp;marker="&amp;$F184&amp;","&amp;$E184&amp;",4326&amp;level=16",IF(_xlfn.SINGLE(JobState)="MN","https://fema.maps.arcgis.com/apps/mapviewer/index.html?url=https%3A%2F%2Fdotapp9.dot.state.mn.us%2Fegis12%2Frest%2Fservices%2FBASEMAP%2Fmndot_commonlayers2%2FMapServer%2F11&amp;find="&amp;$F184&amp;"%2C"&amp;$E184&amp;"&amp;marker="&amp;$F184&amp;","&amp;$E184&amp;",4326&amp;level=16",IF(_xlfn.SINGLE(JobState)="IL","https://fema.maps.arcgis.com/apps/mapviewer/index.html?url=https%3A%2F%2Fgis1.dot.illinois.gov%2Farcgis%2Frest%2Fservices%2FAdministrativeData%2FFunctionalClass%2FMapServer%2F0&amp;find="&amp;$F184&amp;"%2C"&amp;$E184&amp;"&amp;marker="&amp;$F184&amp;","&amp;$E184&amp;",4326&amp;level=16",IF(_xlfn.SINGLE(JobState)="OH","https://fema.maps.arcgis.com/apps/mapviewer/index.html?url=https%3A%2F%2Ftims.dot.state.oh.us%2Fags%2Frest%2Fservices%2FRoadway_Information%2FFunctional_Class%2FMapServer%2F0&amp;find="&amp;$F184&amp;"%2C"&amp;$E184&amp;"&amp;marker="&amp;$F184&amp;","&amp;$E184&amp;",4326&amp;level=16","https://fema.maps.arcgis.com/apps/mapviewer/index.html?find="&amp;$F184&amp;"%2C"&amp;$E184&amp;"&amp;marker="&amp;$F184&amp;","&amp;$E184&amp;",4326&amp;level=16")))))),IF(_xlfn.SINGLE(JobState)="WI","Review Local Roads Layer","Review NFC AGOL Layer"))))</f>
        <v/>
      </c>
      <c r="N184" s="6" t="str">
        <f>IF(OR($E184="",$F184=""),"",IF(_xlfn.SINGLE(JobState)="",IF(ROW()=2,HYPERLINK("#JobState","Set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184&amp;"%2C"&amp;$E184&amp;"&amp;marker="&amp;$F184&amp;","&amp;$E184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4" s="6" t="str">
        <f>IF(OR($E184="", $F184=""),"",IF(_xlfn.SINGLE(JobAgolMap)="",HYPERLINK("https://fema.maps.arcgis.com/apps/mapviewer/index.html?find="&amp;$F184&amp;"%2C"&amp;$E184&amp;"&amp;marker="&amp;$F184&amp;","&amp;$E184&amp;",4326&amp;level=16","FEMA AGOL Map Viewer"),HYPERLINK(_xlfn.SINGLE(JobAgolMap)&amp;IF(ISNUMBER(FIND("?",_xlfn.SINGLE(JobAgolMap))),"&amp;","?")&amp;"center="&amp;$F184&amp;","&amp;$E184&amp;"&amp;level=16&amp;marker="&amp;$F184&amp;","&amp;$E184,"Open")))</f>
        <v/>
      </c>
      <c r="Q184" s="4"/>
      <c r="R184" s="4"/>
      <c r="W184" s="6" t="str">
        <f t="shared" si="12"/>
        <v/>
      </c>
      <c r="X184" s="6" t="str">
        <f t="shared" si="13"/>
        <v/>
      </c>
      <c r="Y184" s="6" t="str">
        <f t="shared" si="14"/>
        <v/>
      </c>
      <c r="Z184" s="6" t="str">
        <f t="shared" si="15"/>
        <v/>
      </c>
      <c r="AA184" s="6" t="str">
        <f t="shared" si="16"/>
        <v/>
      </c>
      <c r="AB184" s="6" t="str">
        <f t="shared" si="17"/>
        <v/>
      </c>
      <c r="AC184" s="4"/>
      <c r="AD184" s="4"/>
    </row>
    <row r="185" spans="1:30" x14ac:dyDescent="0.45">
      <c r="A185" s="3"/>
      <c r="B185" s="3"/>
      <c r="C185" s="5" t="str">
        <f>IF($E185="","",COUNT($E$2:$E185))</f>
        <v/>
      </c>
      <c r="D185" s="3"/>
      <c r="E185" s="3"/>
      <c r="F185" s="3"/>
      <c r="G185" s="3"/>
      <c r="H185" s="3"/>
      <c r="I185" s="3"/>
      <c r="J185" s="3"/>
      <c r="K185" s="3"/>
      <c r="L185" s="4"/>
      <c r="M185" s="6" t="str">
        <f>IF(OR($E185="",$F185=""),"",IF(_xlfn.SINGLE(JobState)="",IF(ROW()=2,HYPERLINK("#JobState","Set State →"),""),HYPERLINK(IF(OR(_xlfn.SINGLE(JobState)="MI",_xlfn.SINGLE(JobState)=""),"https://fema.maps.arcgis.com/apps/mapviewer/index.html?webmap=6a1702b9147243d1a5ee62cd614bc681&amp;center="&amp;$F185&amp;","&amp;$E185&amp;"&amp;level=16&amp;marker="&amp;$F185&amp;","&amp;$E185&amp;"",IF(_xlfn.SINGLE(JobState)="IN","https://fema.maps.arcgis.com/apps/mapviewer/index.html?url=https%3A%2F%2Fgis.indot.in.gov%2Fro%2Frest%2Fservices%2FRAH_GIO_Collaboration%2FLRSE_Functional_Class%2FFeatureServer%2F22&amp;find="&amp;$F185&amp;"%2C"&amp;$E185&amp;"&amp;marker="&amp;$F185&amp;","&amp;$E185&amp;",4326&amp;level=16",IF(_xlfn.SINGLE(JobState)="WI","https://fema.maps.arcgis.com/apps/mapviewer/index.html?url=https://services5.arcgis.com/0pgGLzT0Nh7FVjon/arcgis/rest/services/Functional_Class_Local_Non_Prod/FeatureServer/1&amp;find="&amp;$F185&amp;"%2C"&amp;$E185&amp;"&amp;marker="&amp;$F185&amp;","&amp;$E185&amp;",4326&amp;level=16",IF(_xlfn.SINGLE(JobState)="MN","https://fema.maps.arcgis.com/apps/mapviewer/index.html?url=https%3A%2F%2Fdotapp9.dot.state.mn.us%2Fegis12%2Frest%2Fservices%2FBASEMAP%2Fmndot_commonlayers2%2FMapServer%2F11&amp;find="&amp;$F185&amp;"%2C"&amp;$E185&amp;"&amp;marker="&amp;$F185&amp;","&amp;$E185&amp;",4326&amp;level=16",IF(_xlfn.SINGLE(JobState)="IL","https://fema.maps.arcgis.com/apps/mapviewer/index.html?url=https%3A%2F%2Fgis1.dot.illinois.gov%2Farcgis%2Frest%2Fservices%2FAdministrativeData%2FFunctionalClass%2FMapServer%2F0&amp;find="&amp;$F185&amp;"%2C"&amp;$E185&amp;"&amp;marker="&amp;$F185&amp;","&amp;$E185&amp;",4326&amp;level=16",IF(_xlfn.SINGLE(JobState)="OH","https://fema.maps.arcgis.com/apps/mapviewer/index.html?url=https%3A%2F%2Ftims.dot.state.oh.us%2Fags%2Frest%2Fservices%2FRoadway_Information%2FFunctional_Class%2FMapServer%2F0&amp;find="&amp;$F185&amp;"%2C"&amp;$E185&amp;"&amp;marker="&amp;$F185&amp;","&amp;$E185&amp;",4326&amp;level=16","https://fema.maps.arcgis.com/apps/mapviewer/index.html?find="&amp;$F185&amp;"%2C"&amp;$E185&amp;"&amp;marker="&amp;$F185&amp;","&amp;$E185&amp;",4326&amp;level=16")))))),IF(_xlfn.SINGLE(JobState)="WI","Review Local Roads Layer","Review NFC AGOL Layer"))))</f>
        <v/>
      </c>
      <c r="N185" s="6" t="str">
        <f>IF(OR($E185="",$F185=""),"",IF(_xlfn.SINGLE(JobState)="",IF(ROW()=2,HYPERLINK("#JobState","Set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185&amp;"%2C"&amp;$E185&amp;"&amp;marker="&amp;$F185&amp;","&amp;$E185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5" s="6" t="str">
        <f>IF(OR($E185="", $F185=""),"",IF(_xlfn.SINGLE(JobAgolMap)="",HYPERLINK("https://fema.maps.arcgis.com/apps/mapviewer/index.html?find="&amp;$F185&amp;"%2C"&amp;$E185&amp;"&amp;marker="&amp;$F185&amp;","&amp;$E185&amp;",4326&amp;level=16","FEMA AGOL Map Viewer"),HYPERLINK(_xlfn.SINGLE(JobAgolMap)&amp;IF(ISNUMBER(FIND("?",_xlfn.SINGLE(JobAgolMap))),"&amp;","?")&amp;"center="&amp;$F185&amp;","&amp;$E185&amp;"&amp;level=16&amp;marker="&amp;$F185&amp;","&amp;$E185,"Open")))</f>
        <v/>
      </c>
      <c r="Q185" s="4"/>
      <c r="R185" s="4"/>
      <c r="W185" s="6" t="str">
        <f t="shared" si="12"/>
        <v/>
      </c>
      <c r="X185" s="6" t="str">
        <f t="shared" si="13"/>
        <v/>
      </c>
      <c r="Y185" s="6" t="str">
        <f t="shared" si="14"/>
        <v/>
      </c>
      <c r="Z185" s="6" t="str">
        <f t="shared" si="15"/>
        <v/>
      </c>
      <c r="AA185" s="6" t="str">
        <f t="shared" si="16"/>
        <v/>
      </c>
      <c r="AB185" s="6" t="str">
        <f t="shared" si="17"/>
        <v/>
      </c>
      <c r="AC185" s="4"/>
      <c r="AD185" s="4"/>
    </row>
    <row r="186" spans="1:30" x14ac:dyDescent="0.45">
      <c r="A186" s="3"/>
      <c r="B186" s="3"/>
      <c r="C186" s="5" t="str">
        <f>IF($E186="","",COUNT($E$2:$E186))</f>
        <v/>
      </c>
      <c r="D186" s="3"/>
      <c r="E186" s="3"/>
      <c r="F186" s="3"/>
      <c r="G186" s="3"/>
      <c r="H186" s="3"/>
      <c r="I186" s="3"/>
      <c r="J186" s="3"/>
      <c r="K186" s="3"/>
      <c r="L186" s="4"/>
      <c r="M186" s="6" t="str">
        <f>IF(OR($E186="",$F186=""),"",IF(_xlfn.SINGLE(JobState)="",IF(ROW()=2,HYPERLINK("#JobState","Set State →"),""),HYPERLINK(IF(OR(_xlfn.SINGLE(JobState)="MI",_xlfn.SINGLE(JobState)=""),"https://fema.maps.arcgis.com/apps/mapviewer/index.html?webmap=6a1702b9147243d1a5ee62cd614bc681&amp;center="&amp;$F186&amp;","&amp;$E186&amp;"&amp;level=16&amp;marker="&amp;$F186&amp;","&amp;$E186&amp;"",IF(_xlfn.SINGLE(JobState)="IN","https://fema.maps.arcgis.com/apps/mapviewer/index.html?url=https%3A%2F%2Fgis.indot.in.gov%2Fro%2Frest%2Fservices%2FRAH_GIO_Collaboration%2FLRSE_Functional_Class%2FFeatureServer%2F22&amp;find="&amp;$F186&amp;"%2C"&amp;$E186&amp;"&amp;marker="&amp;$F186&amp;","&amp;$E186&amp;",4326&amp;level=16",IF(_xlfn.SINGLE(JobState)="WI","https://fema.maps.arcgis.com/apps/mapviewer/index.html?url=https://services5.arcgis.com/0pgGLzT0Nh7FVjon/arcgis/rest/services/Functional_Class_Local_Non_Prod/FeatureServer/1&amp;find="&amp;$F186&amp;"%2C"&amp;$E186&amp;"&amp;marker="&amp;$F186&amp;","&amp;$E186&amp;",4326&amp;level=16",IF(_xlfn.SINGLE(JobState)="MN","https://fema.maps.arcgis.com/apps/mapviewer/index.html?url=https%3A%2F%2Fdotapp9.dot.state.mn.us%2Fegis12%2Frest%2Fservices%2FBASEMAP%2Fmndot_commonlayers2%2FMapServer%2F11&amp;find="&amp;$F186&amp;"%2C"&amp;$E186&amp;"&amp;marker="&amp;$F186&amp;","&amp;$E186&amp;",4326&amp;level=16",IF(_xlfn.SINGLE(JobState)="IL","https://fema.maps.arcgis.com/apps/mapviewer/index.html?url=https%3A%2F%2Fgis1.dot.illinois.gov%2Farcgis%2Frest%2Fservices%2FAdministrativeData%2FFunctionalClass%2FMapServer%2F0&amp;find="&amp;$F186&amp;"%2C"&amp;$E186&amp;"&amp;marker="&amp;$F186&amp;","&amp;$E186&amp;",4326&amp;level=16",IF(_xlfn.SINGLE(JobState)="OH","https://fema.maps.arcgis.com/apps/mapviewer/index.html?url=https%3A%2F%2Ftims.dot.state.oh.us%2Fags%2Frest%2Fservices%2FRoadway_Information%2FFunctional_Class%2FMapServer%2F0&amp;find="&amp;$F186&amp;"%2C"&amp;$E186&amp;"&amp;marker="&amp;$F186&amp;","&amp;$E186&amp;",4326&amp;level=16","https://fema.maps.arcgis.com/apps/mapviewer/index.html?find="&amp;$F186&amp;"%2C"&amp;$E186&amp;"&amp;marker="&amp;$F186&amp;","&amp;$E186&amp;",4326&amp;level=16")))))),IF(_xlfn.SINGLE(JobState)="WI","Review Local Roads Layer","Review NFC AGOL Layer"))))</f>
        <v/>
      </c>
      <c r="N186" s="6" t="str">
        <f>IF(OR($E186="",$F186=""),"",IF(_xlfn.SINGLE(JobState)="",IF(ROW()=2,HYPERLINK("#JobState","Set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186&amp;"%2C"&amp;$E186&amp;"&amp;marker="&amp;$F186&amp;","&amp;$E186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6" s="6" t="str">
        <f>IF(OR($E186="", $F186=""),"",IF(_xlfn.SINGLE(JobAgolMap)="",HYPERLINK("https://fema.maps.arcgis.com/apps/mapviewer/index.html?find="&amp;$F186&amp;"%2C"&amp;$E186&amp;"&amp;marker="&amp;$F186&amp;","&amp;$E186&amp;",4326&amp;level=16","FEMA AGOL Map Viewer"),HYPERLINK(_xlfn.SINGLE(JobAgolMap)&amp;IF(ISNUMBER(FIND("?",_xlfn.SINGLE(JobAgolMap))),"&amp;","?")&amp;"center="&amp;$F186&amp;","&amp;$E186&amp;"&amp;level=16&amp;marker="&amp;$F186&amp;","&amp;$E186,"Open")))</f>
        <v/>
      </c>
      <c r="Q186" s="4"/>
      <c r="R186" s="4"/>
      <c r="W186" s="6" t="str">
        <f t="shared" si="12"/>
        <v/>
      </c>
      <c r="X186" s="6" t="str">
        <f t="shared" si="13"/>
        <v/>
      </c>
      <c r="Y186" s="6" t="str">
        <f t="shared" si="14"/>
        <v/>
      </c>
      <c r="Z186" s="6" t="str">
        <f t="shared" si="15"/>
        <v/>
      </c>
      <c r="AA186" s="6" t="str">
        <f t="shared" si="16"/>
        <v/>
      </c>
      <c r="AB186" s="6" t="str">
        <f t="shared" si="17"/>
        <v/>
      </c>
      <c r="AC186" s="4"/>
      <c r="AD186" s="4"/>
    </row>
    <row r="187" spans="1:30" x14ac:dyDescent="0.45">
      <c r="A187" s="3"/>
      <c r="B187" s="3"/>
      <c r="C187" s="5" t="str">
        <f>IF($E187="","",COUNT($E$2:$E187))</f>
        <v/>
      </c>
      <c r="D187" s="3"/>
      <c r="E187" s="3"/>
      <c r="F187" s="3"/>
      <c r="G187" s="3"/>
      <c r="H187" s="3"/>
      <c r="I187" s="3"/>
      <c r="J187" s="3"/>
      <c r="K187" s="3"/>
      <c r="L187" s="4"/>
      <c r="M187" s="6" t="str">
        <f>IF(OR($E187="",$F187=""),"",IF(_xlfn.SINGLE(JobState)="",IF(ROW()=2,HYPERLINK("#JobState","Set State →"),""),HYPERLINK(IF(OR(_xlfn.SINGLE(JobState)="MI",_xlfn.SINGLE(JobState)=""),"https://fema.maps.arcgis.com/apps/mapviewer/index.html?webmap=6a1702b9147243d1a5ee62cd614bc681&amp;center="&amp;$F187&amp;","&amp;$E187&amp;"&amp;level=16&amp;marker="&amp;$F187&amp;","&amp;$E187&amp;"",IF(_xlfn.SINGLE(JobState)="IN","https://fema.maps.arcgis.com/apps/mapviewer/index.html?url=https%3A%2F%2Fgis.indot.in.gov%2Fro%2Frest%2Fservices%2FRAH_GIO_Collaboration%2FLRSE_Functional_Class%2FFeatureServer%2F22&amp;find="&amp;$F187&amp;"%2C"&amp;$E187&amp;"&amp;marker="&amp;$F187&amp;","&amp;$E187&amp;",4326&amp;level=16",IF(_xlfn.SINGLE(JobState)="WI","https://fema.maps.arcgis.com/apps/mapviewer/index.html?url=https://services5.arcgis.com/0pgGLzT0Nh7FVjon/arcgis/rest/services/Functional_Class_Local_Non_Prod/FeatureServer/1&amp;find="&amp;$F187&amp;"%2C"&amp;$E187&amp;"&amp;marker="&amp;$F187&amp;","&amp;$E187&amp;",4326&amp;level=16",IF(_xlfn.SINGLE(JobState)="MN","https://fema.maps.arcgis.com/apps/mapviewer/index.html?url=https%3A%2F%2Fdotapp9.dot.state.mn.us%2Fegis12%2Frest%2Fservices%2FBASEMAP%2Fmndot_commonlayers2%2FMapServer%2F11&amp;find="&amp;$F187&amp;"%2C"&amp;$E187&amp;"&amp;marker="&amp;$F187&amp;","&amp;$E187&amp;",4326&amp;level=16",IF(_xlfn.SINGLE(JobState)="IL","https://fema.maps.arcgis.com/apps/mapviewer/index.html?url=https%3A%2F%2Fgis1.dot.illinois.gov%2Farcgis%2Frest%2Fservices%2FAdministrativeData%2FFunctionalClass%2FMapServer%2F0&amp;find="&amp;$F187&amp;"%2C"&amp;$E187&amp;"&amp;marker="&amp;$F187&amp;","&amp;$E187&amp;",4326&amp;level=16",IF(_xlfn.SINGLE(JobState)="OH","https://fema.maps.arcgis.com/apps/mapviewer/index.html?url=https%3A%2F%2Ftims.dot.state.oh.us%2Fags%2Frest%2Fservices%2FRoadway_Information%2FFunctional_Class%2FMapServer%2F0&amp;find="&amp;$F187&amp;"%2C"&amp;$E187&amp;"&amp;marker="&amp;$F187&amp;","&amp;$E187&amp;",4326&amp;level=16","https://fema.maps.arcgis.com/apps/mapviewer/index.html?find="&amp;$F187&amp;"%2C"&amp;$E187&amp;"&amp;marker="&amp;$F187&amp;","&amp;$E187&amp;",4326&amp;level=16")))))),IF(_xlfn.SINGLE(JobState)="WI","Review Local Roads Layer","Review NFC AGOL Layer"))))</f>
        <v/>
      </c>
      <c r="N187" s="6" t="str">
        <f>IF(OR($E187="",$F187=""),"",IF(_xlfn.SINGLE(JobState)="",IF(ROW()=2,HYPERLINK("#JobState","Set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187&amp;"%2C"&amp;$E187&amp;"&amp;marker="&amp;$F187&amp;","&amp;$E187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7" s="6" t="str">
        <f>IF(OR($E187="", $F187=""),"",IF(_xlfn.SINGLE(JobAgolMap)="",HYPERLINK("https://fema.maps.arcgis.com/apps/mapviewer/index.html?find="&amp;$F187&amp;"%2C"&amp;$E187&amp;"&amp;marker="&amp;$F187&amp;","&amp;$E187&amp;",4326&amp;level=16","FEMA AGOL Map Viewer"),HYPERLINK(_xlfn.SINGLE(JobAgolMap)&amp;IF(ISNUMBER(FIND("?",_xlfn.SINGLE(JobAgolMap))),"&amp;","?")&amp;"center="&amp;$F187&amp;","&amp;$E187&amp;"&amp;level=16&amp;marker="&amp;$F187&amp;","&amp;$E187,"Open")))</f>
        <v/>
      </c>
      <c r="Q187" s="4"/>
      <c r="R187" s="4"/>
      <c r="W187" s="6" t="str">
        <f t="shared" si="12"/>
        <v/>
      </c>
      <c r="X187" s="6" t="str">
        <f t="shared" si="13"/>
        <v/>
      </c>
      <c r="Y187" s="6" t="str">
        <f t="shared" si="14"/>
        <v/>
      </c>
      <c r="Z187" s="6" t="str">
        <f t="shared" si="15"/>
        <v/>
      </c>
      <c r="AA187" s="6" t="str">
        <f t="shared" si="16"/>
        <v/>
      </c>
      <c r="AB187" s="6" t="str">
        <f t="shared" si="17"/>
        <v/>
      </c>
      <c r="AC187" s="4"/>
      <c r="AD187" s="4"/>
    </row>
    <row r="188" spans="1:30" x14ac:dyDescent="0.45">
      <c r="A188" s="3"/>
      <c r="B188" s="3"/>
      <c r="C188" s="5" t="str">
        <f>IF($E188="","",COUNT($E$2:$E188))</f>
        <v/>
      </c>
      <c r="D188" s="3"/>
      <c r="E188" s="3"/>
      <c r="F188" s="3"/>
      <c r="G188" s="3"/>
      <c r="H188" s="3"/>
      <c r="I188" s="3"/>
      <c r="J188" s="3"/>
      <c r="K188" s="3"/>
      <c r="L188" s="4"/>
      <c r="M188" s="6" t="str">
        <f>IF(OR($E188="",$F188=""),"",IF(_xlfn.SINGLE(JobState)="",IF(ROW()=2,HYPERLINK("#JobState","Set State →"),""),HYPERLINK(IF(OR(_xlfn.SINGLE(JobState)="MI",_xlfn.SINGLE(JobState)=""),"https://fema.maps.arcgis.com/apps/mapviewer/index.html?webmap=6a1702b9147243d1a5ee62cd614bc681&amp;center="&amp;$F188&amp;","&amp;$E188&amp;"&amp;level=16&amp;marker="&amp;$F188&amp;","&amp;$E188&amp;"",IF(_xlfn.SINGLE(JobState)="IN","https://fema.maps.arcgis.com/apps/mapviewer/index.html?url=https%3A%2F%2Fgis.indot.in.gov%2Fro%2Frest%2Fservices%2FRAH_GIO_Collaboration%2FLRSE_Functional_Class%2FFeatureServer%2F22&amp;find="&amp;$F188&amp;"%2C"&amp;$E188&amp;"&amp;marker="&amp;$F188&amp;","&amp;$E188&amp;",4326&amp;level=16",IF(_xlfn.SINGLE(JobState)="WI","https://fema.maps.arcgis.com/apps/mapviewer/index.html?url=https://services5.arcgis.com/0pgGLzT0Nh7FVjon/arcgis/rest/services/Functional_Class_Local_Non_Prod/FeatureServer/1&amp;find="&amp;$F188&amp;"%2C"&amp;$E188&amp;"&amp;marker="&amp;$F188&amp;","&amp;$E188&amp;",4326&amp;level=16",IF(_xlfn.SINGLE(JobState)="MN","https://fema.maps.arcgis.com/apps/mapviewer/index.html?url=https%3A%2F%2Fdotapp9.dot.state.mn.us%2Fegis12%2Frest%2Fservices%2FBASEMAP%2Fmndot_commonlayers2%2FMapServer%2F11&amp;find="&amp;$F188&amp;"%2C"&amp;$E188&amp;"&amp;marker="&amp;$F188&amp;","&amp;$E188&amp;",4326&amp;level=16",IF(_xlfn.SINGLE(JobState)="IL","https://fema.maps.arcgis.com/apps/mapviewer/index.html?url=https%3A%2F%2Fgis1.dot.illinois.gov%2Farcgis%2Frest%2Fservices%2FAdministrativeData%2FFunctionalClass%2FMapServer%2F0&amp;find="&amp;$F188&amp;"%2C"&amp;$E188&amp;"&amp;marker="&amp;$F188&amp;","&amp;$E188&amp;",4326&amp;level=16",IF(_xlfn.SINGLE(JobState)="OH","https://fema.maps.arcgis.com/apps/mapviewer/index.html?url=https%3A%2F%2Ftims.dot.state.oh.us%2Fags%2Frest%2Fservices%2FRoadway_Information%2FFunctional_Class%2FMapServer%2F0&amp;find="&amp;$F188&amp;"%2C"&amp;$E188&amp;"&amp;marker="&amp;$F188&amp;","&amp;$E188&amp;",4326&amp;level=16","https://fema.maps.arcgis.com/apps/mapviewer/index.html?find="&amp;$F188&amp;"%2C"&amp;$E188&amp;"&amp;marker="&amp;$F188&amp;","&amp;$E188&amp;",4326&amp;level=16")))))),IF(_xlfn.SINGLE(JobState)="WI","Review Local Roads Layer","Review NFC AGOL Layer"))))</f>
        <v/>
      </c>
      <c r="N188" s="6" t="str">
        <f>IF(OR($E188="",$F188=""),"",IF(_xlfn.SINGLE(JobState)="",IF(ROW()=2,HYPERLINK("#JobState","Set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188&amp;"%2C"&amp;$E188&amp;"&amp;marker="&amp;$F188&amp;","&amp;$E188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8" s="6" t="str">
        <f>IF(OR($E188="", $F188=""),"",IF(_xlfn.SINGLE(JobAgolMap)="",HYPERLINK("https://fema.maps.arcgis.com/apps/mapviewer/index.html?find="&amp;$F188&amp;"%2C"&amp;$E188&amp;"&amp;marker="&amp;$F188&amp;","&amp;$E188&amp;",4326&amp;level=16","FEMA AGOL Map Viewer"),HYPERLINK(_xlfn.SINGLE(JobAgolMap)&amp;IF(ISNUMBER(FIND("?",_xlfn.SINGLE(JobAgolMap))),"&amp;","?")&amp;"center="&amp;$F188&amp;","&amp;$E188&amp;"&amp;level=16&amp;marker="&amp;$F188&amp;","&amp;$E188,"Open")))</f>
        <v/>
      </c>
      <c r="Q188" s="4"/>
      <c r="R188" s="4"/>
      <c r="W188" s="6" t="str">
        <f t="shared" si="12"/>
        <v/>
      </c>
      <c r="X188" s="6" t="str">
        <f t="shared" si="13"/>
        <v/>
      </c>
      <c r="Y188" s="6" t="str">
        <f t="shared" si="14"/>
        <v/>
      </c>
      <c r="Z188" s="6" t="str">
        <f t="shared" si="15"/>
        <v/>
      </c>
      <c r="AA188" s="6" t="str">
        <f t="shared" si="16"/>
        <v/>
      </c>
      <c r="AB188" s="6" t="str">
        <f t="shared" si="17"/>
        <v/>
      </c>
      <c r="AC188" s="4"/>
      <c r="AD188" s="4"/>
    </row>
    <row r="189" spans="1:30" x14ac:dyDescent="0.45">
      <c r="A189" s="3"/>
      <c r="B189" s="3"/>
      <c r="C189" s="5" t="str">
        <f>IF($E189="","",COUNT($E$2:$E189))</f>
        <v/>
      </c>
      <c r="D189" s="3"/>
      <c r="E189" s="3"/>
      <c r="F189" s="3"/>
      <c r="G189" s="3"/>
      <c r="H189" s="3"/>
      <c r="I189" s="3"/>
      <c r="J189" s="3"/>
      <c r="K189" s="3"/>
      <c r="L189" s="4"/>
      <c r="M189" s="6" t="str">
        <f>IF(OR($E189="",$F189=""),"",IF(_xlfn.SINGLE(JobState)="",IF(ROW()=2,HYPERLINK("#JobState","Set State →"),""),HYPERLINK(IF(OR(_xlfn.SINGLE(JobState)="MI",_xlfn.SINGLE(JobState)=""),"https://fema.maps.arcgis.com/apps/mapviewer/index.html?webmap=6a1702b9147243d1a5ee62cd614bc681&amp;center="&amp;$F189&amp;","&amp;$E189&amp;"&amp;level=16&amp;marker="&amp;$F189&amp;","&amp;$E189&amp;"",IF(_xlfn.SINGLE(JobState)="IN","https://fema.maps.arcgis.com/apps/mapviewer/index.html?url=https%3A%2F%2Fgis.indot.in.gov%2Fro%2Frest%2Fservices%2FRAH_GIO_Collaboration%2FLRSE_Functional_Class%2FFeatureServer%2F22&amp;find="&amp;$F189&amp;"%2C"&amp;$E189&amp;"&amp;marker="&amp;$F189&amp;","&amp;$E189&amp;",4326&amp;level=16",IF(_xlfn.SINGLE(JobState)="WI","https://fema.maps.arcgis.com/apps/mapviewer/index.html?url=https://services5.arcgis.com/0pgGLzT0Nh7FVjon/arcgis/rest/services/Functional_Class_Local_Non_Prod/FeatureServer/1&amp;find="&amp;$F189&amp;"%2C"&amp;$E189&amp;"&amp;marker="&amp;$F189&amp;","&amp;$E189&amp;",4326&amp;level=16",IF(_xlfn.SINGLE(JobState)="MN","https://fema.maps.arcgis.com/apps/mapviewer/index.html?url=https%3A%2F%2Fdotapp9.dot.state.mn.us%2Fegis12%2Frest%2Fservices%2FBASEMAP%2Fmndot_commonlayers2%2FMapServer%2F11&amp;find="&amp;$F189&amp;"%2C"&amp;$E189&amp;"&amp;marker="&amp;$F189&amp;","&amp;$E189&amp;",4326&amp;level=16",IF(_xlfn.SINGLE(JobState)="IL","https://fema.maps.arcgis.com/apps/mapviewer/index.html?url=https%3A%2F%2Fgis1.dot.illinois.gov%2Farcgis%2Frest%2Fservices%2FAdministrativeData%2FFunctionalClass%2FMapServer%2F0&amp;find="&amp;$F189&amp;"%2C"&amp;$E189&amp;"&amp;marker="&amp;$F189&amp;","&amp;$E189&amp;",4326&amp;level=16",IF(_xlfn.SINGLE(JobState)="OH","https://fema.maps.arcgis.com/apps/mapviewer/index.html?url=https%3A%2F%2Ftims.dot.state.oh.us%2Fags%2Frest%2Fservices%2FRoadway_Information%2FFunctional_Class%2FMapServer%2F0&amp;find="&amp;$F189&amp;"%2C"&amp;$E189&amp;"&amp;marker="&amp;$F189&amp;","&amp;$E189&amp;",4326&amp;level=16","https://fema.maps.arcgis.com/apps/mapviewer/index.html?find="&amp;$F189&amp;"%2C"&amp;$E189&amp;"&amp;marker="&amp;$F189&amp;","&amp;$E189&amp;",4326&amp;level=16")))))),IF(_xlfn.SINGLE(JobState)="WI","Review Local Roads Layer","Review NFC AGOL Layer"))))</f>
        <v/>
      </c>
      <c r="N189" s="6" t="str">
        <f>IF(OR($E189="",$F189=""),"",IF(_xlfn.SINGLE(JobState)="",IF(ROW()=2,HYPERLINK("#JobState","Set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189&amp;"%2C"&amp;$E189&amp;"&amp;marker="&amp;$F189&amp;","&amp;$E189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9" s="6" t="str">
        <f>IF(OR($E189="", $F189=""),"",IF(_xlfn.SINGLE(JobAgolMap)="",HYPERLINK("https://fema.maps.arcgis.com/apps/mapviewer/index.html?find="&amp;$F189&amp;"%2C"&amp;$E189&amp;"&amp;marker="&amp;$F189&amp;","&amp;$E189&amp;",4326&amp;level=16","FEMA AGOL Map Viewer"),HYPERLINK(_xlfn.SINGLE(JobAgolMap)&amp;IF(ISNUMBER(FIND("?",_xlfn.SINGLE(JobAgolMap))),"&amp;","?")&amp;"center="&amp;$F189&amp;","&amp;$E189&amp;"&amp;level=16&amp;marker="&amp;$F189&amp;","&amp;$E189,"Open")))</f>
        <v/>
      </c>
      <c r="Q189" s="4"/>
      <c r="R189" s="4"/>
      <c r="W189" s="6" t="str">
        <f t="shared" si="12"/>
        <v/>
      </c>
      <c r="X189" s="6" t="str">
        <f t="shared" si="13"/>
        <v/>
      </c>
      <c r="Y189" s="6" t="str">
        <f t="shared" si="14"/>
        <v/>
      </c>
      <c r="Z189" s="6" t="str">
        <f t="shared" si="15"/>
        <v/>
      </c>
      <c r="AA189" s="6" t="str">
        <f t="shared" si="16"/>
        <v/>
      </c>
      <c r="AB189" s="6" t="str">
        <f t="shared" si="17"/>
        <v/>
      </c>
      <c r="AC189" s="4"/>
      <c r="AD189" s="4"/>
    </row>
    <row r="190" spans="1:30" x14ac:dyDescent="0.45">
      <c r="A190" s="3"/>
      <c r="B190" s="3"/>
      <c r="C190" s="5" t="str">
        <f>IF($E190="","",COUNT($E$2:$E190))</f>
        <v/>
      </c>
      <c r="D190" s="3"/>
      <c r="E190" s="3"/>
      <c r="F190" s="3"/>
      <c r="G190" s="3"/>
      <c r="H190" s="3"/>
      <c r="I190" s="3"/>
      <c r="J190" s="3"/>
      <c r="K190" s="3"/>
      <c r="L190" s="4"/>
      <c r="M190" s="6" t="str">
        <f>IF(OR($E190="",$F190=""),"",IF(_xlfn.SINGLE(JobState)="",IF(ROW()=2,HYPERLINK("#JobState","Set State →"),""),HYPERLINK(IF(OR(_xlfn.SINGLE(JobState)="MI",_xlfn.SINGLE(JobState)=""),"https://fema.maps.arcgis.com/apps/mapviewer/index.html?webmap=6a1702b9147243d1a5ee62cd614bc681&amp;center="&amp;$F190&amp;","&amp;$E190&amp;"&amp;level=16&amp;marker="&amp;$F190&amp;","&amp;$E190&amp;"",IF(_xlfn.SINGLE(JobState)="IN","https://fema.maps.arcgis.com/apps/mapviewer/index.html?url=https%3A%2F%2Fgis.indot.in.gov%2Fro%2Frest%2Fservices%2FRAH_GIO_Collaboration%2FLRSE_Functional_Class%2FFeatureServer%2F22&amp;find="&amp;$F190&amp;"%2C"&amp;$E190&amp;"&amp;marker="&amp;$F190&amp;","&amp;$E190&amp;",4326&amp;level=16",IF(_xlfn.SINGLE(JobState)="WI","https://fema.maps.arcgis.com/apps/mapviewer/index.html?url=https://services5.arcgis.com/0pgGLzT0Nh7FVjon/arcgis/rest/services/Functional_Class_Local_Non_Prod/FeatureServer/1&amp;find="&amp;$F190&amp;"%2C"&amp;$E190&amp;"&amp;marker="&amp;$F190&amp;","&amp;$E190&amp;",4326&amp;level=16",IF(_xlfn.SINGLE(JobState)="MN","https://fema.maps.arcgis.com/apps/mapviewer/index.html?url=https%3A%2F%2Fdotapp9.dot.state.mn.us%2Fegis12%2Frest%2Fservices%2FBASEMAP%2Fmndot_commonlayers2%2FMapServer%2F11&amp;find="&amp;$F190&amp;"%2C"&amp;$E190&amp;"&amp;marker="&amp;$F190&amp;","&amp;$E190&amp;",4326&amp;level=16",IF(_xlfn.SINGLE(JobState)="IL","https://fema.maps.arcgis.com/apps/mapviewer/index.html?url=https%3A%2F%2Fgis1.dot.illinois.gov%2Farcgis%2Frest%2Fservices%2FAdministrativeData%2FFunctionalClass%2FMapServer%2F0&amp;find="&amp;$F190&amp;"%2C"&amp;$E190&amp;"&amp;marker="&amp;$F190&amp;","&amp;$E190&amp;",4326&amp;level=16",IF(_xlfn.SINGLE(JobState)="OH","https://fema.maps.arcgis.com/apps/mapviewer/index.html?url=https%3A%2F%2Ftims.dot.state.oh.us%2Fags%2Frest%2Fservices%2FRoadway_Information%2FFunctional_Class%2FMapServer%2F0&amp;find="&amp;$F190&amp;"%2C"&amp;$E190&amp;"&amp;marker="&amp;$F190&amp;","&amp;$E190&amp;",4326&amp;level=16","https://fema.maps.arcgis.com/apps/mapviewer/index.html?find="&amp;$F190&amp;"%2C"&amp;$E190&amp;"&amp;marker="&amp;$F190&amp;","&amp;$E190&amp;",4326&amp;level=16")))))),IF(_xlfn.SINGLE(JobState)="WI","Review Local Roads Layer","Review NFC AGOL Layer"))))</f>
        <v/>
      </c>
      <c r="N190" s="6" t="str">
        <f>IF(OR($E190="",$F190=""),"",IF(_xlfn.SINGLE(JobState)="",IF(ROW()=2,HYPERLINK("#JobState","Set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190&amp;"%2C"&amp;$E190&amp;"&amp;marker="&amp;$F190&amp;","&amp;$E190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0" s="6" t="str">
        <f>IF(OR($E190="", $F190=""),"",IF(_xlfn.SINGLE(JobAgolMap)="",HYPERLINK("https://fema.maps.arcgis.com/apps/mapviewer/index.html?find="&amp;$F190&amp;"%2C"&amp;$E190&amp;"&amp;marker="&amp;$F190&amp;","&amp;$E190&amp;",4326&amp;level=16","FEMA AGOL Map Viewer"),HYPERLINK(_xlfn.SINGLE(JobAgolMap)&amp;IF(ISNUMBER(FIND("?",_xlfn.SINGLE(JobAgolMap))),"&amp;","?")&amp;"center="&amp;$F190&amp;","&amp;$E190&amp;"&amp;level=16&amp;marker="&amp;$F190&amp;","&amp;$E190,"Open")))</f>
        <v/>
      </c>
      <c r="Q190" s="4"/>
      <c r="R190" s="4"/>
      <c r="W190" s="6" t="str">
        <f t="shared" si="12"/>
        <v/>
      </c>
      <c r="X190" s="6" t="str">
        <f t="shared" si="13"/>
        <v/>
      </c>
      <c r="Y190" s="6" t="str">
        <f t="shared" si="14"/>
        <v/>
      </c>
      <c r="Z190" s="6" t="str">
        <f t="shared" si="15"/>
        <v/>
      </c>
      <c r="AA190" s="6" t="str">
        <f t="shared" si="16"/>
        <v/>
      </c>
      <c r="AB190" s="6" t="str">
        <f t="shared" si="17"/>
        <v/>
      </c>
      <c r="AC190" s="4"/>
      <c r="AD190" s="4"/>
    </row>
    <row r="191" spans="1:30" x14ac:dyDescent="0.45">
      <c r="A191" s="3"/>
      <c r="B191" s="3"/>
      <c r="C191" s="5" t="str">
        <f>IF($E191="","",COUNT($E$2:$E191))</f>
        <v/>
      </c>
      <c r="D191" s="3"/>
      <c r="E191" s="3"/>
      <c r="F191" s="3"/>
      <c r="G191" s="3"/>
      <c r="H191" s="3"/>
      <c r="I191" s="3"/>
      <c r="J191" s="3"/>
      <c r="K191" s="3"/>
      <c r="L191" s="4"/>
      <c r="M191" s="6" t="str">
        <f>IF(OR($E191="",$F191=""),"",IF(_xlfn.SINGLE(JobState)="",IF(ROW()=2,HYPERLINK("#JobState","Set State →"),""),HYPERLINK(IF(OR(_xlfn.SINGLE(JobState)="MI",_xlfn.SINGLE(JobState)=""),"https://fema.maps.arcgis.com/apps/mapviewer/index.html?webmap=6a1702b9147243d1a5ee62cd614bc681&amp;center="&amp;$F191&amp;","&amp;$E191&amp;"&amp;level=16&amp;marker="&amp;$F191&amp;","&amp;$E191&amp;"",IF(_xlfn.SINGLE(JobState)="IN","https://fema.maps.arcgis.com/apps/mapviewer/index.html?url=https%3A%2F%2Fgis.indot.in.gov%2Fro%2Frest%2Fservices%2FRAH_GIO_Collaboration%2FLRSE_Functional_Class%2FFeatureServer%2F22&amp;find="&amp;$F191&amp;"%2C"&amp;$E191&amp;"&amp;marker="&amp;$F191&amp;","&amp;$E191&amp;",4326&amp;level=16",IF(_xlfn.SINGLE(JobState)="WI","https://fema.maps.arcgis.com/apps/mapviewer/index.html?url=https://services5.arcgis.com/0pgGLzT0Nh7FVjon/arcgis/rest/services/Functional_Class_Local_Non_Prod/FeatureServer/1&amp;find="&amp;$F191&amp;"%2C"&amp;$E191&amp;"&amp;marker="&amp;$F191&amp;","&amp;$E191&amp;",4326&amp;level=16",IF(_xlfn.SINGLE(JobState)="MN","https://fema.maps.arcgis.com/apps/mapviewer/index.html?url=https%3A%2F%2Fdotapp9.dot.state.mn.us%2Fegis12%2Frest%2Fservices%2FBASEMAP%2Fmndot_commonlayers2%2FMapServer%2F11&amp;find="&amp;$F191&amp;"%2C"&amp;$E191&amp;"&amp;marker="&amp;$F191&amp;","&amp;$E191&amp;",4326&amp;level=16",IF(_xlfn.SINGLE(JobState)="IL","https://fema.maps.arcgis.com/apps/mapviewer/index.html?url=https%3A%2F%2Fgis1.dot.illinois.gov%2Farcgis%2Frest%2Fservices%2FAdministrativeData%2FFunctionalClass%2FMapServer%2F0&amp;find="&amp;$F191&amp;"%2C"&amp;$E191&amp;"&amp;marker="&amp;$F191&amp;","&amp;$E191&amp;",4326&amp;level=16",IF(_xlfn.SINGLE(JobState)="OH","https://fema.maps.arcgis.com/apps/mapviewer/index.html?url=https%3A%2F%2Ftims.dot.state.oh.us%2Fags%2Frest%2Fservices%2FRoadway_Information%2FFunctional_Class%2FMapServer%2F0&amp;find="&amp;$F191&amp;"%2C"&amp;$E191&amp;"&amp;marker="&amp;$F191&amp;","&amp;$E191&amp;",4326&amp;level=16","https://fema.maps.arcgis.com/apps/mapviewer/index.html?find="&amp;$F191&amp;"%2C"&amp;$E191&amp;"&amp;marker="&amp;$F191&amp;","&amp;$E191&amp;",4326&amp;level=16")))))),IF(_xlfn.SINGLE(JobState)="WI","Review Local Roads Layer","Review NFC AGOL Layer"))))</f>
        <v/>
      </c>
      <c r="N191" s="6" t="str">
        <f>IF(OR($E191="",$F191=""),"",IF(_xlfn.SINGLE(JobState)="",IF(ROW()=2,HYPERLINK("#JobState","Set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191&amp;"%2C"&amp;$E191&amp;"&amp;marker="&amp;$F191&amp;","&amp;$E191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1" s="6" t="str">
        <f>IF(OR($E191="", $F191=""),"",IF(_xlfn.SINGLE(JobAgolMap)="",HYPERLINK("https://fema.maps.arcgis.com/apps/mapviewer/index.html?find="&amp;$F191&amp;"%2C"&amp;$E191&amp;"&amp;marker="&amp;$F191&amp;","&amp;$E191&amp;",4326&amp;level=16","FEMA AGOL Map Viewer"),HYPERLINK(_xlfn.SINGLE(JobAgolMap)&amp;IF(ISNUMBER(FIND("?",_xlfn.SINGLE(JobAgolMap))),"&amp;","?")&amp;"center="&amp;$F191&amp;","&amp;$E191&amp;"&amp;level=16&amp;marker="&amp;$F191&amp;","&amp;$E191,"Open")))</f>
        <v/>
      </c>
      <c r="Q191" s="4"/>
      <c r="R191" s="4"/>
      <c r="W191" s="6" t="str">
        <f t="shared" si="12"/>
        <v/>
      </c>
      <c r="X191" s="6" t="str">
        <f t="shared" si="13"/>
        <v/>
      </c>
      <c r="Y191" s="6" t="str">
        <f t="shared" si="14"/>
        <v/>
      </c>
      <c r="Z191" s="6" t="str">
        <f t="shared" si="15"/>
        <v/>
      </c>
      <c r="AA191" s="6" t="str">
        <f t="shared" si="16"/>
        <v/>
      </c>
      <c r="AB191" s="6" t="str">
        <f t="shared" si="17"/>
        <v/>
      </c>
      <c r="AC191" s="4"/>
      <c r="AD191" s="4"/>
    </row>
    <row r="192" spans="1:30" x14ac:dyDescent="0.45">
      <c r="A192" s="3"/>
      <c r="B192" s="3"/>
      <c r="C192" s="5" t="str">
        <f>IF($E192="","",COUNT($E$2:$E192))</f>
        <v/>
      </c>
      <c r="D192" s="3"/>
      <c r="E192" s="3"/>
      <c r="F192" s="3"/>
      <c r="G192" s="3"/>
      <c r="H192" s="3"/>
      <c r="I192" s="3"/>
      <c r="J192" s="3"/>
      <c r="K192" s="3"/>
      <c r="L192" s="4"/>
      <c r="M192" s="6" t="str">
        <f>IF(OR($E192="",$F192=""),"",IF(_xlfn.SINGLE(JobState)="",IF(ROW()=2,HYPERLINK("#JobState","Set State →"),""),HYPERLINK(IF(OR(_xlfn.SINGLE(JobState)="MI",_xlfn.SINGLE(JobState)=""),"https://fema.maps.arcgis.com/apps/mapviewer/index.html?webmap=6a1702b9147243d1a5ee62cd614bc681&amp;center="&amp;$F192&amp;","&amp;$E192&amp;"&amp;level=16&amp;marker="&amp;$F192&amp;","&amp;$E192&amp;"",IF(_xlfn.SINGLE(JobState)="IN","https://fema.maps.arcgis.com/apps/mapviewer/index.html?url=https%3A%2F%2Fgis.indot.in.gov%2Fro%2Frest%2Fservices%2FRAH_GIO_Collaboration%2FLRSE_Functional_Class%2FFeatureServer%2F22&amp;find="&amp;$F192&amp;"%2C"&amp;$E192&amp;"&amp;marker="&amp;$F192&amp;","&amp;$E192&amp;",4326&amp;level=16",IF(_xlfn.SINGLE(JobState)="WI","https://fema.maps.arcgis.com/apps/mapviewer/index.html?url=https://services5.arcgis.com/0pgGLzT0Nh7FVjon/arcgis/rest/services/Functional_Class_Local_Non_Prod/FeatureServer/1&amp;find="&amp;$F192&amp;"%2C"&amp;$E192&amp;"&amp;marker="&amp;$F192&amp;","&amp;$E192&amp;",4326&amp;level=16",IF(_xlfn.SINGLE(JobState)="MN","https://fema.maps.arcgis.com/apps/mapviewer/index.html?url=https%3A%2F%2Fdotapp9.dot.state.mn.us%2Fegis12%2Frest%2Fservices%2FBASEMAP%2Fmndot_commonlayers2%2FMapServer%2F11&amp;find="&amp;$F192&amp;"%2C"&amp;$E192&amp;"&amp;marker="&amp;$F192&amp;","&amp;$E192&amp;",4326&amp;level=16",IF(_xlfn.SINGLE(JobState)="IL","https://fema.maps.arcgis.com/apps/mapviewer/index.html?url=https%3A%2F%2Fgis1.dot.illinois.gov%2Farcgis%2Frest%2Fservices%2FAdministrativeData%2FFunctionalClass%2FMapServer%2F0&amp;find="&amp;$F192&amp;"%2C"&amp;$E192&amp;"&amp;marker="&amp;$F192&amp;","&amp;$E192&amp;",4326&amp;level=16",IF(_xlfn.SINGLE(JobState)="OH","https://fema.maps.arcgis.com/apps/mapviewer/index.html?url=https%3A%2F%2Ftims.dot.state.oh.us%2Fags%2Frest%2Fservices%2FRoadway_Information%2FFunctional_Class%2FMapServer%2F0&amp;find="&amp;$F192&amp;"%2C"&amp;$E192&amp;"&amp;marker="&amp;$F192&amp;","&amp;$E192&amp;",4326&amp;level=16","https://fema.maps.arcgis.com/apps/mapviewer/index.html?find="&amp;$F192&amp;"%2C"&amp;$E192&amp;"&amp;marker="&amp;$F192&amp;","&amp;$E192&amp;",4326&amp;level=16")))))),IF(_xlfn.SINGLE(JobState)="WI","Review Local Roads Layer","Review NFC AGOL Layer"))))</f>
        <v/>
      </c>
      <c r="N192" s="6" t="str">
        <f>IF(OR($E192="",$F192=""),"",IF(_xlfn.SINGLE(JobState)="",IF(ROW()=2,HYPERLINK("#JobState","Set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192&amp;"%2C"&amp;$E192&amp;"&amp;marker="&amp;$F192&amp;","&amp;$E192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2" s="6" t="str">
        <f>IF(OR($E192="", $F192=""),"",IF(_xlfn.SINGLE(JobAgolMap)="",HYPERLINK("https://fema.maps.arcgis.com/apps/mapviewer/index.html?find="&amp;$F192&amp;"%2C"&amp;$E192&amp;"&amp;marker="&amp;$F192&amp;","&amp;$E192&amp;",4326&amp;level=16","FEMA AGOL Map Viewer"),HYPERLINK(_xlfn.SINGLE(JobAgolMap)&amp;IF(ISNUMBER(FIND("?",_xlfn.SINGLE(JobAgolMap))),"&amp;","?")&amp;"center="&amp;$F192&amp;","&amp;$E192&amp;"&amp;level=16&amp;marker="&amp;$F192&amp;","&amp;$E192,"Open")))</f>
        <v/>
      </c>
      <c r="Q192" s="4"/>
      <c r="R192" s="4"/>
      <c r="W192" s="6" t="str">
        <f t="shared" si="12"/>
        <v/>
      </c>
      <c r="X192" s="6" t="str">
        <f t="shared" si="13"/>
        <v/>
      </c>
      <c r="Y192" s="6" t="str">
        <f t="shared" si="14"/>
        <v/>
      </c>
      <c r="Z192" s="6" t="str">
        <f t="shared" si="15"/>
        <v/>
      </c>
      <c r="AA192" s="6" t="str">
        <f t="shared" si="16"/>
        <v/>
      </c>
      <c r="AB192" s="6" t="str">
        <f t="shared" si="17"/>
        <v/>
      </c>
      <c r="AC192" s="4"/>
      <c r="AD192" s="4"/>
    </row>
    <row r="193" spans="1:30" x14ac:dyDescent="0.45">
      <c r="A193" s="3"/>
      <c r="B193" s="3"/>
      <c r="C193" s="5" t="str">
        <f>IF($E193="","",COUNT($E$2:$E193))</f>
        <v/>
      </c>
      <c r="D193" s="3"/>
      <c r="E193" s="3"/>
      <c r="F193" s="3"/>
      <c r="G193" s="3"/>
      <c r="H193" s="3"/>
      <c r="I193" s="3"/>
      <c r="J193" s="3"/>
      <c r="K193" s="3"/>
      <c r="L193" s="4"/>
      <c r="M193" s="6" t="str">
        <f>IF(OR($E193="",$F193=""),"",IF(_xlfn.SINGLE(JobState)="",IF(ROW()=2,HYPERLINK("#JobState","Set State →"),""),HYPERLINK(IF(OR(_xlfn.SINGLE(JobState)="MI",_xlfn.SINGLE(JobState)=""),"https://fema.maps.arcgis.com/apps/mapviewer/index.html?webmap=6a1702b9147243d1a5ee62cd614bc681&amp;center="&amp;$F193&amp;","&amp;$E193&amp;"&amp;level=16&amp;marker="&amp;$F193&amp;","&amp;$E193&amp;"",IF(_xlfn.SINGLE(JobState)="IN","https://fema.maps.arcgis.com/apps/mapviewer/index.html?url=https%3A%2F%2Fgis.indot.in.gov%2Fro%2Frest%2Fservices%2FRAH_GIO_Collaboration%2FLRSE_Functional_Class%2FFeatureServer%2F22&amp;find="&amp;$F193&amp;"%2C"&amp;$E193&amp;"&amp;marker="&amp;$F193&amp;","&amp;$E193&amp;",4326&amp;level=16",IF(_xlfn.SINGLE(JobState)="WI","https://fema.maps.arcgis.com/apps/mapviewer/index.html?url=https://services5.arcgis.com/0pgGLzT0Nh7FVjon/arcgis/rest/services/Functional_Class_Local_Non_Prod/FeatureServer/1&amp;find="&amp;$F193&amp;"%2C"&amp;$E193&amp;"&amp;marker="&amp;$F193&amp;","&amp;$E193&amp;",4326&amp;level=16",IF(_xlfn.SINGLE(JobState)="MN","https://fema.maps.arcgis.com/apps/mapviewer/index.html?url=https%3A%2F%2Fdotapp9.dot.state.mn.us%2Fegis12%2Frest%2Fservices%2FBASEMAP%2Fmndot_commonlayers2%2FMapServer%2F11&amp;find="&amp;$F193&amp;"%2C"&amp;$E193&amp;"&amp;marker="&amp;$F193&amp;","&amp;$E193&amp;",4326&amp;level=16",IF(_xlfn.SINGLE(JobState)="IL","https://fema.maps.arcgis.com/apps/mapviewer/index.html?url=https%3A%2F%2Fgis1.dot.illinois.gov%2Farcgis%2Frest%2Fservices%2FAdministrativeData%2FFunctionalClass%2FMapServer%2F0&amp;find="&amp;$F193&amp;"%2C"&amp;$E193&amp;"&amp;marker="&amp;$F193&amp;","&amp;$E193&amp;",4326&amp;level=16",IF(_xlfn.SINGLE(JobState)="OH","https://fema.maps.arcgis.com/apps/mapviewer/index.html?url=https%3A%2F%2Ftims.dot.state.oh.us%2Fags%2Frest%2Fservices%2FRoadway_Information%2FFunctional_Class%2FMapServer%2F0&amp;find="&amp;$F193&amp;"%2C"&amp;$E193&amp;"&amp;marker="&amp;$F193&amp;","&amp;$E193&amp;",4326&amp;level=16","https://fema.maps.arcgis.com/apps/mapviewer/index.html?find="&amp;$F193&amp;"%2C"&amp;$E193&amp;"&amp;marker="&amp;$F193&amp;","&amp;$E193&amp;",4326&amp;level=16")))))),IF(_xlfn.SINGLE(JobState)="WI","Review Local Roads Layer","Review NFC AGOL Layer"))))</f>
        <v/>
      </c>
      <c r="N193" s="6" t="str">
        <f>IF(OR($E193="",$F193=""),"",IF(_xlfn.SINGLE(JobState)="",IF(ROW()=2,HYPERLINK("#JobState","Set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193&amp;"%2C"&amp;$E193&amp;"&amp;marker="&amp;$F193&amp;","&amp;$E193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3" s="6" t="str">
        <f>IF(OR($E193="", $F193=""),"",IF(_xlfn.SINGLE(JobAgolMap)="",HYPERLINK("https://fema.maps.arcgis.com/apps/mapviewer/index.html?find="&amp;$F193&amp;"%2C"&amp;$E193&amp;"&amp;marker="&amp;$F193&amp;","&amp;$E193&amp;",4326&amp;level=16","FEMA AGOL Map Viewer"),HYPERLINK(_xlfn.SINGLE(JobAgolMap)&amp;IF(ISNUMBER(FIND("?",_xlfn.SINGLE(JobAgolMap))),"&amp;","?")&amp;"center="&amp;$F193&amp;","&amp;$E193&amp;"&amp;level=16&amp;marker="&amp;$F193&amp;","&amp;$E193,"Open")))</f>
        <v/>
      </c>
      <c r="Q193" s="4"/>
      <c r="R193" s="4"/>
      <c r="W193" s="6" t="str">
        <f t="shared" si="12"/>
        <v/>
      </c>
      <c r="X193" s="6" t="str">
        <f t="shared" si="13"/>
        <v/>
      </c>
      <c r="Y193" s="6" t="str">
        <f t="shared" si="14"/>
        <v/>
      </c>
      <c r="Z193" s="6" t="str">
        <f t="shared" si="15"/>
        <v/>
      </c>
      <c r="AA193" s="6" t="str">
        <f t="shared" si="16"/>
        <v/>
      </c>
      <c r="AB193" s="6" t="str">
        <f t="shared" si="17"/>
        <v/>
      </c>
      <c r="AC193" s="4"/>
      <c r="AD193" s="4"/>
    </row>
    <row r="194" spans="1:30" x14ac:dyDescent="0.45">
      <c r="A194" s="3"/>
      <c r="B194" s="3"/>
      <c r="C194" s="5" t="str">
        <f>IF($E194="","",COUNT($E$2:$E194))</f>
        <v/>
      </c>
      <c r="D194" s="3"/>
      <c r="E194" s="3"/>
      <c r="F194" s="3"/>
      <c r="G194" s="3"/>
      <c r="H194" s="3"/>
      <c r="I194" s="3"/>
      <c r="J194" s="3"/>
      <c r="K194" s="3"/>
      <c r="L194" s="4"/>
      <c r="M194" s="6" t="str">
        <f>IF(OR($E194="",$F194=""),"",IF(_xlfn.SINGLE(JobState)="",IF(ROW()=2,HYPERLINK("#JobState","Set State →"),""),HYPERLINK(IF(OR(_xlfn.SINGLE(JobState)="MI",_xlfn.SINGLE(JobState)=""),"https://fema.maps.arcgis.com/apps/mapviewer/index.html?webmap=6a1702b9147243d1a5ee62cd614bc681&amp;center="&amp;$F194&amp;","&amp;$E194&amp;"&amp;level=16&amp;marker="&amp;$F194&amp;","&amp;$E194&amp;"",IF(_xlfn.SINGLE(JobState)="IN","https://fema.maps.arcgis.com/apps/mapviewer/index.html?url=https%3A%2F%2Fgis.indot.in.gov%2Fro%2Frest%2Fservices%2FRAH_GIO_Collaboration%2FLRSE_Functional_Class%2FFeatureServer%2F22&amp;find="&amp;$F194&amp;"%2C"&amp;$E194&amp;"&amp;marker="&amp;$F194&amp;","&amp;$E194&amp;",4326&amp;level=16",IF(_xlfn.SINGLE(JobState)="WI","https://fema.maps.arcgis.com/apps/mapviewer/index.html?url=https://services5.arcgis.com/0pgGLzT0Nh7FVjon/arcgis/rest/services/Functional_Class_Local_Non_Prod/FeatureServer/1&amp;find="&amp;$F194&amp;"%2C"&amp;$E194&amp;"&amp;marker="&amp;$F194&amp;","&amp;$E194&amp;",4326&amp;level=16",IF(_xlfn.SINGLE(JobState)="MN","https://fema.maps.arcgis.com/apps/mapviewer/index.html?url=https%3A%2F%2Fdotapp9.dot.state.mn.us%2Fegis12%2Frest%2Fservices%2FBASEMAP%2Fmndot_commonlayers2%2FMapServer%2F11&amp;find="&amp;$F194&amp;"%2C"&amp;$E194&amp;"&amp;marker="&amp;$F194&amp;","&amp;$E194&amp;",4326&amp;level=16",IF(_xlfn.SINGLE(JobState)="IL","https://fema.maps.arcgis.com/apps/mapviewer/index.html?url=https%3A%2F%2Fgis1.dot.illinois.gov%2Farcgis%2Frest%2Fservices%2FAdministrativeData%2FFunctionalClass%2FMapServer%2F0&amp;find="&amp;$F194&amp;"%2C"&amp;$E194&amp;"&amp;marker="&amp;$F194&amp;","&amp;$E194&amp;",4326&amp;level=16",IF(_xlfn.SINGLE(JobState)="OH","https://fema.maps.arcgis.com/apps/mapviewer/index.html?url=https%3A%2F%2Ftims.dot.state.oh.us%2Fags%2Frest%2Fservices%2FRoadway_Information%2FFunctional_Class%2FMapServer%2F0&amp;find="&amp;$F194&amp;"%2C"&amp;$E194&amp;"&amp;marker="&amp;$F194&amp;","&amp;$E194&amp;",4326&amp;level=16","https://fema.maps.arcgis.com/apps/mapviewer/index.html?find="&amp;$F194&amp;"%2C"&amp;$E194&amp;"&amp;marker="&amp;$F194&amp;","&amp;$E194&amp;",4326&amp;level=16")))))),IF(_xlfn.SINGLE(JobState)="WI","Review Local Roads Layer","Review NFC AGOL Layer"))))</f>
        <v/>
      </c>
      <c r="N194" s="6" t="str">
        <f>IF(OR($E194="",$F194=""),"",IF(_xlfn.SINGLE(JobState)="",IF(ROW()=2,HYPERLINK("#JobState","Set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194&amp;"%2C"&amp;$E194&amp;"&amp;marker="&amp;$F194&amp;","&amp;$E194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4" s="6" t="str">
        <f>IF(OR($E194="", $F194=""),"",IF(_xlfn.SINGLE(JobAgolMap)="",HYPERLINK("https://fema.maps.arcgis.com/apps/mapviewer/index.html?find="&amp;$F194&amp;"%2C"&amp;$E194&amp;"&amp;marker="&amp;$F194&amp;","&amp;$E194&amp;",4326&amp;level=16","FEMA AGOL Map Viewer"),HYPERLINK(_xlfn.SINGLE(JobAgolMap)&amp;IF(ISNUMBER(FIND("?",_xlfn.SINGLE(JobAgolMap))),"&amp;","?")&amp;"center="&amp;$F194&amp;","&amp;$E194&amp;"&amp;level=16&amp;marker="&amp;$F194&amp;","&amp;$E194,"Open")))</f>
        <v/>
      </c>
      <c r="Q194" s="4"/>
      <c r="R194" s="4"/>
      <c r="W194" s="6" t="str">
        <f t="shared" ref="W194:W257" si="18">IF(OR($E194="",$F194=""),"",HYPERLINK("https://www.google.com/maps?q="&amp;$E194&amp;","&amp;$F194&amp;"","Map"))</f>
        <v/>
      </c>
      <c r="X194" s="6" t="str">
        <f t="shared" ref="X194:X257" si="19">IF(OR($E194="",$F194=""),"",HYPERLINK("https://www.google.com/maps?q&amp;layer=c&amp;cbll="&amp;$E194&amp;","&amp;$F194&amp;"","Street"))</f>
        <v/>
      </c>
      <c r="Y194" s="6" t="str">
        <f t="shared" ref="Y194:Y257" si="20">IF(OR($E194="",$F194=""),"",HYPERLINK("https://www.bing.com/maps?cp="&amp;$E194&amp;"~"&amp;$F194&amp;"&amp;lvl=18&amp;style=h","Bing"))</f>
        <v/>
      </c>
      <c r="Z194" s="6" t="str">
        <f t="shared" ref="Z194:Z257" si="21">IF(OR($E194="",$F194=""),"",HYPERLINK("https://earth.google.com/web/search/"&amp;$E194&amp;","&amp;$F194&amp;"","Earth"))</f>
        <v/>
      </c>
      <c r="AA194" s="6" t="str">
        <f t="shared" ref="AA194:AA257" si="22">IF(OR($E194="",$F194=""),"",HYPERLINK("https://fema.maps.arcgis.com/apps/mapviewer/index.html?find="&amp;$F194&amp;"%2C"&amp;$E194&amp;"&amp;marker="&amp;$F194&amp;","&amp;$E194&amp;",4326&amp;level=16","FEMA"))</f>
        <v/>
      </c>
      <c r="AB194" s="6" t="str">
        <f t="shared" ref="AB194:AB257" si="23">IF(OR($E194="",$F194=""),"",HYPERLINK("https://msc.fema.gov/portal/firmette?latitude="&amp;$E194&amp;"&amp;longitude="&amp;$F194&amp;"","FIRMette"))</f>
        <v/>
      </c>
      <c r="AC194" s="4"/>
      <c r="AD194" s="4"/>
    </row>
    <row r="195" spans="1:30" x14ac:dyDescent="0.45">
      <c r="A195" s="3"/>
      <c r="B195" s="3"/>
      <c r="C195" s="5" t="str">
        <f>IF($E195="","",COUNT($E$2:$E195))</f>
        <v/>
      </c>
      <c r="D195" s="3"/>
      <c r="E195" s="3"/>
      <c r="F195" s="3"/>
      <c r="G195" s="3"/>
      <c r="H195" s="3"/>
      <c r="I195" s="3"/>
      <c r="J195" s="3"/>
      <c r="K195" s="3"/>
      <c r="L195" s="4"/>
      <c r="M195" s="6" t="str">
        <f>IF(OR($E195="",$F195=""),"",IF(_xlfn.SINGLE(JobState)="",IF(ROW()=2,HYPERLINK("#JobState","Set State →"),""),HYPERLINK(IF(OR(_xlfn.SINGLE(JobState)="MI",_xlfn.SINGLE(JobState)=""),"https://fema.maps.arcgis.com/apps/mapviewer/index.html?webmap=6a1702b9147243d1a5ee62cd614bc681&amp;center="&amp;$F195&amp;","&amp;$E195&amp;"&amp;level=16&amp;marker="&amp;$F195&amp;","&amp;$E195&amp;"",IF(_xlfn.SINGLE(JobState)="IN","https://fema.maps.arcgis.com/apps/mapviewer/index.html?url=https%3A%2F%2Fgis.indot.in.gov%2Fro%2Frest%2Fservices%2FRAH_GIO_Collaboration%2FLRSE_Functional_Class%2FFeatureServer%2F22&amp;find="&amp;$F195&amp;"%2C"&amp;$E195&amp;"&amp;marker="&amp;$F195&amp;","&amp;$E195&amp;",4326&amp;level=16",IF(_xlfn.SINGLE(JobState)="WI","https://fema.maps.arcgis.com/apps/mapviewer/index.html?url=https://services5.arcgis.com/0pgGLzT0Nh7FVjon/arcgis/rest/services/Functional_Class_Local_Non_Prod/FeatureServer/1&amp;find="&amp;$F195&amp;"%2C"&amp;$E195&amp;"&amp;marker="&amp;$F195&amp;","&amp;$E195&amp;",4326&amp;level=16",IF(_xlfn.SINGLE(JobState)="MN","https://fema.maps.arcgis.com/apps/mapviewer/index.html?url=https%3A%2F%2Fdotapp9.dot.state.mn.us%2Fegis12%2Frest%2Fservices%2FBASEMAP%2Fmndot_commonlayers2%2FMapServer%2F11&amp;find="&amp;$F195&amp;"%2C"&amp;$E195&amp;"&amp;marker="&amp;$F195&amp;","&amp;$E195&amp;",4326&amp;level=16",IF(_xlfn.SINGLE(JobState)="IL","https://fema.maps.arcgis.com/apps/mapviewer/index.html?url=https%3A%2F%2Fgis1.dot.illinois.gov%2Farcgis%2Frest%2Fservices%2FAdministrativeData%2FFunctionalClass%2FMapServer%2F0&amp;find="&amp;$F195&amp;"%2C"&amp;$E195&amp;"&amp;marker="&amp;$F195&amp;","&amp;$E195&amp;",4326&amp;level=16",IF(_xlfn.SINGLE(JobState)="OH","https://fema.maps.arcgis.com/apps/mapviewer/index.html?url=https%3A%2F%2Ftims.dot.state.oh.us%2Fags%2Frest%2Fservices%2FRoadway_Information%2FFunctional_Class%2FMapServer%2F0&amp;find="&amp;$F195&amp;"%2C"&amp;$E195&amp;"&amp;marker="&amp;$F195&amp;","&amp;$E195&amp;",4326&amp;level=16","https://fema.maps.arcgis.com/apps/mapviewer/index.html?find="&amp;$F195&amp;"%2C"&amp;$E195&amp;"&amp;marker="&amp;$F195&amp;","&amp;$E195&amp;",4326&amp;level=16")))))),IF(_xlfn.SINGLE(JobState)="WI","Review Local Roads Layer","Review NFC AGOL Layer"))))</f>
        <v/>
      </c>
      <c r="N195" s="6" t="str">
        <f>IF(OR($E195="",$F195=""),"",IF(_xlfn.SINGLE(JobState)="",IF(ROW()=2,HYPERLINK("#JobState","Set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195&amp;"%2C"&amp;$E195&amp;"&amp;marker="&amp;$F195&amp;","&amp;$E195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5" s="6" t="str">
        <f>IF(OR($E195="", $F195=""),"",IF(_xlfn.SINGLE(JobAgolMap)="",HYPERLINK("https://fema.maps.arcgis.com/apps/mapviewer/index.html?find="&amp;$F195&amp;"%2C"&amp;$E195&amp;"&amp;marker="&amp;$F195&amp;","&amp;$E195&amp;",4326&amp;level=16","FEMA AGOL Map Viewer"),HYPERLINK(_xlfn.SINGLE(JobAgolMap)&amp;IF(ISNUMBER(FIND("?",_xlfn.SINGLE(JobAgolMap))),"&amp;","?")&amp;"center="&amp;$F195&amp;","&amp;$E195&amp;"&amp;level=16&amp;marker="&amp;$F195&amp;","&amp;$E195,"Open")))</f>
        <v/>
      </c>
      <c r="Q195" s="4"/>
      <c r="R195" s="4"/>
      <c r="W195" s="6" t="str">
        <f t="shared" si="18"/>
        <v/>
      </c>
      <c r="X195" s="6" t="str">
        <f t="shared" si="19"/>
        <v/>
      </c>
      <c r="Y195" s="6" t="str">
        <f t="shared" si="20"/>
        <v/>
      </c>
      <c r="Z195" s="6" t="str">
        <f t="shared" si="21"/>
        <v/>
      </c>
      <c r="AA195" s="6" t="str">
        <f t="shared" si="22"/>
        <v/>
      </c>
      <c r="AB195" s="6" t="str">
        <f t="shared" si="23"/>
        <v/>
      </c>
      <c r="AC195" s="4"/>
      <c r="AD195" s="4"/>
    </row>
    <row r="196" spans="1:30" x14ac:dyDescent="0.45">
      <c r="A196" s="3"/>
      <c r="B196" s="3"/>
      <c r="C196" s="5" t="str">
        <f>IF($E196="","",COUNT($E$2:$E196))</f>
        <v/>
      </c>
      <c r="D196" s="3"/>
      <c r="E196" s="3"/>
      <c r="F196" s="3"/>
      <c r="G196" s="3"/>
      <c r="H196" s="3"/>
      <c r="I196" s="3"/>
      <c r="J196" s="3"/>
      <c r="K196" s="3"/>
      <c r="L196" s="4"/>
      <c r="M196" s="6" t="str">
        <f>IF(OR($E196="",$F196=""),"",IF(_xlfn.SINGLE(JobState)="",IF(ROW()=2,HYPERLINK("#JobState","Set State →"),""),HYPERLINK(IF(OR(_xlfn.SINGLE(JobState)="MI",_xlfn.SINGLE(JobState)=""),"https://fema.maps.arcgis.com/apps/mapviewer/index.html?webmap=6a1702b9147243d1a5ee62cd614bc681&amp;center="&amp;$F196&amp;","&amp;$E196&amp;"&amp;level=16&amp;marker="&amp;$F196&amp;","&amp;$E196&amp;"",IF(_xlfn.SINGLE(JobState)="IN","https://fema.maps.arcgis.com/apps/mapviewer/index.html?url=https%3A%2F%2Fgis.indot.in.gov%2Fro%2Frest%2Fservices%2FRAH_GIO_Collaboration%2FLRSE_Functional_Class%2FFeatureServer%2F22&amp;find="&amp;$F196&amp;"%2C"&amp;$E196&amp;"&amp;marker="&amp;$F196&amp;","&amp;$E196&amp;",4326&amp;level=16",IF(_xlfn.SINGLE(JobState)="WI","https://fema.maps.arcgis.com/apps/mapviewer/index.html?url=https://services5.arcgis.com/0pgGLzT0Nh7FVjon/arcgis/rest/services/Functional_Class_Local_Non_Prod/FeatureServer/1&amp;find="&amp;$F196&amp;"%2C"&amp;$E196&amp;"&amp;marker="&amp;$F196&amp;","&amp;$E196&amp;",4326&amp;level=16",IF(_xlfn.SINGLE(JobState)="MN","https://fema.maps.arcgis.com/apps/mapviewer/index.html?url=https%3A%2F%2Fdotapp9.dot.state.mn.us%2Fegis12%2Frest%2Fservices%2FBASEMAP%2Fmndot_commonlayers2%2FMapServer%2F11&amp;find="&amp;$F196&amp;"%2C"&amp;$E196&amp;"&amp;marker="&amp;$F196&amp;","&amp;$E196&amp;",4326&amp;level=16",IF(_xlfn.SINGLE(JobState)="IL","https://fema.maps.arcgis.com/apps/mapviewer/index.html?url=https%3A%2F%2Fgis1.dot.illinois.gov%2Farcgis%2Frest%2Fservices%2FAdministrativeData%2FFunctionalClass%2FMapServer%2F0&amp;find="&amp;$F196&amp;"%2C"&amp;$E196&amp;"&amp;marker="&amp;$F196&amp;","&amp;$E196&amp;",4326&amp;level=16",IF(_xlfn.SINGLE(JobState)="OH","https://fema.maps.arcgis.com/apps/mapviewer/index.html?url=https%3A%2F%2Ftims.dot.state.oh.us%2Fags%2Frest%2Fservices%2FRoadway_Information%2FFunctional_Class%2FMapServer%2F0&amp;find="&amp;$F196&amp;"%2C"&amp;$E196&amp;"&amp;marker="&amp;$F196&amp;","&amp;$E196&amp;",4326&amp;level=16","https://fema.maps.arcgis.com/apps/mapviewer/index.html?find="&amp;$F196&amp;"%2C"&amp;$E196&amp;"&amp;marker="&amp;$F196&amp;","&amp;$E196&amp;",4326&amp;level=16")))))),IF(_xlfn.SINGLE(JobState)="WI","Review Local Roads Layer","Review NFC AGOL Layer"))))</f>
        <v/>
      </c>
      <c r="N196" s="6" t="str">
        <f>IF(OR($E196="",$F196=""),"",IF(_xlfn.SINGLE(JobState)="",IF(ROW()=2,HYPERLINK("#JobState","Set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196&amp;"%2C"&amp;$E196&amp;"&amp;marker="&amp;$F196&amp;","&amp;$E196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6" s="6" t="str">
        <f>IF(OR($E196="", $F196=""),"",IF(_xlfn.SINGLE(JobAgolMap)="",HYPERLINK("https://fema.maps.arcgis.com/apps/mapviewer/index.html?find="&amp;$F196&amp;"%2C"&amp;$E196&amp;"&amp;marker="&amp;$F196&amp;","&amp;$E196&amp;",4326&amp;level=16","FEMA AGOL Map Viewer"),HYPERLINK(_xlfn.SINGLE(JobAgolMap)&amp;IF(ISNUMBER(FIND("?",_xlfn.SINGLE(JobAgolMap))),"&amp;","?")&amp;"center="&amp;$F196&amp;","&amp;$E196&amp;"&amp;level=16&amp;marker="&amp;$F196&amp;","&amp;$E196,"Open")))</f>
        <v/>
      </c>
      <c r="Q196" s="4"/>
      <c r="R196" s="4"/>
      <c r="W196" s="6" t="str">
        <f t="shared" si="18"/>
        <v/>
      </c>
      <c r="X196" s="6" t="str">
        <f t="shared" si="19"/>
        <v/>
      </c>
      <c r="Y196" s="6" t="str">
        <f t="shared" si="20"/>
        <v/>
      </c>
      <c r="Z196" s="6" t="str">
        <f t="shared" si="21"/>
        <v/>
      </c>
      <c r="AA196" s="6" t="str">
        <f t="shared" si="22"/>
        <v/>
      </c>
      <c r="AB196" s="6" t="str">
        <f t="shared" si="23"/>
        <v/>
      </c>
      <c r="AC196" s="4"/>
      <c r="AD196" s="4"/>
    </row>
    <row r="197" spans="1:30" x14ac:dyDescent="0.45">
      <c r="A197" s="3"/>
      <c r="B197" s="3"/>
      <c r="C197" s="5" t="str">
        <f>IF($E197="","",COUNT($E$2:$E197))</f>
        <v/>
      </c>
      <c r="D197" s="3"/>
      <c r="E197" s="3"/>
      <c r="F197" s="3"/>
      <c r="G197" s="3"/>
      <c r="H197" s="3"/>
      <c r="I197" s="3"/>
      <c r="J197" s="3"/>
      <c r="K197" s="3"/>
      <c r="L197" s="4"/>
      <c r="M197" s="6" t="str">
        <f>IF(OR($E197="",$F197=""),"",IF(_xlfn.SINGLE(JobState)="",IF(ROW()=2,HYPERLINK("#JobState","Set State →"),""),HYPERLINK(IF(OR(_xlfn.SINGLE(JobState)="MI",_xlfn.SINGLE(JobState)=""),"https://fema.maps.arcgis.com/apps/mapviewer/index.html?webmap=6a1702b9147243d1a5ee62cd614bc681&amp;center="&amp;$F197&amp;","&amp;$E197&amp;"&amp;level=16&amp;marker="&amp;$F197&amp;","&amp;$E197&amp;"",IF(_xlfn.SINGLE(JobState)="IN","https://fema.maps.arcgis.com/apps/mapviewer/index.html?url=https%3A%2F%2Fgis.indot.in.gov%2Fro%2Frest%2Fservices%2FRAH_GIO_Collaboration%2FLRSE_Functional_Class%2FFeatureServer%2F22&amp;find="&amp;$F197&amp;"%2C"&amp;$E197&amp;"&amp;marker="&amp;$F197&amp;","&amp;$E197&amp;",4326&amp;level=16",IF(_xlfn.SINGLE(JobState)="WI","https://fema.maps.arcgis.com/apps/mapviewer/index.html?url=https://services5.arcgis.com/0pgGLzT0Nh7FVjon/arcgis/rest/services/Functional_Class_Local_Non_Prod/FeatureServer/1&amp;find="&amp;$F197&amp;"%2C"&amp;$E197&amp;"&amp;marker="&amp;$F197&amp;","&amp;$E197&amp;",4326&amp;level=16",IF(_xlfn.SINGLE(JobState)="MN","https://fema.maps.arcgis.com/apps/mapviewer/index.html?url=https%3A%2F%2Fdotapp9.dot.state.mn.us%2Fegis12%2Frest%2Fservices%2FBASEMAP%2Fmndot_commonlayers2%2FMapServer%2F11&amp;find="&amp;$F197&amp;"%2C"&amp;$E197&amp;"&amp;marker="&amp;$F197&amp;","&amp;$E197&amp;",4326&amp;level=16",IF(_xlfn.SINGLE(JobState)="IL","https://fema.maps.arcgis.com/apps/mapviewer/index.html?url=https%3A%2F%2Fgis1.dot.illinois.gov%2Farcgis%2Frest%2Fservices%2FAdministrativeData%2FFunctionalClass%2FMapServer%2F0&amp;find="&amp;$F197&amp;"%2C"&amp;$E197&amp;"&amp;marker="&amp;$F197&amp;","&amp;$E197&amp;",4326&amp;level=16",IF(_xlfn.SINGLE(JobState)="OH","https://fema.maps.arcgis.com/apps/mapviewer/index.html?url=https%3A%2F%2Ftims.dot.state.oh.us%2Fags%2Frest%2Fservices%2FRoadway_Information%2FFunctional_Class%2FMapServer%2F0&amp;find="&amp;$F197&amp;"%2C"&amp;$E197&amp;"&amp;marker="&amp;$F197&amp;","&amp;$E197&amp;",4326&amp;level=16","https://fema.maps.arcgis.com/apps/mapviewer/index.html?find="&amp;$F197&amp;"%2C"&amp;$E197&amp;"&amp;marker="&amp;$F197&amp;","&amp;$E197&amp;",4326&amp;level=16")))))),IF(_xlfn.SINGLE(JobState)="WI","Review Local Roads Layer","Review NFC AGOL Layer"))))</f>
        <v/>
      </c>
      <c r="N197" s="6" t="str">
        <f>IF(OR($E197="",$F197=""),"",IF(_xlfn.SINGLE(JobState)="",IF(ROW()=2,HYPERLINK("#JobState","Set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197&amp;"%2C"&amp;$E197&amp;"&amp;marker="&amp;$F197&amp;","&amp;$E197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7" s="6" t="str">
        <f>IF(OR($E197="", $F197=""),"",IF(_xlfn.SINGLE(JobAgolMap)="",HYPERLINK("https://fema.maps.arcgis.com/apps/mapviewer/index.html?find="&amp;$F197&amp;"%2C"&amp;$E197&amp;"&amp;marker="&amp;$F197&amp;","&amp;$E197&amp;",4326&amp;level=16","FEMA AGOL Map Viewer"),HYPERLINK(_xlfn.SINGLE(JobAgolMap)&amp;IF(ISNUMBER(FIND("?",_xlfn.SINGLE(JobAgolMap))),"&amp;","?")&amp;"center="&amp;$F197&amp;","&amp;$E197&amp;"&amp;level=16&amp;marker="&amp;$F197&amp;","&amp;$E197,"Open")))</f>
        <v/>
      </c>
      <c r="Q197" s="4"/>
      <c r="R197" s="4"/>
      <c r="W197" s="6" t="str">
        <f t="shared" si="18"/>
        <v/>
      </c>
      <c r="X197" s="6" t="str">
        <f t="shared" si="19"/>
        <v/>
      </c>
      <c r="Y197" s="6" t="str">
        <f t="shared" si="20"/>
        <v/>
      </c>
      <c r="Z197" s="6" t="str">
        <f t="shared" si="21"/>
        <v/>
      </c>
      <c r="AA197" s="6" t="str">
        <f t="shared" si="22"/>
        <v/>
      </c>
      <c r="AB197" s="6" t="str">
        <f t="shared" si="23"/>
        <v/>
      </c>
      <c r="AC197" s="4"/>
      <c r="AD197" s="4"/>
    </row>
    <row r="198" spans="1:30" x14ac:dyDescent="0.45">
      <c r="A198" s="3"/>
      <c r="B198" s="3"/>
      <c r="C198" s="5" t="str">
        <f>IF($E198="","",COUNT($E$2:$E198))</f>
        <v/>
      </c>
      <c r="D198" s="3"/>
      <c r="E198" s="3"/>
      <c r="F198" s="3"/>
      <c r="G198" s="3"/>
      <c r="H198" s="3"/>
      <c r="I198" s="3"/>
      <c r="J198" s="3"/>
      <c r="K198" s="3"/>
      <c r="L198" s="4"/>
      <c r="M198" s="6" t="str">
        <f>IF(OR($E198="",$F198=""),"",IF(_xlfn.SINGLE(JobState)="",IF(ROW()=2,HYPERLINK("#JobState","Set State →"),""),HYPERLINK(IF(OR(_xlfn.SINGLE(JobState)="MI",_xlfn.SINGLE(JobState)=""),"https://fema.maps.arcgis.com/apps/mapviewer/index.html?webmap=6a1702b9147243d1a5ee62cd614bc681&amp;center="&amp;$F198&amp;","&amp;$E198&amp;"&amp;level=16&amp;marker="&amp;$F198&amp;","&amp;$E198&amp;"",IF(_xlfn.SINGLE(JobState)="IN","https://fema.maps.arcgis.com/apps/mapviewer/index.html?url=https%3A%2F%2Fgis.indot.in.gov%2Fro%2Frest%2Fservices%2FRAH_GIO_Collaboration%2FLRSE_Functional_Class%2FFeatureServer%2F22&amp;find="&amp;$F198&amp;"%2C"&amp;$E198&amp;"&amp;marker="&amp;$F198&amp;","&amp;$E198&amp;",4326&amp;level=16",IF(_xlfn.SINGLE(JobState)="WI","https://fema.maps.arcgis.com/apps/mapviewer/index.html?url=https://services5.arcgis.com/0pgGLzT0Nh7FVjon/arcgis/rest/services/Functional_Class_Local_Non_Prod/FeatureServer/1&amp;find="&amp;$F198&amp;"%2C"&amp;$E198&amp;"&amp;marker="&amp;$F198&amp;","&amp;$E198&amp;",4326&amp;level=16",IF(_xlfn.SINGLE(JobState)="MN","https://fema.maps.arcgis.com/apps/mapviewer/index.html?url=https%3A%2F%2Fdotapp9.dot.state.mn.us%2Fegis12%2Frest%2Fservices%2FBASEMAP%2Fmndot_commonlayers2%2FMapServer%2F11&amp;find="&amp;$F198&amp;"%2C"&amp;$E198&amp;"&amp;marker="&amp;$F198&amp;","&amp;$E198&amp;",4326&amp;level=16",IF(_xlfn.SINGLE(JobState)="IL","https://fema.maps.arcgis.com/apps/mapviewer/index.html?url=https%3A%2F%2Fgis1.dot.illinois.gov%2Farcgis%2Frest%2Fservices%2FAdministrativeData%2FFunctionalClass%2FMapServer%2F0&amp;find="&amp;$F198&amp;"%2C"&amp;$E198&amp;"&amp;marker="&amp;$F198&amp;","&amp;$E198&amp;",4326&amp;level=16",IF(_xlfn.SINGLE(JobState)="OH","https://fema.maps.arcgis.com/apps/mapviewer/index.html?url=https%3A%2F%2Ftims.dot.state.oh.us%2Fags%2Frest%2Fservices%2FRoadway_Information%2FFunctional_Class%2FMapServer%2F0&amp;find="&amp;$F198&amp;"%2C"&amp;$E198&amp;"&amp;marker="&amp;$F198&amp;","&amp;$E198&amp;",4326&amp;level=16","https://fema.maps.arcgis.com/apps/mapviewer/index.html?find="&amp;$F198&amp;"%2C"&amp;$E198&amp;"&amp;marker="&amp;$F198&amp;","&amp;$E198&amp;",4326&amp;level=16")))))),IF(_xlfn.SINGLE(JobState)="WI","Review Local Roads Layer","Review NFC AGOL Layer"))))</f>
        <v/>
      </c>
      <c r="N198" s="6" t="str">
        <f>IF(OR($E198="",$F198=""),"",IF(_xlfn.SINGLE(JobState)="",IF(ROW()=2,HYPERLINK("#JobState","Set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198&amp;"%2C"&amp;$E198&amp;"&amp;marker="&amp;$F198&amp;","&amp;$E198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8" s="6" t="str">
        <f>IF(OR($E198="", $F198=""),"",IF(_xlfn.SINGLE(JobAgolMap)="",HYPERLINK("https://fema.maps.arcgis.com/apps/mapviewer/index.html?find="&amp;$F198&amp;"%2C"&amp;$E198&amp;"&amp;marker="&amp;$F198&amp;","&amp;$E198&amp;",4326&amp;level=16","FEMA AGOL Map Viewer"),HYPERLINK(_xlfn.SINGLE(JobAgolMap)&amp;IF(ISNUMBER(FIND("?",_xlfn.SINGLE(JobAgolMap))),"&amp;","?")&amp;"center="&amp;$F198&amp;","&amp;$E198&amp;"&amp;level=16&amp;marker="&amp;$F198&amp;","&amp;$E198,"Open")))</f>
        <v/>
      </c>
      <c r="Q198" s="4"/>
      <c r="R198" s="4"/>
      <c r="W198" s="6" t="str">
        <f t="shared" si="18"/>
        <v/>
      </c>
      <c r="X198" s="6" t="str">
        <f t="shared" si="19"/>
        <v/>
      </c>
      <c r="Y198" s="6" t="str">
        <f t="shared" si="20"/>
        <v/>
      </c>
      <c r="Z198" s="6" t="str">
        <f t="shared" si="21"/>
        <v/>
      </c>
      <c r="AA198" s="6" t="str">
        <f t="shared" si="22"/>
        <v/>
      </c>
      <c r="AB198" s="6" t="str">
        <f t="shared" si="23"/>
        <v/>
      </c>
      <c r="AC198" s="4"/>
      <c r="AD198" s="4"/>
    </row>
    <row r="199" spans="1:30" x14ac:dyDescent="0.45">
      <c r="A199" s="3"/>
      <c r="B199" s="3"/>
      <c r="C199" s="5" t="str">
        <f>IF($E199="","",COUNT($E$2:$E199))</f>
        <v/>
      </c>
      <c r="D199" s="3"/>
      <c r="E199" s="3"/>
      <c r="F199" s="3"/>
      <c r="G199" s="3"/>
      <c r="H199" s="3"/>
      <c r="I199" s="3"/>
      <c r="J199" s="3"/>
      <c r="K199" s="3"/>
      <c r="L199" s="4"/>
      <c r="M199" s="6" t="str">
        <f>IF(OR($E199="",$F199=""),"",IF(_xlfn.SINGLE(JobState)="",IF(ROW()=2,HYPERLINK("#JobState","Set State →"),""),HYPERLINK(IF(OR(_xlfn.SINGLE(JobState)="MI",_xlfn.SINGLE(JobState)=""),"https://fema.maps.arcgis.com/apps/mapviewer/index.html?webmap=6a1702b9147243d1a5ee62cd614bc681&amp;center="&amp;$F199&amp;","&amp;$E199&amp;"&amp;level=16&amp;marker="&amp;$F199&amp;","&amp;$E199&amp;"",IF(_xlfn.SINGLE(JobState)="IN","https://fema.maps.arcgis.com/apps/mapviewer/index.html?url=https%3A%2F%2Fgis.indot.in.gov%2Fro%2Frest%2Fservices%2FRAH_GIO_Collaboration%2FLRSE_Functional_Class%2FFeatureServer%2F22&amp;find="&amp;$F199&amp;"%2C"&amp;$E199&amp;"&amp;marker="&amp;$F199&amp;","&amp;$E199&amp;",4326&amp;level=16",IF(_xlfn.SINGLE(JobState)="WI","https://fema.maps.arcgis.com/apps/mapviewer/index.html?url=https://services5.arcgis.com/0pgGLzT0Nh7FVjon/arcgis/rest/services/Functional_Class_Local_Non_Prod/FeatureServer/1&amp;find="&amp;$F199&amp;"%2C"&amp;$E199&amp;"&amp;marker="&amp;$F199&amp;","&amp;$E199&amp;",4326&amp;level=16",IF(_xlfn.SINGLE(JobState)="MN","https://fema.maps.arcgis.com/apps/mapviewer/index.html?url=https%3A%2F%2Fdotapp9.dot.state.mn.us%2Fegis12%2Frest%2Fservices%2FBASEMAP%2Fmndot_commonlayers2%2FMapServer%2F11&amp;find="&amp;$F199&amp;"%2C"&amp;$E199&amp;"&amp;marker="&amp;$F199&amp;","&amp;$E199&amp;",4326&amp;level=16",IF(_xlfn.SINGLE(JobState)="IL","https://fema.maps.arcgis.com/apps/mapviewer/index.html?url=https%3A%2F%2Fgis1.dot.illinois.gov%2Farcgis%2Frest%2Fservices%2FAdministrativeData%2FFunctionalClass%2FMapServer%2F0&amp;find="&amp;$F199&amp;"%2C"&amp;$E199&amp;"&amp;marker="&amp;$F199&amp;","&amp;$E199&amp;",4326&amp;level=16",IF(_xlfn.SINGLE(JobState)="OH","https://fema.maps.arcgis.com/apps/mapviewer/index.html?url=https%3A%2F%2Ftims.dot.state.oh.us%2Fags%2Frest%2Fservices%2FRoadway_Information%2FFunctional_Class%2FMapServer%2F0&amp;find="&amp;$F199&amp;"%2C"&amp;$E199&amp;"&amp;marker="&amp;$F199&amp;","&amp;$E199&amp;",4326&amp;level=16","https://fema.maps.arcgis.com/apps/mapviewer/index.html?find="&amp;$F199&amp;"%2C"&amp;$E199&amp;"&amp;marker="&amp;$F199&amp;","&amp;$E199&amp;",4326&amp;level=16")))))),IF(_xlfn.SINGLE(JobState)="WI","Review Local Roads Layer","Review NFC AGOL Layer"))))</f>
        <v/>
      </c>
      <c r="N199" s="6" t="str">
        <f>IF(OR($E199="",$F199=""),"",IF(_xlfn.SINGLE(JobState)="",IF(ROW()=2,HYPERLINK("#JobState","Set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199&amp;"%2C"&amp;$E199&amp;"&amp;marker="&amp;$F199&amp;","&amp;$E199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9" s="6" t="str">
        <f>IF(OR($E199="", $F199=""),"",IF(_xlfn.SINGLE(JobAgolMap)="",HYPERLINK("https://fema.maps.arcgis.com/apps/mapviewer/index.html?find="&amp;$F199&amp;"%2C"&amp;$E199&amp;"&amp;marker="&amp;$F199&amp;","&amp;$E199&amp;",4326&amp;level=16","FEMA AGOL Map Viewer"),HYPERLINK(_xlfn.SINGLE(JobAgolMap)&amp;IF(ISNUMBER(FIND("?",_xlfn.SINGLE(JobAgolMap))),"&amp;","?")&amp;"center="&amp;$F199&amp;","&amp;$E199&amp;"&amp;level=16&amp;marker="&amp;$F199&amp;","&amp;$E199,"Open")))</f>
        <v/>
      </c>
      <c r="Q199" s="4"/>
      <c r="R199" s="4"/>
      <c r="W199" s="6" t="str">
        <f t="shared" si="18"/>
        <v/>
      </c>
      <c r="X199" s="6" t="str">
        <f t="shared" si="19"/>
        <v/>
      </c>
      <c r="Y199" s="6" t="str">
        <f t="shared" si="20"/>
        <v/>
      </c>
      <c r="Z199" s="6" t="str">
        <f t="shared" si="21"/>
        <v/>
      </c>
      <c r="AA199" s="6" t="str">
        <f t="shared" si="22"/>
        <v/>
      </c>
      <c r="AB199" s="6" t="str">
        <f t="shared" si="23"/>
        <v/>
      </c>
      <c r="AC199" s="4"/>
      <c r="AD199" s="4"/>
    </row>
    <row r="200" spans="1:30" x14ac:dyDescent="0.45">
      <c r="A200" s="3"/>
      <c r="B200" s="3"/>
      <c r="C200" s="5" t="str">
        <f>IF($E200="","",COUNT($E$2:$E200))</f>
        <v/>
      </c>
      <c r="D200" s="3"/>
      <c r="E200" s="3"/>
      <c r="F200" s="3"/>
      <c r="G200" s="3"/>
      <c r="H200" s="3"/>
      <c r="I200" s="3"/>
      <c r="J200" s="3"/>
      <c r="K200" s="3"/>
      <c r="L200" s="4"/>
      <c r="M200" s="6" t="str">
        <f>IF(OR($E200="",$F200=""),"",IF(_xlfn.SINGLE(JobState)="",IF(ROW()=2,HYPERLINK("#JobState","Set State →"),""),HYPERLINK(IF(OR(_xlfn.SINGLE(JobState)="MI",_xlfn.SINGLE(JobState)=""),"https://fema.maps.arcgis.com/apps/mapviewer/index.html?webmap=6a1702b9147243d1a5ee62cd614bc681&amp;center="&amp;$F200&amp;","&amp;$E200&amp;"&amp;level=16&amp;marker="&amp;$F200&amp;","&amp;$E200&amp;"",IF(_xlfn.SINGLE(JobState)="IN","https://fema.maps.arcgis.com/apps/mapviewer/index.html?url=https%3A%2F%2Fgis.indot.in.gov%2Fro%2Frest%2Fservices%2FRAH_GIO_Collaboration%2FLRSE_Functional_Class%2FFeatureServer%2F22&amp;find="&amp;$F200&amp;"%2C"&amp;$E200&amp;"&amp;marker="&amp;$F200&amp;","&amp;$E200&amp;",4326&amp;level=16",IF(_xlfn.SINGLE(JobState)="WI","https://fema.maps.arcgis.com/apps/mapviewer/index.html?url=https://services5.arcgis.com/0pgGLzT0Nh7FVjon/arcgis/rest/services/Functional_Class_Local_Non_Prod/FeatureServer/1&amp;find="&amp;$F200&amp;"%2C"&amp;$E200&amp;"&amp;marker="&amp;$F200&amp;","&amp;$E200&amp;",4326&amp;level=16",IF(_xlfn.SINGLE(JobState)="MN","https://fema.maps.arcgis.com/apps/mapviewer/index.html?url=https%3A%2F%2Fdotapp9.dot.state.mn.us%2Fegis12%2Frest%2Fservices%2FBASEMAP%2Fmndot_commonlayers2%2FMapServer%2F11&amp;find="&amp;$F200&amp;"%2C"&amp;$E200&amp;"&amp;marker="&amp;$F200&amp;","&amp;$E200&amp;",4326&amp;level=16",IF(_xlfn.SINGLE(JobState)="IL","https://fema.maps.arcgis.com/apps/mapviewer/index.html?url=https%3A%2F%2Fgis1.dot.illinois.gov%2Farcgis%2Frest%2Fservices%2FAdministrativeData%2FFunctionalClass%2FMapServer%2F0&amp;find="&amp;$F200&amp;"%2C"&amp;$E200&amp;"&amp;marker="&amp;$F200&amp;","&amp;$E200&amp;",4326&amp;level=16",IF(_xlfn.SINGLE(JobState)="OH","https://fema.maps.arcgis.com/apps/mapviewer/index.html?url=https%3A%2F%2Ftims.dot.state.oh.us%2Fags%2Frest%2Fservices%2FRoadway_Information%2FFunctional_Class%2FMapServer%2F0&amp;find="&amp;$F200&amp;"%2C"&amp;$E200&amp;"&amp;marker="&amp;$F200&amp;","&amp;$E200&amp;",4326&amp;level=16","https://fema.maps.arcgis.com/apps/mapviewer/index.html?find="&amp;$F200&amp;"%2C"&amp;$E200&amp;"&amp;marker="&amp;$F200&amp;","&amp;$E200&amp;",4326&amp;level=16")))))),IF(_xlfn.SINGLE(JobState)="WI","Review Local Roads Layer","Review NFC AGOL Layer"))))</f>
        <v/>
      </c>
      <c r="N200" s="6" t="str">
        <f>IF(OR($E200="",$F200=""),"",IF(_xlfn.SINGLE(JobState)="",IF(ROW()=2,HYPERLINK("#JobState","Set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200&amp;"%2C"&amp;$E200&amp;"&amp;marker="&amp;$F200&amp;","&amp;$E200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0" s="6" t="str">
        <f>IF(OR($E200="", $F200=""),"",IF(_xlfn.SINGLE(JobAgolMap)="",HYPERLINK("https://fema.maps.arcgis.com/apps/mapviewer/index.html?find="&amp;$F200&amp;"%2C"&amp;$E200&amp;"&amp;marker="&amp;$F200&amp;","&amp;$E200&amp;",4326&amp;level=16","FEMA AGOL Map Viewer"),HYPERLINK(_xlfn.SINGLE(JobAgolMap)&amp;IF(ISNUMBER(FIND("?",_xlfn.SINGLE(JobAgolMap))),"&amp;","?")&amp;"center="&amp;$F200&amp;","&amp;$E200&amp;"&amp;level=16&amp;marker="&amp;$F200&amp;","&amp;$E200,"Open")))</f>
        <v/>
      </c>
      <c r="Q200" s="4"/>
      <c r="R200" s="4"/>
      <c r="W200" s="6" t="str">
        <f t="shared" si="18"/>
        <v/>
      </c>
      <c r="X200" s="6" t="str">
        <f t="shared" si="19"/>
        <v/>
      </c>
      <c r="Y200" s="6" t="str">
        <f t="shared" si="20"/>
        <v/>
      </c>
      <c r="Z200" s="6" t="str">
        <f t="shared" si="21"/>
        <v/>
      </c>
      <c r="AA200" s="6" t="str">
        <f t="shared" si="22"/>
        <v/>
      </c>
      <c r="AB200" s="6" t="str">
        <f t="shared" si="23"/>
        <v/>
      </c>
      <c r="AC200" s="4"/>
      <c r="AD200" s="4"/>
    </row>
    <row r="201" spans="1:30" x14ac:dyDescent="0.45">
      <c r="A201" s="3"/>
      <c r="B201" s="3"/>
      <c r="C201" s="5" t="str">
        <f>IF($E201="","",COUNT($E$2:$E201))</f>
        <v/>
      </c>
      <c r="D201" s="3"/>
      <c r="E201" s="3"/>
      <c r="F201" s="3"/>
      <c r="G201" s="3"/>
      <c r="H201" s="3"/>
      <c r="I201" s="3"/>
      <c r="J201" s="3"/>
      <c r="K201" s="3"/>
      <c r="L201" s="4"/>
      <c r="M201" s="6" t="str">
        <f>IF(OR($E201="",$F201=""),"",IF(_xlfn.SINGLE(JobState)="",IF(ROW()=2,HYPERLINK("#JobState","Set State →"),""),HYPERLINK(IF(OR(_xlfn.SINGLE(JobState)="MI",_xlfn.SINGLE(JobState)=""),"https://fema.maps.arcgis.com/apps/mapviewer/index.html?webmap=6a1702b9147243d1a5ee62cd614bc681&amp;center="&amp;$F201&amp;","&amp;$E201&amp;"&amp;level=16&amp;marker="&amp;$F201&amp;","&amp;$E201&amp;"",IF(_xlfn.SINGLE(JobState)="IN","https://fema.maps.arcgis.com/apps/mapviewer/index.html?url=https%3A%2F%2Fgis.indot.in.gov%2Fro%2Frest%2Fservices%2FRAH_GIO_Collaboration%2FLRSE_Functional_Class%2FFeatureServer%2F22&amp;find="&amp;$F201&amp;"%2C"&amp;$E201&amp;"&amp;marker="&amp;$F201&amp;","&amp;$E201&amp;",4326&amp;level=16",IF(_xlfn.SINGLE(JobState)="WI","https://fema.maps.arcgis.com/apps/mapviewer/index.html?url=https://services5.arcgis.com/0pgGLzT0Nh7FVjon/arcgis/rest/services/Functional_Class_Local_Non_Prod/FeatureServer/1&amp;find="&amp;$F201&amp;"%2C"&amp;$E201&amp;"&amp;marker="&amp;$F201&amp;","&amp;$E201&amp;",4326&amp;level=16",IF(_xlfn.SINGLE(JobState)="MN","https://fema.maps.arcgis.com/apps/mapviewer/index.html?url=https%3A%2F%2Fdotapp9.dot.state.mn.us%2Fegis12%2Frest%2Fservices%2FBASEMAP%2Fmndot_commonlayers2%2FMapServer%2F11&amp;find="&amp;$F201&amp;"%2C"&amp;$E201&amp;"&amp;marker="&amp;$F201&amp;","&amp;$E201&amp;",4326&amp;level=16",IF(_xlfn.SINGLE(JobState)="IL","https://fema.maps.arcgis.com/apps/mapviewer/index.html?url=https%3A%2F%2Fgis1.dot.illinois.gov%2Farcgis%2Frest%2Fservices%2FAdministrativeData%2FFunctionalClass%2FMapServer%2F0&amp;find="&amp;$F201&amp;"%2C"&amp;$E201&amp;"&amp;marker="&amp;$F201&amp;","&amp;$E201&amp;",4326&amp;level=16",IF(_xlfn.SINGLE(JobState)="OH","https://fema.maps.arcgis.com/apps/mapviewer/index.html?url=https%3A%2F%2Ftims.dot.state.oh.us%2Fags%2Frest%2Fservices%2FRoadway_Information%2FFunctional_Class%2FMapServer%2F0&amp;find="&amp;$F201&amp;"%2C"&amp;$E201&amp;"&amp;marker="&amp;$F201&amp;","&amp;$E201&amp;",4326&amp;level=16","https://fema.maps.arcgis.com/apps/mapviewer/index.html?find="&amp;$F201&amp;"%2C"&amp;$E201&amp;"&amp;marker="&amp;$F201&amp;","&amp;$E201&amp;",4326&amp;level=16")))))),IF(_xlfn.SINGLE(JobState)="WI","Review Local Roads Layer","Review NFC AGOL Layer"))))</f>
        <v/>
      </c>
      <c r="N201" s="6" t="str">
        <f>IF(OR($E201="",$F201=""),"",IF(_xlfn.SINGLE(JobState)="",IF(ROW()=2,HYPERLINK("#JobState","Set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201&amp;"%2C"&amp;$E201&amp;"&amp;marker="&amp;$F201&amp;","&amp;$E201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1" s="6" t="str">
        <f>IF(OR($E201="", $F201=""),"",IF(_xlfn.SINGLE(JobAgolMap)="",HYPERLINK("https://fema.maps.arcgis.com/apps/mapviewer/index.html?find="&amp;$F201&amp;"%2C"&amp;$E201&amp;"&amp;marker="&amp;$F201&amp;","&amp;$E201&amp;",4326&amp;level=16","FEMA AGOL Map Viewer"),HYPERLINK(_xlfn.SINGLE(JobAgolMap)&amp;IF(ISNUMBER(FIND("?",_xlfn.SINGLE(JobAgolMap))),"&amp;","?")&amp;"center="&amp;$F201&amp;","&amp;$E201&amp;"&amp;level=16&amp;marker="&amp;$F201&amp;","&amp;$E201,"Open")))</f>
        <v/>
      </c>
      <c r="Q201" s="4"/>
      <c r="R201" s="4"/>
      <c r="W201" s="6" t="str">
        <f t="shared" si="18"/>
        <v/>
      </c>
      <c r="X201" s="6" t="str">
        <f t="shared" si="19"/>
        <v/>
      </c>
      <c r="Y201" s="6" t="str">
        <f t="shared" si="20"/>
        <v/>
      </c>
      <c r="Z201" s="6" t="str">
        <f t="shared" si="21"/>
        <v/>
      </c>
      <c r="AA201" s="6" t="str">
        <f t="shared" si="22"/>
        <v/>
      </c>
      <c r="AB201" s="6" t="str">
        <f t="shared" si="23"/>
        <v/>
      </c>
      <c r="AC201" s="4"/>
      <c r="AD201" s="4"/>
    </row>
    <row r="202" spans="1:30" x14ac:dyDescent="0.45">
      <c r="A202" s="3"/>
      <c r="B202" s="3"/>
      <c r="C202" s="5" t="str">
        <f>IF($E202="","",COUNT($E$2:$E202))</f>
        <v/>
      </c>
      <c r="D202" s="3"/>
      <c r="E202" s="3"/>
      <c r="F202" s="3"/>
      <c r="G202" s="3"/>
      <c r="H202" s="3"/>
      <c r="I202" s="3"/>
      <c r="J202" s="3"/>
      <c r="K202" s="3"/>
      <c r="L202" s="4"/>
      <c r="M202" s="6" t="str">
        <f>IF(OR($E202="",$F202=""),"",IF(_xlfn.SINGLE(JobState)="",IF(ROW()=2,HYPERLINK("#JobState","Set State →"),""),HYPERLINK(IF(OR(_xlfn.SINGLE(JobState)="MI",_xlfn.SINGLE(JobState)=""),"https://fema.maps.arcgis.com/apps/mapviewer/index.html?webmap=6a1702b9147243d1a5ee62cd614bc681&amp;center="&amp;$F202&amp;","&amp;$E202&amp;"&amp;level=16&amp;marker="&amp;$F202&amp;","&amp;$E202&amp;"",IF(_xlfn.SINGLE(JobState)="IN","https://fema.maps.arcgis.com/apps/mapviewer/index.html?url=https%3A%2F%2Fgis.indot.in.gov%2Fro%2Frest%2Fservices%2FRAH_GIO_Collaboration%2FLRSE_Functional_Class%2FFeatureServer%2F22&amp;find="&amp;$F202&amp;"%2C"&amp;$E202&amp;"&amp;marker="&amp;$F202&amp;","&amp;$E202&amp;",4326&amp;level=16",IF(_xlfn.SINGLE(JobState)="WI","https://fema.maps.arcgis.com/apps/mapviewer/index.html?url=https://services5.arcgis.com/0pgGLzT0Nh7FVjon/arcgis/rest/services/Functional_Class_Local_Non_Prod/FeatureServer/1&amp;find="&amp;$F202&amp;"%2C"&amp;$E202&amp;"&amp;marker="&amp;$F202&amp;","&amp;$E202&amp;",4326&amp;level=16",IF(_xlfn.SINGLE(JobState)="MN","https://fema.maps.arcgis.com/apps/mapviewer/index.html?url=https%3A%2F%2Fdotapp9.dot.state.mn.us%2Fegis12%2Frest%2Fservices%2FBASEMAP%2Fmndot_commonlayers2%2FMapServer%2F11&amp;find="&amp;$F202&amp;"%2C"&amp;$E202&amp;"&amp;marker="&amp;$F202&amp;","&amp;$E202&amp;",4326&amp;level=16",IF(_xlfn.SINGLE(JobState)="IL","https://fema.maps.arcgis.com/apps/mapviewer/index.html?url=https%3A%2F%2Fgis1.dot.illinois.gov%2Farcgis%2Frest%2Fservices%2FAdministrativeData%2FFunctionalClass%2FMapServer%2F0&amp;find="&amp;$F202&amp;"%2C"&amp;$E202&amp;"&amp;marker="&amp;$F202&amp;","&amp;$E202&amp;",4326&amp;level=16",IF(_xlfn.SINGLE(JobState)="OH","https://fema.maps.arcgis.com/apps/mapviewer/index.html?url=https%3A%2F%2Ftims.dot.state.oh.us%2Fags%2Frest%2Fservices%2FRoadway_Information%2FFunctional_Class%2FMapServer%2F0&amp;find="&amp;$F202&amp;"%2C"&amp;$E202&amp;"&amp;marker="&amp;$F202&amp;","&amp;$E202&amp;",4326&amp;level=16","https://fema.maps.arcgis.com/apps/mapviewer/index.html?find="&amp;$F202&amp;"%2C"&amp;$E202&amp;"&amp;marker="&amp;$F202&amp;","&amp;$E202&amp;",4326&amp;level=16")))))),IF(_xlfn.SINGLE(JobState)="WI","Review Local Roads Layer","Review NFC AGOL Layer"))))</f>
        <v/>
      </c>
      <c r="N202" s="6" t="str">
        <f>IF(OR($E202="",$F202=""),"",IF(_xlfn.SINGLE(JobState)="",IF(ROW()=2,HYPERLINK("#JobState","Set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202&amp;"%2C"&amp;$E202&amp;"&amp;marker="&amp;$F202&amp;","&amp;$E202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2" s="6" t="str">
        <f>IF(OR($E202="", $F202=""),"",IF(_xlfn.SINGLE(JobAgolMap)="",HYPERLINK("https://fema.maps.arcgis.com/apps/mapviewer/index.html?find="&amp;$F202&amp;"%2C"&amp;$E202&amp;"&amp;marker="&amp;$F202&amp;","&amp;$E202&amp;",4326&amp;level=16","FEMA AGOL Map Viewer"),HYPERLINK(_xlfn.SINGLE(JobAgolMap)&amp;IF(ISNUMBER(FIND("?",_xlfn.SINGLE(JobAgolMap))),"&amp;","?")&amp;"center="&amp;$F202&amp;","&amp;$E202&amp;"&amp;level=16&amp;marker="&amp;$F202&amp;","&amp;$E202,"Open")))</f>
        <v/>
      </c>
      <c r="Q202" s="4"/>
      <c r="R202" s="4"/>
      <c r="W202" s="6" t="str">
        <f t="shared" si="18"/>
        <v/>
      </c>
      <c r="X202" s="6" t="str">
        <f t="shared" si="19"/>
        <v/>
      </c>
      <c r="Y202" s="6" t="str">
        <f t="shared" si="20"/>
        <v/>
      </c>
      <c r="Z202" s="6" t="str">
        <f t="shared" si="21"/>
        <v/>
      </c>
      <c r="AA202" s="6" t="str">
        <f t="shared" si="22"/>
        <v/>
      </c>
      <c r="AB202" s="6" t="str">
        <f t="shared" si="23"/>
        <v/>
      </c>
      <c r="AC202" s="4"/>
      <c r="AD202" s="4"/>
    </row>
    <row r="203" spans="1:30" x14ac:dyDescent="0.45">
      <c r="A203" s="3"/>
      <c r="B203" s="3"/>
      <c r="C203" s="5" t="str">
        <f>IF($E203="","",COUNT($E$2:$E203))</f>
        <v/>
      </c>
      <c r="D203" s="3"/>
      <c r="E203" s="3"/>
      <c r="F203" s="3"/>
      <c r="G203" s="3"/>
      <c r="H203" s="3"/>
      <c r="I203" s="3"/>
      <c r="J203" s="3"/>
      <c r="K203" s="3"/>
      <c r="L203" s="4"/>
      <c r="M203" s="6" t="str">
        <f>IF(OR($E203="",$F203=""),"",IF(_xlfn.SINGLE(JobState)="",IF(ROW()=2,HYPERLINK("#JobState","Set State →"),""),HYPERLINK(IF(OR(_xlfn.SINGLE(JobState)="MI",_xlfn.SINGLE(JobState)=""),"https://fema.maps.arcgis.com/apps/mapviewer/index.html?webmap=6a1702b9147243d1a5ee62cd614bc681&amp;center="&amp;$F203&amp;","&amp;$E203&amp;"&amp;level=16&amp;marker="&amp;$F203&amp;","&amp;$E203&amp;"",IF(_xlfn.SINGLE(JobState)="IN","https://fema.maps.arcgis.com/apps/mapviewer/index.html?url=https%3A%2F%2Fgis.indot.in.gov%2Fro%2Frest%2Fservices%2FRAH_GIO_Collaboration%2FLRSE_Functional_Class%2FFeatureServer%2F22&amp;find="&amp;$F203&amp;"%2C"&amp;$E203&amp;"&amp;marker="&amp;$F203&amp;","&amp;$E203&amp;",4326&amp;level=16",IF(_xlfn.SINGLE(JobState)="WI","https://fema.maps.arcgis.com/apps/mapviewer/index.html?url=https://services5.arcgis.com/0pgGLzT0Nh7FVjon/arcgis/rest/services/Functional_Class_Local_Non_Prod/FeatureServer/1&amp;find="&amp;$F203&amp;"%2C"&amp;$E203&amp;"&amp;marker="&amp;$F203&amp;","&amp;$E203&amp;",4326&amp;level=16",IF(_xlfn.SINGLE(JobState)="MN","https://fema.maps.arcgis.com/apps/mapviewer/index.html?url=https%3A%2F%2Fdotapp9.dot.state.mn.us%2Fegis12%2Frest%2Fservices%2FBASEMAP%2Fmndot_commonlayers2%2FMapServer%2F11&amp;find="&amp;$F203&amp;"%2C"&amp;$E203&amp;"&amp;marker="&amp;$F203&amp;","&amp;$E203&amp;",4326&amp;level=16",IF(_xlfn.SINGLE(JobState)="IL","https://fema.maps.arcgis.com/apps/mapviewer/index.html?url=https%3A%2F%2Fgis1.dot.illinois.gov%2Farcgis%2Frest%2Fservices%2FAdministrativeData%2FFunctionalClass%2FMapServer%2F0&amp;find="&amp;$F203&amp;"%2C"&amp;$E203&amp;"&amp;marker="&amp;$F203&amp;","&amp;$E203&amp;",4326&amp;level=16",IF(_xlfn.SINGLE(JobState)="OH","https://fema.maps.arcgis.com/apps/mapviewer/index.html?url=https%3A%2F%2Ftims.dot.state.oh.us%2Fags%2Frest%2Fservices%2FRoadway_Information%2FFunctional_Class%2FMapServer%2F0&amp;find="&amp;$F203&amp;"%2C"&amp;$E203&amp;"&amp;marker="&amp;$F203&amp;","&amp;$E203&amp;",4326&amp;level=16","https://fema.maps.arcgis.com/apps/mapviewer/index.html?find="&amp;$F203&amp;"%2C"&amp;$E203&amp;"&amp;marker="&amp;$F203&amp;","&amp;$E203&amp;",4326&amp;level=16")))))),IF(_xlfn.SINGLE(JobState)="WI","Review Local Roads Layer","Review NFC AGOL Layer"))))</f>
        <v/>
      </c>
      <c r="N203" s="6" t="str">
        <f>IF(OR($E203="",$F203=""),"",IF(_xlfn.SINGLE(JobState)="",IF(ROW()=2,HYPERLINK("#JobState","Set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203&amp;"%2C"&amp;$E203&amp;"&amp;marker="&amp;$F203&amp;","&amp;$E203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3" s="6" t="str">
        <f>IF(OR($E203="", $F203=""),"",IF(_xlfn.SINGLE(JobAgolMap)="",HYPERLINK("https://fema.maps.arcgis.com/apps/mapviewer/index.html?find="&amp;$F203&amp;"%2C"&amp;$E203&amp;"&amp;marker="&amp;$F203&amp;","&amp;$E203&amp;",4326&amp;level=16","FEMA AGOL Map Viewer"),HYPERLINK(_xlfn.SINGLE(JobAgolMap)&amp;IF(ISNUMBER(FIND("?",_xlfn.SINGLE(JobAgolMap))),"&amp;","?")&amp;"center="&amp;$F203&amp;","&amp;$E203&amp;"&amp;level=16&amp;marker="&amp;$F203&amp;","&amp;$E203,"Open")))</f>
        <v/>
      </c>
      <c r="Q203" s="4"/>
      <c r="R203" s="4"/>
      <c r="W203" s="6" t="str">
        <f t="shared" si="18"/>
        <v/>
      </c>
      <c r="X203" s="6" t="str">
        <f t="shared" si="19"/>
        <v/>
      </c>
      <c r="Y203" s="6" t="str">
        <f t="shared" si="20"/>
        <v/>
      </c>
      <c r="Z203" s="6" t="str">
        <f t="shared" si="21"/>
        <v/>
      </c>
      <c r="AA203" s="6" t="str">
        <f t="shared" si="22"/>
        <v/>
      </c>
      <c r="AB203" s="6" t="str">
        <f t="shared" si="23"/>
        <v/>
      </c>
      <c r="AC203" s="4"/>
      <c r="AD203" s="4"/>
    </row>
    <row r="204" spans="1:30" x14ac:dyDescent="0.45">
      <c r="A204" s="3"/>
      <c r="B204" s="3"/>
      <c r="C204" s="5" t="str">
        <f>IF($E204="","",COUNT($E$2:$E204))</f>
        <v/>
      </c>
      <c r="D204" s="3"/>
      <c r="E204" s="3"/>
      <c r="F204" s="3"/>
      <c r="G204" s="3"/>
      <c r="H204" s="3"/>
      <c r="I204" s="3"/>
      <c r="J204" s="3"/>
      <c r="K204" s="3"/>
      <c r="L204" s="4"/>
      <c r="M204" s="6" t="str">
        <f>IF(OR($E204="",$F204=""),"",IF(_xlfn.SINGLE(JobState)="",IF(ROW()=2,HYPERLINK("#JobState","Set State →"),""),HYPERLINK(IF(OR(_xlfn.SINGLE(JobState)="MI",_xlfn.SINGLE(JobState)=""),"https://fema.maps.arcgis.com/apps/mapviewer/index.html?webmap=6a1702b9147243d1a5ee62cd614bc681&amp;center="&amp;$F204&amp;","&amp;$E204&amp;"&amp;level=16&amp;marker="&amp;$F204&amp;","&amp;$E204&amp;"",IF(_xlfn.SINGLE(JobState)="IN","https://fema.maps.arcgis.com/apps/mapviewer/index.html?url=https%3A%2F%2Fgis.indot.in.gov%2Fro%2Frest%2Fservices%2FRAH_GIO_Collaboration%2FLRSE_Functional_Class%2FFeatureServer%2F22&amp;find="&amp;$F204&amp;"%2C"&amp;$E204&amp;"&amp;marker="&amp;$F204&amp;","&amp;$E204&amp;",4326&amp;level=16",IF(_xlfn.SINGLE(JobState)="WI","https://fema.maps.arcgis.com/apps/mapviewer/index.html?url=https://services5.arcgis.com/0pgGLzT0Nh7FVjon/arcgis/rest/services/Functional_Class_Local_Non_Prod/FeatureServer/1&amp;find="&amp;$F204&amp;"%2C"&amp;$E204&amp;"&amp;marker="&amp;$F204&amp;","&amp;$E204&amp;",4326&amp;level=16",IF(_xlfn.SINGLE(JobState)="MN","https://fema.maps.arcgis.com/apps/mapviewer/index.html?url=https%3A%2F%2Fdotapp9.dot.state.mn.us%2Fegis12%2Frest%2Fservices%2FBASEMAP%2Fmndot_commonlayers2%2FMapServer%2F11&amp;find="&amp;$F204&amp;"%2C"&amp;$E204&amp;"&amp;marker="&amp;$F204&amp;","&amp;$E204&amp;",4326&amp;level=16",IF(_xlfn.SINGLE(JobState)="IL","https://fema.maps.arcgis.com/apps/mapviewer/index.html?url=https%3A%2F%2Fgis1.dot.illinois.gov%2Farcgis%2Frest%2Fservices%2FAdministrativeData%2FFunctionalClass%2FMapServer%2F0&amp;find="&amp;$F204&amp;"%2C"&amp;$E204&amp;"&amp;marker="&amp;$F204&amp;","&amp;$E204&amp;",4326&amp;level=16",IF(_xlfn.SINGLE(JobState)="OH","https://fema.maps.arcgis.com/apps/mapviewer/index.html?url=https%3A%2F%2Ftims.dot.state.oh.us%2Fags%2Frest%2Fservices%2FRoadway_Information%2FFunctional_Class%2FMapServer%2F0&amp;find="&amp;$F204&amp;"%2C"&amp;$E204&amp;"&amp;marker="&amp;$F204&amp;","&amp;$E204&amp;",4326&amp;level=16","https://fema.maps.arcgis.com/apps/mapviewer/index.html?find="&amp;$F204&amp;"%2C"&amp;$E204&amp;"&amp;marker="&amp;$F204&amp;","&amp;$E204&amp;",4326&amp;level=16")))))),IF(_xlfn.SINGLE(JobState)="WI","Review Local Roads Layer","Review NFC AGOL Layer"))))</f>
        <v/>
      </c>
      <c r="N204" s="6" t="str">
        <f>IF(OR($E204="",$F204=""),"",IF(_xlfn.SINGLE(JobState)="",IF(ROW()=2,HYPERLINK("#JobState","Set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204&amp;"%2C"&amp;$E204&amp;"&amp;marker="&amp;$F204&amp;","&amp;$E204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4" s="6" t="str">
        <f>IF(OR($E204="", $F204=""),"",IF(_xlfn.SINGLE(JobAgolMap)="",HYPERLINK("https://fema.maps.arcgis.com/apps/mapviewer/index.html?find="&amp;$F204&amp;"%2C"&amp;$E204&amp;"&amp;marker="&amp;$F204&amp;","&amp;$E204&amp;",4326&amp;level=16","FEMA AGOL Map Viewer"),HYPERLINK(_xlfn.SINGLE(JobAgolMap)&amp;IF(ISNUMBER(FIND("?",_xlfn.SINGLE(JobAgolMap))),"&amp;","?")&amp;"center="&amp;$F204&amp;","&amp;$E204&amp;"&amp;level=16&amp;marker="&amp;$F204&amp;","&amp;$E204,"Open")))</f>
        <v/>
      </c>
      <c r="Q204" s="4"/>
      <c r="R204" s="4"/>
      <c r="W204" s="6" t="str">
        <f t="shared" si="18"/>
        <v/>
      </c>
      <c r="X204" s="6" t="str">
        <f t="shared" si="19"/>
        <v/>
      </c>
      <c r="Y204" s="6" t="str">
        <f t="shared" si="20"/>
        <v/>
      </c>
      <c r="Z204" s="6" t="str">
        <f t="shared" si="21"/>
        <v/>
      </c>
      <c r="AA204" s="6" t="str">
        <f t="shared" si="22"/>
        <v/>
      </c>
      <c r="AB204" s="6" t="str">
        <f t="shared" si="23"/>
        <v/>
      </c>
      <c r="AC204" s="4"/>
      <c r="AD204" s="4"/>
    </row>
    <row r="205" spans="1:30" x14ac:dyDescent="0.45">
      <c r="A205" s="3"/>
      <c r="B205" s="3"/>
      <c r="C205" s="5" t="str">
        <f>IF($E205="","",COUNT($E$2:$E205))</f>
        <v/>
      </c>
      <c r="D205" s="3"/>
      <c r="E205" s="3"/>
      <c r="F205" s="3"/>
      <c r="G205" s="3"/>
      <c r="H205" s="3"/>
      <c r="I205" s="3"/>
      <c r="J205" s="3"/>
      <c r="K205" s="3"/>
      <c r="L205" s="4"/>
      <c r="M205" s="6" t="str">
        <f>IF(OR($E205="",$F205=""),"",IF(_xlfn.SINGLE(JobState)="",IF(ROW()=2,HYPERLINK("#JobState","Set State →"),""),HYPERLINK(IF(OR(_xlfn.SINGLE(JobState)="MI",_xlfn.SINGLE(JobState)=""),"https://fema.maps.arcgis.com/apps/mapviewer/index.html?webmap=6a1702b9147243d1a5ee62cd614bc681&amp;center="&amp;$F205&amp;","&amp;$E205&amp;"&amp;level=16&amp;marker="&amp;$F205&amp;","&amp;$E205&amp;"",IF(_xlfn.SINGLE(JobState)="IN","https://fema.maps.arcgis.com/apps/mapviewer/index.html?url=https%3A%2F%2Fgis.indot.in.gov%2Fro%2Frest%2Fservices%2FRAH_GIO_Collaboration%2FLRSE_Functional_Class%2FFeatureServer%2F22&amp;find="&amp;$F205&amp;"%2C"&amp;$E205&amp;"&amp;marker="&amp;$F205&amp;","&amp;$E205&amp;",4326&amp;level=16",IF(_xlfn.SINGLE(JobState)="WI","https://fema.maps.arcgis.com/apps/mapviewer/index.html?url=https://services5.arcgis.com/0pgGLzT0Nh7FVjon/arcgis/rest/services/Functional_Class_Local_Non_Prod/FeatureServer/1&amp;find="&amp;$F205&amp;"%2C"&amp;$E205&amp;"&amp;marker="&amp;$F205&amp;","&amp;$E205&amp;",4326&amp;level=16",IF(_xlfn.SINGLE(JobState)="MN","https://fema.maps.arcgis.com/apps/mapviewer/index.html?url=https%3A%2F%2Fdotapp9.dot.state.mn.us%2Fegis12%2Frest%2Fservices%2FBASEMAP%2Fmndot_commonlayers2%2FMapServer%2F11&amp;find="&amp;$F205&amp;"%2C"&amp;$E205&amp;"&amp;marker="&amp;$F205&amp;","&amp;$E205&amp;",4326&amp;level=16",IF(_xlfn.SINGLE(JobState)="IL","https://fema.maps.arcgis.com/apps/mapviewer/index.html?url=https%3A%2F%2Fgis1.dot.illinois.gov%2Farcgis%2Frest%2Fservices%2FAdministrativeData%2FFunctionalClass%2FMapServer%2F0&amp;find="&amp;$F205&amp;"%2C"&amp;$E205&amp;"&amp;marker="&amp;$F205&amp;","&amp;$E205&amp;",4326&amp;level=16",IF(_xlfn.SINGLE(JobState)="OH","https://fema.maps.arcgis.com/apps/mapviewer/index.html?url=https%3A%2F%2Ftims.dot.state.oh.us%2Fags%2Frest%2Fservices%2FRoadway_Information%2FFunctional_Class%2FMapServer%2F0&amp;find="&amp;$F205&amp;"%2C"&amp;$E205&amp;"&amp;marker="&amp;$F205&amp;","&amp;$E205&amp;",4326&amp;level=16","https://fema.maps.arcgis.com/apps/mapviewer/index.html?find="&amp;$F205&amp;"%2C"&amp;$E205&amp;"&amp;marker="&amp;$F205&amp;","&amp;$E205&amp;",4326&amp;level=16")))))),IF(_xlfn.SINGLE(JobState)="WI","Review Local Roads Layer","Review NFC AGOL Layer"))))</f>
        <v/>
      </c>
      <c r="N205" s="6" t="str">
        <f>IF(OR($E205="",$F205=""),"",IF(_xlfn.SINGLE(JobState)="",IF(ROW()=2,HYPERLINK("#JobState","Set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205&amp;"%2C"&amp;$E205&amp;"&amp;marker="&amp;$F205&amp;","&amp;$E205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5" s="6" t="str">
        <f>IF(OR($E205="", $F205=""),"",IF(_xlfn.SINGLE(JobAgolMap)="",HYPERLINK("https://fema.maps.arcgis.com/apps/mapviewer/index.html?find="&amp;$F205&amp;"%2C"&amp;$E205&amp;"&amp;marker="&amp;$F205&amp;","&amp;$E205&amp;",4326&amp;level=16","FEMA AGOL Map Viewer"),HYPERLINK(_xlfn.SINGLE(JobAgolMap)&amp;IF(ISNUMBER(FIND("?",_xlfn.SINGLE(JobAgolMap))),"&amp;","?")&amp;"center="&amp;$F205&amp;","&amp;$E205&amp;"&amp;level=16&amp;marker="&amp;$F205&amp;","&amp;$E205,"Open")))</f>
        <v/>
      </c>
      <c r="Q205" s="4"/>
      <c r="R205" s="4"/>
      <c r="W205" s="6" t="str">
        <f t="shared" si="18"/>
        <v/>
      </c>
      <c r="X205" s="6" t="str">
        <f t="shared" si="19"/>
        <v/>
      </c>
      <c r="Y205" s="6" t="str">
        <f t="shared" si="20"/>
        <v/>
      </c>
      <c r="Z205" s="6" t="str">
        <f t="shared" si="21"/>
        <v/>
      </c>
      <c r="AA205" s="6" t="str">
        <f t="shared" si="22"/>
        <v/>
      </c>
      <c r="AB205" s="6" t="str">
        <f t="shared" si="23"/>
        <v/>
      </c>
      <c r="AC205" s="4"/>
      <c r="AD205" s="4"/>
    </row>
    <row r="206" spans="1:30" x14ac:dyDescent="0.45">
      <c r="A206" s="3"/>
      <c r="B206" s="3"/>
      <c r="C206" s="5" t="str">
        <f>IF($E206="","",COUNT($E$2:$E206))</f>
        <v/>
      </c>
      <c r="D206" s="3"/>
      <c r="E206" s="3"/>
      <c r="F206" s="3"/>
      <c r="G206" s="3"/>
      <c r="H206" s="3"/>
      <c r="I206" s="3"/>
      <c r="J206" s="3"/>
      <c r="K206" s="3"/>
      <c r="L206" s="4"/>
      <c r="M206" s="6" t="str">
        <f>IF(OR($E206="",$F206=""),"",IF(_xlfn.SINGLE(JobState)="",IF(ROW()=2,HYPERLINK("#JobState","Set State →"),""),HYPERLINK(IF(OR(_xlfn.SINGLE(JobState)="MI",_xlfn.SINGLE(JobState)=""),"https://fema.maps.arcgis.com/apps/mapviewer/index.html?webmap=6a1702b9147243d1a5ee62cd614bc681&amp;center="&amp;$F206&amp;","&amp;$E206&amp;"&amp;level=16&amp;marker="&amp;$F206&amp;","&amp;$E206&amp;"",IF(_xlfn.SINGLE(JobState)="IN","https://fema.maps.arcgis.com/apps/mapviewer/index.html?url=https%3A%2F%2Fgis.indot.in.gov%2Fro%2Frest%2Fservices%2FRAH_GIO_Collaboration%2FLRSE_Functional_Class%2FFeatureServer%2F22&amp;find="&amp;$F206&amp;"%2C"&amp;$E206&amp;"&amp;marker="&amp;$F206&amp;","&amp;$E206&amp;",4326&amp;level=16",IF(_xlfn.SINGLE(JobState)="WI","https://fema.maps.arcgis.com/apps/mapviewer/index.html?url=https://services5.arcgis.com/0pgGLzT0Nh7FVjon/arcgis/rest/services/Functional_Class_Local_Non_Prod/FeatureServer/1&amp;find="&amp;$F206&amp;"%2C"&amp;$E206&amp;"&amp;marker="&amp;$F206&amp;","&amp;$E206&amp;",4326&amp;level=16",IF(_xlfn.SINGLE(JobState)="MN","https://fema.maps.arcgis.com/apps/mapviewer/index.html?url=https%3A%2F%2Fdotapp9.dot.state.mn.us%2Fegis12%2Frest%2Fservices%2FBASEMAP%2Fmndot_commonlayers2%2FMapServer%2F11&amp;find="&amp;$F206&amp;"%2C"&amp;$E206&amp;"&amp;marker="&amp;$F206&amp;","&amp;$E206&amp;",4326&amp;level=16",IF(_xlfn.SINGLE(JobState)="IL","https://fema.maps.arcgis.com/apps/mapviewer/index.html?url=https%3A%2F%2Fgis1.dot.illinois.gov%2Farcgis%2Frest%2Fservices%2FAdministrativeData%2FFunctionalClass%2FMapServer%2F0&amp;find="&amp;$F206&amp;"%2C"&amp;$E206&amp;"&amp;marker="&amp;$F206&amp;","&amp;$E206&amp;",4326&amp;level=16",IF(_xlfn.SINGLE(JobState)="OH","https://fema.maps.arcgis.com/apps/mapviewer/index.html?url=https%3A%2F%2Ftims.dot.state.oh.us%2Fags%2Frest%2Fservices%2FRoadway_Information%2FFunctional_Class%2FMapServer%2F0&amp;find="&amp;$F206&amp;"%2C"&amp;$E206&amp;"&amp;marker="&amp;$F206&amp;","&amp;$E206&amp;",4326&amp;level=16","https://fema.maps.arcgis.com/apps/mapviewer/index.html?find="&amp;$F206&amp;"%2C"&amp;$E206&amp;"&amp;marker="&amp;$F206&amp;","&amp;$E206&amp;",4326&amp;level=16")))))),IF(_xlfn.SINGLE(JobState)="WI","Review Local Roads Layer","Review NFC AGOL Layer"))))</f>
        <v/>
      </c>
      <c r="N206" s="6" t="str">
        <f>IF(OR($E206="",$F206=""),"",IF(_xlfn.SINGLE(JobState)="",IF(ROW()=2,HYPERLINK("#JobState","Set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206&amp;"%2C"&amp;$E206&amp;"&amp;marker="&amp;$F206&amp;","&amp;$E206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6" s="6" t="str">
        <f>IF(OR($E206="", $F206=""),"",IF(_xlfn.SINGLE(JobAgolMap)="",HYPERLINK("https://fema.maps.arcgis.com/apps/mapviewer/index.html?find="&amp;$F206&amp;"%2C"&amp;$E206&amp;"&amp;marker="&amp;$F206&amp;","&amp;$E206&amp;",4326&amp;level=16","FEMA AGOL Map Viewer"),HYPERLINK(_xlfn.SINGLE(JobAgolMap)&amp;IF(ISNUMBER(FIND("?",_xlfn.SINGLE(JobAgolMap))),"&amp;","?")&amp;"center="&amp;$F206&amp;","&amp;$E206&amp;"&amp;level=16&amp;marker="&amp;$F206&amp;","&amp;$E206,"Open")))</f>
        <v/>
      </c>
      <c r="Q206" s="4"/>
      <c r="R206" s="4"/>
      <c r="W206" s="6" t="str">
        <f t="shared" si="18"/>
        <v/>
      </c>
      <c r="X206" s="6" t="str">
        <f t="shared" si="19"/>
        <v/>
      </c>
      <c r="Y206" s="6" t="str">
        <f t="shared" si="20"/>
        <v/>
      </c>
      <c r="Z206" s="6" t="str">
        <f t="shared" si="21"/>
        <v/>
      </c>
      <c r="AA206" s="6" t="str">
        <f t="shared" si="22"/>
        <v/>
      </c>
      <c r="AB206" s="6" t="str">
        <f t="shared" si="23"/>
        <v/>
      </c>
      <c r="AC206" s="4"/>
      <c r="AD206" s="4"/>
    </row>
    <row r="207" spans="1:30" x14ac:dyDescent="0.45">
      <c r="A207" s="3"/>
      <c r="B207" s="3"/>
      <c r="C207" s="5" t="str">
        <f>IF($E207="","",COUNT($E$2:$E207))</f>
        <v/>
      </c>
      <c r="D207" s="3"/>
      <c r="E207" s="3"/>
      <c r="F207" s="3"/>
      <c r="G207" s="3"/>
      <c r="H207" s="3"/>
      <c r="I207" s="3"/>
      <c r="J207" s="3"/>
      <c r="K207" s="3"/>
      <c r="L207" s="4"/>
      <c r="M207" s="6" t="str">
        <f>IF(OR($E207="",$F207=""),"",IF(_xlfn.SINGLE(JobState)="",IF(ROW()=2,HYPERLINK("#JobState","Set State →"),""),HYPERLINK(IF(OR(_xlfn.SINGLE(JobState)="MI",_xlfn.SINGLE(JobState)=""),"https://fema.maps.arcgis.com/apps/mapviewer/index.html?webmap=6a1702b9147243d1a5ee62cd614bc681&amp;center="&amp;$F207&amp;","&amp;$E207&amp;"&amp;level=16&amp;marker="&amp;$F207&amp;","&amp;$E207&amp;"",IF(_xlfn.SINGLE(JobState)="IN","https://fema.maps.arcgis.com/apps/mapviewer/index.html?url=https%3A%2F%2Fgis.indot.in.gov%2Fro%2Frest%2Fservices%2FRAH_GIO_Collaboration%2FLRSE_Functional_Class%2FFeatureServer%2F22&amp;find="&amp;$F207&amp;"%2C"&amp;$E207&amp;"&amp;marker="&amp;$F207&amp;","&amp;$E207&amp;",4326&amp;level=16",IF(_xlfn.SINGLE(JobState)="WI","https://fema.maps.arcgis.com/apps/mapviewer/index.html?url=https://services5.arcgis.com/0pgGLzT0Nh7FVjon/arcgis/rest/services/Functional_Class_Local_Non_Prod/FeatureServer/1&amp;find="&amp;$F207&amp;"%2C"&amp;$E207&amp;"&amp;marker="&amp;$F207&amp;","&amp;$E207&amp;",4326&amp;level=16",IF(_xlfn.SINGLE(JobState)="MN","https://fema.maps.arcgis.com/apps/mapviewer/index.html?url=https%3A%2F%2Fdotapp9.dot.state.mn.us%2Fegis12%2Frest%2Fservices%2FBASEMAP%2Fmndot_commonlayers2%2FMapServer%2F11&amp;find="&amp;$F207&amp;"%2C"&amp;$E207&amp;"&amp;marker="&amp;$F207&amp;","&amp;$E207&amp;",4326&amp;level=16",IF(_xlfn.SINGLE(JobState)="IL","https://fema.maps.arcgis.com/apps/mapviewer/index.html?url=https%3A%2F%2Fgis1.dot.illinois.gov%2Farcgis%2Frest%2Fservices%2FAdministrativeData%2FFunctionalClass%2FMapServer%2F0&amp;find="&amp;$F207&amp;"%2C"&amp;$E207&amp;"&amp;marker="&amp;$F207&amp;","&amp;$E207&amp;",4326&amp;level=16",IF(_xlfn.SINGLE(JobState)="OH","https://fema.maps.arcgis.com/apps/mapviewer/index.html?url=https%3A%2F%2Ftims.dot.state.oh.us%2Fags%2Frest%2Fservices%2FRoadway_Information%2FFunctional_Class%2FMapServer%2F0&amp;find="&amp;$F207&amp;"%2C"&amp;$E207&amp;"&amp;marker="&amp;$F207&amp;","&amp;$E207&amp;",4326&amp;level=16","https://fema.maps.arcgis.com/apps/mapviewer/index.html?find="&amp;$F207&amp;"%2C"&amp;$E207&amp;"&amp;marker="&amp;$F207&amp;","&amp;$E207&amp;",4326&amp;level=16")))))),IF(_xlfn.SINGLE(JobState)="WI","Review Local Roads Layer","Review NFC AGOL Layer"))))</f>
        <v/>
      </c>
      <c r="N207" s="6" t="str">
        <f>IF(OR($E207="",$F207=""),"",IF(_xlfn.SINGLE(JobState)="",IF(ROW()=2,HYPERLINK("#JobState","Set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207&amp;"%2C"&amp;$E207&amp;"&amp;marker="&amp;$F207&amp;","&amp;$E207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7" s="6" t="str">
        <f>IF(OR($E207="", $F207=""),"",IF(_xlfn.SINGLE(JobAgolMap)="",HYPERLINK("https://fema.maps.arcgis.com/apps/mapviewer/index.html?find="&amp;$F207&amp;"%2C"&amp;$E207&amp;"&amp;marker="&amp;$F207&amp;","&amp;$E207&amp;",4326&amp;level=16","FEMA AGOL Map Viewer"),HYPERLINK(_xlfn.SINGLE(JobAgolMap)&amp;IF(ISNUMBER(FIND("?",_xlfn.SINGLE(JobAgolMap))),"&amp;","?")&amp;"center="&amp;$F207&amp;","&amp;$E207&amp;"&amp;level=16&amp;marker="&amp;$F207&amp;","&amp;$E207,"Open")))</f>
        <v/>
      </c>
      <c r="Q207" s="4"/>
      <c r="R207" s="4"/>
      <c r="W207" s="6" t="str">
        <f t="shared" si="18"/>
        <v/>
      </c>
      <c r="X207" s="6" t="str">
        <f t="shared" si="19"/>
        <v/>
      </c>
      <c r="Y207" s="6" t="str">
        <f t="shared" si="20"/>
        <v/>
      </c>
      <c r="Z207" s="6" t="str">
        <f t="shared" si="21"/>
        <v/>
      </c>
      <c r="AA207" s="6" t="str">
        <f t="shared" si="22"/>
        <v/>
      </c>
      <c r="AB207" s="6" t="str">
        <f t="shared" si="23"/>
        <v/>
      </c>
      <c r="AC207" s="4"/>
      <c r="AD207" s="4"/>
    </row>
    <row r="208" spans="1:30" x14ac:dyDescent="0.45">
      <c r="A208" s="3"/>
      <c r="B208" s="3"/>
      <c r="C208" s="5" t="str">
        <f>IF($E208="","",COUNT($E$2:$E208))</f>
        <v/>
      </c>
      <c r="D208" s="3"/>
      <c r="E208" s="3"/>
      <c r="F208" s="3"/>
      <c r="G208" s="3"/>
      <c r="H208" s="3"/>
      <c r="I208" s="3"/>
      <c r="J208" s="3"/>
      <c r="K208" s="3"/>
      <c r="L208" s="4"/>
      <c r="M208" s="6" t="str">
        <f>IF(OR($E208="",$F208=""),"",IF(_xlfn.SINGLE(JobState)="",IF(ROW()=2,HYPERLINK("#JobState","Set State →"),""),HYPERLINK(IF(OR(_xlfn.SINGLE(JobState)="MI",_xlfn.SINGLE(JobState)=""),"https://fema.maps.arcgis.com/apps/mapviewer/index.html?webmap=6a1702b9147243d1a5ee62cd614bc681&amp;center="&amp;$F208&amp;","&amp;$E208&amp;"&amp;level=16&amp;marker="&amp;$F208&amp;","&amp;$E208&amp;"",IF(_xlfn.SINGLE(JobState)="IN","https://fema.maps.arcgis.com/apps/mapviewer/index.html?url=https%3A%2F%2Fgis.indot.in.gov%2Fro%2Frest%2Fservices%2FRAH_GIO_Collaboration%2FLRSE_Functional_Class%2FFeatureServer%2F22&amp;find="&amp;$F208&amp;"%2C"&amp;$E208&amp;"&amp;marker="&amp;$F208&amp;","&amp;$E208&amp;",4326&amp;level=16",IF(_xlfn.SINGLE(JobState)="WI","https://fema.maps.arcgis.com/apps/mapviewer/index.html?url=https://services5.arcgis.com/0pgGLzT0Nh7FVjon/arcgis/rest/services/Functional_Class_Local_Non_Prod/FeatureServer/1&amp;find="&amp;$F208&amp;"%2C"&amp;$E208&amp;"&amp;marker="&amp;$F208&amp;","&amp;$E208&amp;",4326&amp;level=16",IF(_xlfn.SINGLE(JobState)="MN","https://fema.maps.arcgis.com/apps/mapviewer/index.html?url=https%3A%2F%2Fdotapp9.dot.state.mn.us%2Fegis12%2Frest%2Fservices%2FBASEMAP%2Fmndot_commonlayers2%2FMapServer%2F11&amp;find="&amp;$F208&amp;"%2C"&amp;$E208&amp;"&amp;marker="&amp;$F208&amp;","&amp;$E208&amp;",4326&amp;level=16",IF(_xlfn.SINGLE(JobState)="IL","https://fema.maps.arcgis.com/apps/mapviewer/index.html?url=https%3A%2F%2Fgis1.dot.illinois.gov%2Farcgis%2Frest%2Fservices%2FAdministrativeData%2FFunctionalClass%2FMapServer%2F0&amp;find="&amp;$F208&amp;"%2C"&amp;$E208&amp;"&amp;marker="&amp;$F208&amp;","&amp;$E208&amp;",4326&amp;level=16",IF(_xlfn.SINGLE(JobState)="OH","https://fema.maps.arcgis.com/apps/mapviewer/index.html?url=https%3A%2F%2Ftims.dot.state.oh.us%2Fags%2Frest%2Fservices%2FRoadway_Information%2FFunctional_Class%2FMapServer%2F0&amp;find="&amp;$F208&amp;"%2C"&amp;$E208&amp;"&amp;marker="&amp;$F208&amp;","&amp;$E208&amp;",4326&amp;level=16","https://fema.maps.arcgis.com/apps/mapviewer/index.html?find="&amp;$F208&amp;"%2C"&amp;$E208&amp;"&amp;marker="&amp;$F208&amp;","&amp;$E208&amp;",4326&amp;level=16")))))),IF(_xlfn.SINGLE(JobState)="WI","Review Local Roads Layer","Review NFC AGOL Layer"))))</f>
        <v/>
      </c>
      <c r="N208" s="6" t="str">
        <f>IF(OR($E208="",$F208=""),"",IF(_xlfn.SINGLE(JobState)="",IF(ROW()=2,HYPERLINK("#JobState","Set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208&amp;"%2C"&amp;$E208&amp;"&amp;marker="&amp;$F208&amp;","&amp;$E208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8" s="6" t="str">
        <f>IF(OR($E208="", $F208=""),"",IF(_xlfn.SINGLE(JobAgolMap)="",HYPERLINK("https://fema.maps.arcgis.com/apps/mapviewer/index.html?find="&amp;$F208&amp;"%2C"&amp;$E208&amp;"&amp;marker="&amp;$F208&amp;","&amp;$E208&amp;",4326&amp;level=16","FEMA AGOL Map Viewer"),HYPERLINK(_xlfn.SINGLE(JobAgolMap)&amp;IF(ISNUMBER(FIND("?",_xlfn.SINGLE(JobAgolMap))),"&amp;","?")&amp;"center="&amp;$F208&amp;","&amp;$E208&amp;"&amp;level=16&amp;marker="&amp;$F208&amp;","&amp;$E208,"Open")))</f>
        <v/>
      </c>
      <c r="Q208" s="4"/>
      <c r="R208" s="4"/>
      <c r="W208" s="6" t="str">
        <f t="shared" si="18"/>
        <v/>
      </c>
      <c r="X208" s="6" t="str">
        <f t="shared" si="19"/>
        <v/>
      </c>
      <c r="Y208" s="6" t="str">
        <f t="shared" si="20"/>
        <v/>
      </c>
      <c r="Z208" s="6" t="str">
        <f t="shared" si="21"/>
        <v/>
      </c>
      <c r="AA208" s="6" t="str">
        <f t="shared" si="22"/>
        <v/>
      </c>
      <c r="AB208" s="6" t="str">
        <f t="shared" si="23"/>
        <v/>
      </c>
      <c r="AC208" s="4"/>
      <c r="AD208" s="4"/>
    </row>
    <row r="209" spans="1:30" x14ac:dyDescent="0.45">
      <c r="A209" s="3"/>
      <c r="B209" s="3"/>
      <c r="C209" s="5" t="str">
        <f>IF($E209="","",COUNT($E$2:$E209))</f>
        <v/>
      </c>
      <c r="D209" s="3"/>
      <c r="E209" s="3"/>
      <c r="F209" s="3"/>
      <c r="G209" s="3"/>
      <c r="H209" s="3"/>
      <c r="I209" s="3"/>
      <c r="J209" s="3"/>
      <c r="K209" s="3"/>
      <c r="L209" s="4"/>
      <c r="M209" s="6" t="str">
        <f>IF(OR($E209="",$F209=""),"",IF(_xlfn.SINGLE(JobState)="",IF(ROW()=2,HYPERLINK("#JobState","Set State →"),""),HYPERLINK(IF(OR(_xlfn.SINGLE(JobState)="MI",_xlfn.SINGLE(JobState)=""),"https://fema.maps.arcgis.com/apps/mapviewer/index.html?webmap=6a1702b9147243d1a5ee62cd614bc681&amp;center="&amp;$F209&amp;","&amp;$E209&amp;"&amp;level=16&amp;marker="&amp;$F209&amp;","&amp;$E209&amp;"",IF(_xlfn.SINGLE(JobState)="IN","https://fema.maps.arcgis.com/apps/mapviewer/index.html?url=https%3A%2F%2Fgis.indot.in.gov%2Fro%2Frest%2Fservices%2FRAH_GIO_Collaboration%2FLRSE_Functional_Class%2FFeatureServer%2F22&amp;find="&amp;$F209&amp;"%2C"&amp;$E209&amp;"&amp;marker="&amp;$F209&amp;","&amp;$E209&amp;",4326&amp;level=16",IF(_xlfn.SINGLE(JobState)="WI","https://fema.maps.arcgis.com/apps/mapviewer/index.html?url=https://services5.arcgis.com/0pgGLzT0Nh7FVjon/arcgis/rest/services/Functional_Class_Local_Non_Prod/FeatureServer/1&amp;find="&amp;$F209&amp;"%2C"&amp;$E209&amp;"&amp;marker="&amp;$F209&amp;","&amp;$E209&amp;",4326&amp;level=16",IF(_xlfn.SINGLE(JobState)="MN","https://fema.maps.arcgis.com/apps/mapviewer/index.html?url=https%3A%2F%2Fdotapp9.dot.state.mn.us%2Fegis12%2Frest%2Fservices%2FBASEMAP%2Fmndot_commonlayers2%2FMapServer%2F11&amp;find="&amp;$F209&amp;"%2C"&amp;$E209&amp;"&amp;marker="&amp;$F209&amp;","&amp;$E209&amp;",4326&amp;level=16",IF(_xlfn.SINGLE(JobState)="IL","https://fema.maps.arcgis.com/apps/mapviewer/index.html?url=https%3A%2F%2Fgis1.dot.illinois.gov%2Farcgis%2Frest%2Fservices%2FAdministrativeData%2FFunctionalClass%2FMapServer%2F0&amp;find="&amp;$F209&amp;"%2C"&amp;$E209&amp;"&amp;marker="&amp;$F209&amp;","&amp;$E209&amp;",4326&amp;level=16",IF(_xlfn.SINGLE(JobState)="OH","https://fema.maps.arcgis.com/apps/mapviewer/index.html?url=https%3A%2F%2Ftims.dot.state.oh.us%2Fags%2Frest%2Fservices%2FRoadway_Information%2FFunctional_Class%2FMapServer%2F0&amp;find="&amp;$F209&amp;"%2C"&amp;$E209&amp;"&amp;marker="&amp;$F209&amp;","&amp;$E209&amp;",4326&amp;level=16","https://fema.maps.arcgis.com/apps/mapviewer/index.html?find="&amp;$F209&amp;"%2C"&amp;$E209&amp;"&amp;marker="&amp;$F209&amp;","&amp;$E209&amp;",4326&amp;level=16")))))),IF(_xlfn.SINGLE(JobState)="WI","Review Local Roads Layer","Review NFC AGOL Layer"))))</f>
        <v/>
      </c>
      <c r="N209" s="6" t="str">
        <f>IF(OR($E209="",$F209=""),"",IF(_xlfn.SINGLE(JobState)="",IF(ROW()=2,HYPERLINK("#JobState","Set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209&amp;"%2C"&amp;$E209&amp;"&amp;marker="&amp;$F209&amp;","&amp;$E209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9" s="6" t="str">
        <f>IF(OR($E209="", $F209=""),"",IF(_xlfn.SINGLE(JobAgolMap)="",HYPERLINK("https://fema.maps.arcgis.com/apps/mapviewer/index.html?find="&amp;$F209&amp;"%2C"&amp;$E209&amp;"&amp;marker="&amp;$F209&amp;","&amp;$E209&amp;",4326&amp;level=16","FEMA AGOL Map Viewer"),HYPERLINK(_xlfn.SINGLE(JobAgolMap)&amp;IF(ISNUMBER(FIND("?",_xlfn.SINGLE(JobAgolMap))),"&amp;","?")&amp;"center="&amp;$F209&amp;","&amp;$E209&amp;"&amp;level=16&amp;marker="&amp;$F209&amp;","&amp;$E209,"Open")))</f>
        <v/>
      </c>
      <c r="Q209" s="4"/>
      <c r="R209" s="4"/>
      <c r="W209" s="6" t="str">
        <f t="shared" si="18"/>
        <v/>
      </c>
      <c r="X209" s="6" t="str">
        <f t="shared" si="19"/>
        <v/>
      </c>
      <c r="Y209" s="6" t="str">
        <f t="shared" si="20"/>
        <v/>
      </c>
      <c r="Z209" s="6" t="str">
        <f t="shared" si="21"/>
        <v/>
      </c>
      <c r="AA209" s="6" t="str">
        <f t="shared" si="22"/>
        <v/>
      </c>
      <c r="AB209" s="6" t="str">
        <f t="shared" si="23"/>
        <v/>
      </c>
      <c r="AC209" s="4"/>
      <c r="AD209" s="4"/>
    </row>
    <row r="210" spans="1:30" x14ac:dyDescent="0.45">
      <c r="A210" s="3"/>
      <c r="B210" s="3"/>
      <c r="C210" s="5" t="str">
        <f>IF($E210="","",COUNT($E$2:$E210))</f>
        <v/>
      </c>
      <c r="D210" s="3"/>
      <c r="E210" s="3"/>
      <c r="F210" s="3"/>
      <c r="G210" s="3"/>
      <c r="H210" s="3"/>
      <c r="I210" s="3"/>
      <c r="J210" s="3"/>
      <c r="K210" s="3"/>
      <c r="L210" s="4"/>
      <c r="M210" s="6" t="str">
        <f>IF(OR($E210="",$F210=""),"",IF(_xlfn.SINGLE(JobState)="",IF(ROW()=2,HYPERLINK("#JobState","Set State →"),""),HYPERLINK(IF(OR(_xlfn.SINGLE(JobState)="MI",_xlfn.SINGLE(JobState)=""),"https://fema.maps.arcgis.com/apps/mapviewer/index.html?webmap=6a1702b9147243d1a5ee62cd614bc681&amp;center="&amp;$F210&amp;","&amp;$E210&amp;"&amp;level=16&amp;marker="&amp;$F210&amp;","&amp;$E210&amp;"",IF(_xlfn.SINGLE(JobState)="IN","https://fema.maps.arcgis.com/apps/mapviewer/index.html?url=https%3A%2F%2Fgis.indot.in.gov%2Fro%2Frest%2Fservices%2FRAH_GIO_Collaboration%2FLRSE_Functional_Class%2FFeatureServer%2F22&amp;find="&amp;$F210&amp;"%2C"&amp;$E210&amp;"&amp;marker="&amp;$F210&amp;","&amp;$E210&amp;",4326&amp;level=16",IF(_xlfn.SINGLE(JobState)="WI","https://fema.maps.arcgis.com/apps/mapviewer/index.html?url=https://services5.arcgis.com/0pgGLzT0Nh7FVjon/arcgis/rest/services/Functional_Class_Local_Non_Prod/FeatureServer/1&amp;find="&amp;$F210&amp;"%2C"&amp;$E210&amp;"&amp;marker="&amp;$F210&amp;","&amp;$E210&amp;",4326&amp;level=16",IF(_xlfn.SINGLE(JobState)="MN","https://fema.maps.arcgis.com/apps/mapviewer/index.html?url=https%3A%2F%2Fdotapp9.dot.state.mn.us%2Fegis12%2Frest%2Fservices%2FBASEMAP%2Fmndot_commonlayers2%2FMapServer%2F11&amp;find="&amp;$F210&amp;"%2C"&amp;$E210&amp;"&amp;marker="&amp;$F210&amp;","&amp;$E210&amp;",4326&amp;level=16",IF(_xlfn.SINGLE(JobState)="IL","https://fema.maps.arcgis.com/apps/mapviewer/index.html?url=https%3A%2F%2Fgis1.dot.illinois.gov%2Farcgis%2Frest%2Fservices%2FAdministrativeData%2FFunctionalClass%2FMapServer%2F0&amp;find="&amp;$F210&amp;"%2C"&amp;$E210&amp;"&amp;marker="&amp;$F210&amp;","&amp;$E210&amp;",4326&amp;level=16",IF(_xlfn.SINGLE(JobState)="OH","https://fema.maps.arcgis.com/apps/mapviewer/index.html?url=https%3A%2F%2Ftims.dot.state.oh.us%2Fags%2Frest%2Fservices%2FRoadway_Information%2FFunctional_Class%2FMapServer%2F0&amp;find="&amp;$F210&amp;"%2C"&amp;$E210&amp;"&amp;marker="&amp;$F210&amp;","&amp;$E210&amp;",4326&amp;level=16","https://fema.maps.arcgis.com/apps/mapviewer/index.html?find="&amp;$F210&amp;"%2C"&amp;$E210&amp;"&amp;marker="&amp;$F210&amp;","&amp;$E210&amp;",4326&amp;level=16")))))),IF(_xlfn.SINGLE(JobState)="WI","Review Local Roads Layer","Review NFC AGOL Layer"))))</f>
        <v/>
      </c>
      <c r="N210" s="6" t="str">
        <f>IF(OR($E210="",$F210=""),"",IF(_xlfn.SINGLE(JobState)="",IF(ROW()=2,HYPERLINK("#JobState","Set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210&amp;"%2C"&amp;$E210&amp;"&amp;marker="&amp;$F210&amp;","&amp;$E210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0" s="6" t="str">
        <f>IF(OR($E210="", $F210=""),"",IF(_xlfn.SINGLE(JobAgolMap)="",HYPERLINK("https://fema.maps.arcgis.com/apps/mapviewer/index.html?find="&amp;$F210&amp;"%2C"&amp;$E210&amp;"&amp;marker="&amp;$F210&amp;","&amp;$E210&amp;",4326&amp;level=16","FEMA AGOL Map Viewer"),HYPERLINK(_xlfn.SINGLE(JobAgolMap)&amp;IF(ISNUMBER(FIND("?",_xlfn.SINGLE(JobAgolMap))),"&amp;","?")&amp;"center="&amp;$F210&amp;","&amp;$E210&amp;"&amp;level=16&amp;marker="&amp;$F210&amp;","&amp;$E210,"Open")))</f>
        <v/>
      </c>
      <c r="Q210" s="4"/>
      <c r="R210" s="4"/>
      <c r="W210" s="6" t="str">
        <f t="shared" si="18"/>
        <v/>
      </c>
      <c r="X210" s="6" t="str">
        <f t="shared" si="19"/>
        <v/>
      </c>
      <c r="Y210" s="6" t="str">
        <f t="shared" si="20"/>
        <v/>
      </c>
      <c r="Z210" s="6" t="str">
        <f t="shared" si="21"/>
        <v/>
      </c>
      <c r="AA210" s="6" t="str">
        <f t="shared" si="22"/>
        <v/>
      </c>
      <c r="AB210" s="6" t="str">
        <f t="shared" si="23"/>
        <v/>
      </c>
      <c r="AC210" s="4"/>
      <c r="AD210" s="4"/>
    </row>
    <row r="211" spans="1:30" x14ac:dyDescent="0.45">
      <c r="A211" s="3"/>
      <c r="B211" s="3"/>
      <c r="C211" s="5" t="str">
        <f>IF($E211="","",COUNT($E$2:$E211))</f>
        <v/>
      </c>
      <c r="D211" s="3"/>
      <c r="E211" s="3"/>
      <c r="F211" s="3"/>
      <c r="G211" s="3"/>
      <c r="H211" s="3"/>
      <c r="I211" s="3"/>
      <c r="J211" s="3"/>
      <c r="K211" s="3"/>
      <c r="L211" s="4"/>
      <c r="M211" s="6" t="str">
        <f>IF(OR($E211="",$F211=""),"",IF(_xlfn.SINGLE(JobState)="",IF(ROW()=2,HYPERLINK("#JobState","Set State →"),""),HYPERLINK(IF(OR(_xlfn.SINGLE(JobState)="MI",_xlfn.SINGLE(JobState)=""),"https://fema.maps.arcgis.com/apps/mapviewer/index.html?webmap=6a1702b9147243d1a5ee62cd614bc681&amp;center="&amp;$F211&amp;","&amp;$E211&amp;"&amp;level=16&amp;marker="&amp;$F211&amp;","&amp;$E211&amp;"",IF(_xlfn.SINGLE(JobState)="IN","https://fema.maps.arcgis.com/apps/mapviewer/index.html?url=https%3A%2F%2Fgis.indot.in.gov%2Fro%2Frest%2Fservices%2FRAH_GIO_Collaboration%2FLRSE_Functional_Class%2FFeatureServer%2F22&amp;find="&amp;$F211&amp;"%2C"&amp;$E211&amp;"&amp;marker="&amp;$F211&amp;","&amp;$E211&amp;",4326&amp;level=16",IF(_xlfn.SINGLE(JobState)="WI","https://fema.maps.arcgis.com/apps/mapviewer/index.html?url=https://services5.arcgis.com/0pgGLzT0Nh7FVjon/arcgis/rest/services/Functional_Class_Local_Non_Prod/FeatureServer/1&amp;find="&amp;$F211&amp;"%2C"&amp;$E211&amp;"&amp;marker="&amp;$F211&amp;","&amp;$E211&amp;",4326&amp;level=16",IF(_xlfn.SINGLE(JobState)="MN","https://fema.maps.arcgis.com/apps/mapviewer/index.html?url=https%3A%2F%2Fdotapp9.dot.state.mn.us%2Fegis12%2Frest%2Fservices%2FBASEMAP%2Fmndot_commonlayers2%2FMapServer%2F11&amp;find="&amp;$F211&amp;"%2C"&amp;$E211&amp;"&amp;marker="&amp;$F211&amp;","&amp;$E211&amp;",4326&amp;level=16",IF(_xlfn.SINGLE(JobState)="IL","https://fema.maps.arcgis.com/apps/mapviewer/index.html?url=https%3A%2F%2Fgis1.dot.illinois.gov%2Farcgis%2Frest%2Fservices%2FAdministrativeData%2FFunctionalClass%2FMapServer%2F0&amp;find="&amp;$F211&amp;"%2C"&amp;$E211&amp;"&amp;marker="&amp;$F211&amp;","&amp;$E211&amp;",4326&amp;level=16",IF(_xlfn.SINGLE(JobState)="OH","https://fema.maps.arcgis.com/apps/mapviewer/index.html?url=https%3A%2F%2Ftims.dot.state.oh.us%2Fags%2Frest%2Fservices%2FRoadway_Information%2FFunctional_Class%2FMapServer%2F0&amp;find="&amp;$F211&amp;"%2C"&amp;$E211&amp;"&amp;marker="&amp;$F211&amp;","&amp;$E211&amp;",4326&amp;level=16","https://fema.maps.arcgis.com/apps/mapviewer/index.html?find="&amp;$F211&amp;"%2C"&amp;$E211&amp;"&amp;marker="&amp;$F211&amp;","&amp;$E211&amp;",4326&amp;level=16")))))),IF(_xlfn.SINGLE(JobState)="WI","Review Local Roads Layer","Review NFC AGOL Layer"))))</f>
        <v/>
      </c>
      <c r="N211" s="6" t="str">
        <f>IF(OR($E211="",$F211=""),"",IF(_xlfn.SINGLE(JobState)="",IF(ROW()=2,HYPERLINK("#JobState","Set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211&amp;"%2C"&amp;$E211&amp;"&amp;marker="&amp;$F211&amp;","&amp;$E211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1" s="6" t="str">
        <f>IF(OR($E211="", $F211=""),"",IF(_xlfn.SINGLE(JobAgolMap)="",HYPERLINK("https://fema.maps.arcgis.com/apps/mapviewer/index.html?find="&amp;$F211&amp;"%2C"&amp;$E211&amp;"&amp;marker="&amp;$F211&amp;","&amp;$E211&amp;",4326&amp;level=16","FEMA AGOL Map Viewer"),HYPERLINK(_xlfn.SINGLE(JobAgolMap)&amp;IF(ISNUMBER(FIND("?",_xlfn.SINGLE(JobAgolMap))),"&amp;","?")&amp;"center="&amp;$F211&amp;","&amp;$E211&amp;"&amp;level=16&amp;marker="&amp;$F211&amp;","&amp;$E211,"Open")))</f>
        <v/>
      </c>
      <c r="Q211" s="4"/>
      <c r="R211" s="4"/>
      <c r="W211" s="6" t="str">
        <f t="shared" si="18"/>
        <v/>
      </c>
      <c r="X211" s="6" t="str">
        <f t="shared" si="19"/>
        <v/>
      </c>
      <c r="Y211" s="6" t="str">
        <f t="shared" si="20"/>
        <v/>
      </c>
      <c r="Z211" s="6" t="str">
        <f t="shared" si="21"/>
        <v/>
      </c>
      <c r="AA211" s="6" t="str">
        <f t="shared" si="22"/>
        <v/>
      </c>
      <c r="AB211" s="6" t="str">
        <f t="shared" si="23"/>
        <v/>
      </c>
      <c r="AC211" s="4"/>
      <c r="AD211" s="4"/>
    </row>
    <row r="212" spans="1:30" x14ac:dyDescent="0.45">
      <c r="A212" s="3"/>
      <c r="B212" s="3"/>
      <c r="C212" s="5" t="str">
        <f>IF($E212="","",COUNT($E$2:$E212))</f>
        <v/>
      </c>
      <c r="D212" s="3"/>
      <c r="E212" s="3"/>
      <c r="F212" s="3"/>
      <c r="G212" s="3"/>
      <c r="H212" s="3"/>
      <c r="I212" s="3"/>
      <c r="J212" s="3"/>
      <c r="K212" s="3"/>
      <c r="L212" s="4"/>
      <c r="M212" s="6" t="str">
        <f>IF(OR($E212="",$F212=""),"",IF(_xlfn.SINGLE(JobState)="",IF(ROW()=2,HYPERLINK("#JobState","Set State →"),""),HYPERLINK(IF(OR(_xlfn.SINGLE(JobState)="MI",_xlfn.SINGLE(JobState)=""),"https://fema.maps.arcgis.com/apps/mapviewer/index.html?webmap=6a1702b9147243d1a5ee62cd614bc681&amp;center="&amp;$F212&amp;","&amp;$E212&amp;"&amp;level=16&amp;marker="&amp;$F212&amp;","&amp;$E212&amp;"",IF(_xlfn.SINGLE(JobState)="IN","https://fema.maps.arcgis.com/apps/mapviewer/index.html?url=https%3A%2F%2Fgis.indot.in.gov%2Fro%2Frest%2Fservices%2FRAH_GIO_Collaboration%2FLRSE_Functional_Class%2FFeatureServer%2F22&amp;find="&amp;$F212&amp;"%2C"&amp;$E212&amp;"&amp;marker="&amp;$F212&amp;","&amp;$E212&amp;",4326&amp;level=16",IF(_xlfn.SINGLE(JobState)="WI","https://fema.maps.arcgis.com/apps/mapviewer/index.html?url=https://services5.arcgis.com/0pgGLzT0Nh7FVjon/arcgis/rest/services/Functional_Class_Local_Non_Prod/FeatureServer/1&amp;find="&amp;$F212&amp;"%2C"&amp;$E212&amp;"&amp;marker="&amp;$F212&amp;","&amp;$E212&amp;",4326&amp;level=16",IF(_xlfn.SINGLE(JobState)="MN","https://fema.maps.arcgis.com/apps/mapviewer/index.html?url=https%3A%2F%2Fdotapp9.dot.state.mn.us%2Fegis12%2Frest%2Fservices%2FBASEMAP%2Fmndot_commonlayers2%2FMapServer%2F11&amp;find="&amp;$F212&amp;"%2C"&amp;$E212&amp;"&amp;marker="&amp;$F212&amp;","&amp;$E212&amp;",4326&amp;level=16",IF(_xlfn.SINGLE(JobState)="IL","https://fema.maps.arcgis.com/apps/mapviewer/index.html?url=https%3A%2F%2Fgis1.dot.illinois.gov%2Farcgis%2Frest%2Fservices%2FAdministrativeData%2FFunctionalClass%2FMapServer%2F0&amp;find="&amp;$F212&amp;"%2C"&amp;$E212&amp;"&amp;marker="&amp;$F212&amp;","&amp;$E212&amp;",4326&amp;level=16",IF(_xlfn.SINGLE(JobState)="OH","https://fema.maps.arcgis.com/apps/mapviewer/index.html?url=https%3A%2F%2Ftims.dot.state.oh.us%2Fags%2Frest%2Fservices%2FRoadway_Information%2FFunctional_Class%2FMapServer%2F0&amp;find="&amp;$F212&amp;"%2C"&amp;$E212&amp;"&amp;marker="&amp;$F212&amp;","&amp;$E212&amp;",4326&amp;level=16","https://fema.maps.arcgis.com/apps/mapviewer/index.html?find="&amp;$F212&amp;"%2C"&amp;$E212&amp;"&amp;marker="&amp;$F212&amp;","&amp;$E212&amp;",4326&amp;level=16")))))),IF(_xlfn.SINGLE(JobState)="WI","Review Local Roads Layer","Review NFC AGOL Layer"))))</f>
        <v/>
      </c>
      <c r="N212" s="6" t="str">
        <f>IF(OR($E212="",$F212=""),"",IF(_xlfn.SINGLE(JobState)="",IF(ROW()=2,HYPERLINK("#JobState","Set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212&amp;"%2C"&amp;$E212&amp;"&amp;marker="&amp;$F212&amp;","&amp;$E212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2" s="6" t="str">
        <f>IF(OR($E212="", $F212=""),"",IF(_xlfn.SINGLE(JobAgolMap)="",HYPERLINK("https://fema.maps.arcgis.com/apps/mapviewer/index.html?find="&amp;$F212&amp;"%2C"&amp;$E212&amp;"&amp;marker="&amp;$F212&amp;","&amp;$E212&amp;",4326&amp;level=16","FEMA AGOL Map Viewer"),HYPERLINK(_xlfn.SINGLE(JobAgolMap)&amp;IF(ISNUMBER(FIND("?",_xlfn.SINGLE(JobAgolMap))),"&amp;","?")&amp;"center="&amp;$F212&amp;","&amp;$E212&amp;"&amp;level=16&amp;marker="&amp;$F212&amp;","&amp;$E212,"Open")))</f>
        <v/>
      </c>
      <c r="Q212" s="4"/>
      <c r="R212" s="4"/>
      <c r="W212" s="6" t="str">
        <f t="shared" si="18"/>
        <v/>
      </c>
      <c r="X212" s="6" t="str">
        <f t="shared" si="19"/>
        <v/>
      </c>
      <c r="Y212" s="6" t="str">
        <f t="shared" si="20"/>
        <v/>
      </c>
      <c r="Z212" s="6" t="str">
        <f t="shared" si="21"/>
        <v/>
      </c>
      <c r="AA212" s="6" t="str">
        <f t="shared" si="22"/>
        <v/>
      </c>
      <c r="AB212" s="6" t="str">
        <f t="shared" si="23"/>
        <v/>
      </c>
      <c r="AC212" s="4"/>
      <c r="AD212" s="4"/>
    </row>
    <row r="213" spans="1:30" x14ac:dyDescent="0.45">
      <c r="A213" s="3"/>
      <c r="B213" s="3"/>
      <c r="C213" s="5" t="str">
        <f>IF($E213="","",COUNT($E$2:$E213))</f>
        <v/>
      </c>
      <c r="D213" s="3"/>
      <c r="E213" s="3"/>
      <c r="F213" s="3"/>
      <c r="G213" s="3"/>
      <c r="H213" s="3"/>
      <c r="I213" s="3"/>
      <c r="J213" s="3"/>
      <c r="K213" s="3"/>
      <c r="L213" s="4"/>
      <c r="M213" s="6" t="str">
        <f>IF(OR($E213="",$F213=""),"",IF(_xlfn.SINGLE(JobState)="",IF(ROW()=2,HYPERLINK("#JobState","Set State →"),""),HYPERLINK(IF(OR(_xlfn.SINGLE(JobState)="MI",_xlfn.SINGLE(JobState)=""),"https://fema.maps.arcgis.com/apps/mapviewer/index.html?webmap=6a1702b9147243d1a5ee62cd614bc681&amp;center="&amp;$F213&amp;","&amp;$E213&amp;"&amp;level=16&amp;marker="&amp;$F213&amp;","&amp;$E213&amp;"",IF(_xlfn.SINGLE(JobState)="IN","https://fema.maps.arcgis.com/apps/mapviewer/index.html?url=https%3A%2F%2Fgis.indot.in.gov%2Fro%2Frest%2Fservices%2FRAH_GIO_Collaboration%2FLRSE_Functional_Class%2FFeatureServer%2F22&amp;find="&amp;$F213&amp;"%2C"&amp;$E213&amp;"&amp;marker="&amp;$F213&amp;","&amp;$E213&amp;",4326&amp;level=16",IF(_xlfn.SINGLE(JobState)="WI","https://fema.maps.arcgis.com/apps/mapviewer/index.html?url=https://services5.arcgis.com/0pgGLzT0Nh7FVjon/arcgis/rest/services/Functional_Class_Local_Non_Prod/FeatureServer/1&amp;find="&amp;$F213&amp;"%2C"&amp;$E213&amp;"&amp;marker="&amp;$F213&amp;","&amp;$E213&amp;",4326&amp;level=16",IF(_xlfn.SINGLE(JobState)="MN","https://fema.maps.arcgis.com/apps/mapviewer/index.html?url=https%3A%2F%2Fdotapp9.dot.state.mn.us%2Fegis12%2Frest%2Fservices%2FBASEMAP%2Fmndot_commonlayers2%2FMapServer%2F11&amp;find="&amp;$F213&amp;"%2C"&amp;$E213&amp;"&amp;marker="&amp;$F213&amp;","&amp;$E213&amp;",4326&amp;level=16",IF(_xlfn.SINGLE(JobState)="IL","https://fema.maps.arcgis.com/apps/mapviewer/index.html?url=https%3A%2F%2Fgis1.dot.illinois.gov%2Farcgis%2Frest%2Fservices%2FAdministrativeData%2FFunctionalClass%2FMapServer%2F0&amp;find="&amp;$F213&amp;"%2C"&amp;$E213&amp;"&amp;marker="&amp;$F213&amp;","&amp;$E213&amp;",4326&amp;level=16",IF(_xlfn.SINGLE(JobState)="OH","https://fema.maps.arcgis.com/apps/mapviewer/index.html?url=https%3A%2F%2Ftims.dot.state.oh.us%2Fags%2Frest%2Fservices%2FRoadway_Information%2FFunctional_Class%2FMapServer%2F0&amp;find="&amp;$F213&amp;"%2C"&amp;$E213&amp;"&amp;marker="&amp;$F213&amp;","&amp;$E213&amp;",4326&amp;level=16","https://fema.maps.arcgis.com/apps/mapviewer/index.html?find="&amp;$F213&amp;"%2C"&amp;$E213&amp;"&amp;marker="&amp;$F213&amp;","&amp;$E213&amp;",4326&amp;level=16")))))),IF(_xlfn.SINGLE(JobState)="WI","Review Local Roads Layer","Review NFC AGOL Layer"))))</f>
        <v/>
      </c>
      <c r="N213" s="6" t="str">
        <f>IF(OR($E213="",$F213=""),"",IF(_xlfn.SINGLE(JobState)="",IF(ROW()=2,HYPERLINK("#JobState","Set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213&amp;"%2C"&amp;$E213&amp;"&amp;marker="&amp;$F213&amp;","&amp;$E213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3" s="6" t="str">
        <f>IF(OR($E213="", $F213=""),"",IF(_xlfn.SINGLE(JobAgolMap)="",HYPERLINK("https://fema.maps.arcgis.com/apps/mapviewer/index.html?find="&amp;$F213&amp;"%2C"&amp;$E213&amp;"&amp;marker="&amp;$F213&amp;","&amp;$E213&amp;",4326&amp;level=16","FEMA AGOL Map Viewer"),HYPERLINK(_xlfn.SINGLE(JobAgolMap)&amp;IF(ISNUMBER(FIND("?",_xlfn.SINGLE(JobAgolMap))),"&amp;","?")&amp;"center="&amp;$F213&amp;","&amp;$E213&amp;"&amp;level=16&amp;marker="&amp;$F213&amp;","&amp;$E213,"Open")))</f>
        <v/>
      </c>
      <c r="Q213" s="4"/>
      <c r="R213" s="4"/>
      <c r="W213" s="6" t="str">
        <f t="shared" si="18"/>
        <v/>
      </c>
      <c r="X213" s="6" t="str">
        <f t="shared" si="19"/>
        <v/>
      </c>
      <c r="Y213" s="6" t="str">
        <f t="shared" si="20"/>
        <v/>
      </c>
      <c r="Z213" s="6" t="str">
        <f t="shared" si="21"/>
        <v/>
      </c>
      <c r="AA213" s="6" t="str">
        <f t="shared" si="22"/>
        <v/>
      </c>
      <c r="AB213" s="6" t="str">
        <f t="shared" si="23"/>
        <v/>
      </c>
      <c r="AC213" s="4"/>
      <c r="AD213" s="4"/>
    </row>
    <row r="214" spans="1:30" x14ac:dyDescent="0.45">
      <c r="A214" s="3"/>
      <c r="B214" s="3"/>
      <c r="C214" s="5" t="str">
        <f>IF($E214="","",COUNT($E$2:$E214))</f>
        <v/>
      </c>
      <c r="D214" s="3"/>
      <c r="E214" s="3"/>
      <c r="F214" s="3"/>
      <c r="G214" s="3"/>
      <c r="H214" s="3"/>
      <c r="I214" s="3"/>
      <c r="J214" s="3"/>
      <c r="K214" s="3"/>
      <c r="L214" s="4"/>
      <c r="M214" s="6" t="str">
        <f>IF(OR($E214="",$F214=""),"",IF(_xlfn.SINGLE(JobState)="",IF(ROW()=2,HYPERLINK("#JobState","Set State →"),""),HYPERLINK(IF(OR(_xlfn.SINGLE(JobState)="MI",_xlfn.SINGLE(JobState)=""),"https://fema.maps.arcgis.com/apps/mapviewer/index.html?webmap=6a1702b9147243d1a5ee62cd614bc681&amp;center="&amp;$F214&amp;","&amp;$E214&amp;"&amp;level=16&amp;marker="&amp;$F214&amp;","&amp;$E214&amp;"",IF(_xlfn.SINGLE(JobState)="IN","https://fema.maps.arcgis.com/apps/mapviewer/index.html?url=https%3A%2F%2Fgis.indot.in.gov%2Fro%2Frest%2Fservices%2FRAH_GIO_Collaboration%2FLRSE_Functional_Class%2FFeatureServer%2F22&amp;find="&amp;$F214&amp;"%2C"&amp;$E214&amp;"&amp;marker="&amp;$F214&amp;","&amp;$E214&amp;",4326&amp;level=16",IF(_xlfn.SINGLE(JobState)="WI","https://fema.maps.arcgis.com/apps/mapviewer/index.html?url=https://services5.arcgis.com/0pgGLzT0Nh7FVjon/arcgis/rest/services/Functional_Class_Local_Non_Prod/FeatureServer/1&amp;find="&amp;$F214&amp;"%2C"&amp;$E214&amp;"&amp;marker="&amp;$F214&amp;","&amp;$E214&amp;",4326&amp;level=16",IF(_xlfn.SINGLE(JobState)="MN","https://fema.maps.arcgis.com/apps/mapviewer/index.html?url=https%3A%2F%2Fdotapp9.dot.state.mn.us%2Fegis12%2Frest%2Fservices%2FBASEMAP%2Fmndot_commonlayers2%2FMapServer%2F11&amp;find="&amp;$F214&amp;"%2C"&amp;$E214&amp;"&amp;marker="&amp;$F214&amp;","&amp;$E214&amp;",4326&amp;level=16",IF(_xlfn.SINGLE(JobState)="IL","https://fema.maps.arcgis.com/apps/mapviewer/index.html?url=https%3A%2F%2Fgis1.dot.illinois.gov%2Farcgis%2Frest%2Fservices%2FAdministrativeData%2FFunctionalClass%2FMapServer%2F0&amp;find="&amp;$F214&amp;"%2C"&amp;$E214&amp;"&amp;marker="&amp;$F214&amp;","&amp;$E214&amp;",4326&amp;level=16",IF(_xlfn.SINGLE(JobState)="OH","https://fema.maps.arcgis.com/apps/mapviewer/index.html?url=https%3A%2F%2Ftims.dot.state.oh.us%2Fags%2Frest%2Fservices%2FRoadway_Information%2FFunctional_Class%2FMapServer%2F0&amp;find="&amp;$F214&amp;"%2C"&amp;$E214&amp;"&amp;marker="&amp;$F214&amp;","&amp;$E214&amp;",4326&amp;level=16","https://fema.maps.arcgis.com/apps/mapviewer/index.html?find="&amp;$F214&amp;"%2C"&amp;$E214&amp;"&amp;marker="&amp;$F214&amp;","&amp;$E214&amp;",4326&amp;level=16")))))),IF(_xlfn.SINGLE(JobState)="WI","Review Local Roads Layer","Review NFC AGOL Layer"))))</f>
        <v/>
      </c>
      <c r="N214" s="6" t="str">
        <f>IF(OR($E214="",$F214=""),"",IF(_xlfn.SINGLE(JobState)="",IF(ROW()=2,HYPERLINK("#JobState","Set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214&amp;"%2C"&amp;$E214&amp;"&amp;marker="&amp;$F214&amp;","&amp;$E214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4" s="6" t="str">
        <f>IF(OR($E214="", $F214=""),"",IF(_xlfn.SINGLE(JobAgolMap)="",HYPERLINK("https://fema.maps.arcgis.com/apps/mapviewer/index.html?find="&amp;$F214&amp;"%2C"&amp;$E214&amp;"&amp;marker="&amp;$F214&amp;","&amp;$E214&amp;",4326&amp;level=16","FEMA AGOL Map Viewer"),HYPERLINK(_xlfn.SINGLE(JobAgolMap)&amp;IF(ISNUMBER(FIND("?",_xlfn.SINGLE(JobAgolMap))),"&amp;","?")&amp;"center="&amp;$F214&amp;","&amp;$E214&amp;"&amp;level=16&amp;marker="&amp;$F214&amp;","&amp;$E214,"Open")))</f>
        <v/>
      </c>
      <c r="Q214" s="4"/>
      <c r="R214" s="4"/>
      <c r="W214" s="6" t="str">
        <f t="shared" si="18"/>
        <v/>
      </c>
      <c r="X214" s="6" t="str">
        <f t="shared" si="19"/>
        <v/>
      </c>
      <c r="Y214" s="6" t="str">
        <f t="shared" si="20"/>
        <v/>
      </c>
      <c r="Z214" s="6" t="str">
        <f t="shared" si="21"/>
        <v/>
      </c>
      <c r="AA214" s="6" t="str">
        <f t="shared" si="22"/>
        <v/>
      </c>
      <c r="AB214" s="6" t="str">
        <f t="shared" si="23"/>
        <v/>
      </c>
      <c r="AC214" s="4"/>
      <c r="AD214" s="4"/>
    </row>
    <row r="215" spans="1:30" x14ac:dyDescent="0.45">
      <c r="A215" s="3"/>
      <c r="B215" s="3"/>
      <c r="C215" s="5" t="str">
        <f>IF($E215="","",COUNT($E$2:$E215))</f>
        <v/>
      </c>
      <c r="D215" s="3"/>
      <c r="E215" s="3"/>
      <c r="F215" s="3"/>
      <c r="G215" s="3"/>
      <c r="H215" s="3"/>
      <c r="I215" s="3"/>
      <c r="J215" s="3"/>
      <c r="K215" s="3"/>
      <c r="L215" s="4"/>
      <c r="M215" s="6" t="str">
        <f>IF(OR($E215="",$F215=""),"",IF(_xlfn.SINGLE(JobState)="",IF(ROW()=2,HYPERLINK("#JobState","Set State →"),""),HYPERLINK(IF(OR(_xlfn.SINGLE(JobState)="MI",_xlfn.SINGLE(JobState)=""),"https://fema.maps.arcgis.com/apps/mapviewer/index.html?webmap=6a1702b9147243d1a5ee62cd614bc681&amp;center="&amp;$F215&amp;","&amp;$E215&amp;"&amp;level=16&amp;marker="&amp;$F215&amp;","&amp;$E215&amp;"",IF(_xlfn.SINGLE(JobState)="IN","https://fema.maps.arcgis.com/apps/mapviewer/index.html?url=https%3A%2F%2Fgis.indot.in.gov%2Fro%2Frest%2Fservices%2FRAH_GIO_Collaboration%2FLRSE_Functional_Class%2FFeatureServer%2F22&amp;find="&amp;$F215&amp;"%2C"&amp;$E215&amp;"&amp;marker="&amp;$F215&amp;","&amp;$E215&amp;",4326&amp;level=16",IF(_xlfn.SINGLE(JobState)="WI","https://fema.maps.arcgis.com/apps/mapviewer/index.html?url=https://services5.arcgis.com/0pgGLzT0Nh7FVjon/arcgis/rest/services/Functional_Class_Local_Non_Prod/FeatureServer/1&amp;find="&amp;$F215&amp;"%2C"&amp;$E215&amp;"&amp;marker="&amp;$F215&amp;","&amp;$E215&amp;",4326&amp;level=16",IF(_xlfn.SINGLE(JobState)="MN","https://fema.maps.arcgis.com/apps/mapviewer/index.html?url=https%3A%2F%2Fdotapp9.dot.state.mn.us%2Fegis12%2Frest%2Fservices%2FBASEMAP%2Fmndot_commonlayers2%2FMapServer%2F11&amp;find="&amp;$F215&amp;"%2C"&amp;$E215&amp;"&amp;marker="&amp;$F215&amp;","&amp;$E215&amp;",4326&amp;level=16",IF(_xlfn.SINGLE(JobState)="IL","https://fema.maps.arcgis.com/apps/mapviewer/index.html?url=https%3A%2F%2Fgis1.dot.illinois.gov%2Farcgis%2Frest%2Fservices%2FAdministrativeData%2FFunctionalClass%2FMapServer%2F0&amp;find="&amp;$F215&amp;"%2C"&amp;$E215&amp;"&amp;marker="&amp;$F215&amp;","&amp;$E215&amp;",4326&amp;level=16",IF(_xlfn.SINGLE(JobState)="OH","https://fema.maps.arcgis.com/apps/mapviewer/index.html?url=https%3A%2F%2Ftims.dot.state.oh.us%2Fags%2Frest%2Fservices%2FRoadway_Information%2FFunctional_Class%2FMapServer%2F0&amp;find="&amp;$F215&amp;"%2C"&amp;$E215&amp;"&amp;marker="&amp;$F215&amp;","&amp;$E215&amp;",4326&amp;level=16","https://fema.maps.arcgis.com/apps/mapviewer/index.html?find="&amp;$F215&amp;"%2C"&amp;$E215&amp;"&amp;marker="&amp;$F215&amp;","&amp;$E215&amp;",4326&amp;level=16")))))),IF(_xlfn.SINGLE(JobState)="WI","Review Local Roads Layer","Review NFC AGOL Layer"))))</f>
        <v/>
      </c>
      <c r="N215" s="6" t="str">
        <f>IF(OR($E215="",$F215=""),"",IF(_xlfn.SINGLE(JobState)="",IF(ROW()=2,HYPERLINK("#JobState","Set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215&amp;"%2C"&amp;$E215&amp;"&amp;marker="&amp;$F215&amp;","&amp;$E215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5" s="6" t="str">
        <f>IF(OR($E215="", $F215=""),"",IF(_xlfn.SINGLE(JobAgolMap)="",HYPERLINK("https://fema.maps.arcgis.com/apps/mapviewer/index.html?find="&amp;$F215&amp;"%2C"&amp;$E215&amp;"&amp;marker="&amp;$F215&amp;","&amp;$E215&amp;",4326&amp;level=16","FEMA AGOL Map Viewer"),HYPERLINK(_xlfn.SINGLE(JobAgolMap)&amp;IF(ISNUMBER(FIND("?",_xlfn.SINGLE(JobAgolMap))),"&amp;","?")&amp;"center="&amp;$F215&amp;","&amp;$E215&amp;"&amp;level=16&amp;marker="&amp;$F215&amp;","&amp;$E215,"Open")))</f>
        <v/>
      </c>
      <c r="Q215" s="4"/>
      <c r="R215" s="4"/>
      <c r="W215" s="6" t="str">
        <f t="shared" si="18"/>
        <v/>
      </c>
      <c r="X215" s="6" t="str">
        <f t="shared" si="19"/>
        <v/>
      </c>
      <c r="Y215" s="6" t="str">
        <f t="shared" si="20"/>
        <v/>
      </c>
      <c r="Z215" s="6" t="str">
        <f t="shared" si="21"/>
        <v/>
      </c>
      <c r="AA215" s="6" t="str">
        <f t="shared" si="22"/>
        <v/>
      </c>
      <c r="AB215" s="6" t="str">
        <f t="shared" si="23"/>
        <v/>
      </c>
      <c r="AC215" s="4"/>
      <c r="AD215" s="4"/>
    </row>
    <row r="216" spans="1:30" x14ac:dyDescent="0.45">
      <c r="A216" s="3"/>
      <c r="B216" s="3"/>
      <c r="C216" s="5" t="str">
        <f>IF($E216="","",COUNT($E$2:$E216))</f>
        <v/>
      </c>
      <c r="D216" s="3"/>
      <c r="E216" s="3"/>
      <c r="F216" s="3"/>
      <c r="G216" s="3"/>
      <c r="H216" s="3"/>
      <c r="I216" s="3"/>
      <c r="J216" s="3"/>
      <c r="K216" s="3"/>
      <c r="L216" s="4"/>
      <c r="M216" s="6" t="str">
        <f>IF(OR($E216="",$F216=""),"",IF(_xlfn.SINGLE(JobState)="",IF(ROW()=2,HYPERLINK("#JobState","Set State →"),""),HYPERLINK(IF(OR(_xlfn.SINGLE(JobState)="MI",_xlfn.SINGLE(JobState)=""),"https://fema.maps.arcgis.com/apps/mapviewer/index.html?webmap=6a1702b9147243d1a5ee62cd614bc681&amp;center="&amp;$F216&amp;","&amp;$E216&amp;"&amp;level=16&amp;marker="&amp;$F216&amp;","&amp;$E216&amp;"",IF(_xlfn.SINGLE(JobState)="IN","https://fema.maps.arcgis.com/apps/mapviewer/index.html?url=https%3A%2F%2Fgis.indot.in.gov%2Fro%2Frest%2Fservices%2FRAH_GIO_Collaboration%2FLRSE_Functional_Class%2FFeatureServer%2F22&amp;find="&amp;$F216&amp;"%2C"&amp;$E216&amp;"&amp;marker="&amp;$F216&amp;","&amp;$E216&amp;",4326&amp;level=16",IF(_xlfn.SINGLE(JobState)="WI","https://fema.maps.arcgis.com/apps/mapviewer/index.html?url=https://services5.arcgis.com/0pgGLzT0Nh7FVjon/arcgis/rest/services/Functional_Class_Local_Non_Prod/FeatureServer/1&amp;find="&amp;$F216&amp;"%2C"&amp;$E216&amp;"&amp;marker="&amp;$F216&amp;","&amp;$E216&amp;",4326&amp;level=16",IF(_xlfn.SINGLE(JobState)="MN","https://fema.maps.arcgis.com/apps/mapviewer/index.html?url=https%3A%2F%2Fdotapp9.dot.state.mn.us%2Fegis12%2Frest%2Fservices%2FBASEMAP%2Fmndot_commonlayers2%2FMapServer%2F11&amp;find="&amp;$F216&amp;"%2C"&amp;$E216&amp;"&amp;marker="&amp;$F216&amp;","&amp;$E216&amp;",4326&amp;level=16",IF(_xlfn.SINGLE(JobState)="IL","https://fema.maps.arcgis.com/apps/mapviewer/index.html?url=https%3A%2F%2Fgis1.dot.illinois.gov%2Farcgis%2Frest%2Fservices%2FAdministrativeData%2FFunctionalClass%2FMapServer%2F0&amp;find="&amp;$F216&amp;"%2C"&amp;$E216&amp;"&amp;marker="&amp;$F216&amp;","&amp;$E216&amp;",4326&amp;level=16",IF(_xlfn.SINGLE(JobState)="OH","https://fema.maps.arcgis.com/apps/mapviewer/index.html?url=https%3A%2F%2Ftims.dot.state.oh.us%2Fags%2Frest%2Fservices%2FRoadway_Information%2FFunctional_Class%2FMapServer%2F0&amp;find="&amp;$F216&amp;"%2C"&amp;$E216&amp;"&amp;marker="&amp;$F216&amp;","&amp;$E216&amp;",4326&amp;level=16","https://fema.maps.arcgis.com/apps/mapviewer/index.html?find="&amp;$F216&amp;"%2C"&amp;$E216&amp;"&amp;marker="&amp;$F216&amp;","&amp;$E216&amp;",4326&amp;level=16")))))),IF(_xlfn.SINGLE(JobState)="WI","Review Local Roads Layer","Review NFC AGOL Layer"))))</f>
        <v/>
      </c>
      <c r="N216" s="6" t="str">
        <f>IF(OR($E216="",$F216=""),"",IF(_xlfn.SINGLE(JobState)="",IF(ROW()=2,HYPERLINK("#JobState","Set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216&amp;"%2C"&amp;$E216&amp;"&amp;marker="&amp;$F216&amp;","&amp;$E216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6" s="6" t="str">
        <f>IF(OR($E216="", $F216=""),"",IF(_xlfn.SINGLE(JobAgolMap)="",HYPERLINK("https://fema.maps.arcgis.com/apps/mapviewer/index.html?find="&amp;$F216&amp;"%2C"&amp;$E216&amp;"&amp;marker="&amp;$F216&amp;","&amp;$E216&amp;",4326&amp;level=16","FEMA AGOL Map Viewer"),HYPERLINK(_xlfn.SINGLE(JobAgolMap)&amp;IF(ISNUMBER(FIND("?",_xlfn.SINGLE(JobAgolMap))),"&amp;","?")&amp;"center="&amp;$F216&amp;","&amp;$E216&amp;"&amp;level=16&amp;marker="&amp;$F216&amp;","&amp;$E216,"Open")))</f>
        <v/>
      </c>
      <c r="Q216" s="4"/>
      <c r="R216" s="4"/>
      <c r="W216" s="6" t="str">
        <f t="shared" si="18"/>
        <v/>
      </c>
      <c r="X216" s="6" t="str">
        <f t="shared" si="19"/>
        <v/>
      </c>
      <c r="Y216" s="6" t="str">
        <f t="shared" si="20"/>
        <v/>
      </c>
      <c r="Z216" s="6" t="str">
        <f t="shared" si="21"/>
        <v/>
      </c>
      <c r="AA216" s="6" t="str">
        <f t="shared" si="22"/>
        <v/>
      </c>
      <c r="AB216" s="6" t="str">
        <f t="shared" si="23"/>
        <v/>
      </c>
      <c r="AC216" s="4"/>
      <c r="AD216" s="4"/>
    </row>
    <row r="217" spans="1:30" x14ac:dyDescent="0.45">
      <c r="A217" s="3"/>
      <c r="B217" s="3"/>
      <c r="C217" s="5" t="str">
        <f>IF($E217="","",COUNT($E$2:$E217))</f>
        <v/>
      </c>
      <c r="D217" s="3"/>
      <c r="E217" s="3"/>
      <c r="F217" s="3"/>
      <c r="G217" s="3"/>
      <c r="H217" s="3"/>
      <c r="I217" s="3"/>
      <c r="J217" s="3"/>
      <c r="K217" s="3"/>
      <c r="L217" s="4"/>
      <c r="M217" s="6" t="str">
        <f>IF(OR($E217="",$F217=""),"",IF(_xlfn.SINGLE(JobState)="",IF(ROW()=2,HYPERLINK("#JobState","Set State →"),""),HYPERLINK(IF(OR(_xlfn.SINGLE(JobState)="MI",_xlfn.SINGLE(JobState)=""),"https://fema.maps.arcgis.com/apps/mapviewer/index.html?webmap=6a1702b9147243d1a5ee62cd614bc681&amp;center="&amp;$F217&amp;","&amp;$E217&amp;"&amp;level=16&amp;marker="&amp;$F217&amp;","&amp;$E217&amp;"",IF(_xlfn.SINGLE(JobState)="IN","https://fema.maps.arcgis.com/apps/mapviewer/index.html?url=https%3A%2F%2Fgis.indot.in.gov%2Fro%2Frest%2Fservices%2FRAH_GIO_Collaboration%2FLRSE_Functional_Class%2FFeatureServer%2F22&amp;find="&amp;$F217&amp;"%2C"&amp;$E217&amp;"&amp;marker="&amp;$F217&amp;","&amp;$E217&amp;",4326&amp;level=16",IF(_xlfn.SINGLE(JobState)="WI","https://fema.maps.arcgis.com/apps/mapviewer/index.html?url=https://services5.arcgis.com/0pgGLzT0Nh7FVjon/arcgis/rest/services/Functional_Class_Local_Non_Prod/FeatureServer/1&amp;find="&amp;$F217&amp;"%2C"&amp;$E217&amp;"&amp;marker="&amp;$F217&amp;","&amp;$E217&amp;",4326&amp;level=16",IF(_xlfn.SINGLE(JobState)="MN","https://fema.maps.arcgis.com/apps/mapviewer/index.html?url=https%3A%2F%2Fdotapp9.dot.state.mn.us%2Fegis12%2Frest%2Fservices%2FBASEMAP%2Fmndot_commonlayers2%2FMapServer%2F11&amp;find="&amp;$F217&amp;"%2C"&amp;$E217&amp;"&amp;marker="&amp;$F217&amp;","&amp;$E217&amp;",4326&amp;level=16",IF(_xlfn.SINGLE(JobState)="IL","https://fema.maps.arcgis.com/apps/mapviewer/index.html?url=https%3A%2F%2Fgis1.dot.illinois.gov%2Farcgis%2Frest%2Fservices%2FAdministrativeData%2FFunctionalClass%2FMapServer%2F0&amp;find="&amp;$F217&amp;"%2C"&amp;$E217&amp;"&amp;marker="&amp;$F217&amp;","&amp;$E217&amp;",4326&amp;level=16",IF(_xlfn.SINGLE(JobState)="OH","https://fema.maps.arcgis.com/apps/mapviewer/index.html?url=https%3A%2F%2Ftims.dot.state.oh.us%2Fags%2Frest%2Fservices%2FRoadway_Information%2FFunctional_Class%2FMapServer%2F0&amp;find="&amp;$F217&amp;"%2C"&amp;$E217&amp;"&amp;marker="&amp;$F217&amp;","&amp;$E217&amp;",4326&amp;level=16","https://fema.maps.arcgis.com/apps/mapviewer/index.html?find="&amp;$F217&amp;"%2C"&amp;$E217&amp;"&amp;marker="&amp;$F217&amp;","&amp;$E217&amp;",4326&amp;level=16")))))),IF(_xlfn.SINGLE(JobState)="WI","Review Local Roads Layer","Review NFC AGOL Layer"))))</f>
        <v/>
      </c>
      <c r="N217" s="6" t="str">
        <f>IF(OR($E217="",$F217=""),"",IF(_xlfn.SINGLE(JobState)="",IF(ROW()=2,HYPERLINK("#JobState","Set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217&amp;"%2C"&amp;$E217&amp;"&amp;marker="&amp;$F217&amp;","&amp;$E217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7" s="6" t="str">
        <f>IF(OR($E217="", $F217=""),"",IF(_xlfn.SINGLE(JobAgolMap)="",HYPERLINK("https://fema.maps.arcgis.com/apps/mapviewer/index.html?find="&amp;$F217&amp;"%2C"&amp;$E217&amp;"&amp;marker="&amp;$F217&amp;","&amp;$E217&amp;",4326&amp;level=16","FEMA AGOL Map Viewer"),HYPERLINK(_xlfn.SINGLE(JobAgolMap)&amp;IF(ISNUMBER(FIND("?",_xlfn.SINGLE(JobAgolMap))),"&amp;","?")&amp;"center="&amp;$F217&amp;","&amp;$E217&amp;"&amp;level=16&amp;marker="&amp;$F217&amp;","&amp;$E217,"Open")))</f>
        <v/>
      </c>
      <c r="Q217" s="4"/>
      <c r="R217" s="4"/>
      <c r="W217" s="6" t="str">
        <f t="shared" si="18"/>
        <v/>
      </c>
      <c r="X217" s="6" t="str">
        <f t="shared" si="19"/>
        <v/>
      </c>
      <c r="Y217" s="6" t="str">
        <f t="shared" si="20"/>
        <v/>
      </c>
      <c r="Z217" s="6" t="str">
        <f t="shared" si="21"/>
        <v/>
      </c>
      <c r="AA217" s="6" t="str">
        <f t="shared" si="22"/>
        <v/>
      </c>
      <c r="AB217" s="6" t="str">
        <f t="shared" si="23"/>
        <v/>
      </c>
      <c r="AC217" s="4"/>
      <c r="AD217" s="4"/>
    </row>
    <row r="218" spans="1:30" x14ac:dyDescent="0.45">
      <c r="A218" s="3"/>
      <c r="B218" s="3"/>
      <c r="C218" s="5" t="str">
        <f>IF($E218="","",COUNT($E$2:$E218))</f>
        <v/>
      </c>
      <c r="D218" s="3"/>
      <c r="E218" s="3"/>
      <c r="F218" s="3"/>
      <c r="G218" s="3"/>
      <c r="H218" s="3"/>
      <c r="I218" s="3"/>
      <c r="J218" s="3"/>
      <c r="K218" s="3"/>
      <c r="L218" s="4"/>
      <c r="M218" s="6" t="str">
        <f>IF(OR($E218="",$F218=""),"",IF(_xlfn.SINGLE(JobState)="",IF(ROW()=2,HYPERLINK("#JobState","Set State →"),""),HYPERLINK(IF(OR(_xlfn.SINGLE(JobState)="MI",_xlfn.SINGLE(JobState)=""),"https://fema.maps.arcgis.com/apps/mapviewer/index.html?webmap=6a1702b9147243d1a5ee62cd614bc681&amp;center="&amp;$F218&amp;","&amp;$E218&amp;"&amp;level=16&amp;marker="&amp;$F218&amp;","&amp;$E218&amp;"",IF(_xlfn.SINGLE(JobState)="IN","https://fema.maps.arcgis.com/apps/mapviewer/index.html?url=https%3A%2F%2Fgis.indot.in.gov%2Fro%2Frest%2Fservices%2FRAH_GIO_Collaboration%2FLRSE_Functional_Class%2FFeatureServer%2F22&amp;find="&amp;$F218&amp;"%2C"&amp;$E218&amp;"&amp;marker="&amp;$F218&amp;","&amp;$E218&amp;",4326&amp;level=16",IF(_xlfn.SINGLE(JobState)="WI","https://fema.maps.arcgis.com/apps/mapviewer/index.html?url=https://services5.arcgis.com/0pgGLzT0Nh7FVjon/arcgis/rest/services/Functional_Class_Local_Non_Prod/FeatureServer/1&amp;find="&amp;$F218&amp;"%2C"&amp;$E218&amp;"&amp;marker="&amp;$F218&amp;","&amp;$E218&amp;",4326&amp;level=16",IF(_xlfn.SINGLE(JobState)="MN","https://fema.maps.arcgis.com/apps/mapviewer/index.html?url=https%3A%2F%2Fdotapp9.dot.state.mn.us%2Fegis12%2Frest%2Fservices%2FBASEMAP%2Fmndot_commonlayers2%2FMapServer%2F11&amp;find="&amp;$F218&amp;"%2C"&amp;$E218&amp;"&amp;marker="&amp;$F218&amp;","&amp;$E218&amp;",4326&amp;level=16",IF(_xlfn.SINGLE(JobState)="IL","https://fema.maps.arcgis.com/apps/mapviewer/index.html?url=https%3A%2F%2Fgis1.dot.illinois.gov%2Farcgis%2Frest%2Fservices%2FAdministrativeData%2FFunctionalClass%2FMapServer%2F0&amp;find="&amp;$F218&amp;"%2C"&amp;$E218&amp;"&amp;marker="&amp;$F218&amp;","&amp;$E218&amp;",4326&amp;level=16",IF(_xlfn.SINGLE(JobState)="OH","https://fema.maps.arcgis.com/apps/mapviewer/index.html?url=https%3A%2F%2Ftims.dot.state.oh.us%2Fags%2Frest%2Fservices%2FRoadway_Information%2FFunctional_Class%2FMapServer%2F0&amp;find="&amp;$F218&amp;"%2C"&amp;$E218&amp;"&amp;marker="&amp;$F218&amp;","&amp;$E218&amp;",4326&amp;level=16","https://fema.maps.arcgis.com/apps/mapviewer/index.html?find="&amp;$F218&amp;"%2C"&amp;$E218&amp;"&amp;marker="&amp;$F218&amp;","&amp;$E218&amp;",4326&amp;level=16")))))),IF(_xlfn.SINGLE(JobState)="WI","Review Local Roads Layer","Review NFC AGOL Layer"))))</f>
        <v/>
      </c>
      <c r="N218" s="6" t="str">
        <f>IF(OR($E218="",$F218=""),"",IF(_xlfn.SINGLE(JobState)="",IF(ROW()=2,HYPERLINK("#JobState","Set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218&amp;"%2C"&amp;$E218&amp;"&amp;marker="&amp;$F218&amp;","&amp;$E218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8" s="6" t="str">
        <f>IF(OR($E218="", $F218=""),"",IF(_xlfn.SINGLE(JobAgolMap)="",HYPERLINK("https://fema.maps.arcgis.com/apps/mapviewer/index.html?find="&amp;$F218&amp;"%2C"&amp;$E218&amp;"&amp;marker="&amp;$F218&amp;","&amp;$E218&amp;",4326&amp;level=16","FEMA AGOL Map Viewer"),HYPERLINK(_xlfn.SINGLE(JobAgolMap)&amp;IF(ISNUMBER(FIND("?",_xlfn.SINGLE(JobAgolMap))),"&amp;","?")&amp;"center="&amp;$F218&amp;","&amp;$E218&amp;"&amp;level=16&amp;marker="&amp;$F218&amp;","&amp;$E218,"Open")))</f>
        <v/>
      </c>
      <c r="Q218" s="4"/>
      <c r="R218" s="4"/>
      <c r="W218" s="6" t="str">
        <f t="shared" si="18"/>
        <v/>
      </c>
      <c r="X218" s="6" t="str">
        <f t="shared" si="19"/>
        <v/>
      </c>
      <c r="Y218" s="6" t="str">
        <f t="shared" si="20"/>
        <v/>
      </c>
      <c r="Z218" s="6" t="str">
        <f t="shared" si="21"/>
        <v/>
      </c>
      <c r="AA218" s="6" t="str">
        <f t="shared" si="22"/>
        <v/>
      </c>
      <c r="AB218" s="6" t="str">
        <f t="shared" si="23"/>
        <v/>
      </c>
      <c r="AC218" s="4"/>
      <c r="AD218" s="4"/>
    </row>
    <row r="219" spans="1:30" x14ac:dyDescent="0.45">
      <c r="A219" s="3"/>
      <c r="B219" s="3"/>
      <c r="C219" s="5" t="str">
        <f>IF($E219="","",COUNT($E$2:$E219))</f>
        <v/>
      </c>
      <c r="D219" s="3"/>
      <c r="E219" s="3"/>
      <c r="F219" s="3"/>
      <c r="G219" s="3"/>
      <c r="H219" s="3"/>
      <c r="I219" s="3"/>
      <c r="J219" s="3"/>
      <c r="K219" s="3"/>
      <c r="L219" s="4"/>
      <c r="M219" s="6" t="str">
        <f>IF(OR($E219="",$F219=""),"",IF(_xlfn.SINGLE(JobState)="",IF(ROW()=2,HYPERLINK("#JobState","Set State →"),""),HYPERLINK(IF(OR(_xlfn.SINGLE(JobState)="MI",_xlfn.SINGLE(JobState)=""),"https://fema.maps.arcgis.com/apps/mapviewer/index.html?webmap=6a1702b9147243d1a5ee62cd614bc681&amp;center="&amp;$F219&amp;","&amp;$E219&amp;"&amp;level=16&amp;marker="&amp;$F219&amp;","&amp;$E219&amp;"",IF(_xlfn.SINGLE(JobState)="IN","https://fema.maps.arcgis.com/apps/mapviewer/index.html?url=https%3A%2F%2Fgis.indot.in.gov%2Fro%2Frest%2Fservices%2FRAH_GIO_Collaboration%2FLRSE_Functional_Class%2FFeatureServer%2F22&amp;find="&amp;$F219&amp;"%2C"&amp;$E219&amp;"&amp;marker="&amp;$F219&amp;","&amp;$E219&amp;",4326&amp;level=16",IF(_xlfn.SINGLE(JobState)="WI","https://fema.maps.arcgis.com/apps/mapviewer/index.html?url=https://services5.arcgis.com/0pgGLzT0Nh7FVjon/arcgis/rest/services/Functional_Class_Local_Non_Prod/FeatureServer/1&amp;find="&amp;$F219&amp;"%2C"&amp;$E219&amp;"&amp;marker="&amp;$F219&amp;","&amp;$E219&amp;",4326&amp;level=16",IF(_xlfn.SINGLE(JobState)="MN","https://fema.maps.arcgis.com/apps/mapviewer/index.html?url=https%3A%2F%2Fdotapp9.dot.state.mn.us%2Fegis12%2Frest%2Fservices%2FBASEMAP%2Fmndot_commonlayers2%2FMapServer%2F11&amp;find="&amp;$F219&amp;"%2C"&amp;$E219&amp;"&amp;marker="&amp;$F219&amp;","&amp;$E219&amp;",4326&amp;level=16",IF(_xlfn.SINGLE(JobState)="IL","https://fema.maps.arcgis.com/apps/mapviewer/index.html?url=https%3A%2F%2Fgis1.dot.illinois.gov%2Farcgis%2Frest%2Fservices%2FAdministrativeData%2FFunctionalClass%2FMapServer%2F0&amp;find="&amp;$F219&amp;"%2C"&amp;$E219&amp;"&amp;marker="&amp;$F219&amp;","&amp;$E219&amp;",4326&amp;level=16",IF(_xlfn.SINGLE(JobState)="OH","https://fema.maps.arcgis.com/apps/mapviewer/index.html?url=https%3A%2F%2Ftims.dot.state.oh.us%2Fags%2Frest%2Fservices%2FRoadway_Information%2FFunctional_Class%2FMapServer%2F0&amp;find="&amp;$F219&amp;"%2C"&amp;$E219&amp;"&amp;marker="&amp;$F219&amp;","&amp;$E219&amp;",4326&amp;level=16","https://fema.maps.arcgis.com/apps/mapviewer/index.html?find="&amp;$F219&amp;"%2C"&amp;$E219&amp;"&amp;marker="&amp;$F219&amp;","&amp;$E219&amp;",4326&amp;level=16")))))),IF(_xlfn.SINGLE(JobState)="WI","Review Local Roads Layer","Review NFC AGOL Layer"))))</f>
        <v/>
      </c>
      <c r="N219" s="6" t="str">
        <f>IF(OR($E219="",$F219=""),"",IF(_xlfn.SINGLE(JobState)="",IF(ROW()=2,HYPERLINK("#JobState","Set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219&amp;"%2C"&amp;$E219&amp;"&amp;marker="&amp;$F219&amp;","&amp;$E219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9" s="6" t="str">
        <f>IF(OR($E219="", $F219=""),"",IF(_xlfn.SINGLE(JobAgolMap)="",HYPERLINK("https://fema.maps.arcgis.com/apps/mapviewer/index.html?find="&amp;$F219&amp;"%2C"&amp;$E219&amp;"&amp;marker="&amp;$F219&amp;","&amp;$E219&amp;",4326&amp;level=16","FEMA AGOL Map Viewer"),HYPERLINK(_xlfn.SINGLE(JobAgolMap)&amp;IF(ISNUMBER(FIND("?",_xlfn.SINGLE(JobAgolMap))),"&amp;","?")&amp;"center="&amp;$F219&amp;","&amp;$E219&amp;"&amp;level=16&amp;marker="&amp;$F219&amp;","&amp;$E219,"Open")))</f>
        <v/>
      </c>
      <c r="Q219" s="4"/>
      <c r="R219" s="4"/>
      <c r="W219" s="6" t="str">
        <f t="shared" si="18"/>
        <v/>
      </c>
      <c r="X219" s="6" t="str">
        <f t="shared" si="19"/>
        <v/>
      </c>
      <c r="Y219" s="6" t="str">
        <f t="shared" si="20"/>
        <v/>
      </c>
      <c r="Z219" s="6" t="str">
        <f t="shared" si="21"/>
        <v/>
      </c>
      <c r="AA219" s="6" t="str">
        <f t="shared" si="22"/>
        <v/>
      </c>
      <c r="AB219" s="6" t="str">
        <f t="shared" si="23"/>
        <v/>
      </c>
      <c r="AC219" s="4"/>
      <c r="AD219" s="4"/>
    </row>
    <row r="220" spans="1:30" x14ac:dyDescent="0.45">
      <c r="A220" s="3"/>
      <c r="B220" s="3"/>
      <c r="C220" s="5" t="str">
        <f>IF($E220="","",COUNT($E$2:$E220))</f>
        <v/>
      </c>
      <c r="D220" s="3"/>
      <c r="E220" s="3"/>
      <c r="F220" s="3"/>
      <c r="G220" s="3"/>
      <c r="H220" s="3"/>
      <c r="I220" s="3"/>
      <c r="J220" s="3"/>
      <c r="K220" s="3"/>
      <c r="L220" s="4"/>
      <c r="M220" s="6" t="str">
        <f>IF(OR($E220="",$F220=""),"",IF(_xlfn.SINGLE(JobState)="",IF(ROW()=2,HYPERLINK("#JobState","Set State →"),""),HYPERLINK(IF(OR(_xlfn.SINGLE(JobState)="MI",_xlfn.SINGLE(JobState)=""),"https://fema.maps.arcgis.com/apps/mapviewer/index.html?webmap=6a1702b9147243d1a5ee62cd614bc681&amp;center="&amp;$F220&amp;","&amp;$E220&amp;"&amp;level=16&amp;marker="&amp;$F220&amp;","&amp;$E220&amp;"",IF(_xlfn.SINGLE(JobState)="IN","https://fema.maps.arcgis.com/apps/mapviewer/index.html?url=https%3A%2F%2Fgis.indot.in.gov%2Fro%2Frest%2Fservices%2FRAH_GIO_Collaboration%2FLRSE_Functional_Class%2FFeatureServer%2F22&amp;find="&amp;$F220&amp;"%2C"&amp;$E220&amp;"&amp;marker="&amp;$F220&amp;","&amp;$E220&amp;",4326&amp;level=16",IF(_xlfn.SINGLE(JobState)="WI","https://fema.maps.arcgis.com/apps/mapviewer/index.html?url=https://services5.arcgis.com/0pgGLzT0Nh7FVjon/arcgis/rest/services/Functional_Class_Local_Non_Prod/FeatureServer/1&amp;find="&amp;$F220&amp;"%2C"&amp;$E220&amp;"&amp;marker="&amp;$F220&amp;","&amp;$E220&amp;",4326&amp;level=16",IF(_xlfn.SINGLE(JobState)="MN","https://fema.maps.arcgis.com/apps/mapviewer/index.html?url=https%3A%2F%2Fdotapp9.dot.state.mn.us%2Fegis12%2Frest%2Fservices%2FBASEMAP%2Fmndot_commonlayers2%2FMapServer%2F11&amp;find="&amp;$F220&amp;"%2C"&amp;$E220&amp;"&amp;marker="&amp;$F220&amp;","&amp;$E220&amp;",4326&amp;level=16",IF(_xlfn.SINGLE(JobState)="IL","https://fema.maps.arcgis.com/apps/mapviewer/index.html?url=https%3A%2F%2Fgis1.dot.illinois.gov%2Farcgis%2Frest%2Fservices%2FAdministrativeData%2FFunctionalClass%2FMapServer%2F0&amp;find="&amp;$F220&amp;"%2C"&amp;$E220&amp;"&amp;marker="&amp;$F220&amp;","&amp;$E220&amp;",4326&amp;level=16",IF(_xlfn.SINGLE(JobState)="OH","https://fema.maps.arcgis.com/apps/mapviewer/index.html?url=https%3A%2F%2Ftims.dot.state.oh.us%2Fags%2Frest%2Fservices%2FRoadway_Information%2FFunctional_Class%2FMapServer%2F0&amp;find="&amp;$F220&amp;"%2C"&amp;$E220&amp;"&amp;marker="&amp;$F220&amp;","&amp;$E220&amp;",4326&amp;level=16","https://fema.maps.arcgis.com/apps/mapviewer/index.html?find="&amp;$F220&amp;"%2C"&amp;$E220&amp;"&amp;marker="&amp;$F220&amp;","&amp;$E220&amp;",4326&amp;level=16")))))),IF(_xlfn.SINGLE(JobState)="WI","Review Local Roads Layer","Review NFC AGOL Layer"))))</f>
        <v/>
      </c>
      <c r="N220" s="6" t="str">
        <f>IF(OR($E220="",$F220=""),"",IF(_xlfn.SINGLE(JobState)="",IF(ROW()=2,HYPERLINK("#JobState","Set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220&amp;"%2C"&amp;$E220&amp;"&amp;marker="&amp;$F220&amp;","&amp;$E220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0" s="6" t="str">
        <f>IF(OR($E220="", $F220=""),"",IF(_xlfn.SINGLE(JobAgolMap)="",HYPERLINK("https://fema.maps.arcgis.com/apps/mapviewer/index.html?find="&amp;$F220&amp;"%2C"&amp;$E220&amp;"&amp;marker="&amp;$F220&amp;","&amp;$E220&amp;",4326&amp;level=16","FEMA AGOL Map Viewer"),HYPERLINK(_xlfn.SINGLE(JobAgolMap)&amp;IF(ISNUMBER(FIND("?",_xlfn.SINGLE(JobAgolMap))),"&amp;","?")&amp;"center="&amp;$F220&amp;","&amp;$E220&amp;"&amp;level=16&amp;marker="&amp;$F220&amp;","&amp;$E220,"Open")))</f>
        <v/>
      </c>
      <c r="Q220" s="4"/>
      <c r="R220" s="4"/>
      <c r="W220" s="6" t="str">
        <f t="shared" si="18"/>
        <v/>
      </c>
      <c r="X220" s="6" t="str">
        <f t="shared" si="19"/>
        <v/>
      </c>
      <c r="Y220" s="6" t="str">
        <f t="shared" si="20"/>
        <v/>
      </c>
      <c r="Z220" s="6" t="str">
        <f t="shared" si="21"/>
        <v/>
      </c>
      <c r="AA220" s="6" t="str">
        <f t="shared" si="22"/>
        <v/>
      </c>
      <c r="AB220" s="6" t="str">
        <f t="shared" si="23"/>
        <v/>
      </c>
      <c r="AC220" s="4"/>
      <c r="AD220" s="4"/>
    </row>
    <row r="221" spans="1:30" x14ac:dyDescent="0.45">
      <c r="A221" s="3"/>
      <c r="B221" s="3"/>
      <c r="C221" s="5" t="str">
        <f>IF($E221="","",COUNT($E$2:$E221))</f>
        <v/>
      </c>
      <c r="D221" s="3"/>
      <c r="E221" s="3"/>
      <c r="F221" s="3"/>
      <c r="G221" s="3"/>
      <c r="H221" s="3"/>
      <c r="I221" s="3"/>
      <c r="J221" s="3"/>
      <c r="K221" s="3"/>
      <c r="L221" s="4"/>
      <c r="M221" s="6" t="str">
        <f>IF(OR($E221="",$F221=""),"",IF(_xlfn.SINGLE(JobState)="",IF(ROW()=2,HYPERLINK("#JobState","Set State →"),""),HYPERLINK(IF(OR(_xlfn.SINGLE(JobState)="MI",_xlfn.SINGLE(JobState)=""),"https://fema.maps.arcgis.com/apps/mapviewer/index.html?webmap=6a1702b9147243d1a5ee62cd614bc681&amp;center="&amp;$F221&amp;","&amp;$E221&amp;"&amp;level=16&amp;marker="&amp;$F221&amp;","&amp;$E221&amp;"",IF(_xlfn.SINGLE(JobState)="IN","https://fema.maps.arcgis.com/apps/mapviewer/index.html?url=https%3A%2F%2Fgis.indot.in.gov%2Fro%2Frest%2Fservices%2FRAH_GIO_Collaboration%2FLRSE_Functional_Class%2FFeatureServer%2F22&amp;find="&amp;$F221&amp;"%2C"&amp;$E221&amp;"&amp;marker="&amp;$F221&amp;","&amp;$E221&amp;",4326&amp;level=16",IF(_xlfn.SINGLE(JobState)="WI","https://fema.maps.arcgis.com/apps/mapviewer/index.html?url=https://services5.arcgis.com/0pgGLzT0Nh7FVjon/arcgis/rest/services/Functional_Class_Local_Non_Prod/FeatureServer/1&amp;find="&amp;$F221&amp;"%2C"&amp;$E221&amp;"&amp;marker="&amp;$F221&amp;","&amp;$E221&amp;",4326&amp;level=16",IF(_xlfn.SINGLE(JobState)="MN","https://fema.maps.arcgis.com/apps/mapviewer/index.html?url=https%3A%2F%2Fdotapp9.dot.state.mn.us%2Fegis12%2Frest%2Fservices%2FBASEMAP%2Fmndot_commonlayers2%2FMapServer%2F11&amp;find="&amp;$F221&amp;"%2C"&amp;$E221&amp;"&amp;marker="&amp;$F221&amp;","&amp;$E221&amp;",4326&amp;level=16",IF(_xlfn.SINGLE(JobState)="IL","https://fema.maps.arcgis.com/apps/mapviewer/index.html?url=https%3A%2F%2Fgis1.dot.illinois.gov%2Farcgis%2Frest%2Fservices%2FAdministrativeData%2FFunctionalClass%2FMapServer%2F0&amp;find="&amp;$F221&amp;"%2C"&amp;$E221&amp;"&amp;marker="&amp;$F221&amp;","&amp;$E221&amp;",4326&amp;level=16",IF(_xlfn.SINGLE(JobState)="OH","https://fema.maps.arcgis.com/apps/mapviewer/index.html?url=https%3A%2F%2Ftims.dot.state.oh.us%2Fags%2Frest%2Fservices%2FRoadway_Information%2FFunctional_Class%2FMapServer%2F0&amp;find="&amp;$F221&amp;"%2C"&amp;$E221&amp;"&amp;marker="&amp;$F221&amp;","&amp;$E221&amp;",4326&amp;level=16","https://fema.maps.arcgis.com/apps/mapviewer/index.html?find="&amp;$F221&amp;"%2C"&amp;$E221&amp;"&amp;marker="&amp;$F221&amp;","&amp;$E221&amp;",4326&amp;level=16")))))),IF(_xlfn.SINGLE(JobState)="WI","Review Local Roads Layer","Review NFC AGOL Layer"))))</f>
        <v/>
      </c>
      <c r="N221" s="6" t="str">
        <f>IF(OR($E221="",$F221=""),"",IF(_xlfn.SINGLE(JobState)="",IF(ROW()=2,HYPERLINK("#JobState","Set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221&amp;"%2C"&amp;$E221&amp;"&amp;marker="&amp;$F221&amp;","&amp;$E221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1" s="6" t="str">
        <f>IF(OR($E221="", $F221=""),"",IF(_xlfn.SINGLE(JobAgolMap)="",HYPERLINK("https://fema.maps.arcgis.com/apps/mapviewer/index.html?find="&amp;$F221&amp;"%2C"&amp;$E221&amp;"&amp;marker="&amp;$F221&amp;","&amp;$E221&amp;",4326&amp;level=16","FEMA AGOL Map Viewer"),HYPERLINK(_xlfn.SINGLE(JobAgolMap)&amp;IF(ISNUMBER(FIND("?",_xlfn.SINGLE(JobAgolMap))),"&amp;","?")&amp;"center="&amp;$F221&amp;","&amp;$E221&amp;"&amp;level=16&amp;marker="&amp;$F221&amp;","&amp;$E221,"Open")))</f>
        <v/>
      </c>
      <c r="Q221" s="4"/>
      <c r="R221" s="4"/>
      <c r="W221" s="6" t="str">
        <f t="shared" si="18"/>
        <v/>
      </c>
      <c r="X221" s="6" t="str">
        <f t="shared" si="19"/>
        <v/>
      </c>
      <c r="Y221" s="6" t="str">
        <f t="shared" si="20"/>
        <v/>
      </c>
      <c r="Z221" s="6" t="str">
        <f t="shared" si="21"/>
        <v/>
      </c>
      <c r="AA221" s="6" t="str">
        <f t="shared" si="22"/>
        <v/>
      </c>
      <c r="AB221" s="6" t="str">
        <f t="shared" si="23"/>
        <v/>
      </c>
      <c r="AC221" s="4"/>
      <c r="AD221" s="4"/>
    </row>
    <row r="222" spans="1:30" x14ac:dyDescent="0.45">
      <c r="A222" s="3"/>
      <c r="B222" s="3"/>
      <c r="C222" s="5" t="str">
        <f>IF($E222="","",COUNT($E$2:$E222))</f>
        <v/>
      </c>
      <c r="D222" s="3"/>
      <c r="E222" s="3"/>
      <c r="F222" s="3"/>
      <c r="G222" s="3"/>
      <c r="H222" s="3"/>
      <c r="I222" s="3"/>
      <c r="J222" s="3"/>
      <c r="K222" s="3"/>
      <c r="L222" s="4"/>
      <c r="M222" s="6" t="str">
        <f>IF(OR($E222="",$F222=""),"",IF(_xlfn.SINGLE(JobState)="",IF(ROW()=2,HYPERLINK("#JobState","Set State →"),""),HYPERLINK(IF(OR(_xlfn.SINGLE(JobState)="MI",_xlfn.SINGLE(JobState)=""),"https://fema.maps.arcgis.com/apps/mapviewer/index.html?webmap=6a1702b9147243d1a5ee62cd614bc681&amp;center="&amp;$F222&amp;","&amp;$E222&amp;"&amp;level=16&amp;marker="&amp;$F222&amp;","&amp;$E222&amp;"",IF(_xlfn.SINGLE(JobState)="IN","https://fema.maps.arcgis.com/apps/mapviewer/index.html?url=https%3A%2F%2Fgis.indot.in.gov%2Fro%2Frest%2Fservices%2FRAH_GIO_Collaboration%2FLRSE_Functional_Class%2FFeatureServer%2F22&amp;find="&amp;$F222&amp;"%2C"&amp;$E222&amp;"&amp;marker="&amp;$F222&amp;","&amp;$E222&amp;",4326&amp;level=16",IF(_xlfn.SINGLE(JobState)="WI","https://fema.maps.arcgis.com/apps/mapviewer/index.html?url=https://services5.arcgis.com/0pgGLzT0Nh7FVjon/arcgis/rest/services/Functional_Class_Local_Non_Prod/FeatureServer/1&amp;find="&amp;$F222&amp;"%2C"&amp;$E222&amp;"&amp;marker="&amp;$F222&amp;","&amp;$E222&amp;",4326&amp;level=16",IF(_xlfn.SINGLE(JobState)="MN","https://fema.maps.arcgis.com/apps/mapviewer/index.html?url=https%3A%2F%2Fdotapp9.dot.state.mn.us%2Fegis12%2Frest%2Fservices%2FBASEMAP%2Fmndot_commonlayers2%2FMapServer%2F11&amp;find="&amp;$F222&amp;"%2C"&amp;$E222&amp;"&amp;marker="&amp;$F222&amp;","&amp;$E222&amp;",4326&amp;level=16",IF(_xlfn.SINGLE(JobState)="IL","https://fema.maps.arcgis.com/apps/mapviewer/index.html?url=https%3A%2F%2Fgis1.dot.illinois.gov%2Farcgis%2Frest%2Fservices%2FAdministrativeData%2FFunctionalClass%2FMapServer%2F0&amp;find="&amp;$F222&amp;"%2C"&amp;$E222&amp;"&amp;marker="&amp;$F222&amp;","&amp;$E222&amp;",4326&amp;level=16",IF(_xlfn.SINGLE(JobState)="OH","https://fema.maps.arcgis.com/apps/mapviewer/index.html?url=https%3A%2F%2Ftims.dot.state.oh.us%2Fags%2Frest%2Fservices%2FRoadway_Information%2FFunctional_Class%2FMapServer%2F0&amp;find="&amp;$F222&amp;"%2C"&amp;$E222&amp;"&amp;marker="&amp;$F222&amp;","&amp;$E222&amp;",4326&amp;level=16","https://fema.maps.arcgis.com/apps/mapviewer/index.html?find="&amp;$F222&amp;"%2C"&amp;$E222&amp;"&amp;marker="&amp;$F222&amp;","&amp;$E222&amp;",4326&amp;level=16")))))),IF(_xlfn.SINGLE(JobState)="WI","Review Local Roads Layer","Review NFC AGOL Layer"))))</f>
        <v/>
      </c>
      <c r="N222" s="6" t="str">
        <f>IF(OR($E222="",$F222=""),"",IF(_xlfn.SINGLE(JobState)="",IF(ROW()=2,HYPERLINK("#JobState","Set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222&amp;"%2C"&amp;$E222&amp;"&amp;marker="&amp;$F222&amp;","&amp;$E222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2" s="6" t="str">
        <f>IF(OR($E222="", $F222=""),"",IF(_xlfn.SINGLE(JobAgolMap)="",HYPERLINK("https://fema.maps.arcgis.com/apps/mapviewer/index.html?find="&amp;$F222&amp;"%2C"&amp;$E222&amp;"&amp;marker="&amp;$F222&amp;","&amp;$E222&amp;",4326&amp;level=16","FEMA AGOL Map Viewer"),HYPERLINK(_xlfn.SINGLE(JobAgolMap)&amp;IF(ISNUMBER(FIND("?",_xlfn.SINGLE(JobAgolMap))),"&amp;","?")&amp;"center="&amp;$F222&amp;","&amp;$E222&amp;"&amp;level=16&amp;marker="&amp;$F222&amp;","&amp;$E222,"Open")))</f>
        <v/>
      </c>
      <c r="Q222" s="4"/>
      <c r="R222" s="4"/>
      <c r="W222" s="6" t="str">
        <f t="shared" si="18"/>
        <v/>
      </c>
      <c r="X222" s="6" t="str">
        <f t="shared" si="19"/>
        <v/>
      </c>
      <c r="Y222" s="6" t="str">
        <f t="shared" si="20"/>
        <v/>
      </c>
      <c r="Z222" s="6" t="str">
        <f t="shared" si="21"/>
        <v/>
      </c>
      <c r="AA222" s="6" t="str">
        <f t="shared" si="22"/>
        <v/>
      </c>
      <c r="AB222" s="6" t="str">
        <f t="shared" si="23"/>
        <v/>
      </c>
      <c r="AC222" s="4"/>
      <c r="AD222" s="4"/>
    </row>
    <row r="223" spans="1:30" x14ac:dyDescent="0.45">
      <c r="A223" s="3"/>
      <c r="B223" s="3"/>
      <c r="C223" s="5" t="str">
        <f>IF($E223="","",COUNT($E$2:$E223))</f>
        <v/>
      </c>
      <c r="D223" s="3"/>
      <c r="E223" s="3"/>
      <c r="F223" s="3"/>
      <c r="G223" s="3"/>
      <c r="H223" s="3"/>
      <c r="I223" s="3"/>
      <c r="J223" s="3"/>
      <c r="K223" s="3"/>
      <c r="L223" s="4"/>
      <c r="M223" s="6" t="str">
        <f>IF(OR($E223="",$F223=""),"",IF(_xlfn.SINGLE(JobState)="",IF(ROW()=2,HYPERLINK("#JobState","Set State →"),""),HYPERLINK(IF(OR(_xlfn.SINGLE(JobState)="MI",_xlfn.SINGLE(JobState)=""),"https://fema.maps.arcgis.com/apps/mapviewer/index.html?webmap=6a1702b9147243d1a5ee62cd614bc681&amp;center="&amp;$F223&amp;","&amp;$E223&amp;"&amp;level=16&amp;marker="&amp;$F223&amp;","&amp;$E223&amp;"",IF(_xlfn.SINGLE(JobState)="IN","https://fema.maps.arcgis.com/apps/mapviewer/index.html?url=https%3A%2F%2Fgis.indot.in.gov%2Fro%2Frest%2Fservices%2FRAH_GIO_Collaboration%2FLRSE_Functional_Class%2FFeatureServer%2F22&amp;find="&amp;$F223&amp;"%2C"&amp;$E223&amp;"&amp;marker="&amp;$F223&amp;","&amp;$E223&amp;",4326&amp;level=16",IF(_xlfn.SINGLE(JobState)="WI","https://fema.maps.arcgis.com/apps/mapviewer/index.html?url=https://services5.arcgis.com/0pgGLzT0Nh7FVjon/arcgis/rest/services/Functional_Class_Local_Non_Prod/FeatureServer/1&amp;find="&amp;$F223&amp;"%2C"&amp;$E223&amp;"&amp;marker="&amp;$F223&amp;","&amp;$E223&amp;",4326&amp;level=16",IF(_xlfn.SINGLE(JobState)="MN","https://fema.maps.arcgis.com/apps/mapviewer/index.html?url=https%3A%2F%2Fdotapp9.dot.state.mn.us%2Fegis12%2Frest%2Fservices%2FBASEMAP%2Fmndot_commonlayers2%2FMapServer%2F11&amp;find="&amp;$F223&amp;"%2C"&amp;$E223&amp;"&amp;marker="&amp;$F223&amp;","&amp;$E223&amp;",4326&amp;level=16",IF(_xlfn.SINGLE(JobState)="IL","https://fema.maps.arcgis.com/apps/mapviewer/index.html?url=https%3A%2F%2Fgis1.dot.illinois.gov%2Farcgis%2Frest%2Fservices%2FAdministrativeData%2FFunctionalClass%2FMapServer%2F0&amp;find="&amp;$F223&amp;"%2C"&amp;$E223&amp;"&amp;marker="&amp;$F223&amp;","&amp;$E223&amp;",4326&amp;level=16",IF(_xlfn.SINGLE(JobState)="OH","https://fema.maps.arcgis.com/apps/mapviewer/index.html?url=https%3A%2F%2Ftims.dot.state.oh.us%2Fags%2Frest%2Fservices%2FRoadway_Information%2FFunctional_Class%2FMapServer%2F0&amp;find="&amp;$F223&amp;"%2C"&amp;$E223&amp;"&amp;marker="&amp;$F223&amp;","&amp;$E223&amp;",4326&amp;level=16","https://fema.maps.arcgis.com/apps/mapviewer/index.html?find="&amp;$F223&amp;"%2C"&amp;$E223&amp;"&amp;marker="&amp;$F223&amp;","&amp;$E223&amp;",4326&amp;level=16")))))),IF(_xlfn.SINGLE(JobState)="WI","Review Local Roads Layer","Review NFC AGOL Layer"))))</f>
        <v/>
      </c>
      <c r="N223" s="6" t="str">
        <f>IF(OR($E223="",$F223=""),"",IF(_xlfn.SINGLE(JobState)="",IF(ROW()=2,HYPERLINK("#JobState","Set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223&amp;"%2C"&amp;$E223&amp;"&amp;marker="&amp;$F223&amp;","&amp;$E223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3" s="6" t="str">
        <f>IF(OR($E223="", $F223=""),"",IF(_xlfn.SINGLE(JobAgolMap)="",HYPERLINK("https://fema.maps.arcgis.com/apps/mapviewer/index.html?find="&amp;$F223&amp;"%2C"&amp;$E223&amp;"&amp;marker="&amp;$F223&amp;","&amp;$E223&amp;",4326&amp;level=16","FEMA AGOL Map Viewer"),HYPERLINK(_xlfn.SINGLE(JobAgolMap)&amp;IF(ISNUMBER(FIND("?",_xlfn.SINGLE(JobAgolMap))),"&amp;","?")&amp;"center="&amp;$F223&amp;","&amp;$E223&amp;"&amp;level=16&amp;marker="&amp;$F223&amp;","&amp;$E223,"Open")))</f>
        <v/>
      </c>
      <c r="Q223" s="4"/>
      <c r="R223" s="4"/>
      <c r="W223" s="6" t="str">
        <f t="shared" si="18"/>
        <v/>
      </c>
      <c r="X223" s="6" t="str">
        <f t="shared" si="19"/>
        <v/>
      </c>
      <c r="Y223" s="6" t="str">
        <f t="shared" si="20"/>
        <v/>
      </c>
      <c r="Z223" s="6" t="str">
        <f t="shared" si="21"/>
        <v/>
      </c>
      <c r="AA223" s="6" t="str">
        <f t="shared" si="22"/>
        <v/>
      </c>
      <c r="AB223" s="6" t="str">
        <f t="shared" si="23"/>
        <v/>
      </c>
      <c r="AC223" s="4"/>
      <c r="AD223" s="4"/>
    </row>
    <row r="224" spans="1:30" x14ac:dyDescent="0.45">
      <c r="A224" s="3"/>
      <c r="B224" s="3"/>
      <c r="C224" s="5" t="str">
        <f>IF($E224="","",COUNT($E$2:$E224))</f>
        <v/>
      </c>
      <c r="D224" s="3"/>
      <c r="E224" s="3"/>
      <c r="F224" s="3"/>
      <c r="G224" s="3"/>
      <c r="H224" s="3"/>
      <c r="I224" s="3"/>
      <c r="J224" s="3"/>
      <c r="K224" s="3"/>
      <c r="L224" s="4"/>
      <c r="M224" s="6" t="str">
        <f>IF(OR($E224="",$F224=""),"",IF(_xlfn.SINGLE(JobState)="",IF(ROW()=2,HYPERLINK("#JobState","Set State →"),""),HYPERLINK(IF(OR(_xlfn.SINGLE(JobState)="MI",_xlfn.SINGLE(JobState)=""),"https://fema.maps.arcgis.com/apps/mapviewer/index.html?webmap=6a1702b9147243d1a5ee62cd614bc681&amp;center="&amp;$F224&amp;","&amp;$E224&amp;"&amp;level=16&amp;marker="&amp;$F224&amp;","&amp;$E224&amp;"",IF(_xlfn.SINGLE(JobState)="IN","https://fema.maps.arcgis.com/apps/mapviewer/index.html?url=https%3A%2F%2Fgis.indot.in.gov%2Fro%2Frest%2Fservices%2FRAH_GIO_Collaboration%2FLRSE_Functional_Class%2FFeatureServer%2F22&amp;find="&amp;$F224&amp;"%2C"&amp;$E224&amp;"&amp;marker="&amp;$F224&amp;","&amp;$E224&amp;",4326&amp;level=16",IF(_xlfn.SINGLE(JobState)="WI","https://fema.maps.arcgis.com/apps/mapviewer/index.html?url=https://services5.arcgis.com/0pgGLzT0Nh7FVjon/arcgis/rest/services/Functional_Class_Local_Non_Prod/FeatureServer/1&amp;find="&amp;$F224&amp;"%2C"&amp;$E224&amp;"&amp;marker="&amp;$F224&amp;","&amp;$E224&amp;",4326&amp;level=16",IF(_xlfn.SINGLE(JobState)="MN","https://fema.maps.arcgis.com/apps/mapviewer/index.html?url=https%3A%2F%2Fdotapp9.dot.state.mn.us%2Fegis12%2Frest%2Fservices%2FBASEMAP%2Fmndot_commonlayers2%2FMapServer%2F11&amp;find="&amp;$F224&amp;"%2C"&amp;$E224&amp;"&amp;marker="&amp;$F224&amp;","&amp;$E224&amp;",4326&amp;level=16",IF(_xlfn.SINGLE(JobState)="IL","https://fema.maps.arcgis.com/apps/mapviewer/index.html?url=https%3A%2F%2Fgis1.dot.illinois.gov%2Farcgis%2Frest%2Fservices%2FAdministrativeData%2FFunctionalClass%2FMapServer%2F0&amp;find="&amp;$F224&amp;"%2C"&amp;$E224&amp;"&amp;marker="&amp;$F224&amp;","&amp;$E224&amp;",4326&amp;level=16",IF(_xlfn.SINGLE(JobState)="OH","https://fema.maps.arcgis.com/apps/mapviewer/index.html?url=https%3A%2F%2Ftims.dot.state.oh.us%2Fags%2Frest%2Fservices%2FRoadway_Information%2FFunctional_Class%2FMapServer%2F0&amp;find="&amp;$F224&amp;"%2C"&amp;$E224&amp;"&amp;marker="&amp;$F224&amp;","&amp;$E224&amp;",4326&amp;level=16","https://fema.maps.arcgis.com/apps/mapviewer/index.html?find="&amp;$F224&amp;"%2C"&amp;$E224&amp;"&amp;marker="&amp;$F224&amp;","&amp;$E224&amp;",4326&amp;level=16")))))),IF(_xlfn.SINGLE(JobState)="WI","Review Local Roads Layer","Review NFC AGOL Layer"))))</f>
        <v/>
      </c>
      <c r="N224" s="6" t="str">
        <f>IF(OR($E224="",$F224=""),"",IF(_xlfn.SINGLE(JobState)="",IF(ROW()=2,HYPERLINK("#JobState","Set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224&amp;"%2C"&amp;$E224&amp;"&amp;marker="&amp;$F224&amp;","&amp;$E224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4" s="6" t="str">
        <f>IF(OR($E224="", $F224=""),"",IF(_xlfn.SINGLE(JobAgolMap)="",HYPERLINK("https://fema.maps.arcgis.com/apps/mapviewer/index.html?find="&amp;$F224&amp;"%2C"&amp;$E224&amp;"&amp;marker="&amp;$F224&amp;","&amp;$E224&amp;",4326&amp;level=16","FEMA AGOL Map Viewer"),HYPERLINK(_xlfn.SINGLE(JobAgolMap)&amp;IF(ISNUMBER(FIND("?",_xlfn.SINGLE(JobAgolMap))),"&amp;","?")&amp;"center="&amp;$F224&amp;","&amp;$E224&amp;"&amp;level=16&amp;marker="&amp;$F224&amp;","&amp;$E224,"Open")))</f>
        <v/>
      </c>
      <c r="Q224" s="4"/>
      <c r="R224" s="4"/>
      <c r="W224" s="6" t="str">
        <f t="shared" si="18"/>
        <v/>
      </c>
      <c r="X224" s="6" t="str">
        <f t="shared" si="19"/>
        <v/>
      </c>
      <c r="Y224" s="6" t="str">
        <f t="shared" si="20"/>
        <v/>
      </c>
      <c r="Z224" s="6" t="str">
        <f t="shared" si="21"/>
        <v/>
      </c>
      <c r="AA224" s="6" t="str">
        <f t="shared" si="22"/>
        <v/>
      </c>
      <c r="AB224" s="6" t="str">
        <f t="shared" si="23"/>
        <v/>
      </c>
      <c r="AC224" s="4"/>
      <c r="AD224" s="4"/>
    </row>
    <row r="225" spans="1:30" x14ac:dyDescent="0.45">
      <c r="A225" s="3"/>
      <c r="B225" s="3"/>
      <c r="C225" s="5" t="str">
        <f>IF($E225="","",COUNT($E$2:$E225))</f>
        <v/>
      </c>
      <c r="D225" s="3"/>
      <c r="E225" s="3"/>
      <c r="F225" s="3"/>
      <c r="G225" s="3"/>
      <c r="H225" s="3"/>
      <c r="I225" s="3"/>
      <c r="J225" s="3"/>
      <c r="K225" s="3"/>
      <c r="L225" s="4"/>
      <c r="M225" s="6" t="str">
        <f>IF(OR($E225="",$F225=""),"",IF(_xlfn.SINGLE(JobState)="",IF(ROW()=2,HYPERLINK("#JobState","Set State →"),""),HYPERLINK(IF(OR(_xlfn.SINGLE(JobState)="MI",_xlfn.SINGLE(JobState)=""),"https://fema.maps.arcgis.com/apps/mapviewer/index.html?webmap=6a1702b9147243d1a5ee62cd614bc681&amp;center="&amp;$F225&amp;","&amp;$E225&amp;"&amp;level=16&amp;marker="&amp;$F225&amp;","&amp;$E225&amp;"",IF(_xlfn.SINGLE(JobState)="IN","https://fema.maps.arcgis.com/apps/mapviewer/index.html?url=https%3A%2F%2Fgis.indot.in.gov%2Fro%2Frest%2Fservices%2FRAH_GIO_Collaboration%2FLRSE_Functional_Class%2FFeatureServer%2F22&amp;find="&amp;$F225&amp;"%2C"&amp;$E225&amp;"&amp;marker="&amp;$F225&amp;","&amp;$E225&amp;",4326&amp;level=16",IF(_xlfn.SINGLE(JobState)="WI","https://fema.maps.arcgis.com/apps/mapviewer/index.html?url=https://services5.arcgis.com/0pgGLzT0Nh7FVjon/arcgis/rest/services/Functional_Class_Local_Non_Prod/FeatureServer/1&amp;find="&amp;$F225&amp;"%2C"&amp;$E225&amp;"&amp;marker="&amp;$F225&amp;","&amp;$E225&amp;",4326&amp;level=16",IF(_xlfn.SINGLE(JobState)="MN","https://fema.maps.arcgis.com/apps/mapviewer/index.html?url=https%3A%2F%2Fdotapp9.dot.state.mn.us%2Fegis12%2Frest%2Fservices%2FBASEMAP%2Fmndot_commonlayers2%2FMapServer%2F11&amp;find="&amp;$F225&amp;"%2C"&amp;$E225&amp;"&amp;marker="&amp;$F225&amp;","&amp;$E225&amp;",4326&amp;level=16",IF(_xlfn.SINGLE(JobState)="IL","https://fema.maps.arcgis.com/apps/mapviewer/index.html?url=https%3A%2F%2Fgis1.dot.illinois.gov%2Farcgis%2Frest%2Fservices%2FAdministrativeData%2FFunctionalClass%2FMapServer%2F0&amp;find="&amp;$F225&amp;"%2C"&amp;$E225&amp;"&amp;marker="&amp;$F225&amp;","&amp;$E225&amp;",4326&amp;level=16",IF(_xlfn.SINGLE(JobState)="OH","https://fema.maps.arcgis.com/apps/mapviewer/index.html?url=https%3A%2F%2Ftims.dot.state.oh.us%2Fags%2Frest%2Fservices%2FRoadway_Information%2FFunctional_Class%2FMapServer%2F0&amp;find="&amp;$F225&amp;"%2C"&amp;$E225&amp;"&amp;marker="&amp;$F225&amp;","&amp;$E225&amp;",4326&amp;level=16","https://fema.maps.arcgis.com/apps/mapviewer/index.html?find="&amp;$F225&amp;"%2C"&amp;$E225&amp;"&amp;marker="&amp;$F225&amp;","&amp;$E225&amp;",4326&amp;level=16")))))),IF(_xlfn.SINGLE(JobState)="WI","Review Local Roads Layer","Review NFC AGOL Layer"))))</f>
        <v/>
      </c>
      <c r="N225" s="6" t="str">
        <f>IF(OR($E225="",$F225=""),"",IF(_xlfn.SINGLE(JobState)="",IF(ROW()=2,HYPERLINK("#JobState","Set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225&amp;"%2C"&amp;$E225&amp;"&amp;marker="&amp;$F225&amp;","&amp;$E225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5" s="6" t="str">
        <f>IF(OR($E225="", $F225=""),"",IF(_xlfn.SINGLE(JobAgolMap)="",HYPERLINK("https://fema.maps.arcgis.com/apps/mapviewer/index.html?find="&amp;$F225&amp;"%2C"&amp;$E225&amp;"&amp;marker="&amp;$F225&amp;","&amp;$E225&amp;",4326&amp;level=16","FEMA AGOL Map Viewer"),HYPERLINK(_xlfn.SINGLE(JobAgolMap)&amp;IF(ISNUMBER(FIND("?",_xlfn.SINGLE(JobAgolMap))),"&amp;","?")&amp;"center="&amp;$F225&amp;","&amp;$E225&amp;"&amp;level=16&amp;marker="&amp;$F225&amp;","&amp;$E225,"Open")))</f>
        <v/>
      </c>
      <c r="Q225" s="4"/>
      <c r="R225" s="4"/>
      <c r="W225" s="6" t="str">
        <f t="shared" si="18"/>
        <v/>
      </c>
      <c r="X225" s="6" t="str">
        <f t="shared" si="19"/>
        <v/>
      </c>
      <c r="Y225" s="6" t="str">
        <f t="shared" si="20"/>
        <v/>
      </c>
      <c r="Z225" s="6" t="str">
        <f t="shared" si="21"/>
        <v/>
      </c>
      <c r="AA225" s="6" t="str">
        <f t="shared" si="22"/>
        <v/>
      </c>
      <c r="AB225" s="6" t="str">
        <f t="shared" si="23"/>
        <v/>
      </c>
      <c r="AC225" s="4"/>
      <c r="AD225" s="4"/>
    </row>
    <row r="226" spans="1:30" x14ac:dyDescent="0.45">
      <c r="A226" s="3"/>
      <c r="B226" s="3"/>
      <c r="C226" s="5" t="str">
        <f>IF($E226="","",COUNT($E$2:$E226))</f>
        <v/>
      </c>
      <c r="D226" s="3"/>
      <c r="E226" s="3"/>
      <c r="F226" s="3"/>
      <c r="G226" s="3"/>
      <c r="H226" s="3"/>
      <c r="I226" s="3"/>
      <c r="J226" s="3"/>
      <c r="K226" s="3"/>
      <c r="L226" s="4"/>
      <c r="M226" s="6" t="str">
        <f>IF(OR($E226="",$F226=""),"",IF(_xlfn.SINGLE(JobState)="",IF(ROW()=2,HYPERLINK("#JobState","Set State →"),""),HYPERLINK(IF(OR(_xlfn.SINGLE(JobState)="MI",_xlfn.SINGLE(JobState)=""),"https://fema.maps.arcgis.com/apps/mapviewer/index.html?webmap=6a1702b9147243d1a5ee62cd614bc681&amp;center="&amp;$F226&amp;","&amp;$E226&amp;"&amp;level=16&amp;marker="&amp;$F226&amp;","&amp;$E226&amp;"",IF(_xlfn.SINGLE(JobState)="IN","https://fema.maps.arcgis.com/apps/mapviewer/index.html?url=https%3A%2F%2Fgis.indot.in.gov%2Fro%2Frest%2Fservices%2FRAH_GIO_Collaboration%2FLRSE_Functional_Class%2FFeatureServer%2F22&amp;find="&amp;$F226&amp;"%2C"&amp;$E226&amp;"&amp;marker="&amp;$F226&amp;","&amp;$E226&amp;",4326&amp;level=16",IF(_xlfn.SINGLE(JobState)="WI","https://fema.maps.arcgis.com/apps/mapviewer/index.html?url=https://services5.arcgis.com/0pgGLzT0Nh7FVjon/arcgis/rest/services/Functional_Class_Local_Non_Prod/FeatureServer/1&amp;find="&amp;$F226&amp;"%2C"&amp;$E226&amp;"&amp;marker="&amp;$F226&amp;","&amp;$E226&amp;",4326&amp;level=16",IF(_xlfn.SINGLE(JobState)="MN","https://fema.maps.arcgis.com/apps/mapviewer/index.html?url=https%3A%2F%2Fdotapp9.dot.state.mn.us%2Fegis12%2Frest%2Fservices%2FBASEMAP%2Fmndot_commonlayers2%2FMapServer%2F11&amp;find="&amp;$F226&amp;"%2C"&amp;$E226&amp;"&amp;marker="&amp;$F226&amp;","&amp;$E226&amp;",4326&amp;level=16",IF(_xlfn.SINGLE(JobState)="IL","https://fema.maps.arcgis.com/apps/mapviewer/index.html?url=https%3A%2F%2Fgis1.dot.illinois.gov%2Farcgis%2Frest%2Fservices%2FAdministrativeData%2FFunctionalClass%2FMapServer%2F0&amp;find="&amp;$F226&amp;"%2C"&amp;$E226&amp;"&amp;marker="&amp;$F226&amp;","&amp;$E226&amp;",4326&amp;level=16",IF(_xlfn.SINGLE(JobState)="OH","https://fema.maps.arcgis.com/apps/mapviewer/index.html?url=https%3A%2F%2Ftims.dot.state.oh.us%2Fags%2Frest%2Fservices%2FRoadway_Information%2FFunctional_Class%2FMapServer%2F0&amp;find="&amp;$F226&amp;"%2C"&amp;$E226&amp;"&amp;marker="&amp;$F226&amp;","&amp;$E226&amp;",4326&amp;level=16","https://fema.maps.arcgis.com/apps/mapviewer/index.html?find="&amp;$F226&amp;"%2C"&amp;$E226&amp;"&amp;marker="&amp;$F226&amp;","&amp;$E226&amp;",4326&amp;level=16")))))),IF(_xlfn.SINGLE(JobState)="WI","Review Local Roads Layer","Review NFC AGOL Layer"))))</f>
        <v/>
      </c>
      <c r="N226" s="6" t="str">
        <f>IF(OR($E226="",$F226=""),"",IF(_xlfn.SINGLE(JobState)="",IF(ROW()=2,HYPERLINK("#JobState","Set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226&amp;"%2C"&amp;$E226&amp;"&amp;marker="&amp;$F226&amp;","&amp;$E226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6" s="6" t="str">
        <f>IF(OR($E226="", $F226=""),"",IF(_xlfn.SINGLE(JobAgolMap)="",HYPERLINK("https://fema.maps.arcgis.com/apps/mapviewer/index.html?find="&amp;$F226&amp;"%2C"&amp;$E226&amp;"&amp;marker="&amp;$F226&amp;","&amp;$E226&amp;",4326&amp;level=16","FEMA AGOL Map Viewer"),HYPERLINK(_xlfn.SINGLE(JobAgolMap)&amp;IF(ISNUMBER(FIND("?",_xlfn.SINGLE(JobAgolMap))),"&amp;","?")&amp;"center="&amp;$F226&amp;","&amp;$E226&amp;"&amp;level=16&amp;marker="&amp;$F226&amp;","&amp;$E226,"Open")))</f>
        <v/>
      </c>
      <c r="Q226" s="4"/>
      <c r="R226" s="4"/>
      <c r="W226" s="6" t="str">
        <f t="shared" si="18"/>
        <v/>
      </c>
      <c r="X226" s="6" t="str">
        <f t="shared" si="19"/>
        <v/>
      </c>
      <c r="Y226" s="6" t="str">
        <f t="shared" si="20"/>
        <v/>
      </c>
      <c r="Z226" s="6" t="str">
        <f t="shared" si="21"/>
        <v/>
      </c>
      <c r="AA226" s="6" t="str">
        <f t="shared" si="22"/>
        <v/>
      </c>
      <c r="AB226" s="6" t="str">
        <f t="shared" si="23"/>
        <v/>
      </c>
      <c r="AC226" s="4"/>
      <c r="AD226" s="4"/>
    </row>
    <row r="227" spans="1:30" x14ac:dyDescent="0.45">
      <c r="A227" s="3"/>
      <c r="B227" s="3"/>
      <c r="C227" s="5" t="str">
        <f>IF($E227="","",COUNT($E$2:$E227))</f>
        <v/>
      </c>
      <c r="D227" s="3"/>
      <c r="E227" s="3"/>
      <c r="F227" s="3"/>
      <c r="G227" s="3"/>
      <c r="H227" s="3"/>
      <c r="I227" s="3"/>
      <c r="J227" s="3"/>
      <c r="K227" s="3"/>
      <c r="L227" s="4"/>
      <c r="M227" s="6" t="str">
        <f>IF(OR($E227="",$F227=""),"",IF(_xlfn.SINGLE(JobState)="",IF(ROW()=2,HYPERLINK("#JobState","Set State →"),""),HYPERLINK(IF(OR(_xlfn.SINGLE(JobState)="MI",_xlfn.SINGLE(JobState)=""),"https://fema.maps.arcgis.com/apps/mapviewer/index.html?webmap=6a1702b9147243d1a5ee62cd614bc681&amp;center="&amp;$F227&amp;","&amp;$E227&amp;"&amp;level=16&amp;marker="&amp;$F227&amp;","&amp;$E227&amp;"",IF(_xlfn.SINGLE(JobState)="IN","https://fema.maps.arcgis.com/apps/mapviewer/index.html?url=https%3A%2F%2Fgis.indot.in.gov%2Fro%2Frest%2Fservices%2FRAH_GIO_Collaboration%2FLRSE_Functional_Class%2FFeatureServer%2F22&amp;find="&amp;$F227&amp;"%2C"&amp;$E227&amp;"&amp;marker="&amp;$F227&amp;","&amp;$E227&amp;",4326&amp;level=16",IF(_xlfn.SINGLE(JobState)="WI","https://fema.maps.arcgis.com/apps/mapviewer/index.html?url=https://services5.arcgis.com/0pgGLzT0Nh7FVjon/arcgis/rest/services/Functional_Class_Local_Non_Prod/FeatureServer/1&amp;find="&amp;$F227&amp;"%2C"&amp;$E227&amp;"&amp;marker="&amp;$F227&amp;","&amp;$E227&amp;",4326&amp;level=16",IF(_xlfn.SINGLE(JobState)="MN","https://fema.maps.arcgis.com/apps/mapviewer/index.html?url=https%3A%2F%2Fdotapp9.dot.state.mn.us%2Fegis12%2Frest%2Fservices%2FBASEMAP%2Fmndot_commonlayers2%2FMapServer%2F11&amp;find="&amp;$F227&amp;"%2C"&amp;$E227&amp;"&amp;marker="&amp;$F227&amp;","&amp;$E227&amp;",4326&amp;level=16",IF(_xlfn.SINGLE(JobState)="IL","https://fema.maps.arcgis.com/apps/mapviewer/index.html?url=https%3A%2F%2Fgis1.dot.illinois.gov%2Farcgis%2Frest%2Fservices%2FAdministrativeData%2FFunctionalClass%2FMapServer%2F0&amp;find="&amp;$F227&amp;"%2C"&amp;$E227&amp;"&amp;marker="&amp;$F227&amp;","&amp;$E227&amp;",4326&amp;level=16",IF(_xlfn.SINGLE(JobState)="OH","https://fema.maps.arcgis.com/apps/mapviewer/index.html?url=https%3A%2F%2Ftims.dot.state.oh.us%2Fags%2Frest%2Fservices%2FRoadway_Information%2FFunctional_Class%2FMapServer%2F0&amp;find="&amp;$F227&amp;"%2C"&amp;$E227&amp;"&amp;marker="&amp;$F227&amp;","&amp;$E227&amp;",4326&amp;level=16","https://fema.maps.arcgis.com/apps/mapviewer/index.html?find="&amp;$F227&amp;"%2C"&amp;$E227&amp;"&amp;marker="&amp;$F227&amp;","&amp;$E227&amp;",4326&amp;level=16")))))),IF(_xlfn.SINGLE(JobState)="WI","Review Local Roads Layer","Review NFC AGOL Layer"))))</f>
        <v/>
      </c>
      <c r="N227" s="6" t="str">
        <f>IF(OR($E227="",$F227=""),"",IF(_xlfn.SINGLE(JobState)="",IF(ROW()=2,HYPERLINK("#JobState","Set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227&amp;"%2C"&amp;$E227&amp;"&amp;marker="&amp;$F227&amp;","&amp;$E227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7" s="6" t="str">
        <f>IF(OR($E227="", $F227=""),"",IF(_xlfn.SINGLE(JobAgolMap)="",HYPERLINK("https://fema.maps.arcgis.com/apps/mapviewer/index.html?find="&amp;$F227&amp;"%2C"&amp;$E227&amp;"&amp;marker="&amp;$F227&amp;","&amp;$E227&amp;",4326&amp;level=16","FEMA AGOL Map Viewer"),HYPERLINK(_xlfn.SINGLE(JobAgolMap)&amp;IF(ISNUMBER(FIND("?",_xlfn.SINGLE(JobAgolMap))),"&amp;","?")&amp;"center="&amp;$F227&amp;","&amp;$E227&amp;"&amp;level=16&amp;marker="&amp;$F227&amp;","&amp;$E227,"Open")))</f>
        <v/>
      </c>
      <c r="Q227" s="4"/>
      <c r="R227" s="4"/>
      <c r="W227" s="6" t="str">
        <f t="shared" si="18"/>
        <v/>
      </c>
      <c r="X227" s="6" t="str">
        <f t="shared" si="19"/>
        <v/>
      </c>
      <c r="Y227" s="6" t="str">
        <f t="shared" si="20"/>
        <v/>
      </c>
      <c r="Z227" s="6" t="str">
        <f t="shared" si="21"/>
        <v/>
      </c>
      <c r="AA227" s="6" t="str">
        <f t="shared" si="22"/>
        <v/>
      </c>
      <c r="AB227" s="6" t="str">
        <f t="shared" si="23"/>
        <v/>
      </c>
      <c r="AC227" s="4"/>
      <c r="AD227" s="4"/>
    </row>
    <row r="228" spans="1:30" x14ac:dyDescent="0.45">
      <c r="A228" s="3"/>
      <c r="B228" s="3"/>
      <c r="C228" s="5" t="str">
        <f>IF($E228="","",COUNT($E$2:$E228))</f>
        <v/>
      </c>
      <c r="D228" s="3"/>
      <c r="E228" s="3"/>
      <c r="F228" s="3"/>
      <c r="G228" s="3"/>
      <c r="H228" s="3"/>
      <c r="I228" s="3"/>
      <c r="J228" s="3"/>
      <c r="K228" s="3"/>
      <c r="L228" s="4"/>
      <c r="M228" s="6" t="str">
        <f>IF(OR($E228="",$F228=""),"",IF(_xlfn.SINGLE(JobState)="",IF(ROW()=2,HYPERLINK("#JobState","Set State →"),""),HYPERLINK(IF(OR(_xlfn.SINGLE(JobState)="MI",_xlfn.SINGLE(JobState)=""),"https://fema.maps.arcgis.com/apps/mapviewer/index.html?webmap=6a1702b9147243d1a5ee62cd614bc681&amp;center="&amp;$F228&amp;","&amp;$E228&amp;"&amp;level=16&amp;marker="&amp;$F228&amp;","&amp;$E228&amp;"",IF(_xlfn.SINGLE(JobState)="IN","https://fema.maps.arcgis.com/apps/mapviewer/index.html?url=https%3A%2F%2Fgis.indot.in.gov%2Fro%2Frest%2Fservices%2FRAH_GIO_Collaboration%2FLRSE_Functional_Class%2FFeatureServer%2F22&amp;find="&amp;$F228&amp;"%2C"&amp;$E228&amp;"&amp;marker="&amp;$F228&amp;","&amp;$E228&amp;",4326&amp;level=16",IF(_xlfn.SINGLE(JobState)="WI","https://fema.maps.arcgis.com/apps/mapviewer/index.html?url=https://services5.arcgis.com/0pgGLzT0Nh7FVjon/arcgis/rest/services/Functional_Class_Local_Non_Prod/FeatureServer/1&amp;find="&amp;$F228&amp;"%2C"&amp;$E228&amp;"&amp;marker="&amp;$F228&amp;","&amp;$E228&amp;",4326&amp;level=16",IF(_xlfn.SINGLE(JobState)="MN","https://fema.maps.arcgis.com/apps/mapviewer/index.html?url=https%3A%2F%2Fdotapp9.dot.state.mn.us%2Fegis12%2Frest%2Fservices%2FBASEMAP%2Fmndot_commonlayers2%2FMapServer%2F11&amp;find="&amp;$F228&amp;"%2C"&amp;$E228&amp;"&amp;marker="&amp;$F228&amp;","&amp;$E228&amp;",4326&amp;level=16",IF(_xlfn.SINGLE(JobState)="IL","https://fema.maps.arcgis.com/apps/mapviewer/index.html?url=https%3A%2F%2Fgis1.dot.illinois.gov%2Farcgis%2Frest%2Fservices%2FAdministrativeData%2FFunctionalClass%2FMapServer%2F0&amp;find="&amp;$F228&amp;"%2C"&amp;$E228&amp;"&amp;marker="&amp;$F228&amp;","&amp;$E228&amp;",4326&amp;level=16",IF(_xlfn.SINGLE(JobState)="OH","https://fema.maps.arcgis.com/apps/mapviewer/index.html?url=https%3A%2F%2Ftims.dot.state.oh.us%2Fags%2Frest%2Fservices%2FRoadway_Information%2FFunctional_Class%2FMapServer%2F0&amp;find="&amp;$F228&amp;"%2C"&amp;$E228&amp;"&amp;marker="&amp;$F228&amp;","&amp;$E228&amp;",4326&amp;level=16","https://fema.maps.arcgis.com/apps/mapviewer/index.html?find="&amp;$F228&amp;"%2C"&amp;$E228&amp;"&amp;marker="&amp;$F228&amp;","&amp;$E228&amp;",4326&amp;level=16")))))),IF(_xlfn.SINGLE(JobState)="WI","Review Local Roads Layer","Review NFC AGOL Layer"))))</f>
        <v/>
      </c>
      <c r="N228" s="6" t="str">
        <f>IF(OR($E228="",$F228=""),"",IF(_xlfn.SINGLE(JobState)="",IF(ROW()=2,HYPERLINK("#JobState","Set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228&amp;"%2C"&amp;$E228&amp;"&amp;marker="&amp;$F228&amp;","&amp;$E228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8" s="6" t="str">
        <f>IF(OR($E228="", $F228=""),"",IF(_xlfn.SINGLE(JobAgolMap)="",HYPERLINK("https://fema.maps.arcgis.com/apps/mapviewer/index.html?find="&amp;$F228&amp;"%2C"&amp;$E228&amp;"&amp;marker="&amp;$F228&amp;","&amp;$E228&amp;",4326&amp;level=16","FEMA AGOL Map Viewer"),HYPERLINK(_xlfn.SINGLE(JobAgolMap)&amp;IF(ISNUMBER(FIND("?",_xlfn.SINGLE(JobAgolMap))),"&amp;","?")&amp;"center="&amp;$F228&amp;","&amp;$E228&amp;"&amp;level=16&amp;marker="&amp;$F228&amp;","&amp;$E228,"Open")))</f>
        <v/>
      </c>
      <c r="Q228" s="4"/>
      <c r="R228" s="4"/>
      <c r="W228" s="6" t="str">
        <f t="shared" si="18"/>
        <v/>
      </c>
      <c r="X228" s="6" t="str">
        <f t="shared" si="19"/>
        <v/>
      </c>
      <c r="Y228" s="6" t="str">
        <f t="shared" si="20"/>
        <v/>
      </c>
      <c r="Z228" s="6" t="str">
        <f t="shared" si="21"/>
        <v/>
      </c>
      <c r="AA228" s="6" t="str">
        <f t="shared" si="22"/>
        <v/>
      </c>
      <c r="AB228" s="6" t="str">
        <f t="shared" si="23"/>
        <v/>
      </c>
      <c r="AC228" s="4"/>
      <c r="AD228" s="4"/>
    </row>
    <row r="229" spans="1:30" x14ac:dyDescent="0.45">
      <c r="A229" s="3"/>
      <c r="B229" s="3"/>
      <c r="C229" s="5" t="str">
        <f>IF($E229="","",COUNT($E$2:$E229))</f>
        <v/>
      </c>
      <c r="D229" s="3"/>
      <c r="E229" s="3"/>
      <c r="F229" s="3"/>
      <c r="G229" s="3"/>
      <c r="H229" s="3"/>
      <c r="I229" s="3"/>
      <c r="J229" s="3"/>
      <c r="K229" s="3"/>
      <c r="L229" s="4"/>
      <c r="M229" s="6" t="str">
        <f>IF(OR($E229="",$F229=""),"",IF(_xlfn.SINGLE(JobState)="",IF(ROW()=2,HYPERLINK("#JobState","Set State →"),""),HYPERLINK(IF(OR(_xlfn.SINGLE(JobState)="MI",_xlfn.SINGLE(JobState)=""),"https://fema.maps.arcgis.com/apps/mapviewer/index.html?webmap=6a1702b9147243d1a5ee62cd614bc681&amp;center="&amp;$F229&amp;","&amp;$E229&amp;"&amp;level=16&amp;marker="&amp;$F229&amp;","&amp;$E229&amp;"",IF(_xlfn.SINGLE(JobState)="IN","https://fema.maps.arcgis.com/apps/mapviewer/index.html?url=https%3A%2F%2Fgis.indot.in.gov%2Fro%2Frest%2Fservices%2FRAH_GIO_Collaboration%2FLRSE_Functional_Class%2FFeatureServer%2F22&amp;find="&amp;$F229&amp;"%2C"&amp;$E229&amp;"&amp;marker="&amp;$F229&amp;","&amp;$E229&amp;",4326&amp;level=16",IF(_xlfn.SINGLE(JobState)="WI","https://fema.maps.arcgis.com/apps/mapviewer/index.html?url=https://services5.arcgis.com/0pgGLzT0Nh7FVjon/arcgis/rest/services/Functional_Class_Local_Non_Prod/FeatureServer/1&amp;find="&amp;$F229&amp;"%2C"&amp;$E229&amp;"&amp;marker="&amp;$F229&amp;","&amp;$E229&amp;",4326&amp;level=16",IF(_xlfn.SINGLE(JobState)="MN","https://fema.maps.arcgis.com/apps/mapviewer/index.html?url=https%3A%2F%2Fdotapp9.dot.state.mn.us%2Fegis12%2Frest%2Fservices%2FBASEMAP%2Fmndot_commonlayers2%2FMapServer%2F11&amp;find="&amp;$F229&amp;"%2C"&amp;$E229&amp;"&amp;marker="&amp;$F229&amp;","&amp;$E229&amp;",4326&amp;level=16",IF(_xlfn.SINGLE(JobState)="IL","https://fema.maps.arcgis.com/apps/mapviewer/index.html?url=https%3A%2F%2Fgis1.dot.illinois.gov%2Farcgis%2Frest%2Fservices%2FAdministrativeData%2FFunctionalClass%2FMapServer%2F0&amp;find="&amp;$F229&amp;"%2C"&amp;$E229&amp;"&amp;marker="&amp;$F229&amp;","&amp;$E229&amp;",4326&amp;level=16",IF(_xlfn.SINGLE(JobState)="OH","https://fema.maps.arcgis.com/apps/mapviewer/index.html?url=https%3A%2F%2Ftims.dot.state.oh.us%2Fags%2Frest%2Fservices%2FRoadway_Information%2FFunctional_Class%2FMapServer%2F0&amp;find="&amp;$F229&amp;"%2C"&amp;$E229&amp;"&amp;marker="&amp;$F229&amp;","&amp;$E229&amp;",4326&amp;level=16","https://fema.maps.arcgis.com/apps/mapviewer/index.html?find="&amp;$F229&amp;"%2C"&amp;$E229&amp;"&amp;marker="&amp;$F229&amp;","&amp;$E229&amp;",4326&amp;level=16")))))),IF(_xlfn.SINGLE(JobState)="WI","Review Local Roads Layer","Review NFC AGOL Layer"))))</f>
        <v/>
      </c>
      <c r="N229" s="6" t="str">
        <f>IF(OR($E229="",$F229=""),"",IF(_xlfn.SINGLE(JobState)="",IF(ROW()=2,HYPERLINK("#JobState","Set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229&amp;"%2C"&amp;$E229&amp;"&amp;marker="&amp;$F229&amp;","&amp;$E229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9" s="6" t="str">
        <f>IF(OR($E229="", $F229=""),"",IF(_xlfn.SINGLE(JobAgolMap)="",HYPERLINK("https://fema.maps.arcgis.com/apps/mapviewer/index.html?find="&amp;$F229&amp;"%2C"&amp;$E229&amp;"&amp;marker="&amp;$F229&amp;","&amp;$E229&amp;",4326&amp;level=16","FEMA AGOL Map Viewer"),HYPERLINK(_xlfn.SINGLE(JobAgolMap)&amp;IF(ISNUMBER(FIND("?",_xlfn.SINGLE(JobAgolMap))),"&amp;","?")&amp;"center="&amp;$F229&amp;","&amp;$E229&amp;"&amp;level=16&amp;marker="&amp;$F229&amp;","&amp;$E229,"Open")))</f>
        <v/>
      </c>
      <c r="Q229" s="4"/>
      <c r="R229" s="4"/>
      <c r="W229" s="6" t="str">
        <f t="shared" si="18"/>
        <v/>
      </c>
      <c r="X229" s="6" t="str">
        <f t="shared" si="19"/>
        <v/>
      </c>
      <c r="Y229" s="6" t="str">
        <f t="shared" si="20"/>
        <v/>
      </c>
      <c r="Z229" s="6" t="str">
        <f t="shared" si="21"/>
        <v/>
      </c>
      <c r="AA229" s="6" t="str">
        <f t="shared" si="22"/>
        <v/>
      </c>
      <c r="AB229" s="6" t="str">
        <f t="shared" si="23"/>
        <v/>
      </c>
      <c r="AC229" s="4"/>
      <c r="AD229" s="4"/>
    </row>
    <row r="230" spans="1:30" x14ac:dyDescent="0.45">
      <c r="A230" s="3"/>
      <c r="B230" s="3"/>
      <c r="C230" s="5" t="str">
        <f>IF($E230="","",COUNT($E$2:$E230))</f>
        <v/>
      </c>
      <c r="D230" s="3"/>
      <c r="E230" s="3"/>
      <c r="F230" s="3"/>
      <c r="G230" s="3"/>
      <c r="H230" s="3"/>
      <c r="I230" s="3"/>
      <c r="J230" s="3"/>
      <c r="K230" s="3"/>
      <c r="L230" s="4"/>
      <c r="M230" s="6" t="str">
        <f>IF(OR($E230="",$F230=""),"",IF(_xlfn.SINGLE(JobState)="",IF(ROW()=2,HYPERLINK("#JobState","Set State →"),""),HYPERLINK(IF(OR(_xlfn.SINGLE(JobState)="MI",_xlfn.SINGLE(JobState)=""),"https://fema.maps.arcgis.com/apps/mapviewer/index.html?webmap=6a1702b9147243d1a5ee62cd614bc681&amp;center="&amp;$F230&amp;","&amp;$E230&amp;"&amp;level=16&amp;marker="&amp;$F230&amp;","&amp;$E230&amp;"",IF(_xlfn.SINGLE(JobState)="IN","https://fema.maps.arcgis.com/apps/mapviewer/index.html?url=https%3A%2F%2Fgis.indot.in.gov%2Fro%2Frest%2Fservices%2FRAH_GIO_Collaboration%2FLRSE_Functional_Class%2FFeatureServer%2F22&amp;find="&amp;$F230&amp;"%2C"&amp;$E230&amp;"&amp;marker="&amp;$F230&amp;","&amp;$E230&amp;",4326&amp;level=16",IF(_xlfn.SINGLE(JobState)="WI","https://fema.maps.arcgis.com/apps/mapviewer/index.html?url=https://services5.arcgis.com/0pgGLzT0Nh7FVjon/arcgis/rest/services/Functional_Class_Local_Non_Prod/FeatureServer/1&amp;find="&amp;$F230&amp;"%2C"&amp;$E230&amp;"&amp;marker="&amp;$F230&amp;","&amp;$E230&amp;",4326&amp;level=16",IF(_xlfn.SINGLE(JobState)="MN","https://fema.maps.arcgis.com/apps/mapviewer/index.html?url=https%3A%2F%2Fdotapp9.dot.state.mn.us%2Fegis12%2Frest%2Fservices%2FBASEMAP%2Fmndot_commonlayers2%2FMapServer%2F11&amp;find="&amp;$F230&amp;"%2C"&amp;$E230&amp;"&amp;marker="&amp;$F230&amp;","&amp;$E230&amp;",4326&amp;level=16",IF(_xlfn.SINGLE(JobState)="IL","https://fema.maps.arcgis.com/apps/mapviewer/index.html?url=https%3A%2F%2Fgis1.dot.illinois.gov%2Farcgis%2Frest%2Fservices%2FAdministrativeData%2FFunctionalClass%2FMapServer%2F0&amp;find="&amp;$F230&amp;"%2C"&amp;$E230&amp;"&amp;marker="&amp;$F230&amp;","&amp;$E230&amp;",4326&amp;level=16",IF(_xlfn.SINGLE(JobState)="OH","https://fema.maps.arcgis.com/apps/mapviewer/index.html?url=https%3A%2F%2Ftims.dot.state.oh.us%2Fags%2Frest%2Fservices%2FRoadway_Information%2FFunctional_Class%2FMapServer%2F0&amp;find="&amp;$F230&amp;"%2C"&amp;$E230&amp;"&amp;marker="&amp;$F230&amp;","&amp;$E230&amp;",4326&amp;level=16","https://fema.maps.arcgis.com/apps/mapviewer/index.html?find="&amp;$F230&amp;"%2C"&amp;$E230&amp;"&amp;marker="&amp;$F230&amp;","&amp;$E230&amp;",4326&amp;level=16")))))),IF(_xlfn.SINGLE(JobState)="WI","Review Local Roads Layer","Review NFC AGOL Layer"))))</f>
        <v/>
      </c>
      <c r="N230" s="6" t="str">
        <f>IF(OR($E230="",$F230=""),"",IF(_xlfn.SINGLE(JobState)="",IF(ROW()=2,HYPERLINK("#JobState","Set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230&amp;"%2C"&amp;$E230&amp;"&amp;marker="&amp;$F230&amp;","&amp;$E230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0" s="6" t="str">
        <f>IF(OR($E230="", $F230=""),"",IF(_xlfn.SINGLE(JobAgolMap)="",HYPERLINK("https://fema.maps.arcgis.com/apps/mapviewer/index.html?find="&amp;$F230&amp;"%2C"&amp;$E230&amp;"&amp;marker="&amp;$F230&amp;","&amp;$E230&amp;",4326&amp;level=16","FEMA AGOL Map Viewer"),HYPERLINK(_xlfn.SINGLE(JobAgolMap)&amp;IF(ISNUMBER(FIND("?",_xlfn.SINGLE(JobAgolMap))),"&amp;","?")&amp;"center="&amp;$F230&amp;","&amp;$E230&amp;"&amp;level=16&amp;marker="&amp;$F230&amp;","&amp;$E230,"Open")))</f>
        <v/>
      </c>
      <c r="Q230" s="4"/>
      <c r="R230" s="4"/>
      <c r="W230" s="6" t="str">
        <f t="shared" si="18"/>
        <v/>
      </c>
      <c r="X230" s="6" t="str">
        <f t="shared" si="19"/>
        <v/>
      </c>
      <c r="Y230" s="6" t="str">
        <f t="shared" si="20"/>
        <v/>
      </c>
      <c r="Z230" s="6" t="str">
        <f t="shared" si="21"/>
        <v/>
      </c>
      <c r="AA230" s="6" t="str">
        <f t="shared" si="22"/>
        <v/>
      </c>
      <c r="AB230" s="6" t="str">
        <f t="shared" si="23"/>
        <v/>
      </c>
      <c r="AC230" s="4"/>
      <c r="AD230" s="4"/>
    </row>
    <row r="231" spans="1:30" x14ac:dyDescent="0.45">
      <c r="A231" s="3"/>
      <c r="B231" s="3"/>
      <c r="C231" s="5" t="str">
        <f>IF($E231="","",COUNT($E$2:$E231))</f>
        <v/>
      </c>
      <c r="D231" s="3"/>
      <c r="E231" s="3"/>
      <c r="F231" s="3"/>
      <c r="G231" s="3"/>
      <c r="H231" s="3"/>
      <c r="I231" s="3"/>
      <c r="J231" s="3"/>
      <c r="K231" s="3"/>
      <c r="L231" s="4"/>
      <c r="M231" s="6" t="str">
        <f>IF(OR($E231="",$F231=""),"",IF(_xlfn.SINGLE(JobState)="",IF(ROW()=2,HYPERLINK("#JobState","Set State →"),""),HYPERLINK(IF(OR(_xlfn.SINGLE(JobState)="MI",_xlfn.SINGLE(JobState)=""),"https://fema.maps.arcgis.com/apps/mapviewer/index.html?webmap=6a1702b9147243d1a5ee62cd614bc681&amp;center="&amp;$F231&amp;","&amp;$E231&amp;"&amp;level=16&amp;marker="&amp;$F231&amp;","&amp;$E231&amp;"",IF(_xlfn.SINGLE(JobState)="IN","https://fema.maps.arcgis.com/apps/mapviewer/index.html?url=https%3A%2F%2Fgis.indot.in.gov%2Fro%2Frest%2Fservices%2FRAH_GIO_Collaboration%2FLRSE_Functional_Class%2FFeatureServer%2F22&amp;find="&amp;$F231&amp;"%2C"&amp;$E231&amp;"&amp;marker="&amp;$F231&amp;","&amp;$E231&amp;",4326&amp;level=16",IF(_xlfn.SINGLE(JobState)="WI","https://fema.maps.arcgis.com/apps/mapviewer/index.html?url=https://services5.arcgis.com/0pgGLzT0Nh7FVjon/arcgis/rest/services/Functional_Class_Local_Non_Prod/FeatureServer/1&amp;find="&amp;$F231&amp;"%2C"&amp;$E231&amp;"&amp;marker="&amp;$F231&amp;","&amp;$E231&amp;",4326&amp;level=16",IF(_xlfn.SINGLE(JobState)="MN","https://fema.maps.arcgis.com/apps/mapviewer/index.html?url=https%3A%2F%2Fdotapp9.dot.state.mn.us%2Fegis12%2Frest%2Fservices%2FBASEMAP%2Fmndot_commonlayers2%2FMapServer%2F11&amp;find="&amp;$F231&amp;"%2C"&amp;$E231&amp;"&amp;marker="&amp;$F231&amp;","&amp;$E231&amp;",4326&amp;level=16",IF(_xlfn.SINGLE(JobState)="IL","https://fema.maps.arcgis.com/apps/mapviewer/index.html?url=https%3A%2F%2Fgis1.dot.illinois.gov%2Farcgis%2Frest%2Fservices%2FAdministrativeData%2FFunctionalClass%2FMapServer%2F0&amp;find="&amp;$F231&amp;"%2C"&amp;$E231&amp;"&amp;marker="&amp;$F231&amp;","&amp;$E231&amp;",4326&amp;level=16",IF(_xlfn.SINGLE(JobState)="OH","https://fema.maps.arcgis.com/apps/mapviewer/index.html?url=https%3A%2F%2Ftims.dot.state.oh.us%2Fags%2Frest%2Fservices%2FRoadway_Information%2FFunctional_Class%2FMapServer%2F0&amp;find="&amp;$F231&amp;"%2C"&amp;$E231&amp;"&amp;marker="&amp;$F231&amp;","&amp;$E231&amp;",4326&amp;level=16","https://fema.maps.arcgis.com/apps/mapviewer/index.html?find="&amp;$F231&amp;"%2C"&amp;$E231&amp;"&amp;marker="&amp;$F231&amp;","&amp;$E231&amp;",4326&amp;level=16")))))),IF(_xlfn.SINGLE(JobState)="WI","Review Local Roads Layer","Review NFC AGOL Layer"))))</f>
        <v/>
      </c>
      <c r="N231" s="6" t="str">
        <f>IF(OR($E231="",$F231=""),"",IF(_xlfn.SINGLE(JobState)="",IF(ROW()=2,HYPERLINK("#JobState","Set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231&amp;"%2C"&amp;$E231&amp;"&amp;marker="&amp;$F231&amp;","&amp;$E231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1" s="6" t="str">
        <f>IF(OR($E231="", $F231=""),"",IF(_xlfn.SINGLE(JobAgolMap)="",HYPERLINK("https://fema.maps.arcgis.com/apps/mapviewer/index.html?find="&amp;$F231&amp;"%2C"&amp;$E231&amp;"&amp;marker="&amp;$F231&amp;","&amp;$E231&amp;",4326&amp;level=16","FEMA AGOL Map Viewer"),HYPERLINK(_xlfn.SINGLE(JobAgolMap)&amp;IF(ISNUMBER(FIND("?",_xlfn.SINGLE(JobAgolMap))),"&amp;","?")&amp;"center="&amp;$F231&amp;","&amp;$E231&amp;"&amp;level=16&amp;marker="&amp;$F231&amp;","&amp;$E231,"Open")))</f>
        <v/>
      </c>
      <c r="Q231" s="4"/>
      <c r="R231" s="4"/>
      <c r="W231" s="6" t="str">
        <f t="shared" si="18"/>
        <v/>
      </c>
      <c r="X231" s="6" t="str">
        <f t="shared" si="19"/>
        <v/>
      </c>
      <c r="Y231" s="6" t="str">
        <f t="shared" si="20"/>
        <v/>
      </c>
      <c r="Z231" s="6" t="str">
        <f t="shared" si="21"/>
        <v/>
      </c>
      <c r="AA231" s="6" t="str">
        <f t="shared" si="22"/>
        <v/>
      </c>
      <c r="AB231" s="6" t="str">
        <f t="shared" si="23"/>
        <v/>
      </c>
      <c r="AC231" s="4"/>
      <c r="AD231" s="4"/>
    </row>
    <row r="232" spans="1:30" x14ac:dyDescent="0.45">
      <c r="A232" s="3"/>
      <c r="B232" s="3"/>
      <c r="C232" s="5" t="str">
        <f>IF($E232="","",COUNT($E$2:$E232))</f>
        <v/>
      </c>
      <c r="D232" s="3"/>
      <c r="E232" s="3"/>
      <c r="F232" s="3"/>
      <c r="G232" s="3"/>
      <c r="H232" s="3"/>
      <c r="I232" s="3"/>
      <c r="J232" s="3"/>
      <c r="K232" s="3"/>
      <c r="L232" s="4"/>
      <c r="M232" s="6" t="str">
        <f>IF(OR($E232="",$F232=""),"",IF(_xlfn.SINGLE(JobState)="",IF(ROW()=2,HYPERLINK("#JobState","Set State →"),""),HYPERLINK(IF(OR(_xlfn.SINGLE(JobState)="MI",_xlfn.SINGLE(JobState)=""),"https://fema.maps.arcgis.com/apps/mapviewer/index.html?webmap=6a1702b9147243d1a5ee62cd614bc681&amp;center="&amp;$F232&amp;","&amp;$E232&amp;"&amp;level=16&amp;marker="&amp;$F232&amp;","&amp;$E232&amp;"",IF(_xlfn.SINGLE(JobState)="IN","https://fema.maps.arcgis.com/apps/mapviewer/index.html?url=https%3A%2F%2Fgis.indot.in.gov%2Fro%2Frest%2Fservices%2FRAH_GIO_Collaboration%2FLRSE_Functional_Class%2FFeatureServer%2F22&amp;find="&amp;$F232&amp;"%2C"&amp;$E232&amp;"&amp;marker="&amp;$F232&amp;","&amp;$E232&amp;",4326&amp;level=16",IF(_xlfn.SINGLE(JobState)="WI","https://fema.maps.arcgis.com/apps/mapviewer/index.html?url=https://services5.arcgis.com/0pgGLzT0Nh7FVjon/arcgis/rest/services/Functional_Class_Local_Non_Prod/FeatureServer/1&amp;find="&amp;$F232&amp;"%2C"&amp;$E232&amp;"&amp;marker="&amp;$F232&amp;","&amp;$E232&amp;",4326&amp;level=16",IF(_xlfn.SINGLE(JobState)="MN","https://fema.maps.arcgis.com/apps/mapviewer/index.html?url=https%3A%2F%2Fdotapp9.dot.state.mn.us%2Fegis12%2Frest%2Fservices%2FBASEMAP%2Fmndot_commonlayers2%2FMapServer%2F11&amp;find="&amp;$F232&amp;"%2C"&amp;$E232&amp;"&amp;marker="&amp;$F232&amp;","&amp;$E232&amp;",4326&amp;level=16",IF(_xlfn.SINGLE(JobState)="IL","https://fema.maps.arcgis.com/apps/mapviewer/index.html?url=https%3A%2F%2Fgis1.dot.illinois.gov%2Farcgis%2Frest%2Fservices%2FAdministrativeData%2FFunctionalClass%2FMapServer%2F0&amp;find="&amp;$F232&amp;"%2C"&amp;$E232&amp;"&amp;marker="&amp;$F232&amp;","&amp;$E232&amp;",4326&amp;level=16",IF(_xlfn.SINGLE(JobState)="OH","https://fema.maps.arcgis.com/apps/mapviewer/index.html?url=https%3A%2F%2Ftims.dot.state.oh.us%2Fags%2Frest%2Fservices%2FRoadway_Information%2FFunctional_Class%2FMapServer%2F0&amp;find="&amp;$F232&amp;"%2C"&amp;$E232&amp;"&amp;marker="&amp;$F232&amp;","&amp;$E232&amp;",4326&amp;level=16","https://fema.maps.arcgis.com/apps/mapviewer/index.html?find="&amp;$F232&amp;"%2C"&amp;$E232&amp;"&amp;marker="&amp;$F232&amp;","&amp;$E232&amp;",4326&amp;level=16")))))),IF(_xlfn.SINGLE(JobState)="WI","Review Local Roads Layer","Review NFC AGOL Layer"))))</f>
        <v/>
      </c>
      <c r="N232" s="6" t="str">
        <f>IF(OR($E232="",$F232=""),"",IF(_xlfn.SINGLE(JobState)="",IF(ROW()=2,HYPERLINK("#JobState","Set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232&amp;"%2C"&amp;$E232&amp;"&amp;marker="&amp;$F232&amp;","&amp;$E232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2" s="6" t="str">
        <f>IF(OR($E232="", $F232=""),"",IF(_xlfn.SINGLE(JobAgolMap)="",HYPERLINK("https://fema.maps.arcgis.com/apps/mapviewer/index.html?find="&amp;$F232&amp;"%2C"&amp;$E232&amp;"&amp;marker="&amp;$F232&amp;","&amp;$E232&amp;",4326&amp;level=16","FEMA AGOL Map Viewer"),HYPERLINK(_xlfn.SINGLE(JobAgolMap)&amp;IF(ISNUMBER(FIND("?",_xlfn.SINGLE(JobAgolMap))),"&amp;","?")&amp;"center="&amp;$F232&amp;","&amp;$E232&amp;"&amp;level=16&amp;marker="&amp;$F232&amp;","&amp;$E232,"Open")))</f>
        <v/>
      </c>
      <c r="Q232" s="4"/>
      <c r="R232" s="4"/>
      <c r="W232" s="6" t="str">
        <f t="shared" si="18"/>
        <v/>
      </c>
      <c r="X232" s="6" t="str">
        <f t="shared" si="19"/>
        <v/>
      </c>
      <c r="Y232" s="6" t="str">
        <f t="shared" si="20"/>
        <v/>
      </c>
      <c r="Z232" s="6" t="str">
        <f t="shared" si="21"/>
        <v/>
      </c>
      <c r="AA232" s="6" t="str">
        <f t="shared" si="22"/>
        <v/>
      </c>
      <c r="AB232" s="6" t="str">
        <f t="shared" si="23"/>
        <v/>
      </c>
      <c r="AC232" s="4"/>
      <c r="AD232" s="4"/>
    </row>
    <row r="233" spans="1:30" x14ac:dyDescent="0.45">
      <c r="A233" s="3"/>
      <c r="B233" s="3"/>
      <c r="C233" s="5" t="str">
        <f>IF($E233="","",COUNT($E$2:$E233))</f>
        <v/>
      </c>
      <c r="D233" s="3"/>
      <c r="E233" s="3"/>
      <c r="F233" s="3"/>
      <c r="G233" s="3"/>
      <c r="H233" s="3"/>
      <c r="I233" s="3"/>
      <c r="J233" s="3"/>
      <c r="K233" s="3"/>
      <c r="L233" s="4"/>
      <c r="M233" s="6" t="str">
        <f>IF(OR($E233="",$F233=""),"",IF(_xlfn.SINGLE(JobState)="",IF(ROW()=2,HYPERLINK("#JobState","Set State →"),""),HYPERLINK(IF(OR(_xlfn.SINGLE(JobState)="MI",_xlfn.SINGLE(JobState)=""),"https://fema.maps.arcgis.com/apps/mapviewer/index.html?webmap=6a1702b9147243d1a5ee62cd614bc681&amp;center="&amp;$F233&amp;","&amp;$E233&amp;"&amp;level=16&amp;marker="&amp;$F233&amp;","&amp;$E233&amp;"",IF(_xlfn.SINGLE(JobState)="IN","https://fema.maps.arcgis.com/apps/mapviewer/index.html?url=https%3A%2F%2Fgis.indot.in.gov%2Fro%2Frest%2Fservices%2FRAH_GIO_Collaboration%2FLRSE_Functional_Class%2FFeatureServer%2F22&amp;find="&amp;$F233&amp;"%2C"&amp;$E233&amp;"&amp;marker="&amp;$F233&amp;","&amp;$E233&amp;",4326&amp;level=16",IF(_xlfn.SINGLE(JobState)="WI","https://fema.maps.arcgis.com/apps/mapviewer/index.html?url=https://services5.arcgis.com/0pgGLzT0Nh7FVjon/arcgis/rest/services/Functional_Class_Local_Non_Prod/FeatureServer/1&amp;find="&amp;$F233&amp;"%2C"&amp;$E233&amp;"&amp;marker="&amp;$F233&amp;","&amp;$E233&amp;",4326&amp;level=16",IF(_xlfn.SINGLE(JobState)="MN","https://fema.maps.arcgis.com/apps/mapviewer/index.html?url=https%3A%2F%2Fdotapp9.dot.state.mn.us%2Fegis12%2Frest%2Fservices%2FBASEMAP%2Fmndot_commonlayers2%2FMapServer%2F11&amp;find="&amp;$F233&amp;"%2C"&amp;$E233&amp;"&amp;marker="&amp;$F233&amp;","&amp;$E233&amp;",4326&amp;level=16",IF(_xlfn.SINGLE(JobState)="IL","https://fema.maps.arcgis.com/apps/mapviewer/index.html?url=https%3A%2F%2Fgis1.dot.illinois.gov%2Farcgis%2Frest%2Fservices%2FAdministrativeData%2FFunctionalClass%2FMapServer%2F0&amp;find="&amp;$F233&amp;"%2C"&amp;$E233&amp;"&amp;marker="&amp;$F233&amp;","&amp;$E233&amp;",4326&amp;level=16",IF(_xlfn.SINGLE(JobState)="OH","https://fema.maps.arcgis.com/apps/mapviewer/index.html?url=https%3A%2F%2Ftims.dot.state.oh.us%2Fags%2Frest%2Fservices%2FRoadway_Information%2FFunctional_Class%2FMapServer%2F0&amp;find="&amp;$F233&amp;"%2C"&amp;$E233&amp;"&amp;marker="&amp;$F233&amp;","&amp;$E233&amp;",4326&amp;level=16","https://fema.maps.arcgis.com/apps/mapviewer/index.html?find="&amp;$F233&amp;"%2C"&amp;$E233&amp;"&amp;marker="&amp;$F233&amp;","&amp;$E233&amp;",4326&amp;level=16")))))),IF(_xlfn.SINGLE(JobState)="WI","Review Local Roads Layer","Review NFC AGOL Layer"))))</f>
        <v/>
      </c>
      <c r="N233" s="6" t="str">
        <f>IF(OR($E233="",$F233=""),"",IF(_xlfn.SINGLE(JobState)="",IF(ROW()=2,HYPERLINK("#JobState","Set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233&amp;"%2C"&amp;$E233&amp;"&amp;marker="&amp;$F233&amp;","&amp;$E233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3" s="6" t="str">
        <f>IF(OR($E233="", $F233=""),"",IF(_xlfn.SINGLE(JobAgolMap)="",HYPERLINK("https://fema.maps.arcgis.com/apps/mapviewer/index.html?find="&amp;$F233&amp;"%2C"&amp;$E233&amp;"&amp;marker="&amp;$F233&amp;","&amp;$E233&amp;",4326&amp;level=16","FEMA AGOL Map Viewer"),HYPERLINK(_xlfn.SINGLE(JobAgolMap)&amp;IF(ISNUMBER(FIND("?",_xlfn.SINGLE(JobAgolMap))),"&amp;","?")&amp;"center="&amp;$F233&amp;","&amp;$E233&amp;"&amp;level=16&amp;marker="&amp;$F233&amp;","&amp;$E233,"Open")))</f>
        <v/>
      </c>
      <c r="Q233" s="4"/>
      <c r="R233" s="4"/>
      <c r="W233" s="6" t="str">
        <f t="shared" si="18"/>
        <v/>
      </c>
      <c r="X233" s="6" t="str">
        <f t="shared" si="19"/>
        <v/>
      </c>
      <c r="Y233" s="6" t="str">
        <f t="shared" si="20"/>
        <v/>
      </c>
      <c r="Z233" s="6" t="str">
        <f t="shared" si="21"/>
        <v/>
      </c>
      <c r="AA233" s="6" t="str">
        <f t="shared" si="22"/>
        <v/>
      </c>
      <c r="AB233" s="6" t="str">
        <f t="shared" si="23"/>
        <v/>
      </c>
      <c r="AC233" s="4"/>
      <c r="AD233" s="4"/>
    </row>
    <row r="234" spans="1:30" x14ac:dyDescent="0.45">
      <c r="A234" s="3"/>
      <c r="B234" s="3"/>
      <c r="C234" s="5" t="str">
        <f>IF($E234="","",COUNT($E$2:$E234))</f>
        <v/>
      </c>
      <c r="D234" s="3"/>
      <c r="E234" s="3"/>
      <c r="F234" s="3"/>
      <c r="G234" s="3"/>
      <c r="H234" s="3"/>
      <c r="I234" s="3"/>
      <c r="J234" s="3"/>
      <c r="K234" s="3"/>
      <c r="L234" s="4"/>
      <c r="M234" s="6" t="str">
        <f>IF(OR($E234="",$F234=""),"",IF(_xlfn.SINGLE(JobState)="",IF(ROW()=2,HYPERLINK("#JobState","Set State →"),""),HYPERLINK(IF(OR(_xlfn.SINGLE(JobState)="MI",_xlfn.SINGLE(JobState)=""),"https://fema.maps.arcgis.com/apps/mapviewer/index.html?webmap=6a1702b9147243d1a5ee62cd614bc681&amp;center="&amp;$F234&amp;","&amp;$E234&amp;"&amp;level=16&amp;marker="&amp;$F234&amp;","&amp;$E234&amp;"",IF(_xlfn.SINGLE(JobState)="IN","https://fema.maps.arcgis.com/apps/mapviewer/index.html?url=https%3A%2F%2Fgis.indot.in.gov%2Fro%2Frest%2Fservices%2FRAH_GIO_Collaboration%2FLRSE_Functional_Class%2FFeatureServer%2F22&amp;find="&amp;$F234&amp;"%2C"&amp;$E234&amp;"&amp;marker="&amp;$F234&amp;","&amp;$E234&amp;",4326&amp;level=16",IF(_xlfn.SINGLE(JobState)="WI","https://fema.maps.arcgis.com/apps/mapviewer/index.html?url=https://services5.arcgis.com/0pgGLzT0Nh7FVjon/arcgis/rest/services/Functional_Class_Local_Non_Prod/FeatureServer/1&amp;find="&amp;$F234&amp;"%2C"&amp;$E234&amp;"&amp;marker="&amp;$F234&amp;","&amp;$E234&amp;",4326&amp;level=16",IF(_xlfn.SINGLE(JobState)="MN","https://fema.maps.arcgis.com/apps/mapviewer/index.html?url=https%3A%2F%2Fdotapp9.dot.state.mn.us%2Fegis12%2Frest%2Fservices%2FBASEMAP%2Fmndot_commonlayers2%2FMapServer%2F11&amp;find="&amp;$F234&amp;"%2C"&amp;$E234&amp;"&amp;marker="&amp;$F234&amp;","&amp;$E234&amp;",4326&amp;level=16",IF(_xlfn.SINGLE(JobState)="IL","https://fema.maps.arcgis.com/apps/mapviewer/index.html?url=https%3A%2F%2Fgis1.dot.illinois.gov%2Farcgis%2Frest%2Fservices%2FAdministrativeData%2FFunctionalClass%2FMapServer%2F0&amp;find="&amp;$F234&amp;"%2C"&amp;$E234&amp;"&amp;marker="&amp;$F234&amp;","&amp;$E234&amp;",4326&amp;level=16",IF(_xlfn.SINGLE(JobState)="OH","https://fema.maps.arcgis.com/apps/mapviewer/index.html?url=https%3A%2F%2Ftims.dot.state.oh.us%2Fags%2Frest%2Fservices%2FRoadway_Information%2FFunctional_Class%2FMapServer%2F0&amp;find="&amp;$F234&amp;"%2C"&amp;$E234&amp;"&amp;marker="&amp;$F234&amp;","&amp;$E234&amp;",4326&amp;level=16","https://fema.maps.arcgis.com/apps/mapviewer/index.html?find="&amp;$F234&amp;"%2C"&amp;$E234&amp;"&amp;marker="&amp;$F234&amp;","&amp;$E234&amp;",4326&amp;level=16")))))),IF(_xlfn.SINGLE(JobState)="WI","Review Local Roads Layer","Review NFC AGOL Layer"))))</f>
        <v/>
      </c>
      <c r="N234" s="6" t="str">
        <f>IF(OR($E234="",$F234=""),"",IF(_xlfn.SINGLE(JobState)="",IF(ROW()=2,HYPERLINK("#JobState","Set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234&amp;"%2C"&amp;$E234&amp;"&amp;marker="&amp;$F234&amp;","&amp;$E234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4" s="6" t="str">
        <f>IF(OR($E234="", $F234=""),"",IF(_xlfn.SINGLE(JobAgolMap)="",HYPERLINK("https://fema.maps.arcgis.com/apps/mapviewer/index.html?find="&amp;$F234&amp;"%2C"&amp;$E234&amp;"&amp;marker="&amp;$F234&amp;","&amp;$E234&amp;",4326&amp;level=16","FEMA AGOL Map Viewer"),HYPERLINK(_xlfn.SINGLE(JobAgolMap)&amp;IF(ISNUMBER(FIND("?",_xlfn.SINGLE(JobAgolMap))),"&amp;","?")&amp;"center="&amp;$F234&amp;","&amp;$E234&amp;"&amp;level=16&amp;marker="&amp;$F234&amp;","&amp;$E234,"Open")))</f>
        <v/>
      </c>
      <c r="Q234" s="4"/>
      <c r="R234" s="4"/>
      <c r="W234" s="6" t="str">
        <f t="shared" si="18"/>
        <v/>
      </c>
      <c r="X234" s="6" t="str">
        <f t="shared" si="19"/>
        <v/>
      </c>
      <c r="Y234" s="6" t="str">
        <f t="shared" si="20"/>
        <v/>
      </c>
      <c r="Z234" s="6" t="str">
        <f t="shared" si="21"/>
        <v/>
      </c>
      <c r="AA234" s="6" t="str">
        <f t="shared" si="22"/>
        <v/>
      </c>
      <c r="AB234" s="6" t="str">
        <f t="shared" si="23"/>
        <v/>
      </c>
      <c r="AC234" s="4"/>
      <c r="AD234" s="4"/>
    </row>
    <row r="235" spans="1:30" x14ac:dyDescent="0.45">
      <c r="A235" s="3"/>
      <c r="B235" s="3"/>
      <c r="C235" s="5" t="str">
        <f>IF($E235="","",COUNT($E$2:$E235))</f>
        <v/>
      </c>
      <c r="D235" s="3"/>
      <c r="E235" s="3"/>
      <c r="F235" s="3"/>
      <c r="G235" s="3"/>
      <c r="H235" s="3"/>
      <c r="I235" s="3"/>
      <c r="J235" s="3"/>
      <c r="K235" s="3"/>
      <c r="L235" s="4"/>
      <c r="M235" s="6" t="str">
        <f>IF(OR($E235="",$F235=""),"",IF(_xlfn.SINGLE(JobState)="",IF(ROW()=2,HYPERLINK("#JobState","Set State →"),""),HYPERLINK(IF(OR(_xlfn.SINGLE(JobState)="MI",_xlfn.SINGLE(JobState)=""),"https://fema.maps.arcgis.com/apps/mapviewer/index.html?webmap=6a1702b9147243d1a5ee62cd614bc681&amp;center="&amp;$F235&amp;","&amp;$E235&amp;"&amp;level=16&amp;marker="&amp;$F235&amp;","&amp;$E235&amp;"",IF(_xlfn.SINGLE(JobState)="IN","https://fema.maps.arcgis.com/apps/mapviewer/index.html?url=https%3A%2F%2Fgis.indot.in.gov%2Fro%2Frest%2Fservices%2FRAH_GIO_Collaboration%2FLRSE_Functional_Class%2FFeatureServer%2F22&amp;find="&amp;$F235&amp;"%2C"&amp;$E235&amp;"&amp;marker="&amp;$F235&amp;","&amp;$E235&amp;",4326&amp;level=16",IF(_xlfn.SINGLE(JobState)="WI","https://fema.maps.arcgis.com/apps/mapviewer/index.html?url=https://services5.arcgis.com/0pgGLzT0Nh7FVjon/arcgis/rest/services/Functional_Class_Local_Non_Prod/FeatureServer/1&amp;find="&amp;$F235&amp;"%2C"&amp;$E235&amp;"&amp;marker="&amp;$F235&amp;","&amp;$E235&amp;",4326&amp;level=16",IF(_xlfn.SINGLE(JobState)="MN","https://fema.maps.arcgis.com/apps/mapviewer/index.html?url=https%3A%2F%2Fdotapp9.dot.state.mn.us%2Fegis12%2Frest%2Fservices%2FBASEMAP%2Fmndot_commonlayers2%2FMapServer%2F11&amp;find="&amp;$F235&amp;"%2C"&amp;$E235&amp;"&amp;marker="&amp;$F235&amp;","&amp;$E235&amp;",4326&amp;level=16",IF(_xlfn.SINGLE(JobState)="IL","https://fema.maps.arcgis.com/apps/mapviewer/index.html?url=https%3A%2F%2Fgis1.dot.illinois.gov%2Farcgis%2Frest%2Fservices%2FAdministrativeData%2FFunctionalClass%2FMapServer%2F0&amp;find="&amp;$F235&amp;"%2C"&amp;$E235&amp;"&amp;marker="&amp;$F235&amp;","&amp;$E235&amp;",4326&amp;level=16",IF(_xlfn.SINGLE(JobState)="OH","https://fema.maps.arcgis.com/apps/mapviewer/index.html?url=https%3A%2F%2Ftims.dot.state.oh.us%2Fags%2Frest%2Fservices%2FRoadway_Information%2FFunctional_Class%2FMapServer%2F0&amp;find="&amp;$F235&amp;"%2C"&amp;$E235&amp;"&amp;marker="&amp;$F235&amp;","&amp;$E235&amp;",4326&amp;level=16","https://fema.maps.arcgis.com/apps/mapviewer/index.html?find="&amp;$F235&amp;"%2C"&amp;$E235&amp;"&amp;marker="&amp;$F235&amp;","&amp;$E235&amp;",4326&amp;level=16")))))),IF(_xlfn.SINGLE(JobState)="WI","Review Local Roads Layer","Review NFC AGOL Layer"))))</f>
        <v/>
      </c>
      <c r="N235" s="6" t="str">
        <f>IF(OR($E235="",$F235=""),"",IF(_xlfn.SINGLE(JobState)="",IF(ROW()=2,HYPERLINK("#JobState","Set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235&amp;"%2C"&amp;$E235&amp;"&amp;marker="&amp;$F235&amp;","&amp;$E235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5" s="6" t="str">
        <f>IF(OR($E235="", $F235=""),"",IF(_xlfn.SINGLE(JobAgolMap)="",HYPERLINK("https://fema.maps.arcgis.com/apps/mapviewer/index.html?find="&amp;$F235&amp;"%2C"&amp;$E235&amp;"&amp;marker="&amp;$F235&amp;","&amp;$E235&amp;",4326&amp;level=16","FEMA AGOL Map Viewer"),HYPERLINK(_xlfn.SINGLE(JobAgolMap)&amp;IF(ISNUMBER(FIND("?",_xlfn.SINGLE(JobAgolMap))),"&amp;","?")&amp;"center="&amp;$F235&amp;","&amp;$E235&amp;"&amp;level=16&amp;marker="&amp;$F235&amp;","&amp;$E235,"Open")))</f>
        <v/>
      </c>
      <c r="Q235" s="4"/>
      <c r="R235" s="4"/>
      <c r="W235" s="6" t="str">
        <f t="shared" si="18"/>
        <v/>
      </c>
      <c r="X235" s="6" t="str">
        <f t="shared" si="19"/>
        <v/>
      </c>
      <c r="Y235" s="6" t="str">
        <f t="shared" si="20"/>
        <v/>
      </c>
      <c r="Z235" s="6" t="str">
        <f t="shared" si="21"/>
        <v/>
      </c>
      <c r="AA235" s="6" t="str">
        <f t="shared" si="22"/>
        <v/>
      </c>
      <c r="AB235" s="6" t="str">
        <f t="shared" si="23"/>
        <v/>
      </c>
      <c r="AC235" s="4"/>
      <c r="AD235" s="4"/>
    </row>
    <row r="236" spans="1:30" x14ac:dyDescent="0.45">
      <c r="A236" s="3"/>
      <c r="B236" s="3"/>
      <c r="C236" s="5" t="str">
        <f>IF($E236="","",COUNT($E$2:$E236))</f>
        <v/>
      </c>
      <c r="D236" s="3"/>
      <c r="E236" s="3"/>
      <c r="F236" s="3"/>
      <c r="G236" s="3"/>
      <c r="H236" s="3"/>
      <c r="I236" s="3"/>
      <c r="J236" s="3"/>
      <c r="K236" s="3"/>
      <c r="L236" s="4"/>
      <c r="M236" s="6" t="str">
        <f>IF(OR($E236="",$F236=""),"",IF(_xlfn.SINGLE(JobState)="",IF(ROW()=2,HYPERLINK("#JobState","Set State →"),""),HYPERLINK(IF(OR(_xlfn.SINGLE(JobState)="MI",_xlfn.SINGLE(JobState)=""),"https://fema.maps.arcgis.com/apps/mapviewer/index.html?webmap=6a1702b9147243d1a5ee62cd614bc681&amp;center="&amp;$F236&amp;","&amp;$E236&amp;"&amp;level=16&amp;marker="&amp;$F236&amp;","&amp;$E236&amp;"",IF(_xlfn.SINGLE(JobState)="IN","https://fema.maps.arcgis.com/apps/mapviewer/index.html?url=https%3A%2F%2Fgis.indot.in.gov%2Fro%2Frest%2Fservices%2FRAH_GIO_Collaboration%2FLRSE_Functional_Class%2FFeatureServer%2F22&amp;find="&amp;$F236&amp;"%2C"&amp;$E236&amp;"&amp;marker="&amp;$F236&amp;","&amp;$E236&amp;",4326&amp;level=16",IF(_xlfn.SINGLE(JobState)="WI","https://fema.maps.arcgis.com/apps/mapviewer/index.html?url=https://services5.arcgis.com/0pgGLzT0Nh7FVjon/arcgis/rest/services/Functional_Class_Local_Non_Prod/FeatureServer/1&amp;find="&amp;$F236&amp;"%2C"&amp;$E236&amp;"&amp;marker="&amp;$F236&amp;","&amp;$E236&amp;",4326&amp;level=16",IF(_xlfn.SINGLE(JobState)="MN","https://fema.maps.arcgis.com/apps/mapviewer/index.html?url=https%3A%2F%2Fdotapp9.dot.state.mn.us%2Fegis12%2Frest%2Fservices%2FBASEMAP%2Fmndot_commonlayers2%2FMapServer%2F11&amp;find="&amp;$F236&amp;"%2C"&amp;$E236&amp;"&amp;marker="&amp;$F236&amp;","&amp;$E236&amp;",4326&amp;level=16",IF(_xlfn.SINGLE(JobState)="IL","https://fema.maps.arcgis.com/apps/mapviewer/index.html?url=https%3A%2F%2Fgis1.dot.illinois.gov%2Farcgis%2Frest%2Fservices%2FAdministrativeData%2FFunctionalClass%2FMapServer%2F0&amp;find="&amp;$F236&amp;"%2C"&amp;$E236&amp;"&amp;marker="&amp;$F236&amp;","&amp;$E236&amp;",4326&amp;level=16",IF(_xlfn.SINGLE(JobState)="OH","https://fema.maps.arcgis.com/apps/mapviewer/index.html?url=https%3A%2F%2Ftims.dot.state.oh.us%2Fags%2Frest%2Fservices%2FRoadway_Information%2FFunctional_Class%2FMapServer%2F0&amp;find="&amp;$F236&amp;"%2C"&amp;$E236&amp;"&amp;marker="&amp;$F236&amp;","&amp;$E236&amp;",4326&amp;level=16","https://fema.maps.arcgis.com/apps/mapviewer/index.html?find="&amp;$F236&amp;"%2C"&amp;$E236&amp;"&amp;marker="&amp;$F236&amp;","&amp;$E236&amp;",4326&amp;level=16")))))),IF(_xlfn.SINGLE(JobState)="WI","Review Local Roads Layer","Review NFC AGOL Layer"))))</f>
        <v/>
      </c>
      <c r="N236" s="6" t="str">
        <f>IF(OR($E236="",$F236=""),"",IF(_xlfn.SINGLE(JobState)="",IF(ROW()=2,HYPERLINK("#JobState","Set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236&amp;"%2C"&amp;$E236&amp;"&amp;marker="&amp;$F236&amp;","&amp;$E236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6" s="6" t="str">
        <f>IF(OR($E236="", $F236=""),"",IF(_xlfn.SINGLE(JobAgolMap)="",HYPERLINK("https://fema.maps.arcgis.com/apps/mapviewer/index.html?find="&amp;$F236&amp;"%2C"&amp;$E236&amp;"&amp;marker="&amp;$F236&amp;","&amp;$E236&amp;",4326&amp;level=16","FEMA AGOL Map Viewer"),HYPERLINK(_xlfn.SINGLE(JobAgolMap)&amp;IF(ISNUMBER(FIND("?",_xlfn.SINGLE(JobAgolMap))),"&amp;","?")&amp;"center="&amp;$F236&amp;","&amp;$E236&amp;"&amp;level=16&amp;marker="&amp;$F236&amp;","&amp;$E236,"Open")))</f>
        <v/>
      </c>
      <c r="Q236" s="4"/>
      <c r="R236" s="4"/>
      <c r="W236" s="6" t="str">
        <f t="shared" si="18"/>
        <v/>
      </c>
      <c r="X236" s="6" t="str">
        <f t="shared" si="19"/>
        <v/>
      </c>
      <c r="Y236" s="6" t="str">
        <f t="shared" si="20"/>
        <v/>
      </c>
      <c r="Z236" s="6" t="str">
        <f t="shared" si="21"/>
        <v/>
      </c>
      <c r="AA236" s="6" t="str">
        <f t="shared" si="22"/>
        <v/>
      </c>
      <c r="AB236" s="6" t="str">
        <f t="shared" si="23"/>
        <v/>
      </c>
      <c r="AC236" s="4"/>
      <c r="AD236" s="4"/>
    </row>
    <row r="237" spans="1:30" x14ac:dyDescent="0.45">
      <c r="A237" s="3"/>
      <c r="B237" s="3"/>
      <c r="C237" s="5" t="str">
        <f>IF($E237="","",COUNT($E$2:$E237))</f>
        <v/>
      </c>
      <c r="D237" s="3"/>
      <c r="E237" s="3"/>
      <c r="F237" s="3"/>
      <c r="G237" s="3"/>
      <c r="H237" s="3"/>
      <c r="I237" s="3"/>
      <c r="J237" s="3"/>
      <c r="K237" s="3"/>
      <c r="L237" s="4"/>
      <c r="M237" s="6" t="str">
        <f>IF(OR($E237="",$F237=""),"",IF(_xlfn.SINGLE(JobState)="",IF(ROW()=2,HYPERLINK("#JobState","Set State →"),""),HYPERLINK(IF(OR(_xlfn.SINGLE(JobState)="MI",_xlfn.SINGLE(JobState)=""),"https://fema.maps.arcgis.com/apps/mapviewer/index.html?webmap=6a1702b9147243d1a5ee62cd614bc681&amp;center="&amp;$F237&amp;","&amp;$E237&amp;"&amp;level=16&amp;marker="&amp;$F237&amp;","&amp;$E237&amp;"",IF(_xlfn.SINGLE(JobState)="IN","https://fema.maps.arcgis.com/apps/mapviewer/index.html?url=https%3A%2F%2Fgis.indot.in.gov%2Fro%2Frest%2Fservices%2FRAH_GIO_Collaboration%2FLRSE_Functional_Class%2FFeatureServer%2F22&amp;find="&amp;$F237&amp;"%2C"&amp;$E237&amp;"&amp;marker="&amp;$F237&amp;","&amp;$E237&amp;",4326&amp;level=16",IF(_xlfn.SINGLE(JobState)="WI","https://fema.maps.arcgis.com/apps/mapviewer/index.html?url=https://services5.arcgis.com/0pgGLzT0Nh7FVjon/arcgis/rest/services/Functional_Class_Local_Non_Prod/FeatureServer/1&amp;find="&amp;$F237&amp;"%2C"&amp;$E237&amp;"&amp;marker="&amp;$F237&amp;","&amp;$E237&amp;",4326&amp;level=16",IF(_xlfn.SINGLE(JobState)="MN","https://fema.maps.arcgis.com/apps/mapviewer/index.html?url=https%3A%2F%2Fdotapp9.dot.state.mn.us%2Fegis12%2Frest%2Fservices%2FBASEMAP%2Fmndot_commonlayers2%2FMapServer%2F11&amp;find="&amp;$F237&amp;"%2C"&amp;$E237&amp;"&amp;marker="&amp;$F237&amp;","&amp;$E237&amp;",4326&amp;level=16",IF(_xlfn.SINGLE(JobState)="IL","https://fema.maps.arcgis.com/apps/mapviewer/index.html?url=https%3A%2F%2Fgis1.dot.illinois.gov%2Farcgis%2Frest%2Fservices%2FAdministrativeData%2FFunctionalClass%2FMapServer%2F0&amp;find="&amp;$F237&amp;"%2C"&amp;$E237&amp;"&amp;marker="&amp;$F237&amp;","&amp;$E237&amp;",4326&amp;level=16",IF(_xlfn.SINGLE(JobState)="OH","https://fema.maps.arcgis.com/apps/mapviewer/index.html?url=https%3A%2F%2Ftims.dot.state.oh.us%2Fags%2Frest%2Fservices%2FRoadway_Information%2FFunctional_Class%2FMapServer%2F0&amp;find="&amp;$F237&amp;"%2C"&amp;$E237&amp;"&amp;marker="&amp;$F237&amp;","&amp;$E237&amp;",4326&amp;level=16","https://fema.maps.arcgis.com/apps/mapviewer/index.html?find="&amp;$F237&amp;"%2C"&amp;$E237&amp;"&amp;marker="&amp;$F237&amp;","&amp;$E237&amp;",4326&amp;level=16")))))),IF(_xlfn.SINGLE(JobState)="WI","Review Local Roads Layer","Review NFC AGOL Layer"))))</f>
        <v/>
      </c>
      <c r="N237" s="6" t="str">
        <f>IF(OR($E237="",$F237=""),"",IF(_xlfn.SINGLE(JobState)="",IF(ROW()=2,HYPERLINK("#JobState","Set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237&amp;"%2C"&amp;$E237&amp;"&amp;marker="&amp;$F237&amp;","&amp;$E237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7" s="6" t="str">
        <f>IF(OR($E237="", $F237=""),"",IF(_xlfn.SINGLE(JobAgolMap)="",HYPERLINK("https://fema.maps.arcgis.com/apps/mapviewer/index.html?find="&amp;$F237&amp;"%2C"&amp;$E237&amp;"&amp;marker="&amp;$F237&amp;","&amp;$E237&amp;",4326&amp;level=16","FEMA AGOL Map Viewer"),HYPERLINK(_xlfn.SINGLE(JobAgolMap)&amp;IF(ISNUMBER(FIND("?",_xlfn.SINGLE(JobAgolMap))),"&amp;","?")&amp;"center="&amp;$F237&amp;","&amp;$E237&amp;"&amp;level=16&amp;marker="&amp;$F237&amp;","&amp;$E237,"Open")))</f>
        <v/>
      </c>
      <c r="Q237" s="4"/>
      <c r="R237" s="4"/>
      <c r="W237" s="6" t="str">
        <f t="shared" si="18"/>
        <v/>
      </c>
      <c r="X237" s="6" t="str">
        <f t="shared" si="19"/>
        <v/>
      </c>
      <c r="Y237" s="6" t="str">
        <f t="shared" si="20"/>
        <v/>
      </c>
      <c r="Z237" s="6" t="str">
        <f t="shared" si="21"/>
        <v/>
      </c>
      <c r="AA237" s="6" t="str">
        <f t="shared" si="22"/>
        <v/>
      </c>
      <c r="AB237" s="6" t="str">
        <f t="shared" si="23"/>
        <v/>
      </c>
      <c r="AC237" s="4"/>
      <c r="AD237" s="4"/>
    </row>
    <row r="238" spans="1:30" x14ac:dyDescent="0.45">
      <c r="A238" s="3"/>
      <c r="B238" s="3"/>
      <c r="C238" s="5" t="str">
        <f>IF($E238="","",COUNT($E$2:$E238))</f>
        <v/>
      </c>
      <c r="D238" s="3"/>
      <c r="E238" s="3"/>
      <c r="F238" s="3"/>
      <c r="G238" s="3"/>
      <c r="H238" s="3"/>
      <c r="I238" s="3"/>
      <c r="J238" s="3"/>
      <c r="K238" s="3"/>
      <c r="L238" s="4"/>
      <c r="M238" s="6" t="str">
        <f>IF(OR($E238="",$F238=""),"",IF(_xlfn.SINGLE(JobState)="",IF(ROW()=2,HYPERLINK("#JobState","Set State →"),""),HYPERLINK(IF(OR(_xlfn.SINGLE(JobState)="MI",_xlfn.SINGLE(JobState)=""),"https://fema.maps.arcgis.com/apps/mapviewer/index.html?webmap=6a1702b9147243d1a5ee62cd614bc681&amp;center="&amp;$F238&amp;","&amp;$E238&amp;"&amp;level=16&amp;marker="&amp;$F238&amp;","&amp;$E238&amp;"",IF(_xlfn.SINGLE(JobState)="IN","https://fema.maps.arcgis.com/apps/mapviewer/index.html?url=https%3A%2F%2Fgis.indot.in.gov%2Fro%2Frest%2Fservices%2FRAH_GIO_Collaboration%2FLRSE_Functional_Class%2FFeatureServer%2F22&amp;find="&amp;$F238&amp;"%2C"&amp;$E238&amp;"&amp;marker="&amp;$F238&amp;","&amp;$E238&amp;",4326&amp;level=16",IF(_xlfn.SINGLE(JobState)="WI","https://fema.maps.arcgis.com/apps/mapviewer/index.html?url=https://services5.arcgis.com/0pgGLzT0Nh7FVjon/arcgis/rest/services/Functional_Class_Local_Non_Prod/FeatureServer/1&amp;find="&amp;$F238&amp;"%2C"&amp;$E238&amp;"&amp;marker="&amp;$F238&amp;","&amp;$E238&amp;",4326&amp;level=16",IF(_xlfn.SINGLE(JobState)="MN","https://fema.maps.arcgis.com/apps/mapviewer/index.html?url=https%3A%2F%2Fdotapp9.dot.state.mn.us%2Fegis12%2Frest%2Fservices%2FBASEMAP%2Fmndot_commonlayers2%2FMapServer%2F11&amp;find="&amp;$F238&amp;"%2C"&amp;$E238&amp;"&amp;marker="&amp;$F238&amp;","&amp;$E238&amp;",4326&amp;level=16",IF(_xlfn.SINGLE(JobState)="IL","https://fema.maps.arcgis.com/apps/mapviewer/index.html?url=https%3A%2F%2Fgis1.dot.illinois.gov%2Farcgis%2Frest%2Fservices%2FAdministrativeData%2FFunctionalClass%2FMapServer%2F0&amp;find="&amp;$F238&amp;"%2C"&amp;$E238&amp;"&amp;marker="&amp;$F238&amp;","&amp;$E238&amp;",4326&amp;level=16",IF(_xlfn.SINGLE(JobState)="OH","https://fema.maps.arcgis.com/apps/mapviewer/index.html?url=https%3A%2F%2Ftims.dot.state.oh.us%2Fags%2Frest%2Fservices%2FRoadway_Information%2FFunctional_Class%2FMapServer%2F0&amp;find="&amp;$F238&amp;"%2C"&amp;$E238&amp;"&amp;marker="&amp;$F238&amp;","&amp;$E238&amp;",4326&amp;level=16","https://fema.maps.arcgis.com/apps/mapviewer/index.html?find="&amp;$F238&amp;"%2C"&amp;$E238&amp;"&amp;marker="&amp;$F238&amp;","&amp;$E238&amp;",4326&amp;level=16")))))),IF(_xlfn.SINGLE(JobState)="WI","Review Local Roads Layer","Review NFC AGOL Layer"))))</f>
        <v/>
      </c>
      <c r="N238" s="6" t="str">
        <f>IF(OR($E238="",$F238=""),"",IF(_xlfn.SINGLE(JobState)="",IF(ROW()=2,HYPERLINK("#JobState","Set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238&amp;"%2C"&amp;$E238&amp;"&amp;marker="&amp;$F238&amp;","&amp;$E238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8" s="6" t="str">
        <f>IF(OR($E238="", $F238=""),"",IF(_xlfn.SINGLE(JobAgolMap)="",HYPERLINK("https://fema.maps.arcgis.com/apps/mapviewer/index.html?find="&amp;$F238&amp;"%2C"&amp;$E238&amp;"&amp;marker="&amp;$F238&amp;","&amp;$E238&amp;",4326&amp;level=16","FEMA AGOL Map Viewer"),HYPERLINK(_xlfn.SINGLE(JobAgolMap)&amp;IF(ISNUMBER(FIND("?",_xlfn.SINGLE(JobAgolMap))),"&amp;","?")&amp;"center="&amp;$F238&amp;","&amp;$E238&amp;"&amp;level=16&amp;marker="&amp;$F238&amp;","&amp;$E238,"Open")))</f>
        <v/>
      </c>
      <c r="Q238" s="4"/>
      <c r="R238" s="4"/>
      <c r="W238" s="6" t="str">
        <f t="shared" si="18"/>
        <v/>
      </c>
      <c r="X238" s="6" t="str">
        <f t="shared" si="19"/>
        <v/>
      </c>
      <c r="Y238" s="6" t="str">
        <f t="shared" si="20"/>
        <v/>
      </c>
      <c r="Z238" s="6" t="str">
        <f t="shared" si="21"/>
        <v/>
      </c>
      <c r="AA238" s="6" t="str">
        <f t="shared" si="22"/>
        <v/>
      </c>
      <c r="AB238" s="6" t="str">
        <f t="shared" si="23"/>
        <v/>
      </c>
      <c r="AC238" s="4"/>
      <c r="AD238" s="4"/>
    </row>
    <row r="239" spans="1:30" x14ac:dyDescent="0.45">
      <c r="A239" s="3"/>
      <c r="B239" s="3"/>
      <c r="C239" s="5" t="str">
        <f>IF($E239="","",COUNT($E$2:$E239))</f>
        <v/>
      </c>
      <c r="D239" s="3"/>
      <c r="E239" s="3"/>
      <c r="F239" s="3"/>
      <c r="G239" s="3"/>
      <c r="H239" s="3"/>
      <c r="I239" s="3"/>
      <c r="J239" s="3"/>
      <c r="K239" s="3"/>
      <c r="L239" s="4"/>
      <c r="M239" s="6" t="str">
        <f>IF(OR($E239="",$F239=""),"",IF(_xlfn.SINGLE(JobState)="",IF(ROW()=2,HYPERLINK("#JobState","Set State →"),""),HYPERLINK(IF(OR(_xlfn.SINGLE(JobState)="MI",_xlfn.SINGLE(JobState)=""),"https://fema.maps.arcgis.com/apps/mapviewer/index.html?webmap=6a1702b9147243d1a5ee62cd614bc681&amp;center="&amp;$F239&amp;","&amp;$E239&amp;"&amp;level=16&amp;marker="&amp;$F239&amp;","&amp;$E239&amp;"",IF(_xlfn.SINGLE(JobState)="IN","https://fema.maps.arcgis.com/apps/mapviewer/index.html?url=https%3A%2F%2Fgis.indot.in.gov%2Fro%2Frest%2Fservices%2FRAH_GIO_Collaboration%2FLRSE_Functional_Class%2FFeatureServer%2F22&amp;find="&amp;$F239&amp;"%2C"&amp;$E239&amp;"&amp;marker="&amp;$F239&amp;","&amp;$E239&amp;",4326&amp;level=16",IF(_xlfn.SINGLE(JobState)="WI","https://fema.maps.arcgis.com/apps/mapviewer/index.html?url=https://services5.arcgis.com/0pgGLzT0Nh7FVjon/arcgis/rest/services/Functional_Class_Local_Non_Prod/FeatureServer/1&amp;find="&amp;$F239&amp;"%2C"&amp;$E239&amp;"&amp;marker="&amp;$F239&amp;","&amp;$E239&amp;",4326&amp;level=16",IF(_xlfn.SINGLE(JobState)="MN","https://fema.maps.arcgis.com/apps/mapviewer/index.html?url=https%3A%2F%2Fdotapp9.dot.state.mn.us%2Fegis12%2Frest%2Fservices%2FBASEMAP%2Fmndot_commonlayers2%2FMapServer%2F11&amp;find="&amp;$F239&amp;"%2C"&amp;$E239&amp;"&amp;marker="&amp;$F239&amp;","&amp;$E239&amp;",4326&amp;level=16",IF(_xlfn.SINGLE(JobState)="IL","https://fema.maps.arcgis.com/apps/mapviewer/index.html?url=https%3A%2F%2Fgis1.dot.illinois.gov%2Farcgis%2Frest%2Fservices%2FAdministrativeData%2FFunctionalClass%2FMapServer%2F0&amp;find="&amp;$F239&amp;"%2C"&amp;$E239&amp;"&amp;marker="&amp;$F239&amp;","&amp;$E239&amp;",4326&amp;level=16",IF(_xlfn.SINGLE(JobState)="OH","https://fema.maps.arcgis.com/apps/mapviewer/index.html?url=https%3A%2F%2Ftims.dot.state.oh.us%2Fags%2Frest%2Fservices%2FRoadway_Information%2FFunctional_Class%2FMapServer%2F0&amp;find="&amp;$F239&amp;"%2C"&amp;$E239&amp;"&amp;marker="&amp;$F239&amp;","&amp;$E239&amp;",4326&amp;level=16","https://fema.maps.arcgis.com/apps/mapviewer/index.html?find="&amp;$F239&amp;"%2C"&amp;$E239&amp;"&amp;marker="&amp;$F239&amp;","&amp;$E239&amp;",4326&amp;level=16")))))),IF(_xlfn.SINGLE(JobState)="WI","Review Local Roads Layer","Review NFC AGOL Layer"))))</f>
        <v/>
      </c>
      <c r="N239" s="6" t="str">
        <f>IF(OR($E239="",$F239=""),"",IF(_xlfn.SINGLE(JobState)="",IF(ROW()=2,HYPERLINK("#JobState","Set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239&amp;"%2C"&amp;$E239&amp;"&amp;marker="&amp;$F239&amp;","&amp;$E239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9" s="6" t="str">
        <f>IF(OR($E239="", $F239=""),"",IF(_xlfn.SINGLE(JobAgolMap)="",HYPERLINK("https://fema.maps.arcgis.com/apps/mapviewer/index.html?find="&amp;$F239&amp;"%2C"&amp;$E239&amp;"&amp;marker="&amp;$F239&amp;","&amp;$E239&amp;",4326&amp;level=16","FEMA AGOL Map Viewer"),HYPERLINK(_xlfn.SINGLE(JobAgolMap)&amp;IF(ISNUMBER(FIND("?",_xlfn.SINGLE(JobAgolMap))),"&amp;","?")&amp;"center="&amp;$F239&amp;","&amp;$E239&amp;"&amp;level=16&amp;marker="&amp;$F239&amp;","&amp;$E239,"Open")))</f>
        <v/>
      </c>
      <c r="Q239" s="4"/>
      <c r="R239" s="4"/>
      <c r="W239" s="6" t="str">
        <f t="shared" si="18"/>
        <v/>
      </c>
      <c r="X239" s="6" t="str">
        <f t="shared" si="19"/>
        <v/>
      </c>
      <c r="Y239" s="6" t="str">
        <f t="shared" si="20"/>
        <v/>
      </c>
      <c r="Z239" s="6" t="str">
        <f t="shared" si="21"/>
        <v/>
      </c>
      <c r="AA239" s="6" t="str">
        <f t="shared" si="22"/>
        <v/>
      </c>
      <c r="AB239" s="6" t="str">
        <f t="shared" si="23"/>
        <v/>
      </c>
      <c r="AC239" s="4"/>
      <c r="AD239" s="4"/>
    </row>
    <row r="240" spans="1:30" x14ac:dyDescent="0.45">
      <c r="A240" s="3"/>
      <c r="B240" s="3"/>
      <c r="C240" s="5" t="str">
        <f>IF($E240="","",COUNT($E$2:$E240))</f>
        <v/>
      </c>
      <c r="D240" s="3"/>
      <c r="E240" s="3"/>
      <c r="F240" s="3"/>
      <c r="G240" s="3"/>
      <c r="H240" s="3"/>
      <c r="I240" s="3"/>
      <c r="J240" s="3"/>
      <c r="K240" s="3"/>
      <c r="L240" s="4"/>
      <c r="M240" s="6" t="str">
        <f>IF(OR($E240="",$F240=""),"",IF(_xlfn.SINGLE(JobState)="",IF(ROW()=2,HYPERLINK("#JobState","Set State →"),""),HYPERLINK(IF(OR(_xlfn.SINGLE(JobState)="MI",_xlfn.SINGLE(JobState)=""),"https://fema.maps.arcgis.com/apps/mapviewer/index.html?webmap=6a1702b9147243d1a5ee62cd614bc681&amp;center="&amp;$F240&amp;","&amp;$E240&amp;"&amp;level=16&amp;marker="&amp;$F240&amp;","&amp;$E240&amp;"",IF(_xlfn.SINGLE(JobState)="IN","https://fema.maps.arcgis.com/apps/mapviewer/index.html?url=https%3A%2F%2Fgis.indot.in.gov%2Fro%2Frest%2Fservices%2FRAH_GIO_Collaboration%2FLRSE_Functional_Class%2FFeatureServer%2F22&amp;find="&amp;$F240&amp;"%2C"&amp;$E240&amp;"&amp;marker="&amp;$F240&amp;","&amp;$E240&amp;",4326&amp;level=16",IF(_xlfn.SINGLE(JobState)="WI","https://fema.maps.arcgis.com/apps/mapviewer/index.html?url=https://services5.arcgis.com/0pgGLzT0Nh7FVjon/arcgis/rest/services/Functional_Class_Local_Non_Prod/FeatureServer/1&amp;find="&amp;$F240&amp;"%2C"&amp;$E240&amp;"&amp;marker="&amp;$F240&amp;","&amp;$E240&amp;",4326&amp;level=16",IF(_xlfn.SINGLE(JobState)="MN","https://fema.maps.arcgis.com/apps/mapviewer/index.html?url=https%3A%2F%2Fdotapp9.dot.state.mn.us%2Fegis12%2Frest%2Fservices%2FBASEMAP%2Fmndot_commonlayers2%2FMapServer%2F11&amp;find="&amp;$F240&amp;"%2C"&amp;$E240&amp;"&amp;marker="&amp;$F240&amp;","&amp;$E240&amp;",4326&amp;level=16",IF(_xlfn.SINGLE(JobState)="IL","https://fema.maps.arcgis.com/apps/mapviewer/index.html?url=https%3A%2F%2Fgis1.dot.illinois.gov%2Farcgis%2Frest%2Fservices%2FAdministrativeData%2FFunctionalClass%2FMapServer%2F0&amp;find="&amp;$F240&amp;"%2C"&amp;$E240&amp;"&amp;marker="&amp;$F240&amp;","&amp;$E240&amp;",4326&amp;level=16",IF(_xlfn.SINGLE(JobState)="OH","https://fema.maps.arcgis.com/apps/mapviewer/index.html?url=https%3A%2F%2Ftims.dot.state.oh.us%2Fags%2Frest%2Fservices%2FRoadway_Information%2FFunctional_Class%2FMapServer%2F0&amp;find="&amp;$F240&amp;"%2C"&amp;$E240&amp;"&amp;marker="&amp;$F240&amp;","&amp;$E240&amp;",4326&amp;level=16","https://fema.maps.arcgis.com/apps/mapviewer/index.html?find="&amp;$F240&amp;"%2C"&amp;$E240&amp;"&amp;marker="&amp;$F240&amp;","&amp;$E240&amp;",4326&amp;level=16")))))),IF(_xlfn.SINGLE(JobState)="WI","Review Local Roads Layer","Review NFC AGOL Layer"))))</f>
        <v/>
      </c>
      <c r="N240" s="6" t="str">
        <f>IF(OR($E240="",$F240=""),"",IF(_xlfn.SINGLE(JobState)="",IF(ROW()=2,HYPERLINK("#JobState","Set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240&amp;"%2C"&amp;$E240&amp;"&amp;marker="&amp;$F240&amp;","&amp;$E240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0" s="6" t="str">
        <f>IF(OR($E240="", $F240=""),"",IF(_xlfn.SINGLE(JobAgolMap)="",HYPERLINK("https://fema.maps.arcgis.com/apps/mapviewer/index.html?find="&amp;$F240&amp;"%2C"&amp;$E240&amp;"&amp;marker="&amp;$F240&amp;","&amp;$E240&amp;",4326&amp;level=16","FEMA AGOL Map Viewer"),HYPERLINK(_xlfn.SINGLE(JobAgolMap)&amp;IF(ISNUMBER(FIND("?",_xlfn.SINGLE(JobAgolMap))),"&amp;","?")&amp;"center="&amp;$F240&amp;","&amp;$E240&amp;"&amp;level=16&amp;marker="&amp;$F240&amp;","&amp;$E240,"Open")))</f>
        <v/>
      </c>
      <c r="Q240" s="4"/>
      <c r="R240" s="4"/>
      <c r="W240" s="6" t="str">
        <f t="shared" si="18"/>
        <v/>
      </c>
      <c r="X240" s="6" t="str">
        <f t="shared" si="19"/>
        <v/>
      </c>
      <c r="Y240" s="6" t="str">
        <f t="shared" si="20"/>
        <v/>
      </c>
      <c r="Z240" s="6" t="str">
        <f t="shared" si="21"/>
        <v/>
      </c>
      <c r="AA240" s="6" t="str">
        <f t="shared" si="22"/>
        <v/>
      </c>
      <c r="AB240" s="6" t="str">
        <f t="shared" si="23"/>
        <v/>
      </c>
      <c r="AC240" s="4"/>
      <c r="AD240" s="4"/>
    </row>
    <row r="241" spans="1:30" x14ac:dyDescent="0.45">
      <c r="A241" s="3"/>
      <c r="B241" s="3"/>
      <c r="C241" s="5" t="str">
        <f>IF($E241="","",COUNT($E$2:$E241))</f>
        <v/>
      </c>
      <c r="D241" s="3"/>
      <c r="E241" s="3"/>
      <c r="F241" s="3"/>
      <c r="G241" s="3"/>
      <c r="H241" s="3"/>
      <c r="I241" s="3"/>
      <c r="J241" s="3"/>
      <c r="K241" s="3"/>
      <c r="L241" s="4"/>
      <c r="M241" s="6" t="str">
        <f>IF(OR($E241="",$F241=""),"",IF(_xlfn.SINGLE(JobState)="",IF(ROW()=2,HYPERLINK("#JobState","Set State →"),""),HYPERLINK(IF(OR(_xlfn.SINGLE(JobState)="MI",_xlfn.SINGLE(JobState)=""),"https://fema.maps.arcgis.com/apps/mapviewer/index.html?webmap=6a1702b9147243d1a5ee62cd614bc681&amp;center="&amp;$F241&amp;","&amp;$E241&amp;"&amp;level=16&amp;marker="&amp;$F241&amp;","&amp;$E241&amp;"",IF(_xlfn.SINGLE(JobState)="IN","https://fema.maps.arcgis.com/apps/mapviewer/index.html?url=https%3A%2F%2Fgis.indot.in.gov%2Fro%2Frest%2Fservices%2FRAH_GIO_Collaboration%2FLRSE_Functional_Class%2FFeatureServer%2F22&amp;find="&amp;$F241&amp;"%2C"&amp;$E241&amp;"&amp;marker="&amp;$F241&amp;","&amp;$E241&amp;",4326&amp;level=16",IF(_xlfn.SINGLE(JobState)="WI","https://fema.maps.arcgis.com/apps/mapviewer/index.html?url=https://services5.arcgis.com/0pgGLzT0Nh7FVjon/arcgis/rest/services/Functional_Class_Local_Non_Prod/FeatureServer/1&amp;find="&amp;$F241&amp;"%2C"&amp;$E241&amp;"&amp;marker="&amp;$F241&amp;","&amp;$E241&amp;",4326&amp;level=16",IF(_xlfn.SINGLE(JobState)="MN","https://fema.maps.arcgis.com/apps/mapviewer/index.html?url=https%3A%2F%2Fdotapp9.dot.state.mn.us%2Fegis12%2Frest%2Fservices%2FBASEMAP%2Fmndot_commonlayers2%2FMapServer%2F11&amp;find="&amp;$F241&amp;"%2C"&amp;$E241&amp;"&amp;marker="&amp;$F241&amp;","&amp;$E241&amp;",4326&amp;level=16",IF(_xlfn.SINGLE(JobState)="IL","https://fema.maps.arcgis.com/apps/mapviewer/index.html?url=https%3A%2F%2Fgis1.dot.illinois.gov%2Farcgis%2Frest%2Fservices%2FAdministrativeData%2FFunctionalClass%2FMapServer%2F0&amp;find="&amp;$F241&amp;"%2C"&amp;$E241&amp;"&amp;marker="&amp;$F241&amp;","&amp;$E241&amp;",4326&amp;level=16",IF(_xlfn.SINGLE(JobState)="OH","https://fema.maps.arcgis.com/apps/mapviewer/index.html?url=https%3A%2F%2Ftims.dot.state.oh.us%2Fags%2Frest%2Fservices%2FRoadway_Information%2FFunctional_Class%2FMapServer%2F0&amp;find="&amp;$F241&amp;"%2C"&amp;$E241&amp;"&amp;marker="&amp;$F241&amp;","&amp;$E241&amp;",4326&amp;level=16","https://fema.maps.arcgis.com/apps/mapviewer/index.html?find="&amp;$F241&amp;"%2C"&amp;$E241&amp;"&amp;marker="&amp;$F241&amp;","&amp;$E241&amp;",4326&amp;level=16")))))),IF(_xlfn.SINGLE(JobState)="WI","Review Local Roads Layer","Review NFC AGOL Layer"))))</f>
        <v/>
      </c>
      <c r="N241" s="6" t="str">
        <f>IF(OR($E241="",$F241=""),"",IF(_xlfn.SINGLE(JobState)="",IF(ROW()=2,HYPERLINK("#JobState","Set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241&amp;"%2C"&amp;$E241&amp;"&amp;marker="&amp;$F241&amp;","&amp;$E241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1" s="6" t="str">
        <f>IF(OR($E241="", $F241=""),"",IF(_xlfn.SINGLE(JobAgolMap)="",HYPERLINK("https://fema.maps.arcgis.com/apps/mapviewer/index.html?find="&amp;$F241&amp;"%2C"&amp;$E241&amp;"&amp;marker="&amp;$F241&amp;","&amp;$E241&amp;",4326&amp;level=16","FEMA AGOL Map Viewer"),HYPERLINK(_xlfn.SINGLE(JobAgolMap)&amp;IF(ISNUMBER(FIND("?",_xlfn.SINGLE(JobAgolMap))),"&amp;","?")&amp;"center="&amp;$F241&amp;","&amp;$E241&amp;"&amp;level=16&amp;marker="&amp;$F241&amp;","&amp;$E241,"Open")))</f>
        <v/>
      </c>
      <c r="Q241" s="4"/>
      <c r="R241" s="4"/>
      <c r="W241" s="6" t="str">
        <f t="shared" si="18"/>
        <v/>
      </c>
      <c r="X241" s="6" t="str">
        <f t="shared" si="19"/>
        <v/>
      </c>
      <c r="Y241" s="6" t="str">
        <f t="shared" si="20"/>
        <v/>
      </c>
      <c r="Z241" s="6" t="str">
        <f t="shared" si="21"/>
        <v/>
      </c>
      <c r="AA241" s="6" t="str">
        <f t="shared" si="22"/>
        <v/>
      </c>
      <c r="AB241" s="6" t="str">
        <f t="shared" si="23"/>
        <v/>
      </c>
      <c r="AC241" s="4"/>
      <c r="AD241" s="4"/>
    </row>
    <row r="242" spans="1:30" x14ac:dyDescent="0.45">
      <c r="A242" s="3"/>
      <c r="B242" s="3"/>
      <c r="C242" s="5" t="str">
        <f>IF($E242="","",COUNT($E$2:$E242))</f>
        <v/>
      </c>
      <c r="D242" s="3"/>
      <c r="E242" s="3"/>
      <c r="F242" s="3"/>
      <c r="G242" s="3"/>
      <c r="H242" s="3"/>
      <c r="I242" s="3"/>
      <c r="J242" s="3"/>
      <c r="K242" s="3"/>
      <c r="L242" s="4"/>
      <c r="M242" s="6" t="str">
        <f>IF(OR($E242="",$F242=""),"",IF(_xlfn.SINGLE(JobState)="",IF(ROW()=2,HYPERLINK("#JobState","Set State →"),""),HYPERLINK(IF(OR(_xlfn.SINGLE(JobState)="MI",_xlfn.SINGLE(JobState)=""),"https://fema.maps.arcgis.com/apps/mapviewer/index.html?webmap=6a1702b9147243d1a5ee62cd614bc681&amp;center="&amp;$F242&amp;","&amp;$E242&amp;"&amp;level=16&amp;marker="&amp;$F242&amp;","&amp;$E242&amp;"",IF(_xlfn.SINGLE(JobState)="IN","https://fema.maps.arcgis.com/apps/mapviewer/index.html?url=https%3A%2F%2Fgis.indot.in.gov%2Fro%2Frest%2Fservices%2FRAH_GIO_Collaboration%2FLRSE_Functional_Class%2FFeatureServer%2F22&amp;find="&amp;$F242&amp;"%2C"&amp;$E242&amp;"&amp;marker="&amp;$F242&amp;","&amp;$E242&amp;",4326&amp;level=16",IF(_xlfn.SINGLE(JobState)="WI","https://fema.maps.arcgis.com/apps/mapviewer/index.html?url=https://services5.arcgis.com/0pgGLzT0Nh7FVjon/arcgis/rest/services/Functional_Class_Local_Non_Prod/FeatureServer/1&amp;find="&amp;$F242&amp;"%2C"&amp;$E242&amp;"&amp;marker="&amp;$F242&amp;","&amp;$E242&amp;",4326&amp;level=16",IF(_xlfn.SINGLE(JobState)="MN","https://fema.maps.arcgis.com/apps/mapviewer/index.html?url=https%3A%2F%2Fdotapp9.dot.state.mn.us%2Fegis12%2Frest%2Fservices%2FBASEMAP%2Fmndot_commonlayers2%2FMapServer%2F11&amp;find="&amp;$F242&amp;"%2C"&amp;$E242&amp;"&amp;marker="&amp;$F242&amp;","&amp;$E242&amp;",4326&amp;level=16",IF(_xlfn.SINGLE(JobState)="IL","https://fema.maps.arcgis.com/apps/mapviewer/index.html?url=https%3A%2F%2Fgis1.dot.illinois.gov%2Farcgis%2Frest%2Fservices%2FAdministrativeData%2FFunctionalClass%2FMapServer%2F0&amp;find="&amp;$F242&amp;"%2C"&amp;$E242&amp;"&amp;marker="&amp;$F242&amp;","&amp;$E242&amp;",4326&amp;level=16",IF(_xlfn.SINGLE(JobState)="OH","https://fema.maps.arcgis.com/apps/mapviewer/index.html?url=https%3A%2F%2Ftims.dot.state.oh.us%2Fags%2Frest%2Fservices%2FRoadway_Information%2FFunctional_Class%2FMapServer%2F0&amp;find="&amp;$F242&amp;"%2C"&amp;$E242&amp;"&amp;marker="&amp;$F242&amp;","&amp;$E242&amp;",4326&amp;level=16","https://fema.maps.arcgis.com/apps/mapviewer/index.html?find="&amp;$F242&amp;"%2C"&amp;$E242&amp;"&amp;marker="&amp;$F242&amp;","&amp;$E242&amp;",4326&amp;level=16")))))),IF(_xlfn.SINGLE(JobState)="WI","Review Local Roads Layer","Review NFC AGOL Layer"))))</f>
        <v/>
      </c>
      <c r="N242" s="6" t="str">
        <f>IF(OR($E242="",$F242=""),"",IF(_xlfn.SINGLE(JobState)="",IF(ROW()=2,HYPERLINK("#JobState","Set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242&amp;"%2C"&amp;$E242&amp;"&amp;marker="&amp;$F242&amp;","&amp;$E242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2" s="6" t="str">
        <f>IF(OR($E242="", $F242=""),"",IF(_xlfn.SINGLE(JobAgolMap)="",HYPERLINK("https://fema.maps.arcgis.com/apps/mapviewer/index.html?find="&amp;$F242&amp;"%2C"&amp;$E242&amp;"&amp;marker="&amp;$F242&amp;","&amp;$E242&amp;",4326&amp;level=16","FEMA AGOL Map Viewer"),HYPERLINK(_xlfn.SINGLE(JobAgolMap)&amp;IF(ISNUMBER(FIND("?",_xlfn.SINGLE(JobAgolMap))),"&amp;","?")&amp;"center="&amp;$F242&amp;","&amp;$E242&amp;"&amp;level=16&amp;marker="&amp;$F242&amp;","&amp;$E242,"Open")))</f>
        <v/>
      </c>
      <c r="Q242" s="4"/>
      <c r="R242" s="4"/>
      <c r="W242" s="6" t="str">
        <f t="shared" si="18"/>
        <v/>
      </c>
      <c r="X242" s="6" t="str">
        <f t="shared" si="19"/>
        <v/>
      </c>
      <c r="Y242" s="6" t="str">
        <f t="shared" si="20"/>
        <v/>
      </c>
      <c r="Z242" s="6" t="str">
        <f t="shared" si="21"/>
        <v/>
      </c>
      <c r="AA242" s="6" t="str">
        <f t="shared" si="22"/>
        <v/>
      </c>
      <c r="AB242" s="6" t="str">
        <f t="shared" si="23"/>
        <v/>
      </c>
      <c r="AC242" s="4"/>
      <c r="AD242" s="4"/>
    </row>
    <row r="243" spans="1:30" x14ac:dyDescent="0.45">
      <c r="A243" s="3"/>
      <c r="B243" s="3"/>
      <c r="C243" s="5" t="str">
        <f>IF($E243="","",COUNT($E$2:$E243))</f>
        <v/>
      </c>
      <c r="D243" s="3"/>
      <c r="E243" s="3"/>
      <c r="F243" s="3"/>
      <c r="G243" s="3"/>
      <c r="H243" s="3"/>
      <c r="I243" s="3"/>
      <c r="J243" s="3"/>
      <c r="K243" s="3"/>
      <c r="L243" s="4"/>
      <c r="M243" s="6" t="str">
        <f>IF(OR($E243="",$F243=""),"",IF(_xlfn.SINGLE(JobState)="",IF(ROW()=2,HYPERLINK("#JobState","Set State →"),""),HYPERLINK(IF(OR(_xlfn.SINGLE(JobState)="MI",_xlfn.SINGLE(JobState)=""),"https://fema.maps.arcgis.com/apps/mapviewer/index.html?webmap=6a1702b9147243d1a5ee62cd614bc681&amp;center="&amp;$F243&amp;","&amp;$E243&amp;"&amp;level=16&amp;marker="&amp;$F243&amp;","&amp;$E243&amp;"",IF(_xlfn.SINGLE(JobState)="IN","https://fema.maps.arcgis.com/apps/mapviewer/index.html?url=https%3A%2F%2Fgis.indot.in.gov%2Fro%2Frest%2Fservices%2FRAH_GIO_Collaboration%2FLRSE_Functional_Class%2FFeatureServer%2F22&amp;find="&amp;$F243&amp;"%2C"&amp;$E243&amp;"&amp;marker="&amp;$F243&amp;","&amp;$E243&amp;",4326&amp;level=16",IF(_xlfn.SINGLE(JobState)="WI","https://fema.maps.arcgis.com/apps/mapviewer/index.html?url=https://services5.arcgis.com/0pgGLzT0Nh7FVjon/arcgis/rest/services/Functional_Class_Local_Non_Prod/FeatureServer/1&amp;find="&amp;$F243&amp;"%2C"&amp;$E243&amp;"&amp;marker="&amp;$F243&amp;","&amp;$E243&amp;",4326&amp;level=16",IF(_xlfn.SINGLE(JobState)="MN","https://fema.maps.arcgis.com/apps/mapviewer/index.html?url=https%3A%2F%2Fdotapp9.dot.state.mn.us%2Fegis12%2Frest%2Fservices%2FBASEMAP%2Fmndot_commonlayers2%2FMapServer%2F11&amp;find="&amp;$F243&amp;"%2C"&amp;$E243&amp;"&amp;marker="&amp;$F243&amp;","&amp;$E243&amp;",4326&amp;level=16",IF(_xlfn.SINGLE(JobState)="IL","https://fema.maps.arcgis.com/apps/mapviewer/index.html?url=https%3A%2F%2Fgis1.dot.illinois.gov%2Farcgis%2Frest%2Fservices%2FAdministrativeData%2FFunctionalClass%2FMapServer%2F0&amp;find="&amp;$F243&amp;"%2C"&amp;$E243&amp;"&amp;marker="&amp;$F243&amp;","&amp;$E243&amp;",4326&amp;level=16",IF(_xlfn.SINGLE(JobState)="OH","https://fema.maps.arcgis.com/apps/mapviewer/index.html?url=https%3A%2F%2Ftims.dot.state.oh.us%2Fags%2Frest%2Fservices%2FRoadway_Information%2FFunctional_Class%2FMapServer%2F0&amp;find="&amp;$F243&amp;"%2C"&amp;$E243&amp;"&amp;marker="&amp;$F243&amp;","&amp;$E243&amp;",4326&amp;level=16","https://fema.maps.arcgis.com/apps/mapviewer/index.html?find="&amp;$F243&amp;"%2C"&amp;$E243&amp;"&amp;marker="&amp;$F243&amp;","&amp;$E243&amp;",4326&amp;level=16")))))),IF(_xlfn.SINGLE(JobState)="WI","Review Local Roads Layer","Review NFC AGOL Layer"))))</f>
        <v/>
      </c>
      <c r="N243" s="6" t="str">
        <f>IF(OR($E243="",$F243=""),"",IF(_xlfn.SINGLE(JobState)="",IF(ROW()=2,HYPERLINK("#JobState","Set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243&amp;"%2C"&amp;$E243&amp;"&amp;marker="&amp;$F243&amp;","&amp;$E243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3" s="6" t="str">
        <f>IF(OR($E243="", $F243=""),"",IF(_xlfn.SINGLE(JobAgolMap)="",HYPERLINK("https://fema.maps.arcgis.com/apps/mapviewer/index.html?find="&amp;$F243&amp;"%2C"&amp;$E243&amp;"&amp;marker="&amp;$F243&amp;","&amp;$E243&amp;",4326&amp;level=16","FEMA AGOL Map Viewer"),HYPERLINK(_xlfn.SINGLE(JobAgolMap)&amp;IF(ISNUMBER(FIND("?",_xlfn.SINGLE(JobAgolMap))),"&amp;","?")&amp;"center="&amp;$F243&amp;","&amp;$E243&amp;"&amp;level=16&amp;marker="&amp;$F243&amp;","&amp;$E243,"Open")))</f>
        <v/>
      </c>
      <c r="Q243" s="4"/>
      <c r="R243" s="4"/>
      <c r="W243" s="6" t="str">
        <f t="shared" si="18"/>
        <v/>
      </c>
      <c r="X243" s="6" t="str">
        <f t="shared" si="19"/>
        <v/>
      </c>
      <c r="Y243" s="6" t="str">
        <f t="shared" si="20"/>
        <v/>
      </c>
      <c r="Z243" s="6" t="str">
        <f t="shared" si="21"/>
        <v/>
      </c>
      <c r="AA243" s="6" t="str">
        <f t="shared" si="22"/>
        <v/>
      </c>
      <c r="AB243" s="6" t="str">
        <f t="shared" si="23"/>
        <v/>
      </c>
      <c r="AC243" s="4"/>
      <c r="AD243" s="4"/>
    </row>
    <row r="244" spans="1:30" x14ac:dyDescent="0.45">
      <c r="A244" s="3"/>
      <c r="B244" s="3"/>
      <c r="C244" s="5" t="str">
        <f>IF($E244="","",COUNT($E$2:$E244))</f>
        <v/>
      </c>
      <c r="D244" s="3"/>
      <c r="E244" s="3"/>
      <c r="F244" s="3"/>
      <c r="G244" s="3"/>
      <c r="H244" s="3"/>
      <c r="I244" s="3"/>
      <c r="J244" s="3"/>
      <c r="K244" s="3"/>
      <c r="L244" s="4"/>
      <c r="M244" s="6" t="str">
        <f>IF(OR($E244="",$F244=""),"",IF(_xlfn.SINGLE(JobState)="",IF(ROW()=2,HYPERLINK("#JobState","Set State →"),""),HYPERLINK(IF(OR(_xlfn.SINGLE(JobState)="MI",_xlfn.SINGLE(JobState)=""),"https://fema.maps.arcgis.com/apps/mapviewer/index.html?webmap=6a1702b9147243d1a5ee62cd614bc681&amp;center="&amp;$F244&amp;","&amp;$E244&amp;"&amp;level=16&amp;marker="&amp;$F244&amp;","&amp;$E244&amp;"",IF(_xlfn.SINGLE(JobState)="IN","https://fema.maps.arcgis.com/apps/mapviewer/index.html?url=https%3A%2F%2Fgis.indot.in.gov%2Fro%2Frest%2Fservices%2FRAH_GIO_Collaboration%2FLRSE_Functional_Class%2FFeatureServer%2F22&amp;find="&amp;$F244&amp;"%2C"&amp;$E244&amp;"&amp;marker="&amp;$F244&amp;","&amp;$E244&amp;",4326&amp;level=16",IF(_xlfn.SINGLE(JobState)="WI","https://fema.maps.arcgis.com/apps/mapviewer/index.html?url=https://services5.arcgis.com/0pgGLzT0Nh7FVjon/arcgis/rest/services/Functional_Class_Local_Non_Prod/FeatureServer/1&amp;find="&amp;$F244&amp;"%2C"&amp;$E244&amp;"&amp;marker="&amp;$F244&amp;","&amp;$E244&amp;",4326&amp;level=16",IF(_xlfn.SINGLE(JobState)="MN","https://fema.maps.arcgis.com/apps/mapviewer/index.html?url=https%3A%2F%2Fdotapp9.dot.state.mn.us%2Fegis12%2Frest%2Fservices%2FBASEMAP%2Fmndot_commonlayers2%2FMapServer%2F11&amp;find="&amp;$F244&amp;"%2C"&amp;$E244&amp;"&amp;marker="&amp;$F244&amp;","&amp;$E244&amp;",4326&amp;level=16",IF(_xlfn.SINGLE(JobState)="IL","https://fema.maps.arcgis.com/apps/mapviewer/index.html?url=https%3A%2F%2Fgis1.dot.illinois.gov%2Farcgis%2Frest%2Fservices%2FAdministrativeData%2FFunctionalClass%2FMapServer%2F0&amp;find="&amp;$F244&amp;"%2C"&amp;$E244&amp;"&amp;marker="&amp;$F244&amp;","&amp;$E244&amp;",4326&amp;level=16",IF(_xlfn.SINGLE(JobState)="OH","https://fema.maps.arcgis.com/apps/mapviewer/index.html?url=https%3A%2F%2Ftims.dot.state.oh.us%2Fags%2Frest%2Fservices%2FRoadway_Information%2FFunctional_Class%2FMapServer%2F0&amp;find="&amp;$F244&amp;"%2C"&amp;$E244&amp;"&amp;marker="&amp;$F244&amp;","&amp;$E244&amp;",4326&amp;level=16","https://fema.maps.arcgis.com/apps/mapviewer/index.html?find="&amp;$F244&amp;"%2C"&amp;$E244&amp;"&amp;marker="&amp;$F244&amp;","&amp;$E244&amp;",4326&amp;level=16")))))),IF(_xlfn.SINGLE(JobState)="WI","Review Local Roads Layer","Review NFC AGOL Layer"))))</f>
        <v/>
      </c>
      <c r="N244" s="6" t="str">
        <f>IF(OR($E244="",$F244=""),"",IF(_xlfn.SINGLE(JobState)="",IF(ROW()=2,HYPERLINK("#JobState","Set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244&amp;"%2C"&amp;$E244&amp;"&amp;marker="&amp;$F244&amp;","&amp;$E244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4" s="6" t="str">
        <f>IF(OR($E244="", $F244=""),"",IF(_xlfn.SINGLE(JobAgolMap)="",HYPERLINK("https://fema.maps.arcgis.com/apps/mapviewer/index.html?find="&amp;$F244&amp;"%2C"&amp;$E244&amp;"&amp;marker="&amp;$F244&amp;","&amp;$E244&amp;",4326&amp;level=16","FEMA AGOL Map Viewer"),HYPERLINK(_xlfn.SINGLE(JobAgolMap)&amp;IF(ISNUMBER(FIND("?",_xlfn.SINGLE(JobAgolMap))),"&amp;","?")&amp;"center="&amp;$F244&amp;","&amp;$E244&amp;"&amp;level=16&amp;marker="&amp;$F244&amp;","&amp;$E244,"Open")))</f>
        <v/>
      </c>
      <c r="Q244" s="4"/>
      <c r="R244" s="4"/>
      <c r="W244" s="6" t="str">
        <f t="shared" si="18"/>
        <v/>
      </c>
      <c r="X244" s="6" t="str">
        <f t="shared" si="19"/>
        <v/>
      </c>
      <c r="Y244" s="6" t="str">
        <f t="shared" si="20"/>
        <v/>
      </c>
      <c r="Z244" s="6" t="str">
        <f t="shared" si="21"/>
        <v/>
      </c>
      <c r="AA244" s="6" t="str">
        <f t="shared" si="22"/>
        <v/>
      </c>
      <c r="AB244" s="6" t="str">
        <f t="shared" si="23"/>
        <v/>
      </c>
      <c r="AC244" s="4"/>
      <c r="AD244" s="4"/>
    </row>
    <row r="245" spans="1:30" x14ac:dyDescent="0.45">
      <c r="A245" s="3"/>
      <c r="B245" s="3"/>
      <c r="C245" s="5" t="str">
        <f>IF($E245="","",COUNT($E$2:$E245))</f>
        <v/>
      </c>
      <c r="D245" s="3"/>
      <c r="E245" s="3"/>
      <c r="F245" s="3"/>
      <c r="G245" s="3"/>
      <c r="H245" s="3"/>
      <c r="I245" s="3"/>
      <c r="J245" s="3"/>
      <c r="K245" s="3"/>
      <c r="L245" s="4"/>
      <c r="M245" s="6" t="str">
        <f>IF(OR($E245="",$F245=""),"",IF(_xlfn.SINGLE(JobState)="",IF(ROW()=2,HYPERLINK("#JobState","Set State →"),""),HYPERLINK(IF(OR(_xlfn.SINGLE(JobState)="MI",_xlfn.SINGLE(JobState)=""),"https://fema.maps.arcgis.com/apps/mapviewer/index.html?webmap=6a1702b9147243d1a5ee62cd614bc681&amp;center="&amp;$F245&amp;","&amp;$E245&amp;"&amp;level=16&amp;marker="&amp;$F245&amp;","&amp;$E245&amp;"",IF(_xlfn.SINGLE(JobState)="IN","https://fema.maps.arcgis.com/apps/mapviewer/index.html?url=https%3A%2F%2Fgis.indot.in.gov%2Fro%2Frest%2Fservices%2FRAH_GIO_Collaboration%2FLRSE_Functional_Class%2FFeatureServer%2F22&amp;find="&amp;$F245&amp;"%2C"&amp;$E245&amp;"&amp;marker="&amp;$F245&amp;","&amp;$E245&amp;",4326&amp;level=16",IF(_xlfn.SINGLE(JobState)="WI","https://fema.maps.arcgis.com/apps/mapviewer/index.html?url=https://services5.arcgis.com/0pgGLzT0Nh7FVjon/arcgis/rest/services/Functional_Class_Local_Non_Prod/FeatureServer/1&amp;find="&amp;$F245&amp;"%2C"&amp;$E245&amp;"&amp;marker="&amp;$F245&amp;","&amp;$E245&amp;",4326&amp;level=16",IF(_xlfn.SINGLE(JobState)="MN","https://fema.maps.arcgis.com/apps/mapviewer/index.html?url=https%3A%2F%2Fdotapp9.dot.state.mn.us%2Fegis12%2Frest%2Fservices%2FBASEMAP%2Fmndot_commonlayers2%2FMapServer%2F11&amp;find="&amp;$F245&amp;"%2C"&amp;$E245&amp;"&amp;marker="&amp;$F245&amp;","&amp;$E245&amp;",4326&amp;level=16",IF(_xlfn.SINGLE(JobState)="IL","https://fema.maps.arcgis.com/apps/mapviewer/index.html?url=https%3A%2F%2Fgis1.dot.illinois.gov%2Farcgis%2Frest%2Fservices%2FAdministrativeData%2FFunctionalClass%2FMapServer%2F0&amp;find="&amp;$F245&amp;"%2C"&amp;$E245&amp;"&amp;marker="&amp;$F245&amp;","&amp;$E245&amp;",4326&amp;level=16",IF(_xlfn.SINGLE(JobState)="OH","https://fema.maps.arcgis.com/apps/mapviewer/index.html?url=https%3A%2F%2Ftims.dot.state.oh.us%2Fags%2Frest%2Fservices%2FRoadway_Information%2FFunctional_Class%2FMapServer%2F0&amp;find="&amp;$F245&amp;"%2C"&amp;$E245&amp;"&amp;marker="&amp;$F245&amp;","&amp;$E245&amp;",4326&amp;level=16","https://fema.maps.arcgis.com/apps/mapviewer/index.html?find="&amp;$F245&amp;"%2C"&amp;$E245&amp;"&amp;marker="&amp;$F245&amp;","&amp;$E245&amp;",4326&amp;level=16")))))),IF(_xlfn.SINGLE(JobState)="WI","Review Local Roads Layer","Review NFC AGOL Layer"))))</f>
        <v/>
      </c>
      <c r="N245" s="6" t="str">
        <f>IF(OR($E245="",$F245=""),"",IF(_xlfn.SINGLE(JobState)="",IF(ROW()=2,HYPERLINK("#JobState","Set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245&amp;"%2C"&amp;$E245&amp;"&amp;marker="&amp;$F245&amp;","&amp;$E245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5" s="6" t="str">
        <f>IF(OR($E245="", $F245=""),"",IF(_xlfn.SINGLE(JobAgolMap)="",HYPERLINK("https://fema.maps.arcgis.com/apps/mapviewer/index.html?find="&amp;$F245&amp;"%2C"&amp;$E245&amp;"&amp;marker="&amp;$F245&amp;","&amp;$E245&amp;",4326&amp;level=16","FEMA AGOL Map Viewer"),HYPERLINK(_xlfn.SINGLE(JobAgolMap)&amp;IF(ISNUMBER(FIND("?",_xlfn.SINGLE(JobAgolMap))),"&amp;","?")&amp;"center="&amp;$F245&amp;","&amp;$E245&amp;"&amp;level=16&amp;marker="&amp;$F245&amp;","&amp;$E245,"Open")))</f>
        <v/>
      </c>
      <c r="Q245" s="4"/>
      <c r="R245" s="4"/>
      <c r="W245" s="6" t="str">
        <f t="shared" si="18"/>
        <v/>
      </c>
      <c r="X245" s="6" t="str">
        <f t="shared" si="19"/>
        <v/>
      </c>
      <c r="Y245" s="6" t="str">
        <f t="shared" si="20"/>
        <v/>
      </c>
      <c r="Z245" s="6" t="str">
        <f t="shared" si="21"/>
        <v/>
      </c>
      <c r="AA245" s="6" t="str">
        <f t="shared" si="22"/>
        <v/>
      </c>
      <c r="AB245" s="6" t="str">
        <f t="shared" si="23"/>
        <v/>
      </c>
      <c r="AC245" s="4"/>
      <c r="AD245" s="4"/>
    </row>
    <row r="246" spans="1:30" x14ac:dyDescent="0.45">
      <c r="A246" s="3"/>
      <c r="B246" s="3"/>
      <c r="C246" s="5" t="str">
        <f>IF($E246="","",COUNT($E$2:$E246))</f>
        <v/>
      </c>
      <c r="D246" s="3"/>
      <c r="E246" s="3"/>
      <c r="F246" s="3"/>
      <c r="G246" s="3"/>
      <c r="H246" s="3"/>
      <c r="I246" s="3"/>
      <c r="J246" s="3"/>
      <c r="K246" s="3"/>
      <c r="L246" s="4"/>
      <c r="M246" s="6" t="str">
        <f>IF(OR($E246="",$F246=""),"",IF(_xlfn.SINGLE(JobState)="",IF(ROW()=2,HYPERLINK("#JobState","Set State →"),""),HYPERLINK(IF(OR(_xlfn.SINGLE(JobState)="MI",_xlfn.SINGLE(JobState)=""),"https://fema.maps.arcgis.com/apps/mapviewer/index.html?webmap=6a1702b9147243d1a5ee62cd614bc681&amp;center="&amp;$F246&amp;","&amp;$E246&amp;"&amp;level=16&amp;marker="&amp;$F246&amp;","&amp;$E246&amp;"",IF(_xlfn.SINGLE(JobState)="IN","https://fema.maps.arcgis.com/apps/mapviewer/index.html?url=https%3A%2F%2Fgis.indot.in.gov%2Fro%2Frest%2Fservices%2FRAH_GIO_Collaboration%2FLRSE_Functional_Class%2FFeatureServer%2F22&amp;find="&amp;$F246&amp;"%2C"&amp;$E246&amp;"&amp;marker="&amp;$F246&amp;","&amp;$E246&amp;",4326&amp;level=16",IF(_xlfn.SINGLE(JobState)="WI","https://fema.maps.arcgis.com/apps/mapviewer/index.html?url=https://services5.arcgis.com/0pgGLzT0Nh7FVjon/arcgis/rest/services/Functional_Class_Local_Non_Prod/FeatureServer/1&amp;find="&amp;$F246&amp;"%2C"&amp;$E246&amp;"&amp;marker="&amp;$F246&amp;","&amp;$E246&amp;",4326&amp;level=16",IF(_xlfn.SINGLE(JobState)="MN","https://fema.maps.arcgis.com/apps/mapviewer/index.html?url=https%3A%2F%2Fdotapp9.dot.state.mn.us%2Fegis12%2Frest%2Fservices%2FBASEMAP%2Fmndot_commonlayers2%2FMapServer%2F11&amp;find="&amp;$F246&amp;"%2C"&amp;$E246&amp;"&amp;marker="&amp;$F246&amp;","&amp;$E246&amp;",4326&amp;level=16",IF(_xlfn.SINGLE(JobState)="IL","https://fema.maps.arcgis.com/apps/mapviewer/index.html?url=https%3A%2F%2Fgis1.dot.illinois.gov%2Farcgis%2Frest%2Fservices%2FAdministrativeData%2FFunctionalClass%2FMapServer%2F0&amp;find="&amp;$F246&amp;"%2C"&amp;$E246&amp;"&amp;marker="&amp;$F246&amp;","&amp;$E246&amp;",4326&amp;level=16",IF(_xlfn.SINGLE(JobState)="OH","https://fema.maps.arcgis.com/apps/mapviewer/index.html?url=https%3A%2F%2Ftims.dot.state.oh.us%2Fags%2Frest%2Fservices%2FRoadway_Information%2FFunctional_Class%2FMapServer%2F0&amp;find="&amp;$F246&amp;"%2C"&amp;$E246&amp;"&amp;marker="&amp;$F246&amp;","&amp;$E246&amp;",4326&amp;level=16","https://fema.maps.arcgis.com/apps/mapviewer/index.html?find="&amp;$F246&amp;"%2C"&amp;$E246&amp;"&amp;marker="&amp;$F246&amp;","&amp;$E246&amp;",4326&amp;level=16")))))),IF(_xlfn.SINGLE(JobState)="WI","Review Local Roads Layer","Review NFC AGOL Layer"))))</f>
        <v/>
      </c>
      <c r="N246" s="6" t="str">
        <f>IF(OR($E246="",$F246=""),"",IF(_xlfn.SINGLE(JobState)="",IF(ROW()=2,HYPERLINK("#JobState","Set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246&amp;"%2C"&amp;$E246&amp;"&amp;marker="&amp;$F246&amp;","&amp;$E246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6" s="6" t="str">
        <f>IF(OR($E246="", $F246=""),"",IF(_xlfn.SINGLE(JobAgolMap)="",HYPERLINK("https://fema.maps.arcgis.com/apps/mapviewer/index.html?find="&amp;$F246&amp;"%2C"&amp;$E246&amp;"&amp;marker="&amp;$F246&amp;","&amp;$E246&amp;",4326&amp;level=16","FEMA AGOL Map Viewer"),HYPERLINK(_xlfn.SINGLE(JobAgolMap)&amp;IF(ISNUMBER(FIND("?",_xlfn.SINGLE(JobAgolMap))),"&amp;","?")&amp;"center="&amp;$F246&amp;","&amp;$E246&amp;"&amp;level=16&amp;marker="&amp;$F246&amp;","&amp;$E246,"Open")))</f>
        <v/>
      </c>
      <c r="Q246" s="4"/>
      <c r="R246" s="4"/>
      <c r="W246" s="6" t="str">
        <f t="shared" si="18"/>
        <v/>
      </c>
      <c r="X246" s="6" t="str">
        <f t="shared" si="19"/>
        <v/>
      </c>
      <c r="Y246" s="6" t="str">
        <f t="shared" si="20"/>
        <v/>
      </c>
      <c r="Z246" s="6" t="str">
        <f t="shared" si="21"/>
        <v/>
      </c>
      <c r="AA246" s="6" t="str">
        <f t="shared" si="22"/>
        <v/>
      </c>
      <c r="AB246" s="6" t="str">
        <f t="shared" si="23"/>
        <v/>
      </c>
      <c r="AC246" s="4"/>
      <c r="AD246" s="4"/>
    </row>
    <row r="247" spans="1:30" x14ac:dyDescent="0.45">
      <c r="A247" s="3"/>
      <c r="B247" s="3"/>
      <c r="C247" s="5" t="str">
        <f>IF($E247="","",COUNT($E$2:$E247))</f>
        <v/>
      </c>
      <c r="D247" s="3"/>
      <c r="E247" s="3"/>
      <c r="F247" s="3"/>
      <c r="G247" s="3"/>
      <c r="H247" s="3"/>
      <c r="I247" s="3"/>
      <c r="J247" s="3"/>
      <c r="K247" s="3"/>
      <c r="L247" s="4"/>
      <c r="M247" s="6" t="str">
        <f>IF(OR($E247="",$F247=""),"",IF(_xlfn.SINGLE(JobState)="",IF(ROW()=2,HYPERLINK("#JobState","Set State →"),""),HYPERLINK(IF(OR(_xlfn.SINGLE(JobState)="MI",_xlfn.SINGLE(JobState)=""),"https://fema.maps.arcgis.com/apps/mapviewer/index.html?webmap=6a1702b9147243d1a5ee62cd614bc681&amp;center="&amp;$F247&amp;","&amp;$E247&amp;"&amp;level=16&amp;marker="&amp;$F247&amp;","&amp;$E247&amp;"",IF(_xlfn.SINGLE(JobState)="IN","https://fema.maps.arcgis.com/apps/mapviewer/index.html?url=https%3A%2F%2Fgis.indot.in.gov%2Fro%2Frest%2Fservices%2FRAH_GIO_Collaboration%2FLRSE_Functional_Class%2FFeatureServer%2F22&amp;find="&amp;$F247&amp;"%2C"&amp;$E247&amp;"&amp;marker="&amp;$F247&amp;","&amp;$E247&amp;",4326&amp;level=16",IF(_xlfn.SINGLE(JobState)="WI","https://fema.maps.arcgis.com/apps/mapviewer/index.html?url=https://services5.arcgis.com/0pgGLzT0Nh7FVjon/arcgis/rest/services/Functional_Class_Local_Non_Prod/FeatureServer/1&amp;find="&amp;$F247&amp;"%2C"&amp;$E247&amp;"&amp;marker="&amp;$F247&amp;","&amp;$E247&amp;",4326&amp;level=16",IF(_xlfn.SINGLE(JobState)="MN","https://fema.maps.arcgis.com/apps/mapviewer/index.html?url=https%3A%2F%2Fdotapp9.dot.state.mn.us%2Fegis12%2Frest%2Fservices%2FBASEMAP%2Fmndot_commonlayers2%2FMapServer%2F11&amp;find="&amp;$F247&amp;"%2C"&amp;$E247&amp;"&amp;marker="&amp;$F247&amp;","&amp;$E247&amp;",4326&amp;level=16",IF(_xlfn.SINGLE(JobState)="IL","https://fema.maps.arcgis.com/apps/mapviewer/index.html?url=https%3A%2F%2Fgis1.dot.illinois.gov%2Farcgis%2Frest%2Fservices%2FAdministrativeData%2FFunctionalClass%2FMapServer%2F0&amp;find="&amp;$F247&amp;"%2C"&amp;$E247&amp;"&amp;marker="&amp;$F247&amp;","&amp;$E247&amp;",4326&amp;level=16",IF(_xlfn.SINGLE(JobState)="OH","https://fema.maps.arcgis.com/apps/mapviewer/index.html?url=https%3A%2F%2Ftims.dot.state.oh.us%2Fags%2Frest%2Fservices%2FRoadway_Information%2FFunctional_Class%2FMapServer%2F0&amp;find="&amp;$F247&amp;"%2C"&amp;$E247&amp;"&amp;marker="&amp;$F247&amp;","&amp;$E247&amp;",4326&amp;level=16","https://fema.maps.arcgis.com/apps/mapviewer/index.html?find="&amp;$F247&amp;"%2C"&amp;$E247&amp;"&amp;marker="&amp;$F247&amp;","&amp;$E247&amp;",4326&amp;level=16")))))),IF(_xlfn.SINGLE(JobState)="WI","Review Local Roads Layer","Review NFC AGOL Layer"))))</f>
        <v/>
      </c>
      <c r="N247" s="6" t="str">
        <f>IF(OR($E247="",$F247=""),"",IF(_xlfn.SINGLE(JobState)="",IF(ROW()=2,HYPERLINK("#JobState","Set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247&amp;"%2C"&amp;$E247&amp;"&amp;marker="&amp;$F247&amp;","&amp;$E247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7" s="6" t="str">
        <f>IF(OR($E247="", $F247=""),"",IF(_xlfn.SINGLE(JobAgolMap)="",HYPERLINK("https://fema.maps.arcgis.com/apps/mapviewer/index.html?find="&amp;$F247&amp;"%2C"&amp;$E247&amp;"&amp;marker="&amp;$F247&amp;","&amp;$E247&amp;",4326&amp;level=16","FEMA AGOL Map Viewer"),HYPERLINK(_xlfn.SINGLE(JobAgolMap)&amp;IF(ISNUMBER(FIND("?",_xlfn.SINGLE(JobAgolMap))),"&amp;","?")&amp;"center="&amp;$F247&amp;","&amp;$E247&amp;"&amp;level=16&amp;marker="&amp;$F247&amp;","&amp;$E247,"Open")))</f>
        <v/>
      </c>
      <c r="Q247" s="4"/>
      <c r="R247" s="4"/>
      <c r="W247" s="6" t="str">
        <f t="shared" si="18"/>
        <v/>
      </c>
      <c r="X247" s="6" t="str">
        <f t="shared" si="19"/>
        <v/>
      </c>
      <c r="Y247" s="6" t="str">
        <f t="shared" si="20"/>
        <v/>
      </c>
      <c r="Z247" s="6" t="str">
        <f t="shared" si="21"/>
        <v/>
      </c>
      <c r="AA247" s="6" t="str">
        <f t="shared" si="22"/>
        <v/>
      </c>
      <c r="AB247" s="6" t="str">
        <f t="shared" si="23"/>
        <v/>
      </c>
      <c r="AC247" s="4"/>
      <c r="AD247" s="4"/>
    </row>
    <row r="248" spans="1:30" x14ac:dyDescent="0.45">
      <c r="A248" s="3"/>
      <c r="B248" s="3"/>
      <c r="C248" s="5" t="str">
        <f>IF($E248="","",COUNT($E$2:$E248))</f>
        <v/>
      </c>
      <c r="D248" s="3"/>
      <c r="E248" s="3"/>
      <c r="F248" s="3"/>
      <c r="G248" s="3"/>
      <c r="H248" s="3"/>
      <c r="I248" s="3"/>
      <c r="J248" s="3"/>
      <c r="K248" s="3"/>
      <c r="L248" s="4"/>
      <c r="M248" s="6" t="str">
        <f>IF(OR($E248="",$F248=""),"",IF(_xlfn.SINGLE(JobState)="",IF(ROW()=2,HYPERLINK("#JobState","Set State →"),""),HYPERLINK(IF(OR(_xlfn.SINGLE(JobState)="MI",_xlfn.SINGLE(JobState)=""),"https://fema.maps.arcgis.com/apps/mapviewer/index.html?webmap=6a1702b9147243d1a5ee62cd614bc681&amp;center="&amp;$F248&amp;","&amp;$E248&amp;"&amp;level=16&amp;marker="&amp;$F248&amp;","&amp;$E248&amp;"",IF(_xlfn.SINGLE(JobState)="IN","https://fema.maps.arcgis.com/apps/mapviewer/index.html?url=https%3A%2F%2Fgis.indot.in.gov%2Fro%2Frest%2Fservices%2FRAH_GIO_Collaboration%2FLRSE_Functional_Class%2FFeatureServer%2F22&amp;find="&amp;$F248&amp;"%2C"&amp;$E248&amp;"&amp;marker="&amp;$F248&amp;","&amp;$E248&amp;",4326&amp;level=16",IF(_xlfn.SINGLE(JobState)="WI","https://fema.maps.arcgis.com/apps/mapviewer/index.html?url=https://services5.arcgis.com/0pgGLzT0Nh7FVjon/arcgis/rest/services/Functional_Class_Local_Non_Prod/FeatureServer/1&amp;find="&amp;$F248&amp;"%2C"&amp;$E248&amp;"&amp;marker="&amp;$F248&amp;","&amp;$E248&amp;",4326&amp;level=16",IF(_xlfn.SINGLE(JobState)="MN","https://fema.maps.arcgis.com/apps/mapviewer/index.html?url=https%3A%2F%2Fdotapp9.dot.state.mn.us%2Fegis12%2Frest%2Fservices%2FBASEMAP%2Fmndot_commonlayers2%2FMapServer%2F11&amp;find="&amp;$F248&amp;"%2C"&amp;$E248&amp;"&amp;marker="&amp;$F248&amp;","&amp;$E248&amp;",4326&amp;level=16",IF(_xlfn.SINGLE(JobState)="IL","https://fema.maps.arcgis.com/apps/mapviewer/index.html?url=https%3A%2F%2Fgis1.dot.illinois.gov%2Farcgis%2Frest%2Fservices%2FAdministrativeData%2FFunctionalClass%2FMapServer%2F0&amp;find="&amp;$F248&amp;"%2C"&amp;$E248&amp;"&amp;marker="&amp;$F248&amp;","&amp;$E248&amp;",4326&amp;level=16",IF(_xlfn.SINGLE(JobState)="OH","https://fema.maps.arcgis.com/apps/mapviewer/index.html?url=https%3A%2F%2Ftims.dot.state.oh.us%2Fags%2Frest%2Fservices%2FRoadway_Information%2FFunctional_Class%2FMapServer%2F0&amp;find="&amp;$F248&amp;"%2C"&amp;$E248&amp;"&amp;marker="&amp;$F248&amp;","&amp;$E248&amp;",4326&amp;level=16","https://fema.maps.arcgis.com/apps/mapviewer/index.html?find="&amp;$F248&amp;"%2C"&amp;$E248&amp;"&amp;marker="&amp;$F248&amp;","&amp;$E248&amp;",4326&amp;level=16")))))),IF(_xlfn.SINGLE(JobState)="WI","Review Local Roads Layer","Review NFC AGOL Layer"))))</f>
        <v/>
      </c>
      <c r="N248" s="6" t="str">
        <f>IF(OR($E248="",$F248=""),"",IF(_xlfn.SINGLE(JobState)="",IF(ROW()=2,HYPERLINK("#JobState","Set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248&amp;"%2C"&amp;$E248&amp;"&amp;marker="&amp;$F248&amp;","&amp;$E248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8" s="6" t="str">
        <f>IF(OR($E248="", $F248=""),"",IF(_xlfn.SINGLE(JobAgolMap)="",HYPERLINK("https://fema.maps.arcgis.com/apps/mapviewer/index.html?find="&amp;$F248&amp;"%2C"&amp;$E248&amp;"&amp;marker="&amp;$F248&amp;","&amp;$E248&amp;",4326&amp;level=16","FEMA AGOL Map Viewer"),HYPERLINK(_xlfn.SINGLE(JobAgolMap)&amp;IF(ISNUMBER(FIND("?",_xlfn.SINGLE(JobAgolMap))),"&amp;","?")&amp;"center="&amp;$F248&amp;","&amp;$E248&amp;"&amp;level=16&amp;marker="&amp;$F248&amp;","&amp;$E248,"Open")))</f>
        <v/>
      </c>
      <c r="Q248" s="4"/>
      <c r="R248" s="4"/>
      <c r="W248" s="6" t="str">
        <f t="shared" si="18"/>
        <v/>
      </c>
      <c r="X248" s="6" t="str">
        <f t="shared" si="19"/>
        <v/>
      </c>
      <c r="Y248" s="6" t="str">
        <f t="shared" si="20"/>
        <v/>
      </c>
      <c r="Z248" s="6" t="str">
        <f t="shared" si="21"/>
        <v/>
      </c>
      <c r="AA248" s="6" t="str">
        <f t="shared" si="22"/>
        <v/>
      </c>
      <c r="AB248" s="6" t="str">
        <f t="shared" si="23"/>
        <v/>
      </c>
      <c r="AC248" s="4"/>
      <c r="AD248" s="4"/>
    </row>
    <row r="249" spans="1:30" x14ac:dyDescent="0.45">
      <c r="A249" s="3"/>
      <c r="B249" s="3"/>
      <c r="C249" s="5" t="str">
        <f>IF($E249="","",COUNT($E$2:$E249))</f>
        <v/>
      </c>
      <c r="D249" s="3"/>
      <c r="E249" s="3"/>
      <c r="F249" s="3"/>
      <c r="G249" s="3"/>
      <c r="H249" s="3"/>
      <c r="I249" s="3"/>
      <c r="J249" s="3"/>
      <c r="K249" s="3"/>
      <c r="L249" s="4"/>
      <c r="M249" s="6" t="str">
        <f>IF(OR($E249="",$F249=""),"",IF(_xlfn.SINGLE(JobState)="",IF(ROW()=2,HYPERLINK("#JobState","Set State →"),""),HYPERLINK(IF(OR(_xlfn.SINGLE(JobState)="MI",_xlfn.SINGLE(JobState)=""),"https://fema.maps.arcgis.com/apps/mapviewer/index.html?webmap=6a1702b9147243d1a5ee62cd614bc681&amp;center="&amp;$F249&amp;","&amp;$E249&amp;"&amp;level=16&amp;marker="&amp;$F249&amp;","&amp;$E249&amp;"",IF(_xlfn.SINGLE(JobState)="IN","https://fema.maps.arcgis.com/apps/mapviewer/index.html?url=https%3A%2F%2Fgis.indot.in.gov%2Fro%2Frest%2Fservices%2FRAH_GIO_Collaboration%2FLRSE_Functional_Class%2FFeatureServer%2F22&amp;find="&amp;$F249&amp;"%2C"&amp;$E249&amp;"&amp;marker="&amp;$F249&amp;","&amp;$E249&amp;",4326&amp;level=16",IF(_xlfn.SINGLE(JobState)="WI","https://fema.maps.arcgis.com/apps/mapviewer/index.html?url=https://services5.arcgis.com/0pgGLzT0Nh7FVjon/arcgis/rest/services/Functional_Class_Local_Non_Prod/FeatureServer/1&amp;find="&amp;$F249&amp;"%2C"&amp;$E249&amp;"&amp;marker="&amp;$F249&amp;","&amp;$E249&amp;",4326&amp;level=16",IF(_xlfn.SINGLE(JobState)="MN","https://fema.maps.arcgis.com/apps/mapviewer/index.html?url=https%3A%2F%2Fdotapp9.dot.state.mn.us%2Fegis12%2Frest%2Fservices%2FBASEMAP%2Fmndot_commonlayers2%2FMapServer%2F11&amp;find="&amp;$F249&amp;"%2C"&amp;$E249&amp;"&amp;marker="&amp;$F249&amp;","&amp;$E249&amp;",4326&amp;level=16",IF(_xlfn.SINGLE(JobState)="IL","https://fema.maps.arcgis.com/apps/mapviewer/index.html?url=https%3A%2F%2Fgis1.dot.illinois.gov%2Farcgis%2Frest%2Fservices%2FAdministrativeData%2FFunctionalClass%2FMapServer%2F0&amp;find="&amp;$F249&amp;"%2C"&amp;$E249&amp;"&amp;marker="&amp;$F249&amp;","&amp;$E249&amp;",4326&amp;level=16",IF(_xlfn.SINGLE(JobState)="OH","https://fema.maps.arcgis.com/apps/mapviewer/index.html?url=https%3A%2F%2Ftims.dot.state.oh.us%2Fags%2Frest%2Fservices%2FRoadway_Information%2FFunctional_Class%2FMapServer%2F0&amp;find="&amp;$F249&amp;"%2C"&amp;$E249&amp;"&amp;marker="&amp;$F249&amp;","&amp;$E249&amp;",4326&amp;level=16","https://fema.maps.arcgis.com/apps/mapviewer/index.html?find="&amp;$F249&amp;"%2C"&amp;$E249&amp;"&amp;marker="&amp;$F249&amp;","&amp;$E249&amp;",4326&amp;level=16")))))),IF(_xlfn.SINGLE(JobState)="WI","Review Local Roads Layer","Review NFC AGOL Layer"))))</f>
        <v/>
      </c>
      <c r="N249" s="6" t="str">
        <f>IF(OR($E249="",$F249=""),"",IF(_xlfn.SINGLE(JobState)="",IF(ROW()=2,HYPERLINK("#JobState","Set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249&amp;"%2C"&amp;$E249&amp;"&amp;marker="&amp;$F249&amp;","&amp;$E249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9" s="6" t="str">
        <f>IF(OR($E249="", $F249=""),"",IF(_xlfn.SINGLE(JobAgolMap)="",HYPERLINK("https://fema.maps.arcgis.com/apps/mapviewer/index.html?find="&amp;$F249&amp;"%2C"&amp;$E249&amp;"&amp;marker="&amp;$F249&amp;","&amp;$E249&amp;",4326&amp;level=16","FEMA AGOL Map Viewer"),HYPERLINK(_xlfn.SINGLE(JobAgolMap)&amp;IF(ISNUMBER(FIND("?",_xlfn.SINGLE(JobAgolMap))),"&amp;","?")&amp;"center="&amp;$F249&amp;","&amp;$E249&amp;"&amp;level=16&amp;marker="&amp;$F249&amp;","&amp;$E249,"Open")))</f>
        <v/>
      </c>
      <c r="Q249" s="4"/>
      <c r="R249" s="4"/>
      <c r="W249" s="6" t="str">
        <f t="shared" si="18"/>
        <v/>
      </c>
      <c r="X249" s="6" t="str">
        <f t="shared" si="19"/>
        <v/>
      </c>
      <c r="Y249" s="6" t="str">
        <f t="shared" si="20"/>
        <v/>
      </c>
      <c r="Z249" s="6" t="str">
        <f t="shared" si="21"/>
        <v/>
      </c>
      <c r="AA249" s="6" t="str">
        <f t="shared" si="22"/>
        <v/>
      </c>
      <c r="AB249" s="6" t="str">
        <f t="shared" si="23"/>
        <v/>
      </c>
      <c r="AC249" s="4"/>
      <c r="AD249" s="4"/>
    </row>
    <row r="250" spans="1:30" x14ac:dyDescent="0.45">
      <c r="A250" s="3"/>
      <c r="B250" s="3"/>
      <c r="C250" s="5" t="str">
        <f>IF($E250="","",COUNT($E$2:$E250))</f>
        <v/>
      </c>
      <c r="D250" s="3"/>
      <c r="E250" s="3"/>
      <c r="F250" s="3"/>
      <c r="G250" s="3"/>
      <c r="H250" s="3"/>
      <c r="I250" s="3"/>
      <c r="J250" s="3"/>
      <c r="K250" s="3"/>
      <c r="L250" s="4"/>
      <c r="M250" s="6" t="str">
        <f>IF(OR($E250="",$F250=""),"",IF(_xlfn.SINGLE(JobState)="",IF(ROW()=2,HYPERLINK("#JobState","Set State →"),""),HYPERLINK(IF(OR(_xlfn.SINGLE(JobState)="MI",_xlfn.SINGLE(JobState)=""),"https://fema.maps.arcgis.com/apps/mapviewer/index.html?webmap=6a1702b9147243d1a5ee62cd614bc681&amp;center="&amp;$F250&amp;","&amp;$E250&amp;"&amp;level=16&amp;marker="&amp;$F250&amp;","&amp;$E250&amp;"",IF(_xlfn.SINGLE(JobState)="IN","https://fema.maps.arcgis.com/apps/mapviewer/index.html?url=https%3A%2F%2Fgis.indot.in.gov%2Fro%2Frest%2Fservices%2FRAH_GIO_Collaboration%2FLRSE_Functional_Class%2FFeatureServer%2F22&amp;find="&amp;$F250&amp;"%2C"&amp;$E250&amp;"&amp;marker="&amp;$F250&amp;","&amp;$E250&amp;",4326&amp;level=16",IF(_xlfn.SINGLE(JobState)="WI","https://fema.maps.arcgis.com/apps/mapviewer/index.html?url=https://services5.arcgis.com/0pgGLzT0Nh7FVjon/arcgis/rest/services/Functional_Class_Local_Non_Prod/FeatureServer/1&amp;find="&amp;$F250&amp;"%2C"&amp;$E250&amp;"&amp;marker="&amp;$F250&amp;","&amp;$E250&amp;",4326&amp;level=16",IF(_xlfn.SINGLE(JobState)="MN","https://fema.maps.arcgis.com/apps/mapviewer/index.html?url=https%3A%2F%2Fdotapp9.dot.state.mn.us%2Fegis12%2Frest%2Fservices%2FBASEMAP%2Fmndot_commonlayers2%2FMapServer%2F11&amp;find="&amp;$F250&amp;"%2C"&amp;$E250&amp;"&amp;marker="&amp;$F250&amp;","&amp;$E250&amp;",4326&amp;level=16",IF(_xlfn.SINGLE(JobState)="IL","https://fema.maps.arcgis.com/apps/mapviewer/index.html?url=https%3A%2F%2Fgis1.dot.illinois.gov%2Farcgis%2Frest%2Fservices%2FAdministrativeData%2FFunctionalClass%2FMapServer%2F0&amp;find="&amp;$F250&amp;"%2C"&amp;$E250&amp;"&amp;marker="&amp;$F250&amp;","&amp;$E250&amp;",4326&amp;level=16",IF(_xlfn.SINGLE(JobState)="OH","https://fema.maps.arcgis.com/apps/mapviewer/index.html?url=https%3A%2F%2Ftims.dot.state.oh.us%2Fags%2Frest%2Fservices%2FRoadway_Information%2FFunctional_Class%2FMapServer%2F0&amp;find="&amp;$F250&amp;"%2C"&amp;$E250&amp;"&amp;marker="&amp;$F250&amp;","&amp;$E250&amp;",4326&amp;level=16","https://fema.maps.arcgis.com/apps/mapviewer/index.html?find="&amp;$F250&amp;"%2C"&amp;$E250&amp;"&amp;marker="&amp;$F250&amp;","&amp;$E250&amp;",4326&amp;level=16")))))),IF(_xlfn.SINGLE(JobState)="WI","Review Local Roads Layer","Review NFC AGOL Layer"))))</f>
        <v/>
      </c>
      <c r="N250" s="6" t="str">
        <f>IF(OR($E250="",$F250=""),"",IF(_xlfn.SINGLE(JobState)="",IF(ROW()=2,HYPERLINK("#JobState","Set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250&amp;"%2C"&amp;$E250&amp;"&amp;marker="&amp;$F250&amp;","&amp;$E250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0" s="6" t="str">
        <f>IF(OR($E250="", $F250=""),"",IF(_xlfn.SINGLE(JobAgolMap)="",HYPERLINK("https://fema.maps.arcgis.com/apps/mapviewer/index.html?find="&amp;$F250&amp;"%2C"&amp;$E250&amp;"&amp;marker="&amp;$F250&amp;","&amp;$E250&amp;",4326&amp;level=16","FEMA AGOL Map Viewer"),HYPERLINK(_xlfn.SINGLE(JobAgolMap)&amp;IF(ISNUMBER(FIND("?",_xlfn.SINGLE(JobAgolMap))),"&amp;","?")&amp;"center="&amp;$F250&amp;","&amp;$E250&amp;"&amp;level=16&amp;marker="&amp;$F250&amp;","&amp;$E250,"Open")))</f>
        <v/>
      </c>
      <c r="Q250" s="4"/>
      <c r="R250" s="4"/>
      <c r="W250" s="6" t="str">
        <f t="shared" si="18"/>
        <v/>
      </c>
      <c r="X250" s="6" t="str">
        <f t="shared" si="19"/>
        <v/>
      </c>
      <c r="Y250" s="6" t="str">
        <f t="shared" si="20"/>
        <v/>
      </c>
      <c r="Z250" s="6" t="str">
        <f t="shared" si="21"/>
        <v/>
      </c>
      <c r="AA250" s="6" t="str">
        <f t="shared" si="22"/>
        <v/>
      </c>
      <c r="AB250" s="6" t="str">
        <f t="shared" si="23"/>
        <v/>
      </c>
      <c r="AC250" s="4"/>
      <c r="AD250" s="4"/>
    </row>
    <row r="251" spans="1:30" x14ac:dyDescent="0.45">
      <c r="A251" s="3"/>
      <c r="B251" s="3"/>
      <c r="C251" s="5" t="str">
        <f>IF($E251="","",COUNT($E$2:$E251))</f>
        <v/>
      </c>
      <c r="D251" s="3"/>
      <c r="E251" s="3"/>
      <c r="F251" s="3"/>
      <c r="G251" s="3"/>
      <c r="H251" s="3"/>
      <c r="I251" s="3"/>
      <c r="J251" s="3"/>
      <c r="K251" s="3"/>
      <c r="L251" s="4"/>
      <c r="M251" s="6" t="str">
        <f>IF(OR($E251="",$F251=""),"",IF(_xlfn.SINGLE(JobState)="",IF(ROW()=2,HYPERLINK("#JobState","Set State →"),""),HYPERLINK(IF(OR(_xlfn.SINGLE(JobState)="MI",_xlfn.SINGLE(JobState)=""),"https://fema.maps.arcgis.com/apps/mapviewer/index.html?webmap=6a1702b9147243d1a5ee62cd614bc681&amp;center="&amp;$F251&amp;","&amp;$E251&amp;"&amp;level=16&amp;marker="&amp;$F251&amp;","&amp;$E251&amp;"",IF(_xlfn.SINGLE(JobState)="IN","https://fema.maps.arcgis.com/apps/mapviewer/index.html?url=https%3A%2F%2Fgis.indot.in.gov%2Fro%2Frest%2Fservices%2FRAH_GIO_Collaboration%2FLRSE_Functional_Class%2FFeatureServer%2F22&amp;find="&amp;$F251&amp;"%2C"&amp;$E251&amp;"&amp;marker="&amp;$F251&amp;","&amp;$E251&amp;",4326&amp;level=16",IF(_xlfn.SINGLE(JobState)="WI","https://fema.maps.arcgis.com/apps/mapviewer/index.html?url=https://services5.arcgis.com/0pgGLzT0Nh7FVjon/arcgis/rest/services/Functional_Class_Local_Non_Prod/FeatureServer/1&amp;find="&amp;$F251&amp;"%2C"&amp;$E251&amp;"&amp;marker="&amp;$F251&amp;","&amp;$E251&amp;",4326&amp;level=16",IF(_xlfn.SINGLE(JobState)="MN","https://fema.maps.arcgis.com/apps/mapviewer/index.html?url=https%3A%2F%2Fdotapp9.dot.state.mn.us%2Fegis12%2Frest%2Fservices%2FBASEMAP%2Fmndot_commonlayers2%2FMapServer%2F11&amp;find="&amp;$F251&amp;"%2C"&amp;$E251&amp;"&amp;marker="&amp;$F251&amp;","&amp;$E251&amp;",4326&amp;level=16",IF(_xlfn.SINGLE(JobState)="IL","https://fema.maps.arcgis.com/apps/mapviewer/index.html?url=https%3A%2F%2Fgis1.dot.illinois.gov%2Farcgis%2Frest%2Fservices%2FAdministrativeData%2FFunctionalClass%2FMapServer%2F0&amp;find="&amp;$F251&amp;"%2C"&amp;$E251&amp;"&amp;marker="&amp;$F251&amp;","&amp;$E251&amp;",4326&amp;level=16",IF(_xlfn.SINGLE(JobState)="OH","https://fema.maps.arcgis.com/apps/mapviewer/index.html?url=https%3A%2F%2Ftims.dot.state.oh.us%2Fags%2Frest%2Fservices%2FRoadway_Information%2FFunctional_Class%2FMapServer%2F0&amp;find="&amp;$F251&amp;"%2C"&amp;$E251&amp;"&amp;marker="&amp;$F251&amp;","&amp;$E251&amp;",4326&amp;level=16","https://fema.maps.arcgis.com/apps/mapviewer/index.html?find="&amp;$F251&amp;"%2C"&amp;$E251&amp;"&amp;marker="&amp;$F251&amp;","&amp;$E251&amp;",4326&amp;level=16")))))),IF(_xlfn.SINGLE(JobState)="WI","Review Local Roads Layer","Review NFC AGOL Layer"))))</f>
        <v/>
      </c>
      <c r="N251" s="6" t="str">
        <f>IF(OR($E251="",$F251=""),"",IF(_xlfn.SINGLE(JobState)="",IF(ROW()=2,HYPERLINK("#JobState","Set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251&amp;"%2C"&amp;$E251&amp;"&amp;marker="&amp;$F251&amp;","&amp;$E251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1" s="6" t="str">
        <f>IF(OR($E251="", $F251=""),"",IF(_xlfn.SINGLE(JobAgolMap)="",HYPERLINK("https://fema.maps.arcgis.com/apps/mapviewer/index.html?find="&amp;$F251&amp;"%2C"&amp;$E251&amp;"&amp;marker="&amp;$F251&amp;","&amp;$E251&amp;",4326&amp;level=16","FEMA AGOL Map Viewer"),HYPERLINK(_xlfn.SINGLE(JobAgolMap)&amp;IF(ISNUMBER(FIND("?",_xlfn.SINGLE(JobAgolMap))),"&amp;","?")&amp;"center="&amp;$F251&amp;","&amp;$E251&amp;"&amp;level=16&amp;marker="&amp;$F251&amp;","&amp;$E251,"Open")))</f>
        <v/>
      </c>
      <c r="Q251" s="4"/>
      <c r="R251" s="4"/>
      <c r="W251" s="6" t="str">
        <f t="shared" si="18"/>
        <v/>
      </c>
      <c r="X251" s="6" t="str">
        <f t="shared" si="19"/>
        <v/>
      </c>
      <c r="Y251" s="6" t="str">
        <f t="shared" si="20"/>
        <v/>
      </c>
      <c r="Z251" s="6" t="str">
        <f t="shared" si="21"/>
        <v/>
      </c>
      <c r="AA251" s="6" t="str">
        <f t="shared" si="22"/>
        <v/>
      </c>
      <c r="AB251" s="6" t="str">
        <f t="shared" si="23"/>
        <v/>
      </c>
      <c r="AC251" s="4"/>
      <c r="AD251" s="4"/>
    </row>
    <row r="252" spans="1:30" x14ac:dyDescent="0.45">
      <c r="A252" s="3"/>
      <c r="B252" s="3"/>
      <c r="C252" s="5" t="str">
        <f>IF($E252="","",COUNT($E$2:$E252))</f>
        <v/>
      </c>
      <c r="D252" s="3"/>
      <c r="E252" s="3"/>
      <c r="F252" s="3"/>
      <c r="G252" s="3"/>
      <c r="H252" s="3"/>
      <c r="I252" s="3"/>
      <c r="J252" s="3"/>
      <c r="K252" s="3"/>
      <c r="L252" s="4"/>
      <c r="M252" s="6" t="str">
        <f>IF(OR($E252="",$F252=""),"",IF(_xlfn.SINGLE(JobState)="",IF(ROW()=2,HYPERLINK("#JobState","Set State →"),""),HYPERLINK(IF(OR(_xlfn.SINGLE(JobState)="MI",_xlfn.SINGLE(JobState)=""),"https://fema.maps.arcgis.com/apps/mapviewer/index.html?webmap=6a1702b9147243d1a5ee62cd614bc681&amp;center="&amp;$F252&amp;","&amp;$E252&amp;"&amp;level=16&amp;marker="&amp;$F252&amp;","&amp;$E252&amp;"",IF(_xlfn.SINGLE(JobState)="IN","https://fema.maps.arcgis.com/apps/mapviewer/index.html?url=https%3A%2F%2Fgis.indot.in.gov%2Fro%2Frest%2Fservices%2FRAH_GIO_Collaboration%2FLRSE_Functional_Class%2FFeatureServer%2F22&amp;find="&amp;$F252&amp;"%2C"&amp;$E252&amp;"&amp;marker="&amp;$F252&amp;","&amp;$E252&amp;",4326&amp;level=16",IF(_xlfn.SINGLE(JobState)="WI","https://fema.maps.arcgis.com/apps/mapviewer/index.html?url=https://services5.arcgis.com/0pgGLzT0Nh7FVjon/arcgis/rest/services/Functional_Class_Local_Non_Prod/FeatureServer/1&amp;find="&amp;$F252&amp;"%2C"&amp;$E252&amp;"&amp;marker="&amp;$F252&amp;","&amp;$E252&amp;",4326&amp;level=16",IF(_xlfn.SINGLE(JobState)="MN","https://fema.maps.arcgis.com/apps/mapviewer/index.html?url=https%3A%2F%2Fdotapp9.dot.state.mn.us%2Fegis12%2Frest%2Fservices%2FBASEMAP%2Fmndot_commonlayers2%2FMapServer%2F11&amp;find="&amp;$F252&amp;"%2C"&amp;$E252&amp;"&amp;marker="&amp;$F252&amp;","&amp;$E252&amp;",4326&amp;level=16",IF(_xlfn.SINGLE(JobState)="IL","https://fema.maps.arcgis.com/apps/mapviewer/index.html?url=https%3A%2F%2Fgis1.dot.illinois.gov%2Farcgis%2Frest%2Fservices%2FAdministrativeData%2FFunctionalClass%2FMapServer%2F0&amp;find="&amp;$F252&amp;"%2C"&amp;$E252&amp;"&amp;marker="&amp;$F252&amp;","&amp;$E252&amp;",4326&amp;level=16",IF(_xlfn.SINGLE(JobState)="OH","https://fema.maps.arcgis.com/apps/mapviewer/index.html?url=https%3A%2F%2Ftims.dot.state.oh.us%2Fags%2Frest%2Fservices%2FRoadway_Information%2FFunctional_Class%2FMapServer%2F0&amp;find="&amp;$F252&amp;"%2C"&amp;$E252&amp;"&amp;marker="&amp;$F252&amp;","&amp;$E252&amp;",4326&amp;level=16","https://fema.maps.arcgis.com/apps/mapviewer/index.html?find="&amp;$F252&amp;"%2C"&amp;$E252&amp;"&amp;marker="&amp;$F252&amp;","&amp;$E252&amp;",4326&amp;level=16")))))),IF(_xlfn.SINGLE(JobState)="WI","Review Local Roads Layer","Review NFC AGOL Layer"))))</f>
        <v/>
      </c>
      <c r="N252" s="6" t="str">
        <f>IF(OR($E252="",$F252=""),"",IF(_xlfn.SINGLE(JobState)="",IF(ROW()=2,HYPERLINK("#JobState","Set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252&amp;"%2C"&amp;$E252&amp;"&amp;marker="&amp;$F252&amp;","&amp;$E252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2" s="6" t="str">
        <f>IF(OR($E252="", $F252=""),"",IF(_xlfn.SINGLE(JobAgolMap)="",HYPERLINK("https://fema.maps.arcgis.com/apps/mapviewer/index.html?find="&amp;$F252&amp;"%2C"&amp;$E252&amp;"&amp;marker="&amp;$F252&amp;","&amp;$E252&amp;",4326&amp;level=16","FEMA AGOL Map Viewer"),HYPERLINK(_xlfn.SINGLE(JobAgolMap)&amp;IF(ISNUMBER(FIND("?",_xlfn.SINGLE(JobAgolMap))),"&amp;","?")&amp;"center="&amp;$F252&amp;","&amp;$E252&amp;"&amp;level=16&amp;marker="&amp;$F252&amp;","&amp;$E252,"Open")))</f>
        <v/>
      </c>
      <c r="Q252" s="4"/>
      <c r="R252" s="4"/>
      <c r="W252" s="6" t="str">
        <f t="shared" si="18"/>
        <v/>
      </c>
      <c r="X252" s="6" t="str">
        <f t="shared" si="19"/>
        <v/>
      </c>
      <c r="Y252" s="6" t="str">
        <f t="shared" si="20"/>
        <v/>
      </c>
      <c r="Z252" s="6" t="str">
        <f t="shared" si="21"/>
        <v/>
      </c>
      <c r="AA252" s="6" t="str">
        <f t="shared" si="22"/>
        <v/>
      </c>
      <c r="AB252" s="6" t="str">
        <f t="shared" si="23"/>
        <v/>
      </c>
      <c r="AC252" s="4"/>
      <c r="AD252" s="4"/>
    </row>
    <row r="253" spans="1:30" x14ac:dyDescent="0.45">
      <c r="A253" s="3"/>
      <c r="B253" s="3"/>
      <c r="C253" s="5" t="str">
        <f>IF($E253="","",COUNT($E$2:$E253))</f>
        <v/>
      </c>
      <c r="D253" s="3"/>
      <c r="E253" s="3"/>
      <c r="F253" s="3"/>
      <c r="G253" s="3"/>
      <c r="H253" s="3"/>
      <c r="I253" s="3"/>
      <c r="J253" s="3"/>
      <c r="K253" s="3"/>
      <c r="L253" s="4"/>
      <c r="M253" s="6" t="str">
        <f>IF(OR($E253="",$F253=""),"",IF(_xlfn.SINGLE(JobState)="",IF(ROW()=2,HYPERLINK("#JobState","Set State →"),""),HYPERLINK(IF(OR(_xlfn.SINGLE(JobState)="MI",_xlfn.SINGLE(JobState)=""),"https://fema.maps.arcgis.com/apps/mapviewer/index.html?webmap=6a1702b9147243d1a5ee62cd614bc681&amp;center="&amp;$F253&amp;","&amp;$E253&amp;"&amp;level=16&amp;marker="&amp;$F253&amp;","&amp;$E253&amp;"",IF(_xlfn.SINGLE(JobState)="IN","https://fema.maps.arcgis.com/apps/mapviewer/index.html?url=https%3A%2F%2Fgis.indot.in.gov%2Fro%2Frest%2Fservices%2FRAH_GIO_Collaboration%2FLRSE_Functional_Class%2FFeatureServer%2F22&amp;find="&amp;$F253&amp;"%2C"&amp;$E253&amp;"&amp;marker="&amp;$F253&amp;","&amp;$E253&amp;",4326&amp;level=16",IF(_xlfn.SINGLE(JobState)="WI","https://fema.maps.arcgis.com/apps/mapviewer/index.html?url=https://services5.arcgis.com/0pgGLzT0Nh7FVjon/arcgis/rest/services/Functional_Class_Local_Non_Prod/FeatureServer/1&amp;find="&amp;$F253&amp;"%2C"&amp;$E253&amp;"&amp;marker="&amp;$F253&amp;","&amp;$E253&amp;",4326&amp;level=16",IF(_xlfn.SINGLE(JobState)="MN","https://fema.maps.arcgis.com/apps/mapviewer/index.html?url=https%3A%2F%2Fdotapp9.dot.state.mn.us%2Fegis12%2Frest%2Fservices%2FBASEMAP%2Fmndot_commonlayers2%2FMapServer%2F11&amp;find="&amp;$F253&amp;"%2C"&amp;$E253&amp;"&amp;marker="&amp;$F253&amp;","&amp;$E253&amp;",4326&amp;level=16",IF(_xlfn.SINGLE(JobState)="IL","https://fema.maps.arcgis.com/apps/mapviewer/index.html?url=https%3A%2F%2Fgis1.dot.illinois.gov%2Farcgis%2Frest%2Fservices%2FAdministrativeData%2FFunctionalClass%2FMapServer%2F0&amp;find="&amp;$F253&amp;"%2C"&amp;$E253&amp;"&amp;marker="&amp;$F253&amp;","&amp;$E253&amp;",4326&amp;level=16",IF(_xlfn.SINGLE(JobState)="OH","https://fema.maps.arcgis.com/apps/mapviewer/index.html?url=https%3A%2F%2Ftims.dot.state.oh.us%2Fags%2Frest%2Fservices%2FRoadway_Information%2FFunctional_Class%2FMapServer%2F0&amp;find="&amp;$F253&amp;"%2C"&amp;$E253&amp;"&amp;marker="&amp;$F253&amp;","&amp;$E253&amp;",4326&amp;level=16","https://fema.maps.arcgis.com/apps/mapviewer/index.html?find="&amp;$F253&amp;"%2C"&amp;$E253&amp;"&amp;marker="&amp;$F253&amp;","&amp;$E253&amp;",4326&amp;level=16")))))),IF(_xlfn.SINGLE(JobState)="WI","Review Local Roads Layer","Review NFC AGOL Layer"))))</f>
        <v/>
      </c>
      <c r="N253" s="6" t="str">
        <f>IF(OR($E253="",$F253=""),"",IF(_xlfn.SINGLE(JobState)="",IF(ROW()=2,HYPERLINK("#JobState","Set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253&amp;"%2C"&amp;$E253&amp;"&amp;marker="&amp;$F253&amp;","&amp;$E253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3" s="6" t="str">
        <f>IF(OR($E253="", $F253=""),"",IF(_xlfn.SINGLE(JobAgolMap)="",HYPERLINK("https://fema.maps.arcgis.com/apps/mapviewer/index.html?find="&amp;$F253&amp;"%2C"&amp;$E253&amp;"&amp;marker="&amp;$F253&amp;","&amp;$E253&amp;",4326&amp;level=16","FEMA AGOL Map Viewer"),HYPERLINK(_xlfn.SINGLE(JobAgolMap)&amp;IF(ISNUMBER(FIND("?",_xlfn.SINGLE(JobAgolMap))),"&amp;","?")&amp;"center="&amp;$F253&amp;","&amp;$E253&amp;"&amp;level=16&amp;marker="&amp;$F253&amp;","&amp;$E253,"Open")))</f>
        <v/>
      </c>
      <c r="Q253" s="4"/>
      <c r="R253" s="4"/>
      <c r="W253" s="6" t="str">
        <f t="shared" si="18"/>
        <v/>
      </c>
      <c r="X253" s="6" t="str">
        <f t="shared" si="19"/>
        <v/>
      </c>
      <c r="Y253" s="6" t="str">
        <f t="shared" si="20"/>
        <v/>
      </c>
      <c r="Z253" s="6" t="str">
        <f t="shared" si="21"/>
        <v/>
      </c>
      <c r="AA253" s="6" t="str">
        <f t="shared" si="22"/>
        <v/>
      </c>
      <c r="AB253" s="6" t="str">
        <f t="shared" si="23"/>
        <v/>
      </c>
      <c r="AC253" s="4"/>
      <c r="AD253" s="4"/>
    </row>
    <row r="254" spans="1:30" x14ac:dyDescent="0.45">
      <c r="A254" s="3"/>
      <c r="B254" s="3"/>
      <c r="C254" s="5" t="str">
        <f>IF($E254="","",COUNT($E$2:$E254))</f>
        <v/>
      </c>
      <c r="D254" s="3"/>
      <c r="E254" s="3"/>
      <c r="F254" s="3"/>
      <c r="G254" s="3"/>
      <c r="H254" s="3"/>
      <c r="I254" s="3"/>
      <c r="J254" s="3"/>
      <c r="K254" s="3"/>
      <c r="L254" s="4"/>
      <c r="M254" s="6" t="str">
        <f>IF(OR($E254="",$F254=""),"",IF(_xlfn.SINGLE(JobState)="",IF(ROW()=2,HYPERLINK("#JobState","Set State →"),""),HYPERLINK(IF(OR(_xlfn.SINGLE(JobState)="MI",_xlfn.SINGLE(JobState)=""),"https://fema.maps.arcgis.com/apps/mapviewer/index.html?webmap=6a1702b9147243d1a5ee62cd614bc681&amp;center="&amp;$F254&amp;","&amp;$E254&amp;"&amp;level=16&amp;marker="&amp;$F254&amp;","&amp;$E254&amp;"",IF(_xlfn.SINGLE(JobState)="IN","https://fema.maps.arcgis.com/apps/mapviewer/index.html?url=https%3A%2F%2Fgis.indot.in.gov%2Fro%2Frest%2Fservices%2FRAH_GIO_Collaboration%2FLRSE_Functional_Class%2FFeatureServer%2F22&amp;find="&amp;$F254&amp;"%2C"&amp;$E254&amp;"&amp;marker="&amp;$F254&amp;","&amp;$E254&amp;",4326&amp;level=16",IF(_xlfn.SINGLE(JobState)="WI","https://fema.maps.arcgis.com/apps/mapviewer/index.html?url=https://services5.arcgis.com/0pgGLzT0Nh7FVjon/arcgis/rest/services/Functional_Class_Local_Non_Prod/FeatureServer/1&amp;find="&amp;$F254&amp;"%2C"&amp;$E254&amp;"&amp;marker="&amp;$F254&amp;","&amp;$E254&amp;",4326&amp;level=16",IF(_xlfn.SINGLE(JobState)="MN","https://fema.maps.arcgis.com/apps/mapviewer/index.html?url=https%3A%2F%2Fdotapp9.dot.state.mn.us%2Fegis12%2Frest%2Fservices%2FBASEMAP%2Fmndot_commonlayers2%2FMapServer%2F11&amp;find="&amp;$F254&amp;"%2C"&amp;$E254&amp;"&amp;marker="&amp;$F254&amp;","&amp;$E254&amp;",4326&amp;level=16",IF(_xlfn.SINGLE(JobState)="IL","https://fema.maps.arcgis.com/apps/mapviewer/index.html?url=https%3A%2F%2Fgis1.dot.illinois.gov%2Farcgis%2Frest%2Fservices%2FAdministrativeData%2FFunctionalClass%2FMapServer%2F0&amp;find="&amp;$F254&amp;"%2C"&amp;$E254&amp;"&amp;marker="&amp;$F254&amp;","&amp;$E254&amp;",4326&amp;level=16",IF(_xlfn.SINGLE(JobState)="OH","https://fema.maps.arcgis.com/apps/mapviewer/index.html?url=https%3A%2F%2Ftims.dot.state.oh.us%2Fags%2Frest%2Fservices%2FRoadway_Information%2FFunctional_Class%2FMapServer%2F0&amp;find="&amp;$F254&amp;"%2C"&amp;$E254&amp;"&amp;marker="&amp;$F254&amp;","&amp;$E254&amp;",4326&amp;level=16","https://fema.maps.arcgis.com/apps/mapviewer/index.html?find="&amp;$F254&amp;"%2C"&amp;$E254&amp;"&amp;marker="&amp;$F254&amp;","&amp;$E254&amp;",4326&amp;level=16")))))),IF(_xlfn.SINGLE(JobState)="WI","Review Local Roads Layer","Review NFC AGOL Layer"))))</f>
        <v/>
      </c>
      <c r="N254" s="6" t="str">
        <f>IF(OR($E254="",$F254=""),"",IF(_xlfn.SINGLE(JobState)="",IF(ROW()=2,HYPERLINK("#JobState","Set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254&amp;"%2C"&amp;$E254&amp;"&amp;marker="&amp;$F254&amp;","&amp;$E254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4" s="6" t="str">
        <f>IF(OR($E254="", $F254=""),"",IF(_xlfn.SINGLE(JobAgolMap)="",HYPERLINK("https://fema.maps.arcgis.com/apps/mapviewer/index.html?find="&amp;$F254&amp;"%2C"&amp;$E254&amp;"&amp;marker="&amp;$F254&amp;","&amp;$E254&amp;",4326&amp;level=16","FEMA AGOL Map Viewer"),HYPERLINK(_xlfn.SINGLE(JobAgolMap)&amp;IF(ISNUMBER(FIND("?",_xlfn.SINGLE(JobAgolMap))),"&amp;","?")&amp;"center="&amp;$F254&amp;","&amp;$E254&amp;"&amp;level=16&amp;marker="&amp;$F254&amp;","&amp;$E254,"Open")))</f>
        <v/>
      </c>
      <c r="Q254" s="4"/>
      <c r="R254" s="4"/>
      <c r="W254" s="6" t="str">
        <f t="shared" si="18"/>
        <v/>
      </c>
      <c r="X254" s="6" t="str">
        <f t="shared" si="19"/>
        <v/>
      </c>
      <c r="Y254" s="6" t="str">
        <f t="shared" si="20"/>
        <v/>
      </c>
      <c r="Z254" s="6" t="str">
        <f t="shared" si="21"/>
        <v/>
      </c>
      <c r="AA254" s="6" t="str">
        <f t="shared" si="22"/>
        <v/>
      </c>
      <c r="AB254" s="6" t="str">
        <f t="shared" si="23"/>
        <v/>
      </c>
      <c r="AC254" s="4"/>
      <c r="AD254" s="4"/>
    </row>
    <row r="255" spans="1:30" x14ac:dyDescent="0.45">
      <c r="A255" s="3"/>
      <c r="B255" s="3"/>
      <c r="C255" s="5" t="str">
        <f>IF($E255="","",COUNT($E$2:$E255))</f>
        <v/>
      </c>
      <c r="D255" s="3"/>
      <c r="E255" s="3"/>
      <c r="F255" s="3"/>
      <c r="G255" s="3"/>
      <c r="H255" s="3"/>
      <c r="I255" s="3"/>
      <c r="J255" s="3"/>
      <c r="K255" s="3"/>
      <c r="L255" s="4"/>
      <c r="M255" s="6" t="str">
        <f>IF(OR($E255="",$F255=""),"",IF(_xlfn.SINGLE(JobState)="",IF(ROW()=2,HYPERLINK("#JobState","Set State →"),""),HYPERLINK(IF(OR(_xlfn.SINGLE(JobState)="MI",_xlfn.SINGLE(JobState)=""),"https://fema.maps.arcgis.com/apps/mapviewer/index.html?webmap=6a1702b9147243d1a5ee62cd614bc681&amp;center="&amp;$F255&amp;","&amp;$E255&amp;"&amp;level=16&amp;marker="&amp;$F255&amp;","&amp;$E255&amp;"",IF(_xlfn.SINGLE(JobState)="IN","https://fema.maps.arcgis.com/apps/mapviewer/index.html?url=https%3A%2F%2Fgis.indot.in.gov%2Fro%2Frest%2Fservices%2FRAH_GIO_Collaboration%2FLRSE_Functional_Class%2FFeatureServer%2F22&amp;find="&amp;$F255&amp;"%2C"&amp;$E255&amp;"&amp;marker="&amp;$F255&amp;","&amp;$E255&amp;",4326&amp;level=16",IF(_xlfn.SINGLE(JobState)="WI","https://fema.maps.arcgis.com/apps/mapviewer/index.html?url=https://services5.arcgis.com/0pgGLzT0Nh7FVjon/arcgis/rest/services/Functional_Class_Local_Non_Prod/FeatureServer/1&amp;find="&amp;$F255&amp;"%2C"&amp;$E255&amp;"&amp;marker="&amp;$F255&amp;","&amp;$E255&amp;",4326&amp;level=16",IF(_xlfn.SINGLE(JobState)="MN","https://fema.maps.arcgis.com/apps/mapviewer/index.html?url=https%3A%2F%2Fdotapp9.dot.state.mn.us%2Fegis12%2Frest%2Fservices%2FBASEMAP%2Fmndot_commonlayers2%2FMapServer%2F11&amp;find="&amp;$F255&amp;"%2C"&amp;$E255&amp;"&amp;marker="&amp;$F255&amp;","&amp;$E255&amp;",4326&amp;level=16",IF(_xlfn.SINGLE(JobState)="IL","https://fema.maps.arcgis.com/apps/mapviewer/index.html?url=https%3A%2F%2Fgis1.dot.illinois.gov%2Farcgis%2Frest%2Fservices%2FAdministrativeData%2FFunctionalClass%2FMapServer%2F0&amp;find="&amp;$F255&amp;"%2C"&amp;$E255&amp;"&amp;marker="&amp;$F255&amp;","&amp;$E255&amp;",4326&amp;level=16",IF(_xlfn.SINGLE(JobState)="OH","https://fema.maps.arcgis.com/apps/mapviewer/index.html?url=https%3A%2F%2Ftims.dot.state.oh.us%2Fags%2Frest%2Fservices%2FRoadway_Information%2FFunctional_Class%2FMapServer%2F0&amp;find="&amp;$F255&amp;"%2C"&amp;$E255&amp;"&amp;marker="&amp;$F255&amp;","&amp;$E255&amp;",4326&amp;level=16","https://fema.maps.arcgis.com/apps/mapviewer/index.html?find="&amp;$F255&amp;"%2C"&amp;$E255&amp;"&amp;marker="&amp;$F255&amp;","&amp;$E255&amp;",4326&amp;level=16")))))),IF(_xlfn.SINGLE(JobState)="WI","Review Local Roads Layer","Review NFC AGOL Layer"))))</f>
        <v/>
      </c>
      <c r="N255" s="6" t="str">
        <f>IF(OR($E255="",$F255=""),"",IF(_xlfn.SINGLE(JobState)="",IF(ROW()=2,HYPERLINK("#JobState","Set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255&amp;"%2C"&amp;$E255&amp;"&amp;marker="&amp;$F255&amp;","&amp;$E255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5" s="6" t="str">
        <f>IF(OR($E255="", $F255=""),"",IF(_xlfn.SINGLE(JobAgolMap)="",HYPERLINK("https://fema.maps.arcgis.com/apps/mapviewer/index.html?find="&amp;$F255&amp;"%2C"&amp;$E255&amp;"&amp;marker="&amp;$F255&amp;","&amp;$E255&amp;",4326&amp;level=16","FEMA AGOL Map Viewer"),HYPERLINK(_xlfn.SINGLE(JobAgolMap)&amp;IF(ISNUMBER(FIND("?",_xlfn.SINGLE(JobAgolMap))),"&amp;","?")&amp;"center="&amp;$F255&amp;","&amp;$E255&amp;"&amp;level=16&amp;marker="&amp;$F255&amp;","&amp;$E255,"Open")))</f>
        <v/>
      </c>
      <c r="Q255" s="4"/>
      <c r="R255" s="4"/>
      <c r="W255" s="6" t="str">
        <f t="shared" si="18"/>
        <v/>
      </c>
      <c r="X255" s="6" t="str">
        <f t="shared" si="19"/>
        <v/>
      </c>
      <c r="Y255" s="6" t="str">
        <f t="shared" si="20"/>
        <v/>
      </c>
      <c r="Z255" s="6" t="str">
        <f t="shared" si="21"/>
        <v/>
      </c>
      <c r="AA255" s="6" t="str">
        <f t="shared" si="22"/>
        <v/>
      </c>
      <c r="AB255" s="6" t="str">
        <f t="shared" si="23"/>
        <v/>
      </c>
      <c r="AC255" s="4"/>
      <c r="AD255" s="4"/>
    </row>
    <row r="256" spans="1:30" x14ac:dyDescent="0.45">
      <c r="A256" s="3"/>
      <c r="B256" s="3"/>
      <c r="C256" s="5" t="str">
        <f>IF($E256="","",COUNT($E$2:$E256))</f>
        <v/>
      </c>
      <c r="D256" s="3"/>
      <c r="E256" s="3"/>
      <c r="F256" s="3"/>
      <c r="G256" s="3"/>
      <c r="H256" s="3"/>
      <c r="I256" s="3"/>
      <c r="J256" s="3"/>
      <c r="K256" s="3"/>
      <c r="L256" s="4"/>
      <c r="M256" s="6" t="str">
        <f>IF(OR($E256="",$F256=""),"",IF(_xlfn.SINGLE(JobState)="",IF(ROW()=2,HYPERLINK("#JobState","Set State →"),""),HYPERLINK(IF(OR(_xlfn.SINGLE(JobState)="MI",_xlfn.SINGLE(JobState)=""),"https://fema.maps.arcgis.com/apps/mapviewer/index.html?webmap=6a1702b9147243d1a5ee62cd614bc681&amp;center="&amp;$F256&amp;","&amp;$E256&amp;"&amp;level=16&amp;marker="&amp;$F256&amp;","&amp;$E256&amp;"",IF(_xlfn.SINGLE(JobState)="IN","https://fema.maps.arcgis.com/apps/mapviewer/index.html?url=https%3A%2F%2Fgis.indot.in.gov%2Fro%2Frest%2Fservices%2FRAH_GIO_Collaboration%2FLRSE_Functional_Class%2FFeatureServer%2F22&amp;find="&amp;$F256&amp;"%2C"&amp;$E256&amp;"&amp;marker="&amp;$F256&amp;","&amp;$E256&amp;",4326&amp;level=16",IF(_xlfn.SINGLE(JobState)="WI","https://fema.maps.arcgis.com/apps/mapviewer/index.html?url=https://services5.arcgis.com/0pgGLzT0Nh7FVjon/arcgis/rest/services/Functional_Class_Local_Non_Prod/FeatureServer/1&amp;find="&amp;$F256&amp;"%2C"&amp;$E256&amp;"&amp;marker="&amp;$F256&amp;","&amp;$E256&amp;",4326&amp;level=16",IF(_xlfn.SINGLE(JobState)="MN","https://fema.maps.arcgis.com/apps/mapviewer/index.html?url=https%3A%2F%2Fdotapp9.dot.state.mn.us%2Fegis12%2Frest%2Fservices%2FBASEMAP%2Fmndot_commonlayers2%2FMapServer%2F11&amp;find="&amp;$F256&amp;"%2C"&amp;$E256&amp;"&amp;marker="&amp;$F256&amp;","&amp;$E256&amp;",4326&amp;level=16",IF(_xlfn.SINGLE(JobState)="IL","https://fema.maps.arcgis.com/apps/mapviewer/index.html?url=https%3A%2F%2Fgis1.dot.illinois.gov%2Farcgis%2Frest%2Fservices%2FAdministrativeData%2FFunctionalClass%2FMapServer%2F0&amp;find="&amp;$F256&amp;"%2C"&amp;$E256&amp;"&amp;marker="&amp;$F256&amp;","&amp;$E256&amp;",4326&amp;level=16",IF(_xlfn.SINGLE(JobState)="OH","https://fema.maps.arcgis.com/apps/mapviewer/index.html?url=https%3A%2F%2Ftims.dot.state.oh.us%2Fags%2Frest%2Fservices%2FRoadway_Information%2FFunctional_Class%2FMapServer%2F0&amp;find="&amp;$F256&amp;"%2C"&amp;$E256&amp;"&amp;marker="&amp;$F256&amp;","&amp;$E256&amp;",4326&amp;level=16","https://fema.maps.arcgis.com/apps/mapviewer/index.html?find="&amp;$F256&amp;"%2C"&amp;$E256&amp;"&amp;marker="&amp;$F256&amp;","&amp;$E256&amp;",4326&amp;level=16")))))),IF(_xlfn.SINGLE(JobState)="WI","Review Local Roads Layer","Review NFC AGOL Layer"))))</f>
        <v/>
      </c>
      <c r="N256" s="6" t="str">
        <f>IF(OR($E256="",$F256=""),"",IF(_xlfn.SINGLE(JobState)="",IF(ROW()=2,HYPERLINK("#JobState","Set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256&amp;"%2C"&amp;$E256&amp;"&amp;marker="&amp;$F256&amp;","&amp;$E256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6" s="6" t="str">
        <f>IF(OR($E256="", $F256=""),"",IF(_xlfn.SINGLE(JobAgolMap)="",HYPERLINK("https://fema.maps.arcgis.com/apps/mapviewer/index.html?find="&amp;$F256&amp;"%2C"&amp;$E256&amp;"&amp;marker="&amp;$F256&amp;","&amp;$E256&amp;",4326&amp;level=16","FEMA AGOL Map Viewer"),HYPERLINK(_xlfn.SINGLE(JobAgolMap)&amp;IF(ISNUMBER(FIND("?",_xlfn.SINGLE(JobAgolMap))),"&amp;","?")&amp;"center="&amp;$F256&amp;","&amp;$E256&amp;"&amp;level=16&amp;marker="&amp;$F256&amp;","&amp;$E256,"Open")))</f>
        <v/>
      </c>
      <c r="Q256" s="4"/>
      <c r="R256" s="4"/>
      <c r="W256" s="6" t="str">
        <f t="shared" si="18"/>
        <v/>
      </c>
      <c r="X256" s="6" t="str">
        <f t="shared" si="19"/>
        <v/>
      </c>
      <c r="Y256" s="6" t="str">
        <f t="shared" si="20"/>
        <v/>
      </c>
      <c r="Z256" s="6" t="str">
        <f t="shared" si="21"/>
        <v/>
      </c>
      <c r="AA256" s="6" t="str">
        <f t="shared" si="22"/>
        <v/>
      </c>
      <c r="AB256" s="6" t="str">
        <f t="shared" si="23"/>
        <v/>
      </c>
      <c r="AC256" s="4"/>
      <c r="AD256" s="4"/>
    </row>
    <row r="257" spans="1:30" x14ac:dyDescent="0.45">
      <c r="A257" s="3"/>
      <c r="B257" s="3"/>
      <c r="C257" s="5" t="str">
        <f>IF($E257="","",COUNT($E$2:$E257))</f>
        <v/>
      </c>
      <c r="D257" s="3"/>
      <c r="E257" s="3"/>
      <c r="F257" s="3"/>
      <c r="G257" s="3"/>
      <c r="H257" s="3"/>
      <c r="I257" s="3"/>
      <c r="J257" s="3"/>
      <c r="K257" s="3"/>
      <c r="L257" s="4"/>
      <c r="M257" s="6" t="str">
        <f>IF(OR($E257="",$F257=""),"",IF(_xlfn.SINGLE(JobState)="",IF(ROW()=2,HYPERLINK("#JobState","Set State →"),""),HYPERLINK(IF(OR(_xlfn.SINGLE(JobState)="MI",_xlfn.SINGLE(JobState)=""),"https://fema.maps.arcgis.com/apps/mapviewer/index.html?webmap=6a1702b9147243d1a5ee62cd614bc681&amp;center="&amp;$F257&amp;","&amp;$E257&amp;"&amp;level=16&amp;marker="&amp;$F257&amp;","&amp;$E257&amp;"",IF(_xlfn.SINGLE(JobState)="IN","https://fema.maps.arcgis.com/apps/mapviewer/index.html?url=https%3A%2F%2Fgis.indot.in.gov%2Fro%2Frest%2Fservices%2FRAH_GIO_Collaboration%2FLRSE_Functional_Class%2FFeatureServer%2F22&amp;find="&amp;$F257&amp;"%2C"&amp;$E257&amp;"&amp;marker="&amp;$F257&amp;","&amp;$E257&amp;",4326&amp;level=16",IF(_xlfn.SINGLE(JobState)="WI","https://fema.maps.arcgis.com/apps/mapviewer/index.html?url=https://services5.arcgis.com/0pgGLzT0Nh7FVjon/arcgis/rest/services/Functional_Class_Local_Non_Prod/FeatureServer/1&amp;find="&amp;$F257&amp;"%2C"&amp;$E257&amp;"&amp;marker="&amp;$F257&amp;","&amp;$E257&amp;",4326&amp;level=16",IF(_xlfn.SINGLE(JobState)="MN","https://fema.maps.arcgis.com/apps/mapviewer/index.html?url=https%3A%2F%2Fdotapp9.dot.state.mn.us%2Fegis12%2Frest%2Fservices%2FBASEMAP%2Fmndot_commonlayers2%2FMapServer%2F11&amp;find="&amp;$F257&amp;"%2C"&amp;$E257&amp;"&amp;marker="&amp;$F257&amp;","&amp;$E257&amp;",4326&amp;level=16",IF(_xlfn.SINGLE(JobState)="IL","https://fema.maps.arcgis.com/apps/mapviewer/index.html?url=https%3A%2F%2Fgis1.dot.illinois.gov%2Farcgis%2Frest%2Fservices%2FAdministrativeData%2FFunctionalClass%2FMapServer%2F0&amp;find="&amp;$F257&amp;"%2C"&amp;$E257&amp;"&amp;marker="&amp;$F257&amp;","&amp;$E257&amp;",4326&amp;level=16",IF(_xlfn.SINGLE(JobState)="OH","https://fema.maps.arcgis.com/apps/mapviewer/index.html?url=https%3A%2F%2Ftims.dot.state.oh.us%2Fags%2Frest%2Fservices%2FRoadway_Information%2FFunctional_Class%2FMapServer%2F0&amp;find="&amp;$F257&amp;"%2C"&amp;$E257&amp;"&amp;marker="&amp;$F257&amp;","&amp;$E257&amp;",4326&amp;level=16","https://fema.maps.arcgis.com/apps/mapviewer/index.html?find="&amp;$F257&amp;"%2C"&amp;$E257&amp;"&amp;marker="&amp;$F257&amp;","&amp;$E257&amp;",4326&amp;level=16")))))),IF(_xlfn.SINGLE(JobState)="WI","Review Local Roads Layer","Review NFC AGOL Layer"))))</f>
        <v/>
      </c>
      <c r="N257" s="6" t="str">
        <f>IF(OR($E257="",$F257=""),"",IF(_xlfn.SINGLE(JobState)="",IF(ROW()=2,HYPERLINK("#JobState","Set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257&amp;"%2C"&amp;$E257&amp;"&amp;marker="&amp;$F257&amp;","&amp;$E257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7" s="6" t="str">
        <f>IF(OR($E257="", $F257=""),"",IF(_xlfn.SINGLE(JobAgolMap)="",HYPERLINK("https://fema.maps.arcgis.com/apps/mapviewer/index.html?find="&amp;$F257&amp;"%2C"&amp;$E257&amp;"&amp;marker="&amp;$F257&amp;","&amp;$E257&amp;",4326&amp;level=16","FEMA AGOL Map Viewer"),HYPERLINK(_xlfn.SINGLE(JobAgolMap)&amp;IF(ISNUMBER(FIND("?",_xlfn.SINGLE(JobAgolMap))),"&amp;","?")&amp;"center="&amp;$F257&amp;","&amp;$E257&amp;"&amp;level=16&amp;marker="&amp;$F257&amp;","&amp;$E257,"Open")))</f>
        <v/>
      </c>
      <c r="Q257" s="4"/>
      <c r="R257" s="4"/>
      <c r="W257" s="6" t="str">
        <f t="shared" si="18"/>
        <v/>
      </c>
      <c r="X257" s="6" t="str">
        <f t="shared" si="19"/>
        <v/>
      </c>
      <c r="Y257" s="6" t="str">
        <f t="shared" si="20"/>
        <v/>
      </c>
      <c r="Z257" s="6" t="str">
        <f t="shared" si="21"/>
        <v/>
      </c>
      <c r="AA257" s="6" t="str">
        <f t="shared" si="22"/>
        <v/>
      </c>
      <c r="AB257" s="6" t="str">
        <f t="shared" si="23"/>
        <v/>
      </c>
      <c r="AC257" s="4"/>
      <c r="AD257" s="4"/>
    </row>
    <row r="258" spans="1:30" x14ac:dyDescent="0.45">
      <c r="A258" s="3"/>
      <c r="B258" s="3"/>
      <c r="C258" s="5" t="str">
        <f>IF($E258="","",COUNT($E$2:$E258))</f>
        <v/>
      </c>
      <c r="D258" s="3"/>
      <c r="E258" s="3"/>
      <c r="F258" s="3"/>
      <c r="G258" s="3"/>
      <c r="H258" s="3"/>
      <c r="I258" s="3"/>
      <c r="J258" s="3"/>
      <c r="K258" s="3"/>
      <c r="L258" s="4"/>
      <c r="M258" s="6" t="str">
        <f>IF(OR($E258="",$F258=""),"",IF(_xlfn.SINGLE(JobState)="",IF(ROW()=2,HYPERLINK("#JobState","Set State →"),""),HYPERLINK(IF(OR(_xlfn.SINGLE(JobState)="MI",_xlfn.SINGLE(JobState)=""),"https://fema.maps.arcgis.com/apps/mapviewer/index.html?webmap=6a1702b9147243d1a5ee62cd614bc681&amp;center="&amp;$F258&amp;","&amp;$E258&amp;"&amp;level=16&amp;marker="&amp;$F258&amp;","&amp;$E258&amp;"",IF(_xlfn.SINGLE(JobState)="IN","https://fema.maps.arcgis.com/apps/mapviewer/index.html?url=https%3A%2F%2Fgis.indot.in.gov%2Fro%2Frest%2Fservices%2FRAH_GIO_Collaboration%2FLRSE_Functional_Class%2FFeatureServer%2F22&amp;find="&amp;$F258&amp;"%2C"&amp;$E258&amp;"&amp;marker="&amp;$F258&amp;","&amp;$E258&amp;",4326&amp;level=16",IF(_xlfn.SINGLE(JobState)="WI","https://fema.maps.arcgis.com/apps/mapviewer/index.html?url=https://services5.arcgis.com/0pgGLzT0Nh7FVjon/arcgis/rest/services/Functional_Class_Local_Non_Prod/FeatureServer/1&amp;find="&amp;$F258&amp;"%2C"&amp;$E258&amp;"&amp;marker="&amp;$F258&amp;","&amp;$E258&amp;",4326&amp;level=16",IF(_xlfn.SINGLE(JobState)="MN","https://fema.maps.arcgis.com/apps/mapviewer/index.html?url=https%3A%2F%2Fdotapp9.dot.state.mn.us%2Fegis12%2Frest%2Fservices%2FBASEMAP%2Fmndot_commonlayers2%2FMapServer%2F11&amp;find="&amp;$F258&amp;"%2C"&amp;$E258&amp;"&amp;marker="&amp;$F258&amp;","&amp;$E258&amp;",4326&amp;level=16",IF(_xlfn.SINGLE(JobState)="IL","https://fema.maps.arcgis.com/apps/mapviewer/index.html?url=https%3A%2F%2Fgis1.dot.illinois.gov%2Farcgis%2Frest%2Fservices%2FAdministrativeData%2FFunctionalClass%2FMapServer%2F0&amp;find="&amp;$F258&amp;"%2C"&amp;$E258&amp;"&amp;marker="&amp;$F258&amp;","&amp;$E258&amp;",4326&amp;level=16",IF(_xlfn.SINGLE(JobState)="OH","https://fema.maps.arcgis.com/apps/mapviewer/index.html?url=https%3A%2F%2Ftims.dot.state.oh.us%2Fags%2Frest%2Fservices%2FRoadway_Information%2FFunctional_Class%2FMapServer%2F0&amp;find="&amp;$F258&amp;"%2C"&amp;$E258&amp;"&amp;marker="&amp;$F258&amp;","&amp;$E258&amp;",4326&amp;level=16","https://fema.maps.arcgis.com/apps/mapviewer/index.html?find="&amp;$F258&amp;"%2C"&amp;$E258&amp;"&amp;marker="&amp;$F258&amp;","&amp;$E258&amp;",4326&amp;level=16")))))),IF(_xlfn.SINGLE(JobState)="WI","Review Local Roads Layer","Review NFC AGOL Layer"))))</f>
        <v/>
      </c>
      <c r="N258" s="6" t="str">
        <f>IF(OR($E258="",$F258=""),"",IF(_xlfn.SINGLE(JobState)="",IF(ROW()=2,HYPERLINK("#JobState","Set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258&amp;"%2C"&amp;$E258&amp;"&amp;marker="&amp;$F258&amp;","&amp;$E258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8" s="6" t="str">
        <f>IF(OR($E258="", $F258=""),"",IF(_xlfn.SINGLE(JobAgolMap)="",HYPERLINK("https://fema.maps.arcgis.com/apps/mapviewer/index.html?find="&amp;$F258&amp;"%2C"&amp;$E258&amp;"&amp;marker="&amp;$F258&amp;","&amp;$E258&amp;",4326&amp;level=16","FEMA AGOL Map Viewer"),HYPERLINK(_xlfn.SINGLE(JobAgolMap)&amp;IF(ISNUMBER(FIND("?",_xlfn.SINGLE(JobAgolMap))),"&amp;","?")&amp;"center="&amp;$F258&amp;","&amp;$E258&amp;"&amp;level=16&amp;marker="&amp;$F258&amp;","&amp;$E258,"Open")))</f>
        <v/>
      </c>
      <c r="Q258" s="4"/>
      <c r="R258" s="4"/>
      <c r="W258" s="6" t="str">
        <f t="shared" ref="W258:W321" si="24">IF(OR($E258="",$F258=""),"",HYPERLINK("https://www.google.com/maps?q="&amp;$E258&amp;","&amp;$F258&amp;"","Map"))</f>
        <v/>
      </c>
      <c r="X258" s="6" t="str">
        <f t="shared" ref="X258:X321" si="25">IF(OR($E258="",$F258=""),"",HYPERLINK("https://www.google.com/maps?q&amp;layer=c&amp;cbll="&amp;$E258&amp;","&amp;$F258&amp;"","Street"))</f>
        <v/>
      </c>
      <c r="Y258" s="6" t="str">
        <f t="shared" ref="Y258:Y321" si="26">IF(OR($E258="",$F258=""),"",HYPERLINK("https://www.bing.com/maps?cp="&amp;$E258&amp;"~"&amp;$F258&amp;"&amp;lvl=18&amp;style=h","Bing"))</f>
        <v/>
      </c>
      <c r="Z258" s="6" t="str">
        <f t="shared" ref="Z258:Z321" si="27">IF(OR($E258="",$F258=""),"",HYPERLINK("https://earth.google.com/web/search/"&amp;$E258&amp;","&amp;$F258&amp;"","Earth"))</f>
        <v/>
      </c>
      <c r="AA258" s="6" t="str">
        <f t="shared" ref="AA258:AA321" si="28">IF(OR($E258="",$F258=""),"",HYPERLINK("https://fema.maps.arcgis.com/apps/mapviewer/index.html?find="&amp;$F258&amp;"%2C"&amp;$E258&amp;"&amp;marker="&amp;$F258&amp;","&amp;$E258&amp;",4326&amp;level=16","FEMA"))</f>
        <v/>
      </c>
      <c r="AB258" s="6" t="str">
        <f t="shared" ref="AB258:AB321" si="29">IF(OR($E258="",$F258=""),"",HYPERLINK("https://msc.fema.gov/portal/firmette?latitude="&amp;$E258&amp;"&amp;longitude="&amp;$F258&amp;"","FIRMette"))</f>
        <v/>
      </c>
      <c r="AC258" s="4"/>
      <c r="AD258" s="4"/>
    </row>
    <row r="259" spans="1:30" x14ac:dyDescent="0.45">
      <c r="A259" s="3"/>
      <c r="B259" s="3"/>
      <c r="C259" s="5" t="str">
        <f>IF($E259="","",COUNT($E$2:$E259))</f>
        <v/>
      </c>
      <c r="D259" s="3"/>
      <c r="E259" s="3"/>
      <c r="F259" s="3"/>
      <c r="G259" s="3"/>
      <c r="H259" s="3"/>
      <c r="I259" s="3"/>
      <c r="J259" s="3"/>
      <c r="K259" s="3"/>
      <c r="L259" s="4"/>
      <c r="M259" s="6" t="str">
        <f>IF(OR($E259="",$F259=""),"",IF(_xlfn.SINGLE(JobState)="",IF(ROW()=2,HYPERLINK("#JobState","Set State →"),""),HYPERLINK(IF(OR(_xlfn.SINGLE(JobState)="MI",_xlfn.SINGLE(JobState)=""),"https://fema.maps.arcgis.com/apps/mapviewer/index.html?webmap=6a1702b9147243d1a5ee62cd614bc681&amp;center="&amp;$F259&amp;","&amp;$E259&amp;"&amp;level=16&amp;marker="&amp;$F259&amp;","&amp;$E259&amp;"",IF(_xlfn.SINGLE(JobState)="IN","https://fema.maps.arcgis.com/apps/mapviewer/index.html?url=https%3A%2F%2Fgis.indot.in.gov%2Fro%2Frest%2Fservices%2FRAH_GIO_Collaboration%2FLRSE_Functional_Class%2FFeatureServer%2F22&amp;find="&amp;$F259&amp;"%2C"&amp;$E259&amp;"&amp;marker="&amp;$F259&amp;","&amp;$E259&amp;",4326&amp;level=16",IF(_xlfn.SINGLE(JobState)="WI","https://fema.maps.arcgis.com/apps/mapviewer/index.html?url=https://services5.arcgis.com/0pgGLzT0Nh7FVjon/arcgis/rest/services/Functional_Class_Local_Non_Prod/FeatureServer/1&amp;find="&amp;$F259&amp;"%2C"&amp;$E259&amp;"&amp;marker="&amp;$F259&amp;","&amp;$E259&amp;",4326&amp;level=16",IF(_xlfn.SINGLE(JobState)="MN","https://fema.maps.arcgis.com/apps/mapviewer/index.html?url=https%3A%2F%2Fdotapp9.dot.state.mn.us%2Fegis12%2Frest%2Fservices%2FBASEMAP%2Fmndot_commonlayers2%2FMapServer%2F11&amp;find="&amp;$F259&amp;"%2C"&amp;$E259&amp;"&amp;marker="&amp;$F259&amp;","&amp;$E259&amp;",4326&amp;level=16",IF(_xlfn.SINGLE(JobState)="IL","https://fema.maps.arcgis.com/apps/mapviewer/index.html?url=https%3A%2F%2Fgis1.dot.illinois.gov%2Farcgis%2Frest%2Fservices%2FAdministrativeData%2FFunctionalClass%2FMapServer%2F0&amp;find="&amp;$F259&amp;"%2C"&amp;$E259&amp;"&amp;marker="&amp;$F259&amp;","&amp;$E259&amp;",4326&amp;level=16",IF(_xlfn.SINGLE(JobState)="OH","https://fema.maps.arcgis.com/apps/mapviewer/index.html?url=https%3A%2F%2Ftims.dot.state.oh.us%2Fags%2Frest%2Fservices%2FRoadway_Information%2FFunctional_Class%2FMapServer%2F0&amp;find="&amp;$F259&amp;"%2C"&amp;$E259&amp;"&amp;marker="&amp;$F259&amp;","&amp;$E259&amp;",4326&amp;level=16","https://fema.maps.arcgis.com/apps/mapviewer/index.html?find="&amp;$F259&amp;"%2C"&amp;$E259&amp;"&amp;marker="&amp;$F259&amp;","&amp;$E259&amp;",4326&amp;level=16")))))),IF(_xlfn.SINGLE(JobState)="WI","Review Local Roads Layer","Review NFC AGOL Layer"))))</f>
        <v/>
      </c>
      <c r="N259" s="6" t="str">
        <f>IF(OR($E259="",$F259=""),"",IF(_xlfn.SINGLE(JobState)="",IF(ROW()=2,HYPERLINK("#JobState","Set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259&amp;"%2C"&amp;$E259&amp;"&amp;marker="&amp;$F259&amp;","&amp;$E259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9" s="6" t="str">
        <f>IF(OR($E259="", $F259=""),"",IF(_xlfn.SINGLE(JobAgolMap)="",HYPERLINK("https://fema.maps.arcgis.com/apps/mapviewer/index.html?find="&amp;$F259&amp;"%2C"&amp;$E259&amp;"&amp;marker="&amp;$F259&amp;","&amp;$E259&amp;",4326&amp;level=16","FEMA AGOL Map Viewer"),HYPERLINK(_xlfn.SINGLE(JobAgolMap)&amp;IF(ISNUMBER(FIND("?",_xlfn.SINGLE(JobAgolMap))),"&amp;","?")&amp;"center="&amp;$F259&amp;","&amp;$E259&amp;"&amp;level=16&amp;marker="&amp;$F259&amp;","&amp;$E259,"Open")))</f>
        <v/>
      </c>
      <c r="Q259" s="4"/>
      <c r="R259" s="4"/>
      <c r="W259" s="6" t="str">
        <f t="shared" si="24"/>
        <v/>
      </c>
      <c r="X259" s="6" t="str">
        <f t="shared" si="25"/>
        <v/>
      </c>
      <c r="Y259" s="6" t="str">
        <f t="shared" si="26"/>
        <v/>
      </c>
      <c r="Z259" s="6" t="str">
        <f t="shared" si="27"/>
        <v/>
      </c>
      <c r="AA259" s="6" t="str">
        <f t="shared" si="28"/>
        <v/>
      </c>
      <c r="AB259" s="6" t="str">
        <f t="shared" si="29"/>
        <v/>
      </c>
      <c r="AC259" s="4"/>
      <c r="AD259" s="4"/>
    </row>
    <row r="260" spans="1:30" x14ac:dyDescent="0.45">
      <c r="A260" s="3"/>
      <c r="B260" s="3"/>
      <c r="C260" s="5" t="str">
        <f>IF($E260="","",COUNT($E$2:$E260))</f>
        <v/>
      </c>
      <c r="D260" s="3"/>
      <c r="E260" s="3"/>
      <c r="F260" s="3"/>
      <c r="G260" s="3"/>
      <c r="H260" s="3"/>
      <c r="I260" s="3"/>
      <c r="J260" s="3"/>
      <c r="K260" s="3"/>
      <c r="L260" s="4"/>
      <c r="M260" s="6" t="str">
        <f>IF(OR($E260="",$F260=""),"",IF(_xlfn.SINGLE(JobState)="",IF(ROW()=2,HYPERLINK("#JobState","Set State →"),""),HYPERLINK(IF(OR(_xlfn.SINGLE(JobState)="MI",_xlfn.SINGLE(JobState)=""),"https://fema.maps.arcgis.com/apps/mapviewer/index.html?webmap=6a1702b9147243d1a5ee62cd614bc681&amp;center="&amp;$F260&amp;","&amp;$E260&amp;"&amp;level=16&amp;marker="&amp;$F260&amp;","&amp;$E260&amp;"",IF(_xlfn.SINGLE(JobState)="IN","https://fema.maps.arcgis.com/apps/mapviewer/index.html?url=https%3A%2F%2Fgis.indot.in.gov%2Fro%2Frest%2Fservices%2FRAH_GIO_Collaboration%2FLRSE_Functional_Class%2FFeatureServer%2F22&amp;find="&amp;$F260&amp;"%2C"&amp;$E260&amp;"&amp;marker="&amp;$F260&amp;","&amp;$E260&amp;",4326&amp;level=16",IF(_xlfn.SINGLE(JobState)="WI","https://fema.maps.arcgis.com/apps/mapviewer/index.html?url=https://services5.arcgis.com/0pgGLzT0Nh7FVjon/arcgis/rest/services/Functional_Class_Local_Non_Prod/FeatureServer/1&amp;find="&amp;$F260&amp;"%2C"&amp;$E260&amp;"&amp;marker="&amp;$F260&amp;","&amp;$E260&amp;",4326&amp;level=16",IF(_xlfn.SINGLE(JobState)="MN","https://fema.maps.arcgis.com/apps/mapviewer/index.html?url=https%3A%2F%2Fdotapp9.dot.state.mn.us%2Fegis12%2Frest%2Fservices%2FBASEMAP%2Fmndot_commonlayers2%2FMapServer%2F11&amp;find="&amp;$F260&amp;"%2C"&amp;$E260&amp;"&amp;marker="&amp;$F260&amp;","&amp;$E260&amp;",4326&amp;level=16",IF(_xlfn.SINGLE(JobState)="IL","https://fema.maps.arcgis.com/apps/mapviewer/index.html?url=https%3A%2F%2Fgis1.dot.illinois.gov%2Farcgis%2Frest%2Fservices%2FAdministrativeData%2FFunctionalClass%2FMapServer%2F0&amp;find="&amp;$F260&amp;"%2C"&amp;$E260&amp;"&amp;marker="&amp;$F260&amp;","&amp;$E260&amp;",4326&amp;level=16",IF(_xlfn.SINGLE(JobState)="OH","https://fema.maps.arcgis.com/apps/mapviewer/index.html?url=https%3A%2F%2Ftims.dot.state.oh.us%2Fags%2Frest%2Fservices%2FRoadway_Information%2FFunctional_Class%2FMapServer%2F0&amp;find="&amp;$F260&amp;"%2C"&amp;$E260&amp;"&amp;marker="&amp;$F260&amp;","&amp;$E260&amp;",4326&amp;level=16","https://fema.maps.arcgis.com/apps/mapviewer/index.html?find="&amp;$F260&amp;"%2C"&amp;$E260&amp;"&amp;marker="&amp;$F260&amp;","&amp;$E260&amp;",4326&amp;level=16")))))),IF(_xlfn.SINGLE(JobState)="WI","Review Local Roads Layer","Review NFC AGOL Layer"))))</f>
        <v/>
      </c>
      <c r="N260" s="6" t="str">
        <f>IF(OR($E260="",$F260=""),"",IF(_xlfn.SINGLE(JobState)="",IF(ROW()=2,HYPERLINK("#JobState","Set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260&amp;"%2C"&amp;$E260&amp;"&amp;marker="&amp;$F260&amp;","&amp;$E260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0" s="6" t="str">
        <f>IF(OR($E260="", $F260=""),"",IF(_xlfn.SINGLE(JobAgolMap)="",HYPERLINK("https://fema.maps.arcgis.com/apps/mapviewer/index.html?find="&amp;$F260&amp;"%2C"&amp;$E260&amp;"&amp;marker="&amp;$F260&amp;","&amp;$E260&amp;",4326&amp;level=16","FEMA AGOL Map Viewer"),HYPERLINK(_xlfn.SINGLE(JobAgolMap)&amp;IF(ISNUMBER(FIND("?",_xlfn.SINGLE(JobAgolMap))),"&amp;","?")&amp;"center="&amp;$F260&amp;","&amp;$E260&amp;"&amp;level=16&amp;marker="&amp;$F260&amp;","&amp;$E260,"Open")))</f>
        <v/>
      </c>
      <c r="Q260" s="4"/>
      <c r="R260" s="4"/>
      <c r="W260" s="6" t="str">
        <f t="shared" si="24"/>
        <v/>
      </c>
      <c r="X260" s="6" t="str">
        <f t="shared" si="25"/>
        <v/>
      </c>
      <c r="Y260" s="6" t="str">
        <f t="shared" si="26"/>
        <v/>
      </c>
      <c r="Z260" s="6" t="str">
        <f t="shared" si="27"/>
        <v/>
      </c>
      <c r="AA260" s="6" t="str">
        <f t="shared" si="28"/>
        <v/>
      </c>
      <c r="AB260" s="6" t="str">
        <f t="shared" si="29"/>
        <v/>
      </c>
      <c r="AC260" s="4"/>
      <c r="AD260" s="4"/>
    </row>
    <row r="261" spans="1:30" x14ac:dyDescent="0.45">
      <c r="A261" s="3"/>
      <c r="B261" s="3"/>
      <c r="C261" s="5" t="str">
        <f>IF($E261="","",COUNT($E$2:$E261))</f>
        <v/>
      </c>
      <c r="D261" s="3"/>
      <c r="E261" s="3"/>
      <c r="F261" s="3"/>
      <c r="G261" s="3"/>
      <c r="H261" s="3"/>
      <c r="I261" s="3"/>
      <c r="J261" s="3"/>
      <c r="K261" s="3"/>
      <c r="L261" s="4"/>
      <c r="M261" s="6" t="str">
        <f>IF(OR($E261="",$F261=""),"",IF(_xlfn.SINGLE(JobState)="",IF(ROW()=2,HYPERLINK("#JobState","Set State →"),""),HYPERLINK(IF(OR(_xlfn.SINGLE(JobState)="MI",_xlfn.SINGLE(JobState)=""),"https://fema.maps.arcgis.com/apps/mapviewer/index.html?webmap=6a1702b9147243d1a5ee62cd614bc681&amp;center="&amp;$F261&amp;","&amp;$E261&amp;"&amp;level=16&amp;marker="&amp;$F261&amp;","&amp;$E261&amp;"",IF(_xlfn.SINGLE(JobState)="IN","https://fema.maps.arcgis.com/apps/mapviewer/index.html?url=https%3A%2F%2Fgis.indot.in.gov%2Fro%2Frest%2Fservices%2FRAH_GIO_Collaboration%2FLRSE_Functional_Class%2FFeatureServer%2F22&amp;find="&amp;$F261&amp;"%2C"&amp;$E261&amp;"&amp;marker="&amp;$F261&amp;","&amp;$E261&amp;",4326&amp;level=16",IF(_xlfn.SINGLE(JobState)="WI","https://fema.maps.arcgis.com/apps/mapviewer/index.html?url=https://services5.arcgis.com/0pgGLzT0Nh7FVjon/arcgis/rest/services/Functional_Class_Local_Non_Prod/FeatureServer/1&amp;find="&amp;$F261&amp;"%2C"&amp;$E261&amp;"&amp;marker="&amp;$F261&amp;","&amp;$E261&amp;",4326&amp;level=16",IF(_xlfn.SINGLE(JobState)="MN","https://fema.maps.arcgis.com/apps/mapviewer/index.html?url=https%3A%2F%2Fdotapp9.dot.state.mn.us%2Fegis12%2Frest%2Fservices%2FBASEMAP%2Fmndot_commonlayers2%2FMapServer%2F11&amp;find="&amp;$F261&amp;"%2C"&amp;$E261&amp;"&amp;marker="&amp;$F261&amp;","&amp;$E261&amp;",4326&amp;level=16",IF(_xlfn.SINGLE(JobState)="IL","https://fema.maps.arcgis.com/apps/mapviewer/index.html?url=https%3A%2F%2Fgis1.dot.illinois.gov%2Farcgis%2Frest%2Fservices%2FAdministrativeData%2FFunctionalClass%2FMapServer%2F0&amp;find="&amp;$F261&amp;"%2C"&amp;$E261&amp;"&amp;marker="&amp;$F261&amp;","&amp;$E261&amp;",4326&amp;level=16",IF(_xlfn.SINGLE(JobState)="OH","https://fema.maps.arcgis.com/apps/mapviewer/index.html?url=https%3A%2F%2Ftims.dot.state.oh.us%2Fags%2Frest%2Fservices%2FRoadway_Information%2FFunctional_Class%2FMapServer%2F0&amp;find="&amp;$F261&amp;"%2C"&amp;$E261&amp;"&amp;marker="&amp;$F261&amp;","&amp;$E261&amp;",4326&amp;level=16","https://fema.maps.arcgis.com/apps/mapviewer/index.html?find="&amp;$F261&amp;"%2C"&amp;$E261&amp;"&amp;marker="&amp;$F261&amp;","&amp;$E261&amp;",4326&amp;level=16")))))),IF(_xlfn.SINGLE(JobState)="WI","Review Local Roads Layer","Review NFC AGOL Layer"))))</f>
        <v/>
      </c>
      <c r="N261" s="6" t="str">
        <f>IF(OR($E261="",$F261=""),"",IF(_xlfn.SINGLE(JobState)="",IF(ROW()=2,HYPERLINK("#JobState","Set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261&amp;"%2C"&amp;$E261&amp;"&amp;marker="&amp;$F261&amp;","&amp;$E261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1" s="6" t="str">
        <f>IF(OR($E261="", $F261=""),"",IF(_xlfn.SINGLE(JobAgolMap)="",HYPERLINK("https://fema.maps.arcgis.com/apps/mapviewer/index.html?find="&amp;$F261&amp;"%2C"&amp;$E261&amp;"&amp;marker="&amp;$F261&amp;","&amp;$E261&amp;",4326&amp;level=16","FEMA AGOL Map Viewer"),HYPERLINK(_xlfn.SINGLE(JobAgolMap)&amp;IF(ISNUMBER(FIND("?",_xlfn.SINGLE(JobAgolMap))),"&amp;","?")&amp;"center="&amp;$F261&amp;","&amp;$E261&amp;"&amp;level=16&amp;marker="&amp;$F261&amp;","&amp;$E261,"Open")))</f>
        <v/>
      </c>
      <c r="Q261" s="4"/>
      <c r="R261" s="4"/>
      <c r="W261" s="6" t="str">
        <f t="shared" si="24"/>
        <v/>
      </c>
      <c r="X261" s="6" t="str">
        <f t="shared" si="25"/>
        <v/>
      </c>
      <c r="Y261" s="6" t="str">
        <f t="shared" si="26"/>
        <v/>
      </c>
      <c r="Z261" s="6" t="str">
        <f t="shared" si="27"/>
        <v/>
      </c>
      <c r="AA261" s="6" t="str">
        <f t="shared" si="28"/>
        <v/>
      </c>
      <c r="AB261" s="6" t="str">
        <f t="shared" si="29"/>
        <v/>
      </c>
      <c r="AC261" s="4"/>
      <c r="AD261" s="4"/>
    </row>
    <row r="262" spans="1:30" x14ac:dyDescent="0.45">
      <c r="A262" s="3"/>
      <c r="B262" s="3"/>
      <c r="C262" s="5" t="str">
        <f>IF($E262="","",COUNT($E$2:$E262))</f>
        <v/>
      </c>
      <c r="D262" s="3"/>
      <c r="E262" s="3"/>
      <c r="F262" s="3"/>
      <c r="G262" s="3"/>
      <c r="H262" s="3"/>
      <c r="I262" s="3"/>
      <c r="J262" s="3"/>
      <c r="K262" s="3"/>
      <c r="L262" s="4"/>
      <c r="M262" s="6" t="str">
        <f>IF(OR($E262="",$F262=""),"",IF(_xlfn.SINGLE(JobState)="",IF(ROW()=2,HYPERLINK("#JobState","Set State →"),""),HYPERLINK(IF(OR(_xlfn.SINGLE(JobState)="MI",_xlfn.SINGLE(JobState)=""),"https://fema.maps.arcgis.com/apps/mapviewer/index.html?webmap=6a1702b9147243d1a5ee62cd614bc681&amp;center="&amp;$F262&amp;","&amp;$E262&amp;"&amp;level=16&amp;marker="&amp;$F262&amp;","&amp;$E262&amp;"",IF(_xlfn.SINGLE(JobState)="IN","https://fema.maps.arcgis.com/apps/mapviewer/index.html?url=https%3A%2F%2Fgis.indot.in.gov%2Fro%2Frest%2Fservices%2FRAH_GIO_Collaboration%2FLRSE_Functional_Class%2FFeatureServer%2F22&amp;find="&amp;$F262&amp;"%2C"&amp;$E262&amp;"&amp;marker="&amp;$F262&amp;","&amp;$E262&amp;",4326&amp;level=16",IF(_xlfn.SINGLE(JobState)="WI","https://fema.maps.arcgis.com/apps/mapviewer/index.html?url=https://services5.arcgis.com/0pgGLzT0Nh7FVjon/arcgis/rest/services/Functional_Class_Local_Non_Prod/FeatureServer/1&amp;find="&amp;$F262&amp;"%2C"&amp;$E262&amp;"&amp;marker="&amp;$F262&amp;","&amp;$E262&amp;",4326&amp;level=16",IF(_xlfn.SINGLE(JobState)="MN","https://fema.maps.arcgis.com/apps/mapviewer/index.html?url=https%3A%2F%2Fdotapp9.dot.state.mn.us%2Fegis12%2Frest%2Fservices%2FBASEMAP%2Fmndot_commonlayers2%2FMapServer%2F11&amp;find="&amp;$F262&amp;"%2C"&amp;$E262&amp;"&amp;marker="&amp;$F262&amp;","&amp;$E262&amp;",4326&amp;level=16",IF(_xlfn.SINGLE(JobState)="IL","https://fema.maps.arcgis.com/apps/mapviewer/index.html?url=https%3A%2F%2Fgis1.dot.illinois.gov%2Farcgis%2Frest%2Fservices%2FAdministrativeData%2FFunctionalClass%2FMapServer%2F0&amp;find="&amp;$F262&amp;"%2C"&amp;$E262&amp;"&amp;marker="&amp;$F262&amp;","&amp;$E262&amp;",4326&amp;level=16",IF(_xlfn.SINGLE(JobState)="OH","https://fema.maps.arcgis.com/apps/mapviewer/index.html?url=https%3A%2F%2Ftims.dot.state.oh.us%2Fags%2Frest%2Fservices%2FRoadway_Information%2FFunctional_Class%2FMapServer%2F0&amp;find="&amp;$F262&amp;"%2C"&amp;$E262&amp;"&amp;marker="&amp;$F262&amp;","&amp;$E262&amp;",4326&amp;level=16","https://fema.maps.arcgis.com/apps/mapviewer/index.html?find="&amp;$F262&amp;"%2C"&amp;$E262&amp;"&amp;marker="&amp;$F262&amp;","&amp;$E262&amp;",4326&amp;level=16")))))),IF(_xlfn.SINGLE(JobState)="WI","Review Local Roads Layer","Review NFC AGOL Layer"))))</f>
        <v/>
      </c>
      <c r="N262" s="6" t="str">
        <f>IF(OR($E262="",$F262=""),"",IF(_xlfn.SINGLE(JobState)="",IF(ROW()=2,HYPERLINK("#JobState","Set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262&amp;"%2C"&amp;$E262&amp;"&amp;marker="&amp;$F262&amp;","&amp;$E262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2" s="6" t="str">
        <f>IF(OR($E262="", $F262=""),"",IF(_xlfn.SINGLE(JobAgolMap)="",HYPERLINK("https://fema.maps.arcgis.com/apps/mapviewer/index.html?find="&amp;$F262&amp;"%2C"&amp;$E262&amp;"&amp;marker="&amp;$F262&amp;","&amp;$E262&amp;",4326&amp;level=16","FEMA AGOL Map Viewer"),HYPERLINK(_xlfn.SINGLE(JobAgolMap)&amp;IF(ISNUMBER(FIND("?",_xlfn.SINGLE(JobAgolMap))),"&amp;","?")&amp;"center="&amp;$F262&amp;","&amp;$E262&amp;"&amp;level=16&amp;marker="&amp;$F262&amp;","&amp;$E262,"Open")))</f>
        <v/>
      </c>
      <c r="Q262" s="4"/>
      <c r="R262" s="4"/>
      <c r="W262" s="6" t="str">
        <f t="shared" si="24"/>
        <v/>
      </c>
      <c r="X262" s="6" t="str">
        <f t="shared" si="25"/>
        <v/>
      </c>
      <c r="Y262" s="6" t="str">
        <f t="shared" si="26"/>
        <v/>
      </c>
      <c r="Z262" s="6" t="str">
        <f t="shared" si="27"/>
        <v/>
      </c>
      <c r="AA262" s="6" t="str">
        <f t="shared" si="28"/>
        <v/>
      </c>
      <c r="AB262" s="6" t="str">
        <f t="shared" si="29"/>
        <v/>
      </c>
      <c r="AC262" s="4"/>
      <c r="AD262" s="4"/>
    </row>
    <row r="263" spans="1:30" x14ac:dyDescent="0.45">
      <c r="A263" s="3"/>
      <c r="B263" s="3"/>
      <c r="C263" s="5" t="str">
        <f>IF($E263="","",COUNT($E$2:$E263))</f>
        <v/>
      </c>
      <c r="D263" s="3"/>
      <c r="E263" s="3"/>
      <c r="F263" s="3"/>
      <c r="G263" s="3"/>
      <c r="H263" s="3"/>
      <c r="I263" s="3"/>
      <c r="J263" s="3"/>
      <c r="K263" s="3"/>
      <c r="L263" s="4"/>
      <c r="M263" s="6" t="str">
        <f>IF(OR($E263="",$F263=""),"",IF(_xlfn.SINGLE(JobState)="",IF(ROW()=2,HYPERLINK("#JobState","Set State →"),""),HYPERLINK(IF(OR(_xlfn.SINGLE(JobState)="MI",_xlfn.SINGLE(JobState)=""),"https://fema.maps.arcgis.com/apps/mapviewer/index.html?webmap=6a1702b9147243d1a5ee62cd614bc681&amp;center="&amp;$F263&amp;","&amp;$E263&amp;"&amp;level=16&amp;marker="&amp;$F263&amp;","&amp;$E263&amp;"",IF(_xlfn.SINGLE(JobState)="IN","https://fema.maps.arcgis.com/apps/mapviewer/index.html?url=https%3A%2F%2Fgis.indot.in.gov%2Fro%2Frest%2Fservices%2FRAH_GIO_Collaboration%2FLRSE_Functional_Class%2FFeatureServer%2F22&amp;find="&amp;$F263&amp;"%2C"&amp;$E263&amp;"&amp;marker="&amp;$F263&amp;","&amp;$E263&amp;",4326&amp;level=16",IF(_xlfn.SINGLE(JobState)="WI","https://fema.maps.arcgis.com/apps/mapviewer/index.html?url=https://services5.arcgis.com/0pgGLzT0Nh7FVjon/arcgis/rest/services/Functional_Class_Local_Non_Prod/FeatureServer/1&amp;find="&amp;$F263&amp;"%2C"&amp;$E263&amp;"&amp;marker="&amp;$F263&amp;","&amp;$E263&amp;",4326&amp;level=16",IF(_xlfn.SINGLE(JobState)="MN","https://fema.maps.arcgis.com/apps/mapviewer/index.html?url=https%3A%2F%2Fdotapp9.dot.state.mn.us%2Fegis12%2Frest%2Fservices%2FBASEMAP%2Fmndot_commonlayers2%2FMapServer%2F11&amp;find="&amp;$F263&amp;"%2C"&amp;$E263&amp;"&amp;marker="&amp;$F263&amp;","&amp;$E263&amp;",4326&amp;level=16",IF(_xlfn.SINGLE(JobState)="IL","https://fema.maps.arcgis.com/apps/mapviewer/index.html?url=https%3A%2F%2Fgis1.dot.illinois.gov%2Farcgis%2Frest%2Fservices%2FAdministrativeData%2FFunctionalClass%2FMapServer%2F0&amp;find="&amp;$F263&amp;"%2C"&amp;$E263&amp;"&amp;marker="&amp;$F263&amp;","&amp;$E263&amp;",4326&amp;level=16",IF(_xlfn.SINGLE(JobState)="OH","https://fema.maps.arcgis.com/apps/mapviewer/index.html?url=https%3A%2F%2Ftims.dot.state.oh.us%2Fags%2Frest%2Fservices%2FRoadway_Information%2FFunctional_Class%2FMapServer%2F0&amp;find="&amp;$F263&amp;"%2C"&amp;$E263&amp;"&amp;marker="&amp;$F263&amp;","&amp;$E263&amp;",4326&amp;level=16","https://fema.maps.arcgis.com/apps/mapviewer/index.html?find="&amp;$F263&amp;"%2C"&amp;$E263&amp;"&amp;marker="&amp;$F263&amp;","&amp;$E263&amp;",4326&amp;level=16")))))),IF(_xlfn.SINGLE(JobState)="WI","Review Local Roads Layer","Review NFC AGOL Layer"))))</f>
        <v/>
      </c>
      <c r="N263" s="6" t="str">
        <f>IF(OR($E263="",$F263=""),"",IF(_xlfn.SINGLE(JobState)="",IF(ROW()=2,HYPERLINK("#JobState","Set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263&amp;"%2C"&amp;$E263&amp;"&amp;marker="&amp;$F263&amp;","&amp;$E263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3" s="6" t="str">
        <f>IF(OR($E263="", $F263=""),"",IF(_xlfn.SINGLE(JobAgolMap)="",HYPERLINK("https://fema.maps.arcgis.com/apps/mapviewer/index.html?find="&amp;$F263&amp;"%2C"&amp;$E263&amp;"&amp;marker="&amp;$F263&amp;","&amp;$E263&amp;",4326&amp;level=16","FEMA AGOL Map Viewer"),HYPERLINK(_xlfn.SINGLE(JobAgolMap)&amp;IF(ISNUMBER(FIND("?",_xlfn.SINGLE(JobAgolMap))),"&amp;","?")&amp;"center="&amp;$F263&amp;","&amp;$E263&amp;"&amp;level=16&amp;marker="&amp;$F263&amp;","&amp;$E263,"Open")))</f>
        <v/>
      </c>
      <c r="Q263" s="4"/>
      <c r="R263" s="4"/>
      <c r="W263" s="6" t="str">
        <f t="shared" si="24"/>
        <v/>
      </c>
      <c r="X263" s="6" t="str">
        <f t="shared" si="25"/>
        <v/>
      </c>
      <c r="Y263" s="6" t="str">
        <f t="shared" si="26"/>
        <v/>
      </c>
      <c r="Z263" s="6" t="str">
        <f t="shared" si="27"/>
        <v/>
      </c>
      <c r="AA263" s="6" t="str">
        <f t="shared" si="28"/>
        <v/>
      </c>
      <c r="AB263" s="6" t="str">
        <f t="shared" si="29"/>
        <v/>
      </c>
      <c r="AC263" s="4"/>
      <c r="AD263" s="4"/>
    </row>
    <row r="264" spans="1:30" x14ac:dyDescent="0.45">
      <c r="A264" s="3"/>
      <c r="B264" s="3"/>
      <c r="C264" s="5" t="str">
        <f>IF($E264="","",COUNT($E$2:$E264))</f>
        <v/>
      </c>
      <c r="D264" s="3"/>
      <c r="E264" s="3"/>
      <c r="F264" s="3"/>
      <c r="G264" s="3"/>
      <c r="H264" s="3"/>
      <c r="I264" s="3"/>
      <c r="J264" s="3"/>
      <c r="K264" s="3"/>
      <c r="L264" s="4"/>
      <c r="M264" s="6" t="str">
        <f>IF(OR($E264="",$F264=""),"",IF(_xlfn.SINGLE(JobState)="",IF(ROW()=2,HYPERLINK("#JobState","Set State →"),""),HYPERLINK(IF(OR(_xlfn.SINGLE(JobState)="MI",_xlfn.SINGLE(JobState)=""),"https://fema.maps.arcgis.com/apps/mapviewer/index.html?webmap=6a1702b9147243d1a5ee62cd614bc681&amp;center="&amp;$F264&amp;","&amp;$E264&amp;"&amp;level=16&amp;marker="&amp;$F264&amp;","&amp;$E264&amp;"",IF(_xlfn.SINGLE(JobState)="IN","https://fema.maps.arcgis.com/apps/mapviewer/index.html?url=https%3A%2F%2Fgis.indot.in.gov%2Fro%2Frest%2Fservices%2FRAH_GIO_Collaboration%2FLRSE_Functional_Class%2FFeatureServer%2F22&amp;find="&amp;$F264&amp;"%2C"&amp;$E264&amp;"&amp;marker="&amp;$F264&amp;","&amp;$E264&amp;",4326&amp;level=16",IF(_xlfn.SINGLE(JobState)="WI","https://fema.maps.arcgis.com/apps/mapviewer/index.html?url=https://services5.arcgis.com/0pgGLzT0Nh7FVjon/arcgis/rest/services/Functional_Class_Local_Non_Prod/FeatureServer/1&amp;find="&amp;$F264&amp;"%2C"&amp;$E264&amp;"&amp;marker="&amp;$F264&amp;","&amp;$E264&amp;",4326&amp;level=16",IF(_xlfn.SINGLE(JobState)="MN","https://fema.maps.arcgis.com/apps/mapviewer/index.html?url=https%3A%2F%2Fdotapp9.dot.state.mn.us%2Fegis12%2Frest%2Fservices%2FBASEMAP%2Fmndot_commonlayers2%2FMapServer%2F11&amp;find="&amp;$F264&amp;"%2C"&amp;$E264&amp;"&amp;marker="&amp;$F264&amp;","&amp;$E264&amp;",4326&amp;level=16",IF(_xlfn.SINGLE(JobState)="IL","https://fema.maps.arcgis.com/apps/mapviewer/index.html?url=https%3A%2F%2Fgis1.dot.illinois.gov%2Farcgis%2Frest%2Fservices%2FAdministrativeData%2FFunctionalClass%2FMapServer%2F0&amp;find="&amp;$F264&amp;"%2C"&amp;$E264&amp;"&amp;marker="&amp;$F264&amp;","&amp;$E264&amp;",4326&amp;level=16",IF(_xlfn.SINGLE(JobState)="OH","https://fema.maps.arcgis.com/apps/mapviewer/index.html?url=https%3A%2F%2Ftims.dot.state.oh.us%2Fags%2Frest%2Fservices%2FRoadway_Information%2FFunctional_Class%2FMapServer%2F0&amp;find="&amp;$F264&amp;"%2C"&amp;$E264&amp;"&amp;marker="&amp;$F264&amp;","&amp;$E264&amp;",4326&amp;level=16","https://fema.maps.arcgis.com/apps/mapviewer/index.html?find="&amp;$F264&amp;"%2C"&amp;$E264&amp;"&amp;marker="&amp;$F264&amp;","&amp;$E264&amp;",4326&amp;level=16")))))),IF(_xlfn.SINGLE(JobState)="WI","Review Local Roads Layer","Review NFC AGOL Layer"))))</f>
        <v/>
      </c>
      <c r="N264" s="6" t="str">
        <f>IF(OR($E264="",$F264=""),"",IF(_xlfn.SINGLE(JobState)="",IF(ROW()=2,HYPERLINK("#JobState","Set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264&amp;"%2C"&amp;$E264&amp;"&amp;marker="&amp;$F264&amp;","&amp;$E264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4" s="6" t="str">
        <f>IF(OR($E264="", $F264=""),"",IF(_xlfn.SINGLE(JobAgolMap)="",HYPERLINK("https://fema.maps.arcgis.com/apps/mapviewer/index.html?find="&amp;$F264&amp;"%2C"&amp;$E264&amp;"&amp;marker="&amp;$F264&amp;","&amp;$E264&amp;",4326&amp;level=16","FEMA AGOL Map Viewer"),HYPERLINK(_xlfn.SINGLE(JobAgolMap)&amp;IF(ISNUMBER(FIND("?",_xlfn.SINGLE(JobAgolMap))),"&amp;","?")&amp;"center="&amp;$F264&amp;","&amp;$E264&amp;"&amp;level=16&amp;marker="&amp;$F264&amp;","&amp;$E264,"Open")))</f>
        <v/>
      </c>
      <c r="Q264" s="4"/>
      <c r="R264" s="4"/>
      <c r="W264" s="6" t="str">
        <f t="shared" si="24"/>
        <v/>
      </c>
      <c r="X264" s="6" t="str">
        <f t="shared" si="25"/>
        <v/>
      </c>
      <c r="Y264" s="6" t="str">
        <f t="shared" si="26"/>
        <v/>
      </c>
      <c r="Z264" s="6" t="str">
        <f t="shared" si="27"/>
        <v/>
      </c>
      <c r="AA264" s="6" t="str">
        <f t="shared" si="28"/>
        <v/>
      </c>
      <c r="AB264" s="6" t="str">
        <f t="shared" si="29"/>
        <v/>
      </c>
      <c r="AC264" s="4"/>
      <c r="AD264" s="4"/>
    </row>
    <row r="265" spans="1:30" x14ac:dyDescent="0.45">
      <c r="A265" s="3"/>
      <c r="B265" s="3"/>
      <c r="C265" s="5" t="str">
        <f>IF($E265="","",COUNT($E$2:$E265))</f>
        <v/>
      </c>
      <c r="D265" s="3"/>
      <c r="E265" s="3"/>
      <c r="F265" s="3"/>
      <c r="G265" s="3"/>
      <c r="H265" s="3"/>
      <c r="I265" s="3"/>
      <c r="J265" s="3"/>
      <c r="K265" s="3"/>
      <c r="L265" s="4"/>
      <c r="M265" s="6" t="str">
        <f>IF(OR($E265="",$F265=""),"",IF(_xlfn.SINGLE(JobState)="",IF(ROW()=2,HYPERLINK("#JobState","Set State →"),""),HYPERLINK(IF(OR(_xlfn.SINGLE(JobState)="MI",_xlfn.SINGLE(JobState)=""),"https://fema.maps.arcgis.com/apps/mapviewer/index.html?webmap=6a1702b9147243d1a5ee62cd614bc681&amp;center="&amp;$F265&amp;","&amp;$E265&amp;"&amp;level=16&amp;marker="&amp;$F265&amp;","&amp;$E265&amp;"",IF(_xlfn.SINGLE(JobState)="IN","https://fema.maps.arcgis.com/apps/mapviewer/index.html?url=https%3A%2F%2Fgis.indot.in.gov%2Fro%2Frest%2Fservices%2FRAH_GIO_Collaboration%2FLRSE_Functional_Class%2FFeatureServer%2F22&amp;find="&amp;$F265&amp;"%2C"&amp;$E265&amp;"&amp;marker="&amp;$F265&amp;","&amp;$E265&amp;",4326&amp;level=16",IF(_xlfn.SINGLE(JobState)="WI","https://fema.maps.arcgis.com/apps/mapviewer/index.html?url=https://services5.arcgis.com/0pgGLzT0Nh7FVjon/arcgis/rest/services/Functional_Class_Local_Non_Prod/FeatureServer/1&amp;find="&amp;$F265&amp;"%2C"&amp;$E265&amp;"&amp;marker="&amp;$F265&amp;","&amp;$E265&amp;",4326&amp;level=16",IF(_xlfn.SINGLE(JobState)="MN","https://fema.maps.arcgis.com/apps/mapviewer/index.html?url=https%3A%2F%2Fdotapp9.dot.state.mn.us%2Fegis12%2Frest%2Fservices%2FBASEMAP%2Fmndot_commonlayers2%2FMapServer%2F11&amp;find="&amp;$F265&amp;"%2C"&amp;$E265&amp;"&amp;marker="&amp;$F265&amp;","&amp;$E265&amp;",4326&amp;level=16",IF(_xlfn.SINGLE(JobState)="IL","https://fema.maps.arcgis.com/apps/mapviewer/index.html?url=https%3A%2F%2Fgis1.dot.illinois.gov%2Farcgis%2Frest%2Fservices%2FAdministrativeData%2FFunctionalClass%2FMapServer%2F0&amp;find="&amp;$F265&amp;"%2C"&amp;$E265&amp;"&amp;marker="&amp;$F265&amp;","&amp;$E265&amp;",4326&amp;level=16",IF(_xlfn.SINGLE(JobState)="OH","https://fema.maps.arcgis.com/apps/mapviewer/index.html?url=https%3A%2F%2Ftims.dot.state.oh.us%2Fags%2Frest%2Fservices%2FRoadway_Information%2FFunctional_Class%2FMapServer%2F0&amp;find="&amp;$F265&amp;"%2C"&amp;$E265&amp;"&amp;marker="&amp;$F265&amp;","&amp;$E265&amp;",4326&amp;level=16","https://fema.maps.arcgis.com/apps/mapviewer/index.html?find="&amp;$F265&amp;"%2C"&amp;$E265&amp;"&amp;marker="&amp;$F265&amp;","&amp;$E265&amp;",4326&amp;level=16")))))),IF(_xlfn.SINGLE(JobState)="WI","Review Local Roads Layer","Review NFC AGOL Layer"))))</f>
        <v/>
      </c>
      <c r="N265" s="6" t="str">
        <f>IF(OR($E265="",$F265=""),"",IF(_xlfn.SINGLE(JobState)="",IF(ROW()=2,HYPERLINK("#JobState","Set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265&amp;"%2C"&amp;$E265&amp;"&amp;marker="&amp;$F265&amp;","&amp;$E265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5" s="6" t="str">
        <f>IF(OR($E265="", $F265=""),"",IF(_xlfn.SINGLE(JobAgolMap)="",HYPERLINK("https://fema.maps.arcgis.com/apps/mapviewer/index.html?find="&amp;$F265&amp;"%2C"&amp;$E265&amp;"&amp;marker="&amp;$F265&amp;","&amp;$E265&amp;",4326&amp;level=16","FEMA AGOL Map Viewer"),HYPERLINK(_xlfn.SINGLE(JobAgolMap)&amp;IF(ISNUMBER(FIND("?",_xlfn.SINGLE(JobAgolMap))),"&amp;","?")&amp;"center="&amp;$F265&amp;","&amp;$E265&amp;"&amp;level=16&amp;marker="&amp;$F265&amp;","&amp;$E265,"Open")))</f>
        <v/>
      </c>
      <c r="Q265" s="4"/>
      <c r="R265" s="4"/>
      <c r="W265" s="6" t="str">
        <f t="shared" si="24"/>
        <v/>
      </c>
      <c r="X265" s="6" t="str">
        <f t="shared" si="25"/>
        <v/>
      </c>
      <c r="Y265" s="6" t="str">
        <f t="shared" si="26"/>
        <v/>
      </c>
      <c r="Z265" s="6" t="str">
        <f t="shared" si="27"/>
        <v/>
      </c>
      <c r="AA265" s="6" t="str">
        <f t="shared" si="28"/>
        <v/>
      </c>
      <c r="AB265" s="6" t="str">
        <f t="shared" si="29"/>
        <v/>
      </c>
      <c r="AC265" s="4"/>
      <c r="AD265" s="4"/>
    </row>
    <row r="266" spans="1:30" x14ac:dyDescent="0.45">
      <c r="A266" s="3"/>
      <c r="B266" s="3"/>
      <c r="C266" s="5" t="str">
        <f>IF($E266="","",COUNT($E$2:$E266))</f>
        <v/>
      </c>
      <c r="D266" s="3"/>
      <c r="E266" s="3"/>
      <c r="F266" s="3"/>
      <c r="G266" s="3"/>
      <c r="H266" s="3"/>
      <c r="I266" s="3"/>
      <c r="J266" s="3"/>
      <c r="K266" s="3"/>
      <c r="L266" s="4"/>
      <c r="M266" s="6" t="str">
        <f>IF(OR($E266="",$F266=""),"",IF(_xlfn.SINGLE(JobState)="",IF(ROW()=2,HYPERLINK("#JobState","Set State →"),""),HYPERLINK(IF(OR(_xlfn.SINGLE(JobState)="MI",_xlfn.SINGLE(JobState)=""),"https://fema.maps.arcgis.com/apps/mapviewer/index.html?webmap=6a1702b9147243d1a5ee62cd614bc681&amp;center="&amp;$F266&amp;","&amp;$E266&amp;"&amp;level=16&amp;marker="&amp;$F266&amp;","&amp;$E266&amp;"",IF(_xlfn.SINGLE(JobState)="IN","https://fema.maps.arcgis.com/apps/mapviewer/index.html?url=https%3A%2F%2Fgis.indot.in.gov%2Fro%2Frest%2Fservices%2FRAH_GIO_Collaboration%2FLRSE_Functional_Class%2FFeatureServer%2F22&amp;find="&amp;$F266&amp;"%2C"&amp;$E266&amp;"&amp;marker="&amp;$F266&amp;","&amp;$E266&amp;",4326&amp;level=16",IF(_xlfn.SINGLE(JobState)="WI","https://fema.maps.arcgis.com/apps/mapviewer/index.html?url=https://services5.arcgis.com/0pgGLzT0Nh7FVjon/arcgis/rest/services/Functional_Class_Local_Non_Prod/FeatureServer/1&amp;find="&amp;$F266&amp;"%2C"&amp;$E266&amp;"&amp;marker="&amp;$F266&amp;","&amp;$E266&amp;",4326&amp;level=16",IF(_xlfn.SINGLE(JobState)="MN","https://fema.maps.arcgis.com/apps/mapviewer/index.html?url=https%3A%2F%2Fdotapp9.dot.state.mn.us%2Fegis12%2Frest%2Fservices%2FBASEMAP%2Fmndot_commonlayers2%2FMapServer%2F11&amp;find="&amp;$F266&amp;"%2C"&amp;$E266&amp;"&amp;marker="&amp;$F266&amp;","&amp;$E266&amp;",4326&amp;level=16",IF(_xlfn.SINGLE(JobState)="IL","https://fema.maps.arcgis.com/apps/mapviewer/index.html?url=https%3A%2F%2Fgis1.dot.illinois.gov%2Farcgis%2Frest%2Fservices%2FAdministrativeData%2FFunctionalClass%2FMapServer%2F0&amp;find="&amp;$F266&amp;"%2C"&amp;$E266&amp;"&amp;marker="&amp;$F266&amp;","&amp;$E266&amp;",4326&amp;level=16",IF(_xlfn.SINGLE(JobState)="OH","https://fema.maps.arcgis.com/apps/mapviewer/index.html?url=https%3A%2F%2Ftims.dot.state.oh.us%2Fags%2Frest%2Fservices%2FRoadway_Information%2FFunctional_Class%2FMapServer%2F0&amp;find="&amp;$F266&amp;"%2C"&amp;$E266&amp;"&amp;marker="&amp;$F266&amp;","&amp;$E266&amp;",4326&amp;level=16","https://fema.maps.arcgis.com/apps/mapviewer/index.html?find="&amp;$F266&amp;"%2C"&amp;$E266&amp;"&amp;marker="&amp;$F266&amp;","&amp;$E266&amp;",4326&amp;level=16")))))),IF(_xlfn.SINGLE(JobState)="WI","Review Local Roads Layer","Review NFC AGOL Layer"))))</f>
        <v/>
      </c>
      <c r="N266" s="6" t="str">
        <f>IF(OR($E266="",$F266=""),"",IF(_xlfn.SINGLE(JobState)="",IF(ROW()=2,HYPERLINK("#JobState","Set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266&amp;"%2C"&amp;$E266&amp;"&amp;marker="&amp;$F266&amp;","&amp;$E266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6" s="6" t="str">
        <f>IF(OR($E266="", $F266=""),"",IF(_xlfn.SINGLE(JobAgolMap)="",HYPERLINK("https://fema.maps.arcgis.com/apps/mapviewer/index.html?find="&amp;$F266&amp;"%2C"&amp;$E266&amp;"&amp;marker="&amp;$F266&amp;","&amp;$E266&amp;",4326&amp;level=16","FEMA AGOL Map Viewer"),HYPERLINK(_xlfn.SINGLE(JobAgolMap)&amp;IF(ISNUMBER(FIND("?",_xlfn.SINGLE(JobAgolMap))),"&amp;","?")&amp;"center="&amp;$F266&amp;","&amp;$E266&amp;"&amp;level=16&amp;marker="&amp;$F266&amp;","&amp;$E266,"Open")))</f>
        <v/>
      </c>
      <c r="Q266" s="4"/>
      <c r="R266" s="4"/>
      <c r="W266" s="6" t="str">
        <f t="shared" si="24"/>
        <v/>
      </c>
      <c r="X266" s="6" t="str">
        <f t="shared" si="25"/>
        <v/>
      </c>
      <c r="Y266" s="6" t="str">
        <f t="shared" si="26"/>
        <v/>
      </c>
      <c r="Z266" s="6" t="str">
        <f t="shared" si="27"/>
        <v/>
      </c>
      <c r="AA266" s="6" t="str">
        <f t="shared" si="28"/>
        <v/>
      </c>
      <c r="AB266" s="6" t="str">
        <f t="shared" si="29"/>
        <v/>
      </c>
      <c r="AC266" s="4"/>
      <c r="AD266" s="4"/>
    </row>
    <row r="267" spans="1:30" x14ac:dyDescent="0.45">
      <c r="A267" s="3"/>
      <c r="B267" s="3"/>
      <c r="C267" s="5" t="str">
        <f>IF($E267="","",COUNT($E$2:$E267))</f>
        <v/>
      </c>
      <c r="D267" s="3"/>
      <c r="E267" s="3"/>
      <c r="F267" s="3"/>
      <c r="G267" s="3"/>
      <c r="H267" s="3"/>
      <c r="I267" s="3"/>
      <c r="J267" s="3"/>
      <c r="K267" s="3"/>
      <c r="L267" s="4"/>
      <c r="M267" s="6" t="str">
        <f>IF(OR($E267="",$F267=""),"",IF(_xlfn.SINGLE(JobState)="",IF(ROW()=2,HYPERLINK("#JobState","Set State →"),""),HYPERLINK(IF(OR(_xlfn.SINGLE(JobState)="MI",_xlfn.SINGLE(JobState)=""),"https://fema.maps.arcgis.com/apps/mapviewer/index.html?webmap=6a1702b9147243d1a5ee62cd614bc681&amp;center="&amp;$F267&amp;","&amp;$E267&amp;"&amp;level=16&amp;marker="&amp;$F267&amp;","&amp;$E267&amp;"",IF(_xlfn.SINGLE(JobState)="IN","https://fema.maps.arcgis.com/apps/mapviewer/index.html?url=https%3A%2F%2Fgis.indot.in.gov%2Fro%2Frest%2Fservices%2FRAH_GIO_Collaboration%2FLRSE_Functional_Class%2FFeatureServer%2F22&amp;find="&amp;$F267&amp;"%2C"&amp;$E267&amp;"&amp;marker="&amp;$F267&amp;","&amp;$E267&amp;",4326&amp;level=16",IF(_xlfn.SINGLE(JobState)="WI","https://fema.maps.arcgis.com/apps/mapviewer/index.html?url=https://services5.arcgis.com/0pgGLzT0Nh7FVjon/arcgis/rest/services/Functional_Class_Local_Non_Prod/FeatureServer/1&amp;find="&amp;$F267&amp;"%2C"&amp;$E267&amp;"&amp;marker="&amp;$F267&amp;","&amp;$E267&amp;",4326&amp;level=16",IF(_xlfn.SINGLE(JobState)="MN","https://fema.maps.arcgis.com/apps/mapviewer/index.html?url=https%3A%2F%2Fdotapp9.dot.state.mn.us%2Fegis12%2Frest%2Fservices%2FBASEMAP%2Fmndot_commonlayers2%2FMapServer%2F11&amp;find="&amp;$F267&amp;"%2C"&amp;$E267&amp;"&amp;marker="&amp;$F267&amp;","&amp;$E267&amp;",4326&amp;level=16",IF(_xlfn.SINGLE(JobState)="IL","https://fema.maps.arcgis.com/apps/mapviewer/index.html?url=https%3A%2F%2Fgis1.dot.illinois.gov%2Farcgis%2Frest%2Fservices%2FAdministrativeData%2FFunctionalClass%2FMapServer%2F0&amp;find="&amp;$F267&amp;"%2C"&amp;$E267&amp;"&amp;marker="&amp;$F267&amp;","&amp;$E267&amp;",4326&amp;level=16",IF(_xlfn.SINGLE(JobState)="OH","https://fema.maps.arcgis.com/apps/mapviewer/index.html?url=https%3A%2F%2Ftims.dot.state.oh.us%2Fags%2Frest%2Fservices%2FRoadway_Information%2FFunctional_Class%2FMapServer%2F0&amp;find="&amp;$F267&amp;"%2C"&amp;$E267&amp;"&amp;marker="&amp;$F267&amp;","&amp;$E267&amp;",4326&amp;level=16","https://fema.maps.arcgis.com/apps/mapviewer/index.html?find="&amp;$F267&amp;"%2C"&amp;$E267&amp;"&amp;marker="&amp;$F267&amp;","&amp;$E267&amp;",4326&amp;level=16")))))),IF(_xlfn.SINGLE(JobState)="WI","Review Local Roads Layer","Review NFC AGOL Layer"))))</f>
        <v/>
      </c>
      <c r="N267" s="6" t="str">
        <f>IF(OR($E267="",$F267=""),"",IF(_xlfn.SINGLE(JobState)="",IF(ROW()=2,HYPERLINK("#JobState","Set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267&amp;"%2C"&amp;$E267&amp;"&amp;marker="&amp;$F267&amp;","&amp;$E267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7" s="6" t="str">
        <f>IF(OR($E267="", $F267=""),"",IF(_xlfn.SINGLE(JobAgolMap)="",HYPERLINK("https://fema.maps.arcgis.com/apps/mapviewer/index.html?find="&amp;$F267&amp;"%2C"&amp;$E267&amp;"&amp;marker="&amp;$F267&amp;","&amp;$E267&amp;",4326&amp;level=16","FEMA AGOL Map Viewer"),HYPERLINK(_xlfn.SINGLE(JobAgolMap)&amp;IF(ISNUMBER(FIND("?",_xlfn.SINGLE(JobAgolMap))),"&amp;","?")&amp;"center="&amp;$F267&amp;","&amp;$E267&amp;"&amp;level=16&amp;marker="&amp;$F267&amp;","&amp;$E267,"Open")))</f>
        <v/>
      </c>
      <c r="Q267" s="4"/>
      <c r="R267" s="4"/>
      <c r="W267" s="6" t="str">
        <f t="shared" si="24"/>
        <v/>
      </c>
      <c r="X267" s="6" t="str">
        <f t="shared" si="25"/>
        <v/>
      </c>
      <c r="Y267" s="6" t="str">
        <f t="shared" si="26"/>
        <v/>
      </c>
      <c r="Z267" s="6" t="str">
        <f t="shared" si="27"/>
        <v/>
      </c>
      <c r="AA267" s="6" t="str">
        <f t="shared" si="28"/>
        <v/>
      </c>
      <c r="AB267" s="6" t="str">
        <f t="shared" si="29"/>
        <v/>
      </c>
      <c r="AC267" s="4"/>
      <c r="AD267" s="4"/>
    </row>
    <row r="268" spans="1:30" x14ac:dyDescent="0.45">
      <c r="A268" s="3"/>
      <c r="B268" s="3"/>
      <c r="C268" s="5" t="str">
        <f>IF($E268="","",COUNT($E$2:$E268))</f>
        <v/>
      </c>
      <c r="D268" s="3"/>
      <c r="E268" s="3"/>
      <c r="F268" s="3"/>
      <c r="G268" s="3"/>
      <c r="H268" s="3"/>
      <c r="I268" s="3"/>
      <c r="J268" s="3"/>
      <c r="K268" s="3"/>
      <c r="L268" s="4"/>
      <c r="M268" s="6" t="str">
        <f>IF(OR($E268="",$F268=""),"",IF(_xlfn.SINGLE(JobState)="",IF(ROW()=2,HYPERLINK("#JobState","Set State →"),""),HYPERLINK(IF(OR(_xlfn.SINGLE(JobState)="MI",_xlfn.SINGLE(JobState)=""),"https://fema.maps.arcgis.com/apps/mapviewer/index.html?webmap=6a1702b9147243d1a5ee62cd614bc681&amp;center="&amp;$F268&amp;","&amp;$E268&amp;"&amp;level=16&amp;marker="&amp;$F268&amp;","&amp;$E268&amp;"",IF(_xlfn.SINGLE(JobState)="IN","https://fema.maps.arcgis.com/apps/mapviewer/index.html?url=https%3A%2F%2Fgis.indot.in.gov%2Fro%2Frest%2Fservices%2FRAH_GIO_Collaboration%2FLRSE_Functional_Class%2FFeatureServer%2F22&amp;find="&amp;$F268&amp;"%2C"&amp;$E268&amp;"&amp;marker="&amp;$F268&amp;","&amp;$E268&amp;",4326&amp;level=16",IF(_xlfn.SINGLE(JobState)="WI","https://fema.maps.arcgis.com/apps/mapviewer/index.html?url=https://services5.arcgis.com/0pgGLzT0Nh7FVjon/arcgis/rest/services/Functional_Class_Local_Non_Prod/FeatureServer/1&amp;find="&amp;$F268&amp;"%2C"&amp;$E268&amp;"&amp;marker="&amp;$F268&amp;","&amp;$E268&amp;",4326&amp;level=16",IF(_xlfn.SINGLE(JobState)="MN","https://fema.maps.arcgis.com/apps/mapviewer/index.html?url=https%3A%2F%2Fdotapp9.dot.state.mn.us%2Fegis12%2Frest%2Fservices%2FBASEMAP%2Fmndot_commonlayers2%2FMapServer%2F11&amp;find="&amp;$F268&amp;"%2C"&amp;$E268&amp;"&amp;marker="&amp;$F268&amp;","&amp;$E268&amp;",4326&amp;level=16",IF(_xlfn.SINGLE(JobState)="IL","https://fema.maps.arcgis.com/apps/mapviewer/index.html?url=https%3A%2F%2Fgis1.dot.illinois.gov%2Farcgis%2Frest%2Fservices%2FAdministrativeData%2FFunctionalClass%2FMapServer%2F0&amp;find="&amp;$F268&amp;"%2C"&amp;$E268&amp;"&amp;marker="&amp;$F268&amp;","&amp;$E268&amp;",4326&amp;level=16",IF(_xlfn.SINGLE(JobState)="OH","https://fema.maps.arcgis.com/apps/mapviewer/index.html?url=https%3A%2F%2Ftims.dot.state.oh.us%2Fags%2Frest%2Fservices%2FRoadway_Information%2FFunctional_Class%2FMapServer%2F0&amp;find="&amp;$F268&amp;"%2C"&amp;$E268&amp;"&amp;marker="&amp;$F268&amp;","&amp;$E268&amp;",4326&amp;level=16","https://fema.maps.arcgis.com/apps/mapviewer/index.html?find="&amp;$F268&amp;"%2C"&amp;$E268&amp;"&amp;marker="&amp;$F268&amp;","&amp;$E268&amp;",4326&amp;level=16")))))),IF(_xlfn.SINGLE(JobState)="WI","Review Local Roads Layer","Review NFC AGOL Layer"))))</f>
        <v/>
      </c>
      <c r="N268" s="6" t="str">
        <f>IF(OR($E268="",$F268=""),"",IF(_xlfn.SINGLE(JobState)="",IF(ROW()=2,HYPERLINK("#JobState","Set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268&amp;"%2C"&amp;$E268&amp;"&amp;marker="&amp;$F268&amp;","&amp;$E268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8" s="6" t="str">
        <f>IF(OR($E268="", $F268=""),"",IF(_xlfn.SINGLE(JobAgolMap)="",HYPERLINK("https://fema.maps.arcgis.com/apps/mapviewer/index.html?find="&amp;$F268&amp;"%2C"&amp;$E268&amp;"&amp;marker="&amp;$F268&amp;","&amp;$E268&amp;",4326&amp;level=16","FEMA AGOL Map Viewer"),HYPERLINK(_xlfn.SINGLE(JobAgolMap)&amp;IF(ISNUMBER(FIND("?",_xlfn.SINGLE(JobAgolMap))),"&amp;","?")&amp;"center="&amp;$F268&amp;","&amp;$E268&amp;"&amp;level=16&amp;marker="&amp;$F268&amp;","&amp;$E268,"Open")))</f>
        <v/>
      </c>
      <c r="Q268" s="4"/>
      <c r="R268" s="4"/>
      <c r="W268" s="6" t="str">
        <f t="shared" si="24"/>
        <v/>
      </c>
      <c r="X268" s="6" t="str">
        <f t="shared" si="25"/>
        <v/>
      </c>
      <c r="Y268" s="6" t="str">
        <f t="shared" si="26"/>
        <v/>
      </c>
      <c r="Z268" s="6" t="str">
        <f t="shared" si="27"/>
        <v/>
      </c>
      <c r="AA268" s="6" t="str">
        <f t="shared" si="28"/>
        <v/>
      </c>
      <c r="AB268" s="6" t="str">
        <f t="shared" si="29"/>
        <v/>
      </c>
      <c r="AC268" s="4"/>
      <c r="AD268" s="4"/>
    </row>
    <row r="269" spans="1:30" x14ac:dyDescent="0.45">
      <c r="A269" s="3"/>
      <c r="B269" s="3"/>
      <c r="C269" s="5" t="str">
        <f>IF($E269="","",COUNT($E$2:$E269))</f>
        <v/>
      </c>
      <c r="D269" s="3"/>
      <c r="E269" s="3"/>
      <c r="F269" s="3"/>
      <c r="G269" s="3"/>
      <c r="H269" s="3"/>
      <c r="I269" s="3"/>
      <c r="J269" s="3"/>
      <c r="K269" s="3"/>
      <c r="L269" s="4"/>
      <c r="M269" s="6" t="str">
        <f>IF(OR($E269="",$F269=""),"",IF(_xlfn.SINGLE(JobState)="",IF(ROW()=2,HYPERLINK("#JobState","Set State →"),""),HYPERLINK(IF(OR(_xlfn.SINGLE(JobState)="MI",_xlfn.SINGLE(JobState)=""),"https://fema.maps.arcgis.com/apps/mapviewer/index.html?webmap=6a1702b9147243d1a5ee62cd614bc681&amp;center="&amp;$F269&amp;","&amp;$E269&amp;"&amp;level=16&amp;marker="&amp;$F269&amp;","&amp;$E269&amp;"",IF(_xlfn.SINGLE(JobState)="IN","https://fema.maps.arcgis.com/apps/mapviewer/index.html?url=https%3A%2F%2Fgis.indot.in.gov%2Fro%2Frest%2Fservices%2FRAH_GIO_Collaboration%2FLRSE_Functional_Class%2FFeatureServer%2F22&amp;find="&amp;$F269&amp;"%2C"&amp;$E269&amp;"&amp;marker="&amp;$F269&amp;","&amp;$E269&amp;",4326&amp;level=16",IF(_xlfn.SINGLE(JobState)="WI","https://fema.maps.arcgis.com/apps/mapviewer/index.html?url=https://services5.arcgis.com/0pgGLzT0Nh7FVjon/arcgis/rest/services/Functional_Class_Local_Non_Prod/FeatureServer/1&amp;find="&amp;$F269&amp;"%2C"&amp;$E269&amp;"&amp;marker="&amp;$F269&amp;","&amp;$E269&amp;",4326&amp;level=16",IF(_xlfn.SINGLE(JobState)="MN","https://fema.maps.arcgis.com/apps/mapviewer/index.html?url=https%3A%2F%2Fdotapp9.dot.state.mn.us%2Fegis12%2Frest%2Fservices%2FBASEMAP%2Fmndot_commonlayers2%2FMapServer%2F11&amp;find="&amp;$F269&amp;"%2C"&amp;$E269&amp;"&amp;marker="&amp;$F269&amp;","&amp;$E269&amp;",4326&amp;level=16",IF(_xlfn.SINGLE(JobState)="IL","https://fema.maps.arcgis.com/apps/mapviewer/index.html?url=https%3A%2F%2Fgis1.dot.illinois.gov%2Farcgis%2Frest%2Fservices%2FAdministrativeData%2FFunctionalClass%2FMapServer%2F0&amp;find="&amp;$F269&amp;"%2C"&amp;$E269&amp;"&amp;marker="&amp;$F269&amp;","&amp;$E269&amp;",4326&amp;level=16",IF(_xlfn.SINGLE(JobState)="OH","https://fema.maps.arcgis.com/apps/mapviewer/index.html?url=https%3A%2F%2Ftims.dot.state.oh.us%2Fags%2Frest%2Fservices%2FRoadway_Information%2FFunctional_Class%2FMapServer%2F0&amp;find="&amp;$F269&amp;"%2C"&amp;$E269&amp;"&amp;marker="&amp;$F269&amp;","&amp;$E269&amp;",4326&amp;level=16","https://fema.maps.arcgis.com/apps/mapviewer/index.html?find="&amp;$F269&amp;"%2C"&amp;$E269&amp;"&amp;marker="&amp;$F269&amp;","&amp;$E269&amp;",4326&amp;level=16")))))),IF(_xlfn.SINGLE(JobState)="WI","Review Local Roads Layer","Review NFC AGOL Layer"))))</f>
        <v/>
      </c>
      <c r="N269" s="6" t="str">
        <f>IF(OR($E269="",$F269=""),"",IF(_xlfn.SINGLE(JobState)="",IF(ROW()=2,HYPERLINK("#JobState","Set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269&amp;"%2C"&amp;$E269&amp;"&amp;marker="&amp;$F269&amp;","&amp;$E269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9" s="6" t="str">
        <f>IF(OR($E269="", $F269=""),"",IF(_xlfn.SINGLE(JobAgolMap)="",HYPERLINK("https://fema.maps.arcgis.com/apps/mapviewer/index.html?find="&amp;$F269&amp;"%2C"&amp;$E269&amp;"&amp;marker="&amp;$F269&amp;","&amp;$E269&amp;",4326&amp;level=16","FEMA AGOL Map Viewer"),HYPERLINK(_xlfn.SINGLE(JobAgolMap)&amp;IF(ISNUMBER(FIND("?",_xlfn.SINGLE(JobAgolMap))),"&amp;","?")&amp;"center="&amp;$F269&amp;","&amp;$E269&amp;"&amp;level=16&amp;marker="&amp;$F269&amp;","&amp;$E269,"Open")))</f>
        <v/>
      </c>
      <c r="Q269" s="4"/>
      <c r="R269" s="4"/>
      <c r="W269" s="6" t="str">
        <f t="shared" si="24"/>
        <v/>
      </c>
      <c r="X269" s="6" t="str">
        <f t="shared" si="25"/>
        <v/>
      </c>
      <c r="Y269" s="6" t="str">
        <f t="shared" si="26"/>
        <v/>
      </c>
      <c r="Z269" s="6" t="str">
        <f t="shared" si="27"/>
        <v/>
      </c>
      <c r="AA269" s="6" t="str">
        <f t="shared" si="28"/>
        <v/>
      </c>
      <c r="AB269" s="6" t="str">
        <f t="shared" si="29"/>
        <v/>
      </c>
      <c r="AC269" s="4"/>
      <c r="AD269" s="4"/>
    </row>
    <row r="270" spans="1:30" x14ac:dyDescent="0.45">
      <c r="A270" s="3"/>
      <c r="B270" s="3"/>
      <c r="C270" s="5" t="str">
        <f>IF($E270="","",COUNT($E$2:$E270))</f>
        <v/>
      </c>
      <c r="D270" s="3"/>
      <c r="E270" s="3"/>
      <c r="F270" s="3"/>
      <c r="G270" s="3"/>
      <c r="H270" s="3"/>
      <c r="I270" s="3"/>
      <c r="J270" s="3"/>
      <c r="K270" s="3"/>
      <c r="L270" s="4"/>
      <c r="M270" s="6" t="str">
        <f>IF(OR($E270="",$F270=""),"",IF(_xlfn.SINGLE(JobState)="",IF(ROW()=2,HYPERLINK("#JobState","Set State →"),""),HYPERLINK(IF(OR(_xlfn.SINGLE(JobState)="MI",_xlfn.SINGLE(JobState)=""),"https://fema.maps.arcgis.com/apps/mapviewer/index.html?webmap=6a1702b9147243d1a5ee62cd614bc681&amp;center="&amp;$F270&amp;","&amp;$E270&amp;"&amp;level=16&amp;marker="&amp;$F270&amp;","&amp;$E270&amp;"",IF(_xlfn.SINGLE(JobState)="IN","https://fema.maps.arcgis.com/apps/mapviewer/index.html?url=https%3A%2F%2Fgis.indot.in.gov%2Fro%2Frest%2Fservices%2FRAH_GIO_Collaboration%2FLRSE_Functional_Class%2FFeatureServer%2F22&amp;find="&amp;$F270&amp;"%2C"&amp;$E270&amp;"&amp;marker="&amp;$F270&amp;","&amp;$E270&amp;",4326&amp;level=16",IF(_xlfn.SINGLE(JobState)="WI","https://fema.maps.arcgis.com/apps/mapviewer/index.html?url=https://services5.arcgis.com/0pgGLzT0Nh7FVjon/arcgis/rest/services/Functional_Class_Local_Non_Prod/FeatureServer/1&amp;find="&amp;$F270&amp;"%2C"&amp;$E270&amp;"&amp;marker="&amp;$F270&amp;","&amp;$E270&amp;",4326&amp;level=16",IF(_xlfn.SINGLE(JobState)="MN","https://fema.maps.arcgis.com/apps/mapviewer/index.html?url=https%3A%2F%2Fdotapp9.dot.state.mn.us%2Fegis12%2Frest%2Fservices%2FBASEMAP%2Fmndot_commonlayers2%2FMapServer%2F11&amp;find="&amp;$F270&amp;"%2C"&amp;$E270&amp;"&amp;marker="&amp;$F270&amp;","&amp;$E270&amp;",4326&amp;level=16",IF(_xlfn.SINGLE(JobState)="IL","https://fema.maps.arcgis.com/apps/mapviewer/index.html?url=https%3A%2F%2Fgis1.dot.illinois.gov%2Farcgis%2Frest%2Fservices%2FAdministrativeData%2FFunctionalClass%2FMapServer%2F0&amp;find="&amp;$F270&amp;"%2C"&amp;$E270&amp;"&amp;marker="&amp;$F270&amp;","&amp;$E270&amp;",4326&amp;level=16",IF(_xlfn.SINGLE(JobState)="OH","https://fema.maps.arcgis.com/apps/mapviewer/index.html?url=https%3A%2F%2Ftims.dot.state.oh.us%2Fags%2Frest%2Fservices%2FRoadway_Information%2FFunctional_Class%2FMapServer%2F0&amp;find="&amp;$F270&amp;"%2C"&amp;$E270&amp;"&amp;marker="&amp;$F270&amp;","&amp;$E270&amp;",4326&amp;level=16","https://fema.maps.arcgis.com/apps/mapviewer/index.html?find="&amp;$F270&amp;"%2C"&amp;$E270&amp;"&amp;marker="&amp;$F270&amp;","&amp;$E270&amp;",4326&amp;level=16")))))),IF(_xlfn.SINGLE(JobState)="WI","Review Local Roads Layer","Review NFC AGOL Layer"))))</f>
        <v/>
      </c>
      <c r="N270" s="6" t="str">
        <f>IF(OR($E270="",$F270=""),"",IF(_xlfn.SINGLE(JobState)="",IF(ROW()=2,HYPERLINK("#JobState","Set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270&amp;"%2C"&amp;$E270&amp;"&amp;marker="&amp;$F270&amp;","&amp;$E270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0" s="6" t="str">
        <f>IF(OR($E270="", $F270=""),"",IF(_xlfn.SINGLE(JobAgolMap)="",HYPERLINK("https://fema.maps.arcgis.com/apps/mapviewer/index.html?find="&amp;$F270&amp;"%2C"&amp;$E270&amp;"&amp;marker="&amp;$F270&amp;","&amp;$E270&amp;",4326&amp;level=16","FEMA AGOL Map Viewer"),HYPERLINK(_xlfn.SINGLE(JobAgolMap)&amp;IF(ISNUMBER(FIND("?",_xlfn.SINGLE(JobAgolMap))),"&amp;","?")&amp;"center="&amp;$F270&amp;","&amp;$E270&amp;"&amp;level=16&amp;marker="&amp;$F270&amp;","&amp;$E270,"Open")))</f>
        <v/>
      </c>
      <c r="Q270" s="4"/>
      <c r="R270" s="4"/>
      <c r="W270" s="6" t="str">
        <f t="shared" si="24"/>
        <v/>
      </c>
      <c r="X270" s="6" t="str">
        <f t="shared" si="25"/>
        <v/>
      </c>
      <c r="Y270" s="6" t="str">
        <f t="shared" si="26"/>
        <v/>
      </c>
      <c r="Z270" s="6" t="str">
        <f t="shared" si="27"/>
        <v/>
      </c>
      <c r="AA270" s="6" t="str">
        <f t="shared" si="28"/>
        <v/>
      </c>
      <c r="AB270" s="6" t="str">
        <f t="shared" si="29"/>
        <v/>
      </c>
      <c r="AC270" s="4"/>
      <c r="AD270" s="4"/>
    </row>
    <row r="271" spans="1:30" x14ac:dyDescent="0.45">
      <c r="A271" s="3"/>
      <c r="B271" s="3"/>
      <c r="C271" s="5" t="str">
        <f>IF($E271="","",COUNT($E$2:$E271))</f>
        <v/>
      </c>
      <c r="D271" s="3"/>
      <c r="E271" s="3"/>
      <c r="F271" s="3"/>
      <c r="G271" s="3"/>
      <c r="H271" s="3"/>
      <c r="I271" s="3"/>
      <c r="J271" s="3"/>
      <c r="K271" s="3"/>
      <c r="L271" s="4"/>
      <c r="M271" s="6" t="str">
        <f>IF(OR($E271="",$F271=""),"",IF(_xlfn.SINGLE(JobState)="",IF(ROW()=2,HYPERLINK("#JobState","Set State →"),""),HYPERLINK(IF(OR(_xlfn.SINGLE(JobState)="MI",_xlfn.SINGLE(JobState)=""),"https://fema.maps.arcgis.com/apps/mapviewer/index.html?webmap=6a1702b9147243d1a5ee62cd614bc681&amp;center="&amp;$F271&amp;","&amp;$E271&amp;"&amp;level=16&amp;marker="&amp;$F271&amp;","&amp;$E271&amp;"",IF(_xlfn.SINGLE(JobState)="IN","https://fema.maps.arcgis.com/apps/mapviewer/index.html?url=https%3A%2F%2Fgis.indot.in.gov%2Fro%2Frest%2Fservices%2FRAH_GIO_Collaboration%2FLRSE_Functional_Class%2FFeatureServer%2F22&amp;find="&amp;$F271&amp;"%2C"&amp;$E271&amp;"&amp;marker="&amp;$F271&amp;","&amp;$E271&amp;",4326&amp;level=16",IF(_xlfn.SINGLE(JobState)="WI","https://fema.maps.arcgis.com/apps/mapviewer/index.html?url=https://services5.arcgis.com/0pgGLzT0Nh7FVjon/arcgis/rest/services/Functional_Class_Local_Non_Prod/FeatureServer/1&amp;find="&amp;$F271&amp;"%2C"&amp;$E271&amp;"&amp;marker="&amp;$F271&amp;","&amp;$E271&amp;",4326&amp;level=16",IF(_xlfn.SINGLE(JobState)="MN","https://fema.maps.arcgis.com/apps/mapviewer/index.html?url=https%3A%2F%2Fdotapp9.dot.state.mn.us%2Fegis12%2Frest%2Fservices%2FBASEMAP%2Fmndot_commonlayers2%2FMapServer%2F11&amp;find="&amp;$F271&amp;"%2C"&amp;$E271&amp;"&amp;marker="&amp;$F271&amp;","&amp;$E271&amp;",4326&amp;level=16",IF(_xlfn.SINGLE(JobState)="IL","https://fema.maps.arcgis.com/apps/mapviewer/index.html?url=https%3A%2F%2Fgis1.dot.illinois.gov%2Farcgis%2Frest%2Fservices%2FAdministrativeData%2FFunctionalClass%2FMapServer%2F0&amp;find="&amp;$F271&amp;"%2C"&amp;$E271&amp;"&amp;marker="&amp;$F271&amp;","&amp;$E271&amp;",4326&amp;level=16",IF(_xlfn.SINGLE(JobState)="OH","https://fema.maps.arcgis.com/apps/mapviewer/index.html?url=https%3A%2F%2Ftims.dot.state.oh.us%2Fags%2Frest%2Fservices%2FRoadway_Information%2FFunctional_Class%2FMapServer%2F0&amp;find="&amp;$F271&amp;"%2C"&amp;$E271&amp;"&amp;marker="&amp;$F271&amp;","&amp;$E271&amp;",4326&amp;level=16","https://fema.maps.arcgis.com/apps/mapviewer/index.html?find="&amp;$F271&amp;"%2C"&amp;$E271&amp;"&amp;marker="&amp;$F271&amp;","&amp;$E271&amp;",4326&amp;level=16")))))),IF(_xlfn.SINGLE(JobState)="WI","Review Local Roads Layer","Review NFC AGOL Layer"))))</f>
        <v/>
      </c>
      <c r="N271" s="6" t="str">
        <f>IF(OR($E271="",$F271=""),"",IF(_xlfn.SINGLE(JobState)="",IF(ROW()=2,HYPERLINK("#JobState","Set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271&amp;"%2C"&amp;$E271&amp;"&amp;marker="&amp;$F271&amp;","&amp;$E271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1" s="6" t="str">
        <f>IF(OR($E271="", $F271=""),"",IF(_xlfn.SINGLE(JobAgolMap)="",HYPERLINK("https://fema.maps.arcgis.com/apps/mapviewer/index.html?find="&amp;$F271&amp;"%2C"&amp;$E271&amp;"&amp;marker="&amp;$F271&amp;","&amp;$E271&amp;",4326&amp;level=16","FEMA AGOL Map Viewer"),HYPERLINK(_xlfn.SINGLE(JobAgolMap)&amp;IF(ISNUMBER(FIND("?",_xlfn.SINGLE(JobAgolMap))),"&amp;","?")&amp;"center="&amp;$F271&amp;","&amp;$E271&amp;"&amp;level=16&amp;marker="&amp;$F271&amp;","&amp;$E271,"Open")))</f>
        <v/>
      </c>
      <c r="Q271" s="4"/>
      <c r="R271" s="4"/>
      <c r="W271" s="6" t="str">
        <f t="shared" si="24"/>
        <v/>
      </c>
      <c r="X271" s="6" t="str">
        <f t="shared" si="25"/>
        <v/>
      </c>
      <c r="Y271" s="6" t="str">
        <f t="shared" si="26"/>
        <v/>
      </c>
      <c r="Z271" s="6" t="str">
        <f t="shared" si="27"/>
        <v/>
      </c>
      <c r="AA271" s="6" t="str">
        <f t="shared" si="28"/>
        <v/>
      </c>
      <c r="AB271" s="6" t="str">
        <f t="shared" si="29"/>
        <v/>
      </c>
      <c r="AC271" s="4"/>
      <c r="AD271" s="4"/>
    </row>
    <row r="272" spans="1:30" x14ac:dyDescent="0.45">
      <c r="A272" s="3"/>
      <c r="B272" s="3"/>
      <c r="C272" s="5" t="str">
        <f>IF($E272="","",COUNT($E$2:$E272))</f>
        <v/>
      </c>
      <c r="D272" s="3"/>
      <c r="E272" s="3"/>
      <c r="F272" s="3"/>
      <c r="G272" s="3"/>
      <c r="H272" s="3"/>
      <c r="I272" s="3"/>
      <c r="J272" s="3"/>
      <c r="K272" s="3"/>
      <c r="L272" s="4"/>
      <c r="M272" s="6" t="str">
        <f>IF(OR($E272="",$F272=""),"",IF(_xlfn.SINGLE(JobState)="",IF(ROW()=2,HYPERLINK("#JobState","Set State →"),""),HYPERLINK(IF(OR(_xlfn.SINGLE(JobState)="MI",_xlfn.SINGLE(JobState)=""),"https://fema.maps.arcgis.com/apps/mapviewer/index.html?webmap=6a1702b9147243d1a5ee62cd614bc681&amp;center="&amp;$F272&amp;","&amp;$E272&amp;"&amp;level=16&amp;marker="&amp;$F272&amp;","&amp;$E272&amp;"",IF(_xlfn.SINGLE(JobState)="IN","https://fema.maps.arcgis.com/apps/mapviewer/index.html?url=https%3A%2F%2Fgis.indot.in.gov%2Fro%2Frest%2Fservices%2FRAH_GIO_Collaboration%2FLRSE_Functional_Class%2FFeatureServer%2F22&amp;find="&amp;$F272&amp;"%2C"&amp;$E272&amp;"&amp;marker="&amp;$F272&amp;","&amp;$E272&amp;",4326&amp;level=16",IF(_xlfn.SINGLE(JobState)="WI","https://fema.maps.arcgis.com/apps/mapviewer/index.html?url=https://services5.arcgis.com/0pgGLzT0Nh7FVjon/arcgis/rest/services/Functional_Class_Local_Non_Prod/FeatureServer/1&amp;find="&amp;$F272&amp;"%2C"&amp;$E272&amp;"&amp;marker="&amp;$F272&amp;","&amp;$E272&amp;",4326&amp;level=16",IF(_xlfn.SINGLE(JobState)="MN","https://fema.maps.arcgis.com/apps/mapviewer/index.html?url=https%3A%2F%2Fdotapp9.dot.state.mn.us%2Fegis12%2Frest%2Fservices%2FBASEMAP%2Fmndot_commonlayers2%2FMapServer%2F11&amp;find="&amp;$F272&amp;"%2C"&amp;$E272&amp;"&amp;marker="&amp;$F272&amp;","&amp;$E272&amp;",4326&amp;level=16",IF(_xlfn.SINGLE(JobState)="IL","https://fema.maps.arcgis.com/apps/mapviewer/index.html?url=https%3A%2F%2Fgis1.dot.illinois.gov%2Farcgis%2Frest%2Fservices%2FAdministrativeData%2FFunctionalClass%2FMapServer%2F0&amp;find="&amp;$F272&amp;"%2C"&amp;$E272&amp;"&amp;marker="&amp;$F272&amp;","&amp;$E272&amp;",4326&amp;level=16",IF(_xlfn.SINGLE(JobState)="OH","https://fema.maps.arcgis.com/apps/mapviewer/index.html?url=https%3A%2F%2Ftims.dot.state.oh.us%2Fags%2Frest%2Fservices%2FRoadway_Information%2FFunctional_Class%2FMapServer%2F0&amp;find="&amp;$F272&amp;"%2C"&amp;$E272&amp;"&amp;marker="&amp;$F272&amp;","&amp;$E272&amp;",4326&amp;level=16","https://fema.maps.arcgis.com/apps/mapviewer/index.html?find="&amp;$F272&amp;"%2C"&amp;$E272&amp;"&amp;marker="&amp;$F272&amp;","&amp;$E272&amp;",4326&amp;level=16")))))),IF(_xlfn.SINGLE(JobState)="WI","Review Local Roads Layer","Review NFC AGOL Layer"))))</f>
        <v/>
      </c>
      <c r="N272" s="6" t="str">
        <f>IF(OR($E272="",$F272=""),"",IF(_xlfn.SINGLE(JobState)="",IF(ROW()=2,HYPERLINK("#JobState","Set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272&amp;"%2C"&amp;$E272&amp;"&amp;marker="&amp;$F272&amp;","&amp;$E272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2" s="6" t="str">
        <f>IF(OR($E272="", $F272=""),"",IF(_xlfn.SINGLE(JobAgolMap)="",HYPERLINK("https://fema.maps.arcgis.com/apps/mapviewer/index.html?find="&amp;$F272&amp;"%2C"&amp;$E272&amp;"&amp;marker="&amp;$F272&amp;","&amp;$E272&amp;",4326&amp;level=16","FEMA AGOL Map Viewer"),HYPERLINK(_xlfn.SINGLE(JobAgolMap)&amp;IF(ISNUMBER(FIND("?",_xlfn.SINGLE(JobAgolMap))),"&amp;","?")&amp;"center="&amp;$F272&amp;","&amp;$E272&amp;"&amp;level=16&amp;marker="&amp;$F272&amp;","&amp;$E272,"Open")))</f>
        <v/>
      </c>
      <c r="Q272" s="4"/>
      <c r="R272" s="4"/>
      <c r="W272" s="6" t="str">
        <f t="shared" si="24"/>
        <v/>
      </c>
      <c r="X272" s="6" t="str">
        <f t="shared" si="25"/>
        <v/>
      </c>
      <c r="Y272" s="6" t="str">
        <f t="shared" si="26"/>
        <v/>
      </c>
      <c r="Z272" s="6" t="str">
        <f t="shared" si="27"/>
        <v/>
      </c>
      <c r="AA272" s="6" t="str">
        <f t="shared" si="28"/>
        <v/>
      </c>
      <c r="AB272" s="6" t="str">
        <f t="shared" si="29"/>
        <v/>
      </c>
      <c r="AC272" s="4"/>
      <c r="AD272" s="4"/>
    </row>
    <row r="273" spans="1:30" x14ac:dyDescent="0.45">
      <c r="A273" s="3"/>
      <c r="B273" s="3"/>
      <c r="C273" s="5" t="str">
        <f>IF($E273="","",COUNT($E$2:$E273))</f>
        <v/>
      </c>
      <c r="D273" s="3"/>
      <c r="E273" s="3"/>
      <c r="F273" s="3"/>
      <c r="G273" s="3"/>
      <c r="H273" s="3"/>
      <c r="I273" s="3"/>
      <c r="J273" s="3"/>
      <c r="K273" s="3"/>
      <c r="L273" s="4"/>
      <c r="M273" s="6" t="str">
        <f>IF(OR($E273="",$F273=""),"",IF(_xlfn.SINGLE(JobState)="",IF(ROW()=2,HYPERLINK("#JobState","Set State →"),""),HYPERLINK(IF(OR(_xlfn.SINGLE(JobState)="MI",_xlfn.SINGLE(JobState)=""),"https://fema.maps.arcgis.com/apps/mapviewer/index.html?webmap=6a1702b9147243d1a5ee62cd614bc681&amp;center="&amp;$F273&amp;","&amp;$E273&amp;"&amp;level=16&amp;marker="&amp;$F273&amp;","&amp;$E273&amp;"",IF(_xlfn.SINGLE(JobState)="IN","https://fema.maps.arcgis.com/apps/mapviewer/index.html?url=https%3A%2F%2Fgis.indot.in.gov%2Fro%2Frest%2Fservices%2FRAH_GIO_Collaboration%2FLRSE_Functional_Class%2FFeatureServer%2F22&amp;find="&amp;$F273&amp;"%2C"&amp;$E273&amp;"&amp;marker="&amp;$F273&amp;","&amp;$E273&amp;",4326&amp;level=16",IF(_xlfn.SINGLE(JobState)="WI","https://fema.maps.arcgis.com/apps/mapviewer/index.html?url=https://services5.arcgis.com/0pgGLzT0Nh7FVjon/arcgis/rest/services/Functional_Class_Local_Non_Prod/FeatureServer/1&amp;find="&amp;$F273&amp;"%2C"&amp;$E273&amp;"&amp;marker="&amp;$F273&amp;","&amp;$E273&amp;",4326&amp;level=16",IF(_xlfn.SINGLE(JobState)="MN","https://fema.maps.arcgis.com/apps/mapviewer/index.html?url=https%3A%2F%2Fdotapp9.dot.state.mn.us%2Fegis12%2Frest%2Fservices%2FBASEMAP%2Fmndot_commonlayers2%2FMapServer%2F11&amp;find="&amp;$F273&amp;"%2C"&amp;$E273&amp;"&amp;marker="&amp;$F273&amp;","&amp;$E273&amp;",4326&amp;level=16",IF(_xlfn.SINGLE(JobState)="IL","https://fema.maps.arcgis.com/apps/mapviewer/index.html?url=https%3A%2F%2Fgis1.dot.illinois.gov%2Farcgis%2Frest%2Fservices%2FAdministrativeData%2FFunctionalClass%2FMapServer%2F0&amp;find="&amp;$F273&amp;"%2C"&amp;$E273&amp;"&amp;marker="&amp;$F273&amp;","&amp;$E273&amp;",4326&amp;level=16",IF(_xlfn.SINGLE(JobState)="OH","https://fema.maps.arcgis.com/apps/mapviewer/index.html?url=https%3A%2F%2Ftims.dot.state.oh.us%2Fags%2Frest%2Fservices%2FRoadway_Information%2FFunctional_Class%2FMapServer%2F0&amp;find="&amp;$F273&amp;"%2C"&amp;$E273&amp;"&amp;marker="&amp;$F273&amp;","&amp;$E273&amp;",4326&amp;level=16","https://fema.maps.arcgis.com/apps/mapviewer/index.html?find="&amp;$F273&amp;"%2C"&amp;$E273&amp;"&amp;marker="&amp;$F273&amp;","&amp;$E273&amp;",4326&amp;level=16")))))),IF(_xlfn.SINGLE(JobState)="WI","Review Local Roads Layer","Review NFC AGOL Layer"))))</f>
        <v/>
      </c>
      <c r="N273" s="6" t="str">
        <f>IF(OR($E273="",$F273=""),"",IF(_xlfn.SINGLE(JobState)="",IF(ROW()=2,HYPERLINK("#JobState","Set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273&amp;"%2C"&amp;$E273&amp;"&amp;marker="&amp;$F273&amp;","&amp;$E273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3" s="6" t="str">
        <f>IF(OR($E273="", $F273=""),"",IF(_xlfn.SINGLE(JobAgolMap)="",HYPERLINK("https://fema.maps.arcgis.com/apps/mapviewer/index.html?find="&amp;$F273&amp;"%2C"&amp;$E273&amp;"&amp;marker="&amp;$F273&amp;","&amp;$E273&amp;",4326&amp;level=16","FEMA AGOL Map Viewer"),HYPERLINK(_xlfn.SINGLE(JobAgolMap)&amp;IF(ISNUMBER(FIND("?",_xlfn.SINGLE(JobAgolMap))),"&amp;","?")&amp;"center="&amp;$F273&amp;","&amp;$E273&amp;"&amp;level=16&amp;marker="&amp;$F273&amp;","&amp;$E273,"Open")))</f>
        <v/>
      </c>
      <c r="Q273" s="4"/>
      <c r="R273" s="4"/>
      <c r="W273" s="6" t="str">
        <f t="shared" si="24"/>
        <v/>
      </c>
      <c r="X273" s="6" t="str">
        <f t="shared" si="25"/>
        <v/>
      </c>
      <c r="Y273" s="6" t="str">
        <f t="shared" si="26"/>
        <v/>
      </c>
      <c r="Z273" s="6" t="str">
        <f t="shared" si="27"/>
        <v/>
      </c>
      <c r="AA273" s="6" t="str">
        <f t="shared" si="28"/>
        <v/>
      </c>
      <c r="AB273" s="6" t="str">
        <f t="shared" si="29"/>
        <v/>
      </c>
      <c r="AC273" s="4"/>
      <c r="AD273" s="4"/>
    </row>
    <row r="274" spans="1:30" x14ac:dyDescent="0.45">
      <c r="A274" s="3"/>
      <c r="B274" s="3"/>
      <c r="C274" s="5" t="str">
        <f>IF($E274="","",COUNT($E$2:$E274))</f>
        <v/>
      </c>
      <c r="D274" s="3"/>
      <c r="E274" s="3"/>
      <c r="F274" s="3"/>
      <c r="G274" s="3"/>
      <c r="H274" s="3"/>
      <c r="I274" s="3"/>
      <c r="J274" s="3"/>
      <c r="K274" s="3"/>
      <c r="L274" s="4"/>
      <c r="M274" s="6" t="str">
        <f>IF(OR($E274="",$F274=""),"",IF(_xlfn.SINGLE(JobState)="",IF(ROW()=2,HYPERLINK("#JobState","Set State →"),""),HYPERLINK(IF(OR(_xlfn.SINGLE(JobState)="MI",_xlfn.SINGLE(JobState)=""),"https://fema.maps.arcgis.com/apps/mapviewer/index.html?webmap=6a1702b9147243d1a5ee62cd614bc681&amp;center="&amp;$F274&amp;","&amp;$E274&amp;"&amp;level=16&amp;marker="&amp;$F274&amp;","&amp;$E274&amp;"",IF(_xlfn.SINGLE(JobState)="IN","https://fema.maps.arcgis.com/apps/mapviewer/index.html?url=https%3A%2F%2Fgis.indot.in.gov%2Fro%2Frest%2Fservices%2FRAH_GIO_Collaboration%2FLRSE_Functional_Class%2FFeatureServer%2F22&amp;find="&amp;$F274&amp;"%2C"&amp;$E274&amp;"&amp;marker="&amp;$F274&amp;","&amp;$E274&amp;",4326&amp;level=16",IF(_xlfn.SINGLE(JobState)="WI","https://fema.maps.arcgis.com/apps/mapviewer/index.html?url=https://services5.arcgis.com/0pgGLzT0Nh7FVjon/arcgis/rest/services/Functional_Class_Local_Non_Prod/FeatureServer/1&amp;find="&amp;$F274&amp;"%2C"&amp;$E274&amp;"&amp;marker="&amp;$F274&amp;","&amp;$E274&amp;",4326&amp;level=16",IF(_xlfn.SINGLE(JobState)="MN","https://fema.maps.arcgis.com/apps/mapviewer/index.html?url=https%3A%2F%2Fdotapp9.dot.state.mn.us%2Fegis12%2Frest%2Fservices%2FBASEMAP%2Fmndot_commonlayers2%2FMapServer%2F11&amp;find="&amp;$F274&amp;"%2C"&amp;$E274&amp;"&amp;marker="&amp;$F274&amp;","&amp;$E274&amp;",4326&amp;level=16",IF(_xlfn.SINGLE(JobState)="IL","https://fema.maps.arcgis.com/apps/mapviewer/index.html?url=https%3A%2F%2Fgis1.dot.illinois.gov%2Farcgis%2Frest%2Fservices%2FAdministrativeData%2FFunctionalClass%2FMapServer%2F0&amp;find="&amp;$F274&amp;"%2C"&amp;$E274&amp;"&amp;marker="&amp;$F274&amp;","&amp;$E274&amp;",4326&amp;level=16",IF(_xlfn.SINGLE(JobState)="OH","https://fema.maps.arcgis.com/apps/mapviewer/index.html?url=https%3A%2F%2Ftims.dot.state.oh.us%2Fags%2Frest%2Fservices%2FRoadway_Information%2FFunctional_Class%2FMapServer%2F0&amp;find="&amp;$F274&amp;"%2C"&amp;$E274&amp;"&amp;marker="&amp;$F274&amp;","&amp;$E274&amp;",4326&amp;level=16","https://fema.maps.arcgis.com/apps/mapviewer/index.html?find="&amp;$F274&amp;"%2C"&amp;$E274&amp;"&amp;marker="&amp;$F274&amp;","&amp;$E274&amp;",4326&amp;level=16")))))),IF(_xlfn.SINGLE(JobState)="WI","Review Local Roads Layer","Review NFC AGOL Layer"))))</f>
        <v/>
      </c>
      <c r="N274" s="6" t="str">
        <f>IF(OR($E274="",$F274=""),"",IF(_xlfn.SINGLE(JobState)="",IF(ROW()=2,HYPERLINK("#JobState","Set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274&amp;"%2C"&amp;$E274&amp;"&amp;marker="&amp;$F274&amp;","&amp;$E274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4" s="6" t="str">
        <f>IF(OR($E274="", $F274=""),"",IF(_xlfn.SINGLE(JobAgolMap)="",HYPERLINK("https://fema.maps.arcgis.com/apps/mapviewer/index.html?find="&amp;$F274&amp;"%2C"&amp;$E274&amp;"&amp;marker="&amp;$F274&amp;","&amp;$E274&amp;",4326&amp;level=16","FEMA AGOL Map Viewer"),HYPERLINK(_xlfn.SINGLE(JobAgolMap)&amp;IF(ISNUMBER(FIND("?",_xlfn.SINGLE(JobAgolMap))),"&amp;","?")&amp;"center="&amp;$F274&amp;","&amp;$E274&amp;"&amp;level=16&amp;marker="&amp;$F274&amp;","&amp;$E274,"Open")))</f>
        <v/>
      </c>
      <c r="Q274" s="4"/>
      <c r="R274" s="4"/>
      <c r="W274" s="6" t="str">
        <f t="shared" si="24"/>
        <v/>
      </c>
      <c r="X274" s="6" t="str">
        <f t="shared" si="25"/>
        <v/>
      </c>
      <c r="Y274" s="6" t="str">
        <f t="shared" si="26"/>
        <v/>
      </c>
      <c r="Z274" s="6" t="str">
        <f t="shared" si="27"/>
        <v/>
      </c>
      <c r="AA274" s="6" t="str">
        <f t="shared" si="28"/>
        <v/>
      </c>
      <c r="AB274" s="6" t="str">
        <f t="shared" si="29"/>
        <v/>
      </c>
      <c r="AC274" s="4"/>
      <c r="AD274" s="4"/>
    </row>
    <row r="275" spans="1:30" x14ac:dyDescent="0.45">
      <c r="A275" s="3"/>
      <c r="B275" s="3"/>
      <c r="C275" s="5" t="str">
        <f>IF($E275="","",COUNT($E$2:$E275))</f>
        <v/>
      </c>
      <c r="D275" s="3"/>
      <c r="E275" s="3"/>
      <c r="F275" s="3"/>
      <c r="G275" s="3"/>
      <c r="H275" s="3"/>
      <c r="I275" s="3"/>
      <c r="J275" s="3"/>
      <c r="K275" s="3"/>
      <c r="L275" s="4"/>
      <c r="M275" s="6" t="str">
        <f>IF(OR($E275="",$F275=""),"",IF(_xlfn.SINGLE(JobState)="",IF(ROW()=2,HYPERLINK("#JobState","Set State →"),""),HYPERLINK(IF(OR(_xlfn.SINGLE(JobState)="MI",_xlfn.SINGLE(JobState)=""),"https://fema.maps.arcgis.com/apps/mapviewer/index.html?webmap=6a1702b9147243d1a5ee62cd614bc681&amp;center="&amp;$F275&amp;","&amp;$E275&amp;"&amp;level=16&amp;marker="&amp;$F275&amp;","&amp;$E275&amp;"",IF(_xlfn.SINGLE(JobState)="IN","https://fema.maps.arcgis.com/apps/mapviewer/index.html?url=https%3A%2F%2Fgis.indot.in.gov%2Fro%2Frest%2Fservices%2FRAH_GIO_Collaboration%2FLRSE_Functional_Class%2FFeatureServer%2F22&amp;find="&amp;$F275&amp;"%2C"&amp;$E275&amp;"&amp;marker="&amp;$F275&amp;","&amp;$E275&amp;",4326&amp;level=16",IF(_xlfn.SINGLE(JobState)="WI","https://fema.maps.arcgis.com/apps/mapviewer/index.html?url=https://services5.arcgis.com/0pgGLzT0Nh7FVjon/arcgis/rest/services/Functional_Class_Local_Non_Prod/FeatureServer/1&amp;find="&amp;$F275&amp;"%2C"&amp;$E275&amp;"&amp;marker="&amp;$F275&amp;","&amp;$E275&amp;",4326&amp;level=16",IF(_xlfn.SINGLE(JobState)="MN","https://fema.maps.arcgis.com/apps/mapviewer/index.html?url=https%3A%2F%2Fdotapp9.dot.state.mn.us%2Fegis12%2Frest%2Fservices%2FBASEMAP%2Fmndot_commonlayers2%2FMapServer%2F11&amp;find="&amp;$F275&amp;"%2C"&amp;$E275&amp;"&amp;marker="&amp;$F275&amp;","&amp;$E275&amp;",4326&amp;level=16",IF(_xlfn.SINGLE(JobState)="IL","https://fema.maps.arcgis.com/apps/mapviewer/index.html?url=https%3A%2F%2Fgis1.dot.illinois.gov%2Farcgis%2Frest%2Fservices%2FAdministrativeData%2FFunctionalClass%2FMapServer%2F0&amp;find="&amp;$F275&amp;"%2C"&amp;$E275&amp;"&amp;marker="&amp;$F275&amp;","&amp;$E275&amp;",4326&amp;level=16",IF(_xlfn.SINGLE(JobState)="OH","https://fema.maps.arcgis.com/apps/mapviewer/index.html?url=https%3A%2F%2Ftims.dot.state.oh.us%2Fags%2Frest%2Fservices%2FRoadway_Information%2FFunctional_Class%2FMapServer%2F0&amp;find="&amp;$F275&amp;"%2C"&amp;$E275&amp;"&amp;marker="&amp;$F275&amp;","&amp;$E275&amp;",4326&amp;level=16","https://fema.maps.arcgis.com/apps/mapviewer/index.html?find="&amp;$F275&amp;"%2C"&amp;$E275&amp;"&amp;marker="&amp;$F275&amp;","&amp;$E275&amp;",4326&amp;level=16")))))),IF(_xlfn.SINGLE(JobState)="WI","Review Local Roads Layer","Review NFC AGOL Layer"))))</f>
        <v/>
      </c>
      <c r="N275" s="6" t="str">
        <f>IF(OR($E275="",$F275=""),"",IF(_xlfn.SINGLE(JobState)="",IF(ROW()=2,HYPERLINK("#JobState","Set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275&amp;"%2C"&amp;$E275&amp;"&amp;marker="&amp;$F275&amp;","&amp;$E275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5" s="6" t="str">
        <f>IF(OR($E275="", $F275=""),"",IF(_xlfn.SINGLE(JobAgolMap)="",HYPERLINK("https://fema.maps.arcgis.com/apps/mapviewer/index.html?find="&amp;$F275&amp;"%2C"&amp;$E275&amp;"&amp;marker="&amp;$F275&amp;","&amp;$E275&amp;",4326&amp;level=16","FEMA AGOL Map Viewer"),HYPERLINK(_xlfn.SINGLE(JobAgolMap)&amp;IF(ISNUMBER(FIND("?",_xlfn.SINGLE(JobAgolMap))),"&amp;","?")&amp;"center="&amp;$F275&amp;","&amp;$E275&amp;"&amp;level=16&amp;marker="&amp;$F275&amp;","&amp;$E275,"Open")))</f>
        <v/>
      </c>
      <c r="Q275" s="4"/>
      <c r="R275" s="4"/>
      <c r="W275" s="6" t="str">
        <f t="shared" si="24"/>
        <v/>
      </c>
      <c r="X275" s="6" t="str">
        <f t="shared" si="25"/>
        <v/>
      </c>
      <c r="Y275" s="6" t="str">
        <f t="shared" si="26"/>
        <v/>
      </c>
      <c r="Z275" s="6" t="str">
        <f t="shared" si="27"/>
        <v/>
      </c>
      <c r="AA275" s="6" t="str">
        <f t="shared" si="28"/>
        <v/>
      </c>
      <c r="AB275" s="6" t="str">
        <f t="shared" si="29"/>
        <v/>
      </c>
      <c r="AC275" s="4"/>
      <c r="AD275" s="4"/>
    </row>
    <row r="276" spans="1:30" x14ac:dyDescent="0.45">
      <c r="A276" s="3"/>
      <c r="B276" s="3"/>
      <c r="C276" s="5" t="str">
        <f>IF($E276="","",COUNT($E$2:$E276))</f>
        <v/>
      </c>
      <c r="D276" s="3"/>
      <c r="E276" s="3"/>
      <c r="F276" s="3"/>
      <c r="G276" s="3"/>
      <c r="H276" s="3"/>
      <c r="I276" s="3"/>
      <c r="J276" s="3"/>
      <c r="K276" s="3"/>
      <c r="L276" s="4"/>
      <c r="M276" s="6" t="str">
        <f>IF(OR($E276="",$F276=""),"",IF(_xlfn.SINGLE(JobState)="",IF(ROW()=2,HYPERLINK("#JobState","Set State →"),""),HYPERLINK(IF(OR(_xlfn.SINGLE(JobState)="MI",_xlfn.SINGLE(JobState)=""),"https://fema.maps.arcgis.com/apps/mapviewer/index.html?webmap=6a1702b9147243d1a5ee62cd614bc681&amp;center="&amp;$F276&amp;","&amp;$E276&amp;"&amp;level=16&amp;marker="&amp;$F276&amp;","&amp;$E276&amp;"",IF(_xlfn.SINGLE(JobState)="IN","https://fema.maps.arcgis.com/apps/mapviewer/index.html?url=https%3A%2F%2Fgis.indot.in.gov%2Fro%2Frest%2Fservices%2FRAH_GIO_Collaboration%2FLRSE_Functional_Class%2FFeatureServer%2F22&amp;find="&amp;$F276&amp;"%2C"&amp;$E276&amp;"&amp;marker="&amp;$F276&amp;","&amp;$E276&amp;",4326&amp;level=16",IF(_xlfn.SINGLE(JobState)="WI","https://fema.maps.arcgis.com/apps/mapviewer/index.html?url=https://services5.arcgis.com/0pgGLzT0Nh7FVjon/arcgis/rest/services/Functional_Class_Local_Non_Prod/FeatureServer/1&amp;find="&amp;$F276&amp;"%2C"&amp;$E276&amp;"&amp;marker="&amp;$F276&amp;","&amp;$E276&amp;",4326&amp;level=16",IF(_xlfn.SINGLE(JobState)="MN","https://fema.maps.arcgis.com/apps/mapviewer/index.html?url=https%3A%2F%2Fdotapp9.dot.state.mn.us%2Fegis12%2Frest%2Fservices%2FBASEMAP%2Fmndot_commonlayers2%2FMapServer%2F11&amp;find="&amp;$F276&amp;"%2C"&amp;$E276&amp;"&amp;marker="&amp;$F276&amp;","&amp;$E276&amp;",4326&amp;level=16",IF(_xlfn.SINGLE(JobState)="IL","https://fema.maps.arcgis.com/apps/mapviewer/index.html?url=https%3A%2F%2Fgis1.dot.illinois.gov%2Farcgis%2Frest%2Fservices%2FAdministrativeData%2FFunctionalClass%2FMapServer%2F0&amp;find="&amp;$F276&amp;"%2C"&amp;$E276&amp;"&amp;marker="&amp;$F276&amp;","&amp;$E276&amp;",4326&amp;level=16",IF(_xlfn.SINGLE(JobState)="OH","https://fema.maps.arcgis.com/apps/mapviewer/index.html?url=https%3A%2F%2Ftims.dot.state.oh.us%2Fags%2Frest%2Fservices%2FRoadway_Information%2FFunctional_Class%2FMapServer%2F0&amp;find="&amp;$F276&amp;"%2C"&amp;$E276&amp;"&amp;marker="&amp;$F276&amp;","&amp;$E276&amp;",4326&amp;level=16","https://fema.maps.arcgis.com/apps/mapviewer/index.html?find="&amp;$F276&amp;"%2C"&amp;$E276&amp;"&amp;marker="&amp;$F276&amp;","&amp;$E276&amp;",4326&amp;level=16")))))),IF(_xlfn.SINGLE(JobState)="WI","Review Local Roads Layer","Review NFC AGOL Layer"))))</f>
        <v/>
      </c>
      <c r="N276" s="6" t="str">
        <f>IF(OR($E276="",$F276=""),"",IF(_xlfn.SINGLE(JobState)="",IF(ROW()=2,HYPERLINK("#JobState","Set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276&amp;"%2C"&amp;$E276&amp;"&amp;marker="&amp;$F276&amp;","&amp;$E276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6" s="6" t="str">
        <f>IF(OR($E276="", $F276=""),"",IF(_xlfn.SINGLE(JobAgolMap)="",HYPERLINK("https://fema.maps.arcgis.com/apps/mapviewer/index.html?find="&amp;$F276&amp;"%2C"&amp;$E276&amp;"&amp;marker="&amp;$F276&amp;","&amp;$E276&amp;",4326&amp;level=16","FEMA AGOL Map Viewer"),HYPERLINK(_xlfn.SINGLE(JobAgolMap)&amp;IF(ISNUMBER(FIND("?",_xlfn.SINGLE(JobAgolMap))),"&amp;","?")&amp;"center="&amp;$F276&amp;","&amp;$E276&amp;"&amp;level=16&amp;marker="&amp;$F276&amp;","&amp;$E276,"Open")))</f>
        <v/>
      </c>
      <c r="Q276" s="4"/>
      <c r="R276" s="4"/>
      <c r="W276" s="6" t="str">
        <f t="shared" si="24"/>
        <v/>
      </c>
      <c r="X276" s="6" t="str">
        <f t="shared" si="25"/>
        <v/>
      </c>
      <c r="Y276" s="6" t="str">
        <f t="shared" si="26"/>
        <v/>
      </c>
      <c r="Z276" s="6" t="str">
        <f t="shared" si="27"/>
        <v/>
      </c>
      <c r="AA276" s="6" t="str">
        <f t="shared" si="28"/>
        <v/>
      </c>
      <c r="AB276" s="6" t="str">
        <f t="shared" si="29"/>
        <v/>
      </c>
      <c r="AC276" s="4"/>
      <c r="AD276" s="4"/>
    </row>
    <row r="277" spans="1:30" x14ac:dyDescent="0.45">
      <c r="A277" s="3"/>
      <c r="B277" s="3"/>
      <c r="C277" s="5" t="str">
        <f>IF($E277="","",COUNT($E$2:$E277))</f>
        <v/>
      </c>
      <c r="D277" s="3"/>
      <c r="E277" s="3"/>
      <c r="F277" s="3"/>
      <c r="G277" s="3"/>
      <c r="H277" s="3"/>
      <c r="I277" s="3"/>
      <c r="J277" s="3"/>
      <c r="K277" s="3"/>
      <c r="L277" s="4"/>
      <c r="M277" s="6" t="str">
        <f>IF(OR($E277="",$F277=""),"",IF(_xlfn.SINGLE(JobState)="",IF(ROW()=2,HYPERLINK("#JobState","Set State →"),""),HYPERLINK(IF(OR(_xlfn.SINGLE(JobState)="MI",_xlfn.SINGLE(JobState)=""),"https://fema.maps.arcgis.com/apps/mapviewer/index.html?webmap=6a1702b9147243d1a5ee62cd614bc681&amp;center="&amp;$F277&amp;","&amp;$E277&amp;"&amp;level=16&amp;marker="&amp;$F277&amp;","&amp;$E277&amp;"",IF(_xlfn.SINGLE(JobState)="IN","https://fema.maps.arcgis.com/apps/mapviewer/index.html?url=https%3A%2F%2Fgis.indot.in.gov%2Fro%2Frest%2Fservices%2FRAH_GIO_Collaboration%2FLRSE_Functional_Class%2FFeatureServer%2F22&amp;find="&amp;$F277&amp;"%2C"&amp;$E277&amp;"&amp;marker="&amp;$F277&amp;","&amp;$E277&amp;",4326&amp;level=16",IF(_xlfn.SINGLE(JobState)="WI","https://fema.maps.arcgis.com/apps/mapviewer/index.html?url=https://services5.arcgis.com/0pgGLzT0Nh7FVjon/arcgis/rest/services/Functional_Class_Local_Non_Prod/FeatureServer/1&amp;find="&amp;$F277&amp;"%2C"&amp;$E277&amp;"&amp;marker="&amp;$F277&amp;","&amp;$E277&amp;",4326&amp;level=16",IF(_xlfn.SINGLE(JobState)="MN","https://fema.maps.arcgis.com/apps/mapviewer/index.html?url=https%3A%2F%2Fdotapp9.dot.state.mn.us%2Fegis12%2Frest%2Fservices%2FBASEMAP%2Fmndot_commonlayers2%2FMapServer%2F11&amp;find="&amp;$F277&amp;"%2C"&amp;$E277&amp;"&amp;marker="&amp;$F277&amp;","&amp;$E277&amp;",4326&amp;level=16",IF(_xlfn.SINGLE(JobState)="IL","https://fema.maps.arcgis.com/apps/mapviewer/index.html?url=https%3A%2F%2Fgis1.dot.illinois.gov%2Farcgis%2Frest%2Fservices%2FAdministrativeData%2FFunctionalClass%2FMapServer%2F0&amp;find="&amp;$F277&amp;"%2C"&amp;$E277&amp;"&amp;marker="&amp;$F277&amp;","&amp;$E277&amp;",4326&amp;level=16",IF(_xlfn.SINGLE(JobState)="OH","https://fema.maps.arcgis.com/apps/mapviewer/index.html?url=https%3A%2F%2Ftims.dot.state.oh.us%2Fags%2Frest%2Fservices%2FRoadway_Information%2FFunctional_Class%2FMapServer%2F0&amp;find="&amp;$F277&amp;"%2C"&amp;$E277&amp;"&amp;marker="&amp;$F277&amp;","&amp;$E277&amp;",4326&amp;level=16","https://fema.maps.arcgis.com/apps/mapviewer/index.html?find="&amp;$F277&amp;"%2C"&amp;$E277&amp;"&amp;marker="&amp;$F277&amp;","&amp;$E277&amp;",4326&amp;level=16")))))),IF(_xlfn.SINGLE(JobState)="WI","Review Local Roads Layer","Review NFC AGOL Layer"))))</f>
        <v/>
      </c>
      <c r="N277" s="6" t="str">
        <f>IF(OR($E277="",$F277=""),"",IF(_xlfn.SINGLE(JobState)="",IF(ROW()=2,HYPERLINK("#JobState","Set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277&amp;"%2C"&amp;$E277&amp;"&amp;marker="&amp;$F277&amp;","&amp;$E277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7" s="6" t="str">
        <f>IF(OR($E277="", $F277=""),"",IF(_xlfn.SINGLE(JobAgolMap)="",HYPERLINK("https://fema.maps.arcgis.com/apps/mapviewer/index.html?find="&amp;$F277&amp;"%2C"&amp;$E277&amp;"&amp;marker="&amp;$F277&amp;","&amp;$E277&amp;",4326&amp;level=16","FEMA AGOL Map Viewer"),HYPERLINK(_xlfn.SINGLE(JobAgolMap)&amp;IF(ISNUMBER(FIND("?",_xlfn.SINGLE(JobAgolMap))),"&amp;","?")&amp;"center="&amp;$F277&amp;","&amp;$E277&amp;"&amp;level=16&amp;marker="&amp;$F277&amp;","&amp;$E277,"Open")))</f>
        <v/>
      </c>
      <c r="Q277" s="4"/>
      <c r="R277" s="4"/>
      <c r="W277" s="6" t="str">
        <f t="shared" si="24"/>
        <v/>
      </c>
      <c r="X277" s="6" t="str">
        <f t="shared" si="25"/>
        <v/>
      </c>
      <c r="Y277" s="6" t="str">
        <f t="shared" si="26"/>
        <v/>
      </c>
      <c r="Z277" s="6" t="str">
        <f t="shared" si="27"/>
        <v/>
      </c>
      <c r="AA277" s="6" t="str">
        <f t="shared" si="28"/>
        <v/>
      </c>
      <c r="AB277" s="6" t="str">
        <f t="shared" si="29"/>
        <v/>
      </c>
      <c r="AC277" s="4"/>
      <c r="AD277" s="4"/>
    </row>
    <row r="278" spans="1:30" x14ac:dyDescent="0.45">
      <c r="A278" s="3"/>
      <c r="B278" s="3"/>
      <c r="C278" s="5" t="str">
        <f>IF($E278="","",COUNT($E$2:$E278))</f>
        <v/>
      </c>
      <c r="D278" s="3"/>
      <c r="E278" s="3"/>
      <c r="F278" s="3"/>
      <c r="G278" s="3"/>
      <c r="H278" s="3"/>
      <c r="I278" s="3"/>
      <c r="J278" s="3"/>
      <c r="K278" s="3"/>
      <c r="L278" s="4"/>
      <c r="M278" s="6" t="str">
        <f>IF(OR($E278="",$F278=""),"",IF(_xlfn.SINGLE(JobState)="",IF(ROW()=2,HYPERLINK("#JobState","Set State →"),""),HYPERLINK(IF(OR(_xlfn.SINGLE(JobState)="MI",_xlfn.SINGLE(JobState)=""),"https://fema.maps.arcgis.com/apps/mapviewer/index.html?webmap=6a1702b9147243d1a5ee62cd614bc681&amp;center="&amp;$F278&amp;","&amp;$E278&amp;"&amp;level=16&amp;marker="&amp;$F278&amp;","&amp;$E278&amp;"",IF(_xlfn.SINGLE(JobState)="IN","https://fema.maps.arcgis.com/apps/mapviewer/index.html?url=https%3A%2F%2Fgis.indot.in.gov%2Fro%2Frest%2Fservices%2FRAH_GIO_Collaboration%2FLRSE_Functional_Class%2FFeatureServer%2F22&amp;find="&amp;$F278&amp;"%2C"&amp;$E278&amp;"&amp;marker="&amp;$F278&amp;","&amp;$E278&amp;",4326&amp;level=16",IF(_xlfn.SINGLE(JobState)="WI","https://fema.maps.arcgis.com/apps/mapviewer/index.html?url=https://services5.arcgis.com/0pgGLzT0Nh7FVjon/arcgis/rest/services/Functional_Class_Local_Non_Prod/FeatureServer/1&amp;find="&amp;$F278&amp;"%2C"&amp;$E278&amp;"&amp;marker="&amp;$F278&amp;","&amp;$E278&amp;",4326&amp;level=16",IF(_xlfn.SINGLE(JobState)="MN","https://fema.maps.arcgis.com/apps/mapviewer/index.html?url=https%3A%2F%2Fdotapp9.dot.state.mn.us%2Fegis12%2Frest%2Fservices%2FBASEMAP%2Fmndot_commonlayers2%2FMapServer%2F11&amp;find="&amp;$F278&amp;"%2C"&amp;$E278&amp;"&amp;marker="&amp;$F278&amp;","&amp;$E278&amp;",4326&amp;level=16",IF(_xlfn.SINGLE(JobState)="IL","https://fema.maps.arcgis.com/apps/mapviewer/index.html?url=https%3A%2F%2Fgis1.dot.illinois.gov%2Farcgis%2Frest%2Fservices%2FAdministrativeData%2FFunctionalClass%2FMapServer%2F0&amp;find="&amp;$F278&amp;"%2C"&amp;$E278&amp;"&amp;marker="&amp;$F278&amp;","&amp;$E278&amp;",4326&amp;level=16",IF(_xlfn.SINGLE(JobState)="OH","https://fema.maps.arcgis.com/apps/mapviewer/index.html?url=https%3A%2F%2Ftims.dot.state.oh.us%2Fags%2Frest%2Fservices%2FRoadway_Information%2FFunctional_Class%2FMapServer%2F0&amp;find="&amp;$F278&amp;"%2C"&amp;$E278&amp;"&amp;marker="&amp;$F278&amp;","&amp;$E278&amp;",4326&amp;level=16","https://fema.maps.arcgis.com/apps/mapviewer/index.html?find="&amp;$F278&amp;"%2C"&amp;$E278&amp;"&amp;marker="&amp;$F278&amp;","&amp;$E278&amp;",4326&amp;level=16")))))),IF(_xlfn.SINGLE(JobState)="WI","Review Local Roads Layer","Review NFC AGOL Layer"))))</f>
        <v/>
      </c>
      <c r="N278" s="6" t="str">
        <f>IF(OR($E278="",$F278=""),"",IF(_xlfn.SINGLE(JobState)="",IF(ROW()=2,HYPERLINK("#JobState","Set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278&amp;"%2C"&amp;$E278&amp;"&amp;marker="&amp;$F278&amp;","&amp;$E278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8" s="6" t="str">
        <f>IF(OR($E278="", $F278=""),"",IF(_xlfn.SINGLE(JobAgolMap)="",HYPERLINK("https://fema.maps.arcgis.com/apps/mapviewer/index.html?find="&amp;$F278&amp;"%2C"&amp;$E278&amp;"&amp;marker="&amp;$F278&amp;","&amp;$E278&amp;",4326&amp;level=16","FEMA AGOL Map Viewer"),HYPERLINK(_xlfn.SINGLE(JobAgolMap)&amp;IF(ISNUMBER(FIND("?",_xlfn.SINGLE(JobAgolMap))),"&amp;","?")&amp;"center="&amp;$F278&amp;","&amp;$E278&amp;"&amp;level=16&amp;marker="&amp;$F278&amp;","&amp;$E278,"Open")))</f>
        <v/>
      </c>
      <c r="Q278" s="4"/>
      <c r="R278" s="4"/>
      <c r="W278" s="6" t="str">
        <f t="shared" si="24"/>
        <v/>
      </c>
      <c r="X278" s="6" t="str">
        <f t="shared" si="25"/>
        <v/>
      </c>
      <c r="Y278" s="6" t="str">
        <f t="shared" si="26"/>
        <v/>
      </c>
      <c r="Z278" s="6" t="str">
        <f t="shared" si="27"/>
        <v/>
      </c>
      <c r="AA278" s="6" t="str">
        <f t="shared" si="28"/>
        <v/>
      </c>
      <c r="AB278" s="6" t="str">
        <f t="shared" si="29"/>
        <v/>
      </c>
      <c r="AC278" s="4"/>
      <c r="AD278" s="4"/>
    </row>
    <row r="279" spans="1:30" x14ac:dyDescent="0.45">
      <c r="A279" s="3"/>
      <c r="B279" s="3"/>
      <c r="C279" s="5" t="str">
        <f>IF($E279="","",COUNT($E$2:$E279))</f>
        <v/>
      </c>
      <c r="D279" s="3"/>
      <c r="E279" s="3"/>
      <c r="F279" s="3"/>
      <c r="G279" s="3"/>
      <c r="H279" s="3"/>
      <c r="I279" s="3"/>
      <c r="J279" s="3"/>
      <c r="K279" s="3"/>
      <c r="L279" s="4"/>
      <c r="M279" s="6" t="str">
        <f>IF(OR($E279="",$F279=""),"",IF(_xlfn.SINGLE(JobState)="",IF(ROW()=2,HYPERLINK("#JobState","Set State →"),""),HYPERLINK(IF(OR(_xlfn.SINGLE(JobState)="MI",_xlfn.SINGLE(JobState)=""),"https://fema.maps.arcgis.com/apps/mapviewer/index.html?webmap=6a1702b9147243d1a5ee62cd614bc681&amp;center="&amp;$F279&amp;","&amp;$E279&amp;"&amp;level=16&amp;marker="&amp;$F279&amp;","&amp;$E279&amp;"",IF(_xlfn.SINGLE(JobState)="IN","https://fema.maps.arcgis.com/apps/mapviewer/index.html?url=https%3A%2F%2Fgis.indot.in.gov%2Fro%2Frest%2Fservices%2FRAH_GIO_Collaboration%2FLRSE_Functional_Class%2FFeatureServer%2F22&amp;find="&amp;$F279&amp;"%2C"&amp;$E279&amp;"&amp;marker="&amp;$F279&amp;","&amp;$E279&amp;",4326&amp;level=16",IF(_xlfn.SINGLE(JobState)="WI","https://fema.maps.arcgis.com/apps/mapviewer/index.html?url=https://services5.arcgis.com/0pgGLzT0Nh7FVjon/arcgis/rest/services/Functional_Class_Local_Non_Prod/FeatureServer/1&amp;find="&amp;$F279&amp;"%2C"&amp;$E279&amp;"&amp;marker="&amp;$F279&amp;","&amp;$E279&amp;",4326&amp;level=16",IF(_xlfn.SINGLE(JobState)="MN","https://fema.maps.arcgis.com/apps/mapviewer/index.html?url=https%3A%2F%2Fdotapp9.dot.state.mn.us%2Fegis12%2Frest%2Fservices%2FBASEMAP%2Fmndot_commonlayers2%2FMapServer%2F11&amp;find="&amp;$F279&amp;"%2C"&amp;$E279&amp;"&amp;marker="&amp;$F279&amp;","&amp;$E279&amp;",4326&amp;level=16",IF(_xlfn.SINGLE(JobState)="IL","https://fema.maps.arcgis.com/apps/mapviewer/index.html?url=https%3A%2F%2Fgis1.dot.illinois.gov%2Farcgis%2Frest%2Fservices%2FAdministrativeData%2FFunctionalClass%2FMapServer%2F0&amp;find="&amp;$F279&amp;"%2C"&amp;$E279&amp;"&amp;marker="&amp;$F279&amp;","&amp;$E279&amp;",4326&amp;level=16",IF(_xlfn.SINGLE(JobState)="OH","https://fema.maps.arcgis.com/apps/mapviewer/index.html?url=https%3A%2F%2Ftims.dot.state.oh.us%2Fags%2Frest%2Fservices%2FRoadway_Information%2FFunctional_Class%2FMapServer%2F0&amp;find="&amp;$F279&amp;"%2C"&amp;$E279&amp;"&amp;marker="&amp;$F279&amp;","&amp;$E279&amp;",4326&amp;level=16","https://fema.maps.arcgis.com/apps/mapviewer/index.html?find="&amp;$F279&amp;"%2C"&amp;$E279&amp;"&amp;marker="&amp;$F279&amp;","&amp;$E279&amp;",4326&amp;level=16")))))),IF(_xlfn.SINGLE(JobState)="WI","Review Local Roads Layer","Review NFC AGOL Layer"))))</f>
        <v/>
      </c>
      <c r="N279" s="6" t="str">
        <f>IF(OR($E279="",$F279=""),"",IF(_xlfn.SINGLE(JobState)="",IF(ROW()=2,HYPERLINK("#JobState","Set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279&amp;"%2C"&amp;$E279&amp;"&amp;marker="&amp;$F279&amp;","&amp;$E279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9" s="6" t="str">
        <f>IF(OR($E279="", $F279=""),"",IF(_xlfn.SINGLE(JobAgolMap)="",HYPERLINK("https://fema.maps.arcgis.com/apps/mapviewer/index.html?find="&amp;$F279&amp;"%2C"&amp;$E279&amp;"&amp;marker="&amp;$F279&amp;","&amp;$E279&amp;",4326&amp;level=16","FEMA AGOL Map Viewer"),HYPERLINK(_xlfn.SINGLE(JobAgolMap)&amp;IF(ISNUMBER(FIND("?",_xlfn.SINGLE(JobAgolMap))),"&amp;","?")&amp;"center="&amp;$F279&amp;","&amp;$E279&amp;"&amp;level=16&amp;marker="&amp;$F279&amp;","&amp;$E279,"Open")))</f>
        <v/>
      </c>
      <c r="Q279" s="4"/>
      <c r="R279" s="4"/>
      <c r="W279" s="6" t="str">
        <f t="shared" si="24"/>
        <v/>
      </c>
      <c r="X279" s="6" t="str">
        <f t="shared" si="25"/>
        <v/>
      </c>
      <c r="Y279" s="6" t="str">
        <f t="shared" si="26"/>
        <v/>
      </c>
      <c r="Z279" s="6" t="str">
        <f t="shared" si="27"/>
        <v/>
      </c>
      <c r="AA279" s="6" t="str">
        <f t="shared" si="28"/>
        <v/>
      </c>
      <c r="AB279" s="6" t="str">
        <f t="shared" si="29"/>
        <v/>
      </c>
      <c r="AC279" s="4"/>
      <c r="AD279" s="4"/>
    </row>
    <row r="280" spans="1:30" x14ac:dyDescent="0.45">
      <c r="A280" s="3"/>
      <c r="B280" s="3"/>
      <c r="C280" s="5" t="str">
        <f>IF($E280="","",COUNT($E$2:$E280))</f>
        <v/>
      </c>
      <c r="D280" s="3"/>
      <c r="E280" s="3"/>
      <c r="F280" s="3"/>
      <c r="G280" s="3"/>
      <c r="H280" s="3"/>
      <c r="I280" s="3"/>
      <c r="J280" s="3"/>
      <c r="K280" s="3"/>
      <c r="L280" s="4"/>
      <c r="M280" s="6" t="str">
        <f>IF(OR($E280="",$F280=""),"",IF(_xlfn.SINGLE(JobState)="",IF(ROW()=2,HYPERLINK("#JobState","Set State →"),""),HYPERLINK(IF(OR(_xlfn.SINGLE(JobState)="MI",_xlfn.SINGLE(JobState)=""),"https://fema.maps.arcgis.com/apps/mapviewer/index.html?webmap=6a1702b9147243d1a5ee62cd614bc681&amp;center="&amp;$F280&amp;","&amp;$E280&amp;"&amp;level=16&amp;marker="&amp;$F280&amp;","&amp;$E280&amp;"",IF(_xlfn.SINGLE(JobState)="IN","https://fema.maps.arcgis.com/apps/mapviewer/index.html?url=https%3A%2F%2Fgis.indot.in.gov%2Fro%2Frest%2Fservices%2FRAH_GIO_Collaboration%2FLRSE_Functional_Class%2FFeatureServer%2F22&amp;find="&amp;$F280&amp;"%2C"&amp;$E280&amp;"&amp;marker="&amp;$F280&amp;","&amp;$E280&amp;",4326&amp;level=16",IF(_xlfn.SINGLE(JobState)="WI","https://fema.maps.arcgis.com/apps/mapviewer/index.html?url=https://services5.arcgis.com/0pgGLzT0Nh7FVjon/arcgis/rest/services/Functional_Class_Local_Non_Prod/FeatureServer/1&amp;find="&amp;$F280&amp;"%2C"&amp;$E280&amp;"&amp;marker="&amp;$F280&amp;","&amp;$E280&amp;",4326&amp;level=16",IF(_xlfn.SINGLE(JobState)="MN","https://fema.maps.arcgis.com/apps/mapviewer/index.html?url=https%3A%2F%2Fdotapp9.dot.state.mn.us%2Fegis12%2Frest%2Fservices%2FBASEMAP%2Fmndot_commonlayers2%2FMapServer%2F11&amp;find="&amp;$F280&amp;"%2C"&amp;$E280&amp;"&amp;marker="&amp;$F280&amp;","&amp;$E280&amp;",4326&amp;level=16",IF(_xlfn.SINGLE(JobState)="IL","https://fema.maps.arcgis.com/apps/mapviewer/index.html?url=https%3A%2F%2Fgis1.dot.illinois.gov%2Farcgis%2Frest%2Fservices%2FAdministrativeData%2FFunctionalClass%2FMapServer%2F0&amp;find="&amp;$F280&amp;"%2C"&amp;$E280&amp;"&amp;marker="&amp;$F280&amp;","&amp;$E280&amp;",4326&amp;level=16",IF(_xlfn.SINGLE(JobState)="OH","https://fema.maps.arcgis.com/apps/mapviewer/index.html?url=https%3A%2F%2Ftims.dot.state.oh.us%2Fags%2Frest%2Fservices%2FRoadway_Information%2FFunctional_Class%2FMapServer%2F0&amp;find="&amp;$F280&amp;"%2C"&amp;$E280&amp;"&amp;marker="&amp;$F280&amp;","&amp;$E280&amp;",4326&amp;level=16","https://fema.maps.arcgis.com/apps/mapviewer/index.html?find="&amp;$F280&amp;"%2C"&amp;$E280&amp;"&amp;marker="&amp;$F280&amp;","&amp;$E280&amp;",4326&amp;level=16")))))),IF(_xlfn.SINGLE(JobState)="WI","Review Local Roads Layer","Review NFC AGOL Layer"))))</f>
        <v/>
      </c>
      <c r="N280" s="6" t="str">
        <f>IF(OR($E280="",$F280=""),"",IF(_xlfn.SINGLE(JobState)="",IF(ROW()=2,HYPERLINK("#JobState","Set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280&amp;"%2C"&amp;$E280&amp;"&amp;marker="&amp;$F280&amp;","&amp;$E280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0" s="6" t="str">
        <f>IF(OR($E280="", $F280=""),"",IF(_xlfn.SINGLE(JobAgolMap)="",HYPERLINK("https://fema.maps.arcgis.com/apps/mapviewer/index.html?find="&amp;$F280&amp;"%2C"&amp;$E280&amp;"&amp;marker="&amp;$F280&amp;","&amp;$E280&amp;",4326&amp;level=16","FEMA AGOL Map Viewer"),HYPERLINK(_xlfn.SINGLE(JobAgolMap)&amp;IF(ISNUMBER(FIND("?",_xlfn.SINGLE(JobAgolMap))),"&amp;","?")&amp;"center="&amp;$F280&amp;","&amp;$E280&amp;"&amp;level=16&amp;marker="&amp;$F280&amp;","&amp;$E280,"Open")))</f>
        <v/>
      </c>
      <c r="Q280" s="4"/>
      <c r="R280" s="4"/>
      <c r="W280" s="6" t="str">
        <f t="shared" si="24"/>
        <v/>
      </c>
      <c r="X280" s="6" t="str">
        <f t="shared" si="25"/>
        <v/>
      </c>
      <c r="Y280" s="6" t="str">
        <f t="shared" si="26"/>
        <v/>
      </c>
      <c r="Z280" s="6" t="str">
        <f t="shared" si="27"/>
        <v/>
      </c>
      <c r="AA280" s="6" t="str">
        <f t="shared" si="28"/>
        <v/>
      </c>
      <c r="AB280" s="6" t="str">
        <f t="shared" si="29"/>
        <v/>
      </c>
      <c r="AC280" s="4"/>
      <c r="AD280" s="4"/>
    </row>
    <row r="281" spans="1:30" x14ac:dyDescent="0.45">
      <c r="A281" s="3"/>
      <c r="B281" s="3"/>
      <c r="C281" s="5" t="str">
        <f>IF($E281="","",COUNT($E$2:$E281))</f>
        <v/>
      </c>
      <c r="D281" s="3"/>
      <c r="E281" s="3"/>
      <c r="F281" s="3"/>
      <c r="G281" s="3"/>
      <c r="H281" s="3"/>
      <c r="I281" s="3"/>
      <c r="J281" s="3"/>
      <c r="K281" s="3"/>
      <c r="L281" s="4"/>
      <c r="M281" s="6" t="str">
        <f>IF(OR($E281="",$F281=""),"",IF(_xlfn.SINGLE(JobState)="",IF(ROW()=2,HYPERLINK("#JobState","Set State →"),""),HYPERLINK(IF(OR(_xlfn.SINGLE(JobState)="MI",_xlfn.SINGLE(JobState)=""),"https://fema.maps.arcgis.com/apps/mapviewer/index.html?webmap=6a1702b9147243d1a5ee62cd614bc681&amp;center="&amp;$F281&amp;","&amp;$E281&amp;"&amp;level=16&amp;marker="&amp;$F281&amp;","&amp;$E281&amp;"",IF(_xlfn.SINGLE(JobState)="IN","https://fema.maps.arcgis.com/apps/mapviewer/index.html?url=https%3A%2F%2Fgis.indot.in.gov%2Fro%2Frest%2Fservices%2FRAH_GIO_Collaboration%2FLRSE_Functional_Class%2FFeatureServer%2F22&amp;find="&amp;$F281&amp;"%2C"&amp;$E281&amp;"&amp;marker="&amp;$F281&amp;","&amp;$E281&amp;",4326&amp;level=16",IF(_xlfn.SINGLE(JobState)="WI","https://fema.maps.arcgis.com/apps/mapviewer/index.html?url=https://services5.arcgis.com/0pgGLzT0Nh7FVjon/arcgis/rest/services/Functional_Class_Local_Non_Prod/FeatureServer/1&amp;find="&amp;$F281&amp;"%2C"&amp;$E281&amp;"&amp;marker="&amp;$F281&amp;","&amp;$E281&amp;",4326&amp;level=16",IF(_xlfn.SINGLE(JobState)="MN","https://fema.maps.arcgis.com/apps/mapviewer/index.html?url=https%3A%2F%2Fdotapp9.dot.state.mn.us%2Fegis12%2Frest%2Fservices%2FBASEMAP%2Fmndot_commonlayers2%2FMapServer%2F11&amp;find="&amp;$F281&amp;"%2C"&amp;$E281&amp;"&amp;marker="&amp;$F281&amp;","&amp;$E281&amp;",4326&amp;level=16",IF(_xlfn.SINGLE(JobState)="IL","https://fema.maps.arcgis.com/apps/mapviewer/index.html?url=https%3A%2F%2Fgis1.dot.illinois.gov%2Farcgis%2Frest%2Fservices%2FAdministrativeData%2FFunctionalClass%2FMapServer%2F0&amp;find="&amp;$F281&amp;"%2C"&amp;$E281&amp;"&amp;marker="&amp;$F281&amp;","&amp;$E281&amp;",4326&amp;level=16",IF(_xlfn.SINGLE(JobState)="OH","https://fema.maps.arcgis.com/apps/mapviewer/index.html?url=https%3A%2F%2Ftims.dot.state.oh.us%2Fags%2Frest%2Fservices%2FRoadway_Information%2FFunctional_Class%2FMapServer%2F0&amp;find="&amp;$F281&amp;"%2C"&amp;$E281&amp;"&amp;marker="&amp;$F281&amp;","&amp;$E281&amp;",4326&amp;level=16","https://fema.maps.arcgis.com/apps/mapviewer/index.html?find="&amp;$F281&amp;"%2C"&amp;$E281&amp;"&amp;marker="&amp;$F281&amp;","&amp;$E281&amp;",4326&amp;level=16")))))),IF(_xlfn.SINGLE(JobState)="WI","Review Local Roads Layer","Review NFC AGOL Layer"))))</f>
        <v/>
      </c>
      <c r="N281" s="6" t="str">
        <f>IF(OR($E281="",$F281=""),"",IF(_xlfn.SINGLE(JobState)="",IF(ROW()=2,HYPERLINK("#JobState","Set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281&amp;"%2C"&amp;$E281&amp;"&amp;marker="&amp;$F281&amp;","&amp;$E281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1" s="6" t="str">
        <f>IF(OR($E281="", $F281=""),"",IF(_xlfn.SINGLE(JobAgolMap)="",HYPERLINK("https://fema.maps.arcgis.com/apps/mapviewer/index.html?find="&amp;$F281&amp;"%2C"&amp;$E281&amp;"&amp;marker="&amp;$F281&amp;","&amp;$E281&amp;",4326&amp;level=16","FEMA AGOL Map Viewer"),HYPERLINK(_xlfn.SINGLE(JobAgolMap)&amp;IF(ISNUMBER(FIND("?",_xlfn.SINGLE(JobAgolMap))),"&amp;","?")&amp;"center="&amp;$F281&amp;","&amp;$E281&amp;"&amp;level=16&amp;marker="&amp;$F281&amp;","&amp;$E281,"Open")))</f>
        <v/>
      </c>
      <c r="Q281" s="4"/>
      <c r="R281" s="4"/>
      <c r="W281" s="6" t="str">
        <f t="shared" si="24"/>
        <v/>
      </c>
      <c r="X281" s="6" t="str">
        <f t="shared" si="25"/>
        <v/>
      </c>
      <c r="Y281" s="6" t="str">
        <f t="shared" si="26"/>
        <v/>
      </c>
      <c r="Z281" s="6" t="str">
        <f t="shared" si="27"/>
        <v/>
      </c>
      <c r="AA281" s="6" t="str">
        <f t="shared" si="28"/>
        <v/>
      </c>
      <c r="AB281" s="6" t="str">
        <f t="shared" si="29"/>
        <v/>
      </c>
      <c r="AC281" s="4"/>
      <c r="AD281" s="4"/>
    </row>
    <row r="282" spans="1:30" x14ac:dyDescent="0.45">
      <c r="A282" s="3"/>
      <c r="B282" s="3"/>
      <c r="C282" s="5" t="str">
        <f>IF($E282="","",COUNT($E$2:$E282))</f>
        <v/>
      </c>
      <c r="D282" s="3"/>
      <c r="E282" s="3"/>
      <c r="F282" s="3"/>
      <c r="G282" s="3"/>
      <c r="H282" s="3"/>
      <c r="I282" s="3"/>
      <c r="J282" s="3"/>
      <c r="K282" s="3"/>
      <c r="L282" s="4"/>
      <c r="M282" s="6" t="str">
        <f>IF(OR($E282="",$F282=""),"",IF(_xlfn.SINGLE(JobState)="",IF(ROW()=2,HYPERLINK("#JobState","Set State →"),""),HYPERLINK(IF(OR(_xlfn.SINGLE(JobState)="MI",_xlfn.SINGLE(JobState)=""),"https://fema.maps.arcgis.com/apps/mapviewer/index.html?webmap=6a1702b9147243d1a5ee62cd614bc681&amp;center="&amp;$F282&amp;","&amp;$E282&amp;"&amp;level=16&amp;marker="&amp;$F282&amp;","&amp;$E282&amp;"",IF(_xlfn.SINGLE(JobState)="IN","https://fema.maps.arcgis.com/apps/mapviewer/index.html?url=https%3A%2F%2Fgis.indot.in.gov%2Fro%2Frest%2Fservices%2FRAH_GIO_Collaboration%2FLRSE_Functional_Class%2FFeatureServer%2F22&amp;find="&amp;$F282&amp;"%2C"&amp;$E282&amp;"&amp;marker="&amp;$F282&amp;","&amp;$E282&amp;",4326&amp;level=16",IF(_xlfn.SINGLE(JobState)="WI","https://fema.maps.arcgis.com/apps/mapviewer/index.html?url=https://services5.arcgis.com/0pgGLzT0Nh7FVjon/arcgis/rest/services/Functional_Class_Local_Non_Prod/FeatureServer/1&amp;find="&amp;$F282&amp;"%2C"&amp;$E282&amp;"&amp;marker="&amp;$F282&amp;","&amp;$E282&amp;",4326&amp;level=16",IF(_xlfn.SINGLE(JobState)="MN","https://fema.maps.arcgis.com/apps/mapviewer/index.html?url=https%3A%2F%2Fdotapp9.dot.state.mn.us%2Fegis12%2Frest%2Fservices%2FBASEMAP%2Fmndot_commonlayers2%2FMapServer%2F11&amp;find="&amp;$F282&amp;"%2C"&amp;$E282&amp;"&amp;marker="&amp;$F282&amp;","&amp;$E282&amp;",4326&amp;level=16",IF(_xlfn.SINGLE(JobState)="IL","https://fema.maps.arcgis.com/apps/mapviewer/index.html?url=https%3A%2F%2Fgis1.dot.illinois.gov%2Farcgis%2Frest%2Fservices%2FAdministrativeData%2FFunctionalClass%2FMapServer%2F0&amp;find="&amp;$F282&amp;"%2C"&amp;$E282&amp;"&amp;marker="&amp;$F282&amp;","&amp;$E282&amp;",4326&amp;level=16",IF(_xlfn.SINGLE(JobState)="OH","https://fema.maps.arcgis.com/apps/mapviewer/index.html?url=https%3A%2F%2Ftims.dot.state.oh.us%2Fags%2Frest%2Fservices%2FRoadway_Information%2FFunctional_Class%2FMapServer%2F0&amp;find="&amp;$F282&amp;"%2C"&amp;$E282&amp;"&amp;marker="&amp;$F282&amp;","&amp;$E282&amp;",4326&amp;level=16","https://fema.maps.arcgis.com/apps/mapviewer/index.html?find="&amp;$F282&amp;"%2C"&amp;$E282&amp;"&amp;marker="&amp;$F282&amp;","&amp;$E282&amp;",4326&amp;level=16")))))),IF(_xlfn.SINGLE(JobState)="WI","Review Local Roads Layer","Review NFC AGOL Layer"))))</f>
        <v/>
      </c>
      <c r="N282" s="6" t="str">
        <f>IF(OR($E282="",$F282=""),"",IF(_xlfn.SINGLE(JobState)="",IF(ROW()=2,HYPERLINK("#JobState","Set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282&amp;"%2C"&amp;$E282&amp;"&amp;marker="&amp;$F282&amp;","&amp;$E282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2" s="6" t="str">
        <f>IF(OR($E282="", $F282=""),"",IF(_xlfn.SINGLE(JobAgolMap)="",HYPERLINK("https://fema.maps.arcgis.com/apps/mapviewer/index.html?find="&amp;$F282&amp;"%2C"&amp;$E282&amp;"&amp;marker="&amp;$F282&amp;","&amp;$E282&amp;",4326&amp;level=16","FEMA AGOL Map Viewer"),HYPERLINK(_xlfn.SINGLE(JobAgolMap)&amp;IF(ISNUMBER(FIND("?",_xlfn.SINGLE(JobAgolMap))),"&amp;","?")&amp;"center="&amp;$F282&amp;","&amp;$E282&amp;"&amp;level=16&amp;marker="&amp;$F282&amp;","&amp;$E282,"Open")))</f>
        <v/>
      </c>
      <c r="Q282" s="4"/>
      <c r="R282" s="4"/>
      <c r="W282" s="6" t="str">
        <f t="shared" si="24"/>
        <v/>
      </c>
      <c r="X282" s="6" t="str">
        <f t="shared" si="25"/>
        <v/>
      </c>
      <c r="Y282" s="6" t="str">
        <f t="shared" si="26"/>
        <v/>
      </c>
      <c r="Z282" s="6" t="str">
        <f t="shared" si="27"/>
        <v/>
      </c>
      <c r="AA282" s="6" t="str">
        <f t="shared" si="28"/>
        <v/>
      </c>
      <c r="AB282" s="6" t="str">
        <f t="shared" si="29"/>
        <v/>
      </c>
      <c r="AC282" s="4"/>
      <c r="AD282" s="4"/>
    </row>
    <row r="283" spans="1:30" x14ac:dyDescent="0.45">
      <c r="A283" s="3"/>
      <c r="B283" s="3"/>
      <c r="C283" s="5" t="str">
        <f>IF($E283="","",COUNT($E$2:$E283))</f>
        <v/>
      </c>
      <c r="D283" s="3"/>
      <c r="E283" s="3"/>
      <c r="F283" s="3"/>
      <c r="G283" s="3"/>
      <c r="H283" s="3"/>
      <c r="I283" s="3"/>
      <c r="J283" s="3"/>
      <c r="K283" s="3"/>
      <c r="L283" s="4"/>
      <c r="M283" s="6" t="str">
        <f>IF(OR($E283="",$F283=""),"",IF(_xlfn.SINGLE(JobState)="",IF(ROW()=2,HYPERLINK("#JobState","Set State →"),""),HYPERLINK(IF(OR(_xlfn.SINGLE(JobState)="MI",_xlfn.SINGLE(JobState)=""),"https://fema.maps.arcgis.com/apps/mapviewer/index.html?webmap=6a1702b9147243d1a5ee62cd614bc681&amp;center="&amp;$F283&amp;","&amp;$E283&amp;"&amp;level=16&amp;marker="&amp;$F283&amp;","&amp;$E283&amp;"",IF(_xlfn.SINGLE(JobState)="IN","https://fema.maps.arcgis.com/apps/mapviewer/index.html?url=https%3A%2F%2Fgis.indot.in.gov%2Fro%2Frest%2Fservices%2FRAH_GIO_Collaboration%2FLRSE_Functional_Class%2FFeatureServer%2F22&amp;find="&amp;$F283&amp;"%2C"&amp;$E283&amp;"&amp;marker="&amp;$F283&amp;","&amp;$E283&amp;",4326&amp;level=16",IF(_xlfn.SINGLE(JobState)="WI","https://fema.maps.arcgis.com/apps/mapviewer/index.html?url=https://services5.arcgis.com/0pgGLzT0Nh7FVjon/arcgis/rest/services/Functional_Class_Local_Non_Prod/FeatureServer/1&amp;find="&amp;$F283&amp;"%2C"&amp;$E283&amp;"&amp;marker="&amp;$F283&amp;","&amp;$E283&amp;",4326&amp;level=16",IF(_xlfn.SINGLE(JobState)="MN","https://fema.maps.arcgis.com/apps/mapviewer/index.html?url=https%3A%2F%2Fdotapp9.dot.state.mn.us%2Fegis12%2Frest%2Fservices%2FBASEMAP%2Fmndot_commonlayers2%2FMapServer%2F11&amp;find="&amp;$F283&amp;"%2C"&amp;$E283&amp;"&amp;marker="&amp;$F283&amp;","&amp;$E283&amp;",4326&amp;level=16",IF(_xlfn.SINGLE(JobState)="IL","https://fema.maps.arcgis.com/apps/mapviewer/index.html?url=https%3A%2F%2Fgis1.dot.illinois.gov%2Farcgis%2Frest%2Fservices%2FAdministrativeData%2FFunctionalClass%2FMapServer%2F0&amp;find="&amp;$F283&amp;"%2C"&amp;$E283&amp;"&amp;marker="&amp;$F283&amp;","&amp;$E283&amp;",4326&amp;level=16",IF(_xlfn.SINGLE(JobState)="OH","https://fema.maps.arcgis.com/apps/mapviewer/index.html?url=https%3A%2F%2Ftims.dot.state.oh.us%2Fags%2Frest%2Fservices%2FRoadway_Information%2FFunctional_Class%2FMapServer%2F0&amp;find="&amp;$F283&amp;"%2C"&amp;$E283&amp;"&amp;marker="&amp;$F283&amp;","&amp;$E283&amp;",4326&amp;level=16","https://fema.maps.arcgis.com/apps/mapviewer/index.html?find="&amp;$F283&amp;"%2C"&amp;$E283&amp;"&amp;marker="&amp;$F283&amp;","&amp;$E283&amp;",4326&amp;level=16")))))),IF(_xlfn.SINGLE(JobState)="WI","Review Local Roads Layer","Review NFC AGOL Layer"))))</f>
        <v/>
      </c>
      <c r="N283" s="6" t="str">
        <f>IF(OR($E283="",$F283=""),"",IF(_xlfn.SINGLE(JobState)="",IF(ROW()=2,HYPERLINK("#JobState","Set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283&amp;"%2C"&amp;$E283&amp;"&amp;marker="&amp;$F283&amp;","&amp;$E283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3" s="6" t="str">
        <f>IF(OR($E283="", $F283=""),"",IF(_xlfn.SINGLE(JobAgolMap)="",HYPERLINK("https://fema.maps.arcgis.com/apps/mapviewer/index.html?find="&amp;$F283&amp;"%2C"&amp;$E283&amp;"&amp;marker="&amp;$F283&amp;","&amp;$E283&amp;",4326&amp;level=16","FEMA AGOL Map Viewer"),HYPERLINK(_xlfn.SINGLE(JobAgolMap)&amp;IF(ISNUMBER(FIND("?",_xlfn.SINGLE(JobAgolMap))),"&amp;","?")&amp;"center="&amp;$F283&amp;","&amp;$E283&amp;"&amp;level=16&amp;marker="&amp;$F283&amp;","&amp;$E283,"Open")))</f>
        <v/>
      </c>
      <c r="Q283" s="4"/>
      <c r="R283" s="4"/>
      <c r="W283" s="6" t="str">
        <f t="shared" si="24"/>
        <v/>
      </c>
      <c r="X283" s="6" t="str">
        <f t="shared" si="25"/>
        <v/>
      </c>
      <c r="Y283" s="6" t="str">
        <f t="shared" si="26"/>
        <v/>
      </c>
      <c r="Z283" s="6" t="str">
        <f t="shared" si="27"/>
        <v/>
      </c>
      <c r="AA283" s="6" t="str">
        <f t="shared" si="28"/>
        <v/>
      </c>
      <c r="AB283" s="6" t="str">
        <f t="shared" si="29"/>
        <v/>
      </c>
      <c r="AC283" s="4"/>
      <c r="AD283" s="4"/>
    </row>
    <row r="284" spans="1:30" x14ac:dyDescent="0.45">
      <c r="A284" s="3"/>
      <c r="B284" s="3"/>
      <c r="C284" s="5" t="str">
        <f>IF($E284="","",COUNT($E$2:$E284))</f>
        <v/>
      </c>
      <c r="D284" s="3"/>
      <c r="E284" s="3"/>
      <c r="F284" s="3"/>
      <c r="G284" s="3"/>
      <c r="H284" s="3"/>
      <c r="I284" s="3"/>
      <c r="J284" s="3"/>
      <c r="K284" s="3"/>
      <c r="L284" s="4"/>
      <c r="M284" s="6" t="str">
        <f>IF(OR($E284="",$F284=""),"",IF(_xlfn.SINGLE(JobState)="",IF(ROW()=2,HYPERLINK("#JobState","Set State →"),""),HYPERLINK(IF(OR(_xlfn.SINGLE(JobState)="MI",_xlfn.SINGLE(JobState)=""),"https://fema.maps.arcgis.com/apps/mapviewer/index.html?webmap=6a1702b9147243d1a5ee62cd614bc681&amp;center="&amp;$F284&amp;","&amp;$E284&amp;"&amp;level=16&amp;marker="&amp;$F284&amp;","&amp;$E284&amp;"",IF(_xlfn.SINGLE(JobState)="IN","https://fema.maps.arcgis.com/apps/mapviewer/index.html?url=https%3A%2F%2Fgis.indot.in.gov%2Fro%2Frest%2Fservices%2FRAH_GIO_Collaboration%2FLRSE_Functional_Class%2FFeatureServer%2F22&amp;find="&amp;$F284&amp;"%2C"&amp;$E284&amp;"&amp;marker="&amp;$F284&amp;","&amp;$E284&amp;",4326&amp;level=16",IF(_xlfn.SINGLE(JobState)="WI","https://fema.maps.arcgis.com/apps/mapviewer/index.html?url=https://services5.arcgis.com/0pgGLzT0Nh7FVjon/arcgis/rest/services/Functional_Class_Local_Non_Prod/FeatureServer/1&amp;find="&amp;$F284&amp;"%2C"&amp;$E284&amp;"&amp;marker="&amp;$F284&amp;","&amp;$E284&amp;",4326&amp;level=16",IF(_xlfn.SINGLE(JobState)="MN","https://fema.maps.arcgis.com/apps/mapviewer/index.html?url=https%3A%2F%2Fdotapp9.dot.state.mn.us%2Fegis12%2Frest%2Fservices%2FBASEMAP%2Fmndot_commonlayers2%2FMapServer%2F11&amp;find="&amp;$F284&amp;"%2C"&amp;$E284&amp;"&amp;marker="&amp;$F284&amp;","&amp;$E284&amp;",4326&amp;level=16",IF(_xlfn.SINGLE(JobState)="IL","https://fema.maps.arcgis.com/apps/mapviewer/index.html?url=https%3A%2F%2Fgis1.dot.illinois.gov%2Farcgis%2Frest%2Fservices%2FAdministrativeData%2FFunctionalClass%2FMapServer%2F0&amp;find="&amp;$F284&amp;"%2C"&amp;$E284&amp;"&amp;marker="&amp;$F284&amp;","&amp;$E284&amp;",4326&amp;level=16",IF(_xlfn.SINGLE(JobState)="OH","https://fema.maps.arcgis.com/apps/mapviewer/index.html?url=https%3A%2F%2Ftims.dot.state.oh.us%2Fags%2Frest%2Fservices%2FRoadway_Information%2FFunctional_Class%2FMapServer%2F0&amp;find="&amp;$F284&amp;"%2C"&amp;$E284&amp;"&amp;marker="&amp;$F284&amp;","&amp;$E284&amp;",4326&amp;level=16","https://fema.maps.arcgis.com/apps/mapviewer/index.html?find="&amp;$F284&amp;"%2C"&amp;$E284&amp;"&amp;marker="&amp;$F284&amp;","&amp;$E284&amp;",4326&amp;level=16")))))),IF(_xlfn.SINGLE(JobState)="WI","Review Local Roads Layer","Review NFC AGOL Layer"))))</f>
        <v/>
      </c>
      <c r="N284" s="6" t="str">
        <f>IF(OR($E284="",$F284=""),"",IF(_xlfn.SINGLE(JobState)="",IF(ROW()=2,HYPERLINK("#JobState","Set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284&amp;"%2C"&amp;$E284&amp;"&amp;marker="&amp;$F284&amp;","&amp;$E284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4" s="6" t="str">
        <f>IF(OR($E284="", $F284=""),"",IF(_xlfn.SINGLE(JobAgolMap)="",HYPERLINK("https://fema.maps.arcgis.com/apps/mapviewer/index.html?find="&amp;$F284&amp;"%2C"&amp;$E284&amp;"&amp;marker="&amp;$F284&amp;","&amp;$E284&amp;",4326&amp;level=16","FEMA AGOL Map Viewer"),HYPERLINK(_xlfn.SINGLE(JobAgolMap)&amp;IF(ISNUMBER(FIND("?",_xlfn.SINGLE(JobAgolMap))),"&amp;","?")&amp;"center="&amp;$F284&amp;","&amp;$E284&amp;"&amp;level=16&amp;marker="&amp;$F284&amp;","&amp;$E284,"Open")))</f>
        <v/>
      </c>
      <c r="Q284" s="4"/>
      <c r="R284" s="4"/>
      <c r="W284" s="6" t="str">
        <f t="shared" si="24"/>
        <v/>
      </c>
      <c r="X284" s="6" t="str">
        <f t="shared" si="25"/>
        <v/>
      </c>
      <c r="Y284" s="6" t="str">
        <f t="shared" si="26"/>
        <v/>
      </c>
      <c r="Z284" s="6" t="str">
        <f t="shared" si="27"/>
        <v/>
      </c>
      <c r="AA284" s="6" t="str">
        <f t="shared" si="28"/>
        <v/>
      </c>
      <c r="AB284" s="6" t="str">
        <f t="shared" si="29"/>
        <v/>
      </c>
      <c r="AC284" s="4"/>
      <c r="AD284" s="4"/>
    </row>
    <row r="285" spans="1:30" x14ac:dyDescent="0.45">
      <c r="A285" s="3"/>
      <c r="B285" s="3"/>
      <c r="C285" s="5" t="str">
        <f>IF($E285="","",COUNT($E$2:$E285))</f>
        <v/>
      </c>
      <c r="D285" s="3"/>
      <c r="E285" s="3"/>
      <c r="F285" s="3"/>
      <c r="G285" s="3"/>
      <c r="H285" s="3"/>
      <c r="I285" s="3"/>
      <c r="J285" s="3"/>
      <c r="K285" s="3"/>
      <c r="L285" s="4"/>
      <c r="M285" s="6" t="str">
        <f>IF(OR($E285="",$F285=""),"",IF(_xlfn.SINGLE(JobState)="",IF(ROW()=2,HYPERLINK("#JobState","Set State →"),""),HYPERLINK(IF(OR(_xlfn.SINGLE(JobState)="MI",_xlfn.SINGLE(JobState)=""),"https://fema.maps.arcgis.com/apps/mapviewer/index.html?webmap=6a1702b9147243d1a5ee62cd614bc681&amp;center="&amp;$F285&amp;","&amp;$E285&amp;"&amp;level=16&amp;marker="&amp;$F285&amp;","&amp;$E285&amp;"",IF(_xlfn.SINGLE(JobState)="IN","https://fema.maps.arcgis.com/apps/mapviewer/index.html?url=https%3A%2F%2Fgis.indot.in.gov%2Fro%2Frest%2Fservices%2FRAH_GIO_Collaboration%2FLRSE_Functional_Class%2FFeatureServer%2F22&amp;find="&amp;$F285&amp;"%2C"&amp;$E285&amp;"&amp;marker="&amp;$F285&amp;","&amp;$E285&amp;",4326&amp;level=16",IF(_xlfn.SINGLE(JobState)="WI","https://fema.maps.arcgis.com/apps/mapviewer/index.html?url=https://services5.arcgis.com/0pgGLzT0Nh7FVjon/arcgis/rest/services/Functional_Class_Local_Non_Prod/FeatureServer/1&amp;find="&amp;$F285&amp;"%2C"&amp;$E285&amp;"&amp;marker="&amp;$F285&amp;","&amp;$E285&amp;",4326&amp;level=16",IF(_xlfn.SINGLE(JobState)="MN","https://fema.maps.arcgis.com/apps/mapviewer/index.html?url=https%3A%2F%2Fdotapp9.dot.state.mn.us%2Fegis12%2Frest%2Fservices%2FBASEMAP%2Fmndot_commonlayers2%2FMapServer%2F11&amp;find="&amp;$F285&amp;"%2C"&amp;$E285&amp;"&amp;marker="&amp;$F285&amp;","&amp;$E285&amp;",4326&amp;level=16",IF(_xlfn.SINGLE(JobState)="IL","https://fema.maps.arcgis.com/apps/mapviewer/index.html?url=https%3A%2F%2Fgis1.dot.illinois.gov%2Farcgis%2Frest%2Fservices%2FAdministrativeData%2FFunctionalClass%2FMapServer%2F0&amp;find="&amp;$F285&amp;"%2C"&amp;$E285&amp;"&amp;marker="&amp;$F285&amp;","&amp;$E285&amp;",4326&amp;level=16",IF(_xlfn.SINGLE(JobState)="OH","https://fema.maps.arcgis.com/apps/mapviewer/index.html?url=https%3A%2F%2Ftims.dot.state.oh.us%2Fags%2Frest%2Fservices%2FRoadway_Information%2FFunctional_Class%2FMapServer%2F0&amp;find="&amp;$F285&amp;"%2C"&amp;$E285&amp;"&amp;marker="&amp;$F285&amp;","&amp;$E285&amp;",4326&amp;level=16","https://fema.maps.arcgis.com/apps/mapviewer/index.html?find="&amp;$F285&amp;"%2C"&amp;$E285&amp;"&amp;marker="&amp;$F285&amp;","&amp;$E285&amp;",4326&amp;level=16")))))),IF(_xlfn.SINGLE(JobState)="WI","Review Local Roads Layer","Review NFC AGOL Layer"))))</f>
        <v/>
      </c>
      <c r="N285" s="6" t="str">
        <f>IF(OR($E285="",$F285=""),"",IF(_xlfn.SINGLE(JobState)="",IF(ROW()=2,HYPERLINK("#JobState","Set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285&amp;"%2C"&amp;$E285&amp;"&amp;marker="&amp;$F285&amp;","&amp;$E285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5" s="6" t="str">
        <f>IF(OR($E285="", $F285=""),"",IF(_xlfn.SINGLE(JobAgolMap)="",HYPERLINK("https://fema.maps.arcgis.com/apps/mapviewer/index.html?find="&amp;$F285&amp;"%2C"&amp;$E285&amp;"&amp;marker="&amp;$F285&amp;","&amp;$E285&amp;",4326&amp;level=16","FEMA AGOL Map Viewer"),HYPERLINK(_xlfn.SINGLE(JobAgolMap)&amp;IF(ISNUMBER(FIND("?",_xlfn.SINGLE(JobAgolMap))),"&amp;","?")&amp;"center="&amp;$F285&amp;","&amp;$E285&amp;"&amp;level=16&amp;marker="&amp;$F285&amp;","&amp;$E285,"Open")))</f>
        <v/>
      </c>
      <c r="Q285" s="4"/>
      <c r="R285" s="4"/>
      <c r="W285" s="6" t="str">
        <f t="shared" si="24"/>
        <v/>
      </c>
      <c r="X285" s="6" t="str">
        <f t="shared" si="25"/>
        <v/>
      </c>
      <c r="Y285" s="6" t="str">
        <f t="shared" si="26"/>
        <v/>
      </c>
      <c r="Z285" s="6" t="str">
        <f t="shared" si="27"/>
        <v/>
      </c>
      <c r="AA285" s="6" t="str">
        <f t="shared" si="28"/>
        <v/>
      </c>
      <c r="AB285" s="6" t="str">
        <f t="shared" si="29"/>
        <v/>
      </c>
      <c r="AC285" s="4"/>
      <c r="AD285" s="4"/>
    </row>
    <row r="286" spans="1:30" x14ac:dyDescent="0.45">
      <c r="A286" s="3"/>
      <c r="B286" s="3"/>
      <c r="C286" s="5" t="str">
        <f>IF($E286="","",COUNT($E$2:$E286))</f>
        <v/>
      </c>
      <c r="D286" s="3"/>
      <c r="E286" s="3"/>
      <c r="F286" s="3"/>
      <c r="G286" s="3"/>
      <c r="H286" s="3"/>
      <c r="I286" s="3"/>
      <c r="J286" s="3"/>
      <c r="K286" s="3"/>
      <c r="L286" s="4"/>
      <c r="M286" s="6" t="str">
        <f>IF(OR($E286="",$F286=""),"",IF(_xlfn.SINGLE(JobState)="",IF(ROW()=2,HYPERLINK("#JobState","Set State →"),""),HYPERLINK(IF(OR(_xlfn.SINGLE(JobState)="MI",_xlfn.SINGLE(JobState)=""),"https://fema.maps.arcgis.com/apps/mapviewer/index.html?webmap=6a1702b9147243d1a5ee62cd614bc681&amp;center="&amp;$F286&amp;","&amp;$E286&amp;"&amp;level=16&amp;marker="&amp;$F286&amp;","&amp;$E286&amp;"",IF(_xlfn.SINGLE(JobState)="IN","https://fema.maps.arcgis.com/apps/mapviewer/index.html?url=https%3A%2F%2Fgis.indot.in.gov%2Fro%2Frest%2Fservices%2FRAH_GIO_Collaboration%2FLRSE_Functional_Class%2FFeatureServer%2F22&amp;find="&amp;$F286&amp;"%2C"&amp;$E286&amp;"&amp;marker="&amp;$F286&amp;","&amp;$E286&amp;",4326&amp;level=16",IF(_xlfn.SINGLE(JobState)="WI","https://fema.maps.arcgis.com/apps/mapviewer/index.html?url=https://services5.arcgis.com/0pgGLzT0Nh7FVjon/arcgis/rest/services/Functional_Class_Local_Non_Prod/FeatureServer/1&amp;find="&amp;$F286&amp;"%2C"&amp;$E286&amp;"&amp;marker="&amp;$F286&amp;","&amp;$E286&amp;",4326&amp;level=16",IF(_xlfn.SINGLE(JobState)="MN","https://fema.maps.arcgis.com/apps/mapviewer/index.html?url=https%3A%2F%2Fdotapp9.dot.state.mn.us%2Fegis12%2Frest%2Fservices%2FBASEMAP%2Fmndot_commonlayers2%2FMapServer%2F11&amp;find="&amp;$F286&amp;"%2C"&amp;$E286&amp;"&amp;marker="&amp;$F286&amp;","&amp;$E286&amp;",4326&amp;level=16",IF(_xlfn.SINGLE(JobState)="IL","https://fema.maps.arcgis.com/apps/mapviewer/index.html?url=https%3A%2F%2Fgis1.dot.illinois.gov%2Farcgis%2Frest%2Fservices%2FAdministrativeData%2FFunctionalClass%2FMapServer%2F0&amp;find="&amp;$F286&amp;"%2C"&amp;$E286&amp;"&amp;marker="&amp;$F286&amp;","&amp;$E286&amp;",4326&amp;level=16",IF(_xlfn.SINGLE(JobState)="OH","https://fema.maps.arcgis.com/apps/mapviewer/index.html?url=https%3A%2F%2Ftims.dot.state.oh.us%2Fags%2Frest%2Fservices%2FRoadway_Information%2FFunctional_Class%2FMapServer%2F0&amp;find="&amp;$F286&amp;"%2C"&amp;$E286&amp;"&amp;marker="&amp;$F286&amp;","&amp;$E286&amp;",4326&amp;level=16","https://fema.maps.arcgis.com/apps/mapviewer/index.html?find="&amp;$F286&amp;"%2C"&amp;$E286&amp;"&amp;marker="&amp;$F286&amp;","&amp;$E286&amp;",4326&amp;level=16")))))),IF(_xlfn.SINGLE(JobState)="WI","Review Local Roads Layer","Review NFC AGOL Layer"))))</f>
        <v/>
      </c>
      <c r="N286" s="6" t="str">
        <f>IF(OR($E286="",$F286=""),"",IF(_xlfn.SINGLE(JobState)="",IF(ROW()=2,HYPERLINK("#JobState","Set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286&amp;"%2C"&amp;$E286&amp;"&amp;marker="&amp;$F286&amp;","&amp;$E286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6" s="6" t="str">
        <f>IF(OR($E286="", $F286=""),"",IF(_xlfn.SINGLE(JobAgolMap)="",HYPERLINK("https://fema.maps.arcgis.com/apps/mapviewer/index.html?find="&amp;$F286&amp;"%2C"&amp;$E286&amp;"&amp;marker="&amp;$F286&amp;","&amp;$E286&amp;",4326&amp;level=16","FEMA AGOL Map Viewer"),HYPERLINK(_xlfn.SINGLE(JobAgolMap)&amp;IF(ISNUMBER(FIND("?",_xlfn.SINGLE(JobAgolMap))),"&amp;","?")&amp;"center="&amp;$F286&amp;","&amp;$E286&amp;"&amp;level=16&amp;marker="&amp;$F286&amp;","&amp;$E286,"Open")))</f>
        <v/>
      </c>
      <c r="Q286" s="4"/>
      <c r="R286" s="4"/>
      <c r="W286" s="6" t="str">
        <f t="shared" si="24"/>
        <v/>
      </c>
      <c r="X286" s="6" t="str">
        <f t="shared" si="25"/>
        <v/>
      </c>
      <c r="Y286" s="6" t="str">
        <f t="shared" si="26"/>
        <v/>
      </c>
      <c r="Z286" s="6" t="str">
        <f t="shared" si="27"/>
        <v/>
      </c>
      <c r="AA286" s="6" t="str">
        <f t="shared" si="28"/>
        <v/>
      </c>
      <c r="AB286" s="6" t="str">
        <f t="shared" si="29"/>
        <v/>
      </c>
      <c r="AC286" s="4"/>
      <c r="AD286" s="4"/>
    </row>
    <row r="287" spans="1:30" x14ac:dyDescent="0.45">
      <c r="A287" s="3"/>
      <c r="B287" s="3"/>
      <c r="C287" s="5" t="str">
        <f>IF($E287="","",COUNT($E$2:$E287))</f>
        <v/>
      </c>
      <c r="D287" s="3"/>
      <c r="E287" s="3"/>
      <c r="F287" s="3"/>
      <c r="G287" s="3"/>
      <c r="H287" s="3"/>
      <c r="I287" s="3"/>
      <c r="J287" s="3"/>
      <c r="K287" s="3"/>
      <c r="L287" s="4"/>
      <c r="M287" s="6" t="str">
        <f>IF(OR($E287="",$F287=""),"",IF(_xlfn.SINGLE(JobState)="",IF(ROW()=2,HYPERLINK("#JobState","Set State →"),""),HYPERLINK(IF(OR(_xlfn.SINGLE(JobState)="MI",_xlfn.SINGLE(JobState)=""),"https://fema.maps.arcgis.com/apps/mapviewer/index.html?webmap=6a1702b9147243d1a5ee62cd614bc681&amp;center="&amp;$F287&amp;","&amp;$E287&amp;"&amp;level=16&amp;marker="&amp;$F287&amp;","&amp;$E287&amp;"",IF(_xlfn.SINGLE(JobState)="IN","https://fema.maps.arcgis.com/apps/mapviewer/index.html?url=https%3A%2F%2Fgis.indot.in.gov%2Fro%2Frest%2Fservices%2FRAH_GIO_Collaboration%2FLRSE_Functional_Class%2FFeatureServer%2F22&amp;find="&amp;$F287&amp;"%2C"&amp;$E287&amp;"&amp;marker="&amp;$F287&amp;","&amp;$E287&amp;",4326&amp;level=16",IF(_xlfn.SINGLE(JobState)="WI","https://fema.maps.arcgis.com/apps/mapviewer/index.html?url=https://services5.arcgis.com/0pgGLzT0Nh7FVjon/arcgis/rest/services/Functional_Class_Local_Non_Prod/FeatureServer/1&amp;find="&amp;$F287&amp;"%2C"&amp;$E287&amp;"&amp;marker="&amp;$F287&amp;","&amp;$E287&amp;",4326&amp;level=16",IF(_xlfn.SINGLE(JobState)="MN","https://fema.maps.arcgis.com/apps/mapviewer/index.html?url=https%3A%2F%2Fdotapp9.dot.state.mn.us%2Fegis12%2Frest%2Fservices%2FBASEMAP%2Fmndot_commonlayers2%2FMapServer%2F11&amp;find="&amp;$F287&amp;"%2C"&amp;$E287&amp;"&amp;marker="&amp;$F287&amp;","&amp;$E287&amp;",4326&amp;level=16",IF(_xlfn.SINGLE(JobState)="IL","https://fema.maps.arcgis.com/apps/mapviewer/index.html?url=https%3A%2F%2Fgis1.dot.illinois.gov%2Farcgis%2Frest%2Fservices%2FAdministrativeData%2FFunctionalClass%2FMapServer%2F0&amp;find="&amp;$F287&amp;"%2C"&amp;$E287&amp;"&amp;marker="&amp;$F287&amp;","&amp;$E287&amp;",4326&amp;level=16",IF(_xlfn.SINGLE(JobState)="OH","https://fema.maps.arcgis.com/apps/mapviewer/index.html?url=https%3A%2F%2Ftims.dot.state.oh.us%2Fags%2Frest%2Fservices%2FRoadway_Information%2FFunctional_Class%2FMapServer%2F0&amp;find="&amp;$F287&amp;"%2C"&amp;$E287&amp;"&amp;marker="&amp;$F287&amp;","&amp;$E287&amp;",4326&amp;level=16","https://fema.maps.arcgis.com/apps/mapviewer/index.html?find="&amp;$F287&amp;"%2C"&amp;$E287&amp;"&amp;marker="&amp;$F287&amp;","&amp;$E287&amp;",4326&amp;level=16")))))),IF(_xlfn.SINGLE(JobState)="WI","Review Local Roads Layer","Review NFC AGOL Layer"))))</f>
        <v/>
      </c>
      <c r="N287" s="6" t="str">
        <f>IF(OR($E287="",$F287=""),"",IF(_xlfn.SINGLE(JobState)="",IF(ROW()=2,HYPERLINK("#JobState","Set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287&amp;"%2C"&amp;$E287&amp;"&amp;marker="&amp;$F287&amp;","&amp;$E287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7" s="6" t="str">
        <f>IF(OR($E287="", $F287=""),"",IF(_xlfn.SINGLE(JobAgolMap)="",HYPERLINK("https://fema.maps.arcgis.com/apps/mapviewer/index.html?find="&amp;$F287&amp;"%2C"&amp;$E287&amp;"&amp;marker="&amp;$F287&amp;","&amp;$E287&amp;",4326&amp;level=16","FEMA AGOL Map Viewer"),HYPERLINK(_xlfn.SINGLE(JobAgolMap)&amp;IF(ISNUMBER(FIND("?",_xlfn.SINGLE(JobAgolMap))),"&amp;","?")&amp;"center="&amp;$F287&amp;","&amp;$E287&amp;"&amp;level=16&amp;marker="&amp;$F287&amp;","&amp;$E287,"Open")))</f>
        <v/>
      </c>
      <c r="Q287" s="4"/>
      <c r="R287" s="4"/>
      <c r="W287" s="6" t="str">
        <f t="shared" si="24"/>
        <v/>
      </c>
      <c r="X287" s="6" t="str">
        <f t="shared" si="25"/>
        <v/>
      </c>
      <c r="Y287" s="6" t="str">
        <f t="shared" si="26"/>
        <v/>
      </c>
      <c r="Z287" s="6" t="str">
        <f t="shared" si="27"/>
        <v/>
      </c>
      <c r="AA287" s="6" t="str">
        <f t="shared" si="28"/>
        <v/>
      </c>
      <c r="AB287" s="6" t="str">
        <f t="shared" si="29"/>
        <v/>
      </c>
      <c r="AC287" s="4"/>
      <c r="AD287" s="4"/>
    </row>
    <row r="288" spans="1:30" x14ac:dyDescent="0.45">
      <c r="A288" s="3"/>
      <c r="B288" s="3"/>
      <c r="C288" s="5" t="str">
        <f>IF($E288="","",COUNT($E$2:$E288))</f>
        <v/>
      </c>
      <c r="D288" s="3"/>
      <c r="E288" s="3"/>
      <c r="F288" s="3"/>
      <c r="G288" s="3"/>
      <c r="H288" s="3"/>
      <c r="I288" s="3"/>
      <c r="J288" s="3"/>
      <c r="K288" s="3"/>
      <c r="L288" s="4"/>
      <c r="M288" s="6" t="str">
        <f>IF(OR($E288="",$F288=""),"",IF(_xlfn.SINGLE(JobState)="",IF(ROW()=2,HYPERLINK("#JobState","Set State →"),""),HYPERLINK(IF(OR(_xlfn.SINGLE(JobState)="MI",_xlfn.SINGLE(JobState)=""),"https://fema.maps.arcgis.com/apps/mapviewer/index.html?webmap=6a1702b9147243d1a5ee62cd614bc681&amp;center="&amp;$F288&amp;","&amp;$E288&amp;"&amp;level=16&amp;marker="&amp;$F288&amp;","&amp;$E288&amp;"",IF(_xlfn.SINGLE(JobState)="IN","https://fema.maps.arcgis.com/apps/mapviewer/index.html?url=https%3A%2F%2Fgis.indot.in.gov%2Fro%2Frest%2Fservices%2FRAH_GIO_Collaboration%2FLRSE_Functional_Class%2FFeatureServer%2F22&amp;find="&amp;$F288&amp;"%2C"&amp;$E288&amp;"&amp;marker="&amp;$F288&amp;","&amp;$E288&amp;",4326&amp;level=16",IF(_xlfn.SINGLE(JobState)="WI","https://fema.maps.arcgis.com/apps/mapviewer/index.html?url=https://services5.arcgis.com/0pgGLzT0Nh7FVjon/arcgis/rest/services/Functional_Class_Local_Non_Prod/FeatureServer/1&amp;find="&amp;$F288&amp;"%2C"&amp;$E288&amp;"&amp;marker="&amp;$F288&amp;","&amp;$E288&amp;",4326&amp;level=16",IF(_xlfn.SINGLE(JobState)="MN","https://fema.maps.arcgis.com/apps/mapviewer/index.html?url=https%3A%2F%2Fdotapp9.dot.state.mn.us%2Fegis12%2Frest%2Fservices%2FBASEMAP%2Fmndot_commonlayers2%2FMapServer%2F11&amp;find="&amp;$F288&amp;"%2C"&amp;$E288&amp;"&amp;marker="&amp;$F288&amp;","&amp;$E288&amp;",4326&amp;level=16",IF(_xlfn.SINGLE(JobState)="IL","https://fema.maps.arcgis.com/apps/mapviewer/index.html?url=https%3A%2F%2Fgis1.dot.illinois.gov%2Farcgis%2Frest%2Fservices%2FAdministrativeData%2FFunctionalClass%2FMapServer%2F0&amp;find="&amp;$F288&amp;"%2C"&amp;$E288&amp;"&amp;marker="&amp;$F288&amp;","&amp;$E288&amp;",4326&amp;level=16",IF(_xlfn.SINGLE(JobState)="OH","https://fema.maps.arcgis.com/apps/mapviewer/index.html?url=https%3A%2F%2Ftims.dot.state.oh.us%2Fags%2Frest%2Fservices%2FRoadway_Information%2FFunctional_Class%2FMapServer%2F0&amp;find="&amp;$F288&amp;"%2C"&amp;$E288&amp;"&amp;marker="&amp;$F288&amp;","&amp;$E288&amp;",4326&amp;level=16","https://fema.maps.arcgis.com/apps/mapviewer/index.html?find="&amp;$F288&amp;"%2C"&amp;$E288&amp;"&amp;marker="&amp;$F288&amp;","&amp;$E288&amp;",4326&amp;level=16")))))),IF(_xlfn.SINGLE(JobState)="WI","Review Local Roads Layer","Review NFC AGOL Layer"))))</f>
        <v/>
      </c>
      <c r="N288" s="6" t="str">
        <f>IF(OR($E288="",$F288=""),"",IF(_xlfn.SINGLE(JobState)="",IF(ROW()=2,HYPERLINK("#JobState","Set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288&amp;"%2C"&amp;$E288&amp;"&amp;marker="&amp;$F288&amp;","&amp;$E288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8" s="6" t="str">
        <f>IF(OR($E288="", $F288=""),"",IF(_xlfn.SINGLE(JobAgolMap)="",HYPERLINK("https://fema.maps.arcgis.com/apps/mapviewer/index.html?find="&amp;$F288&amp;"%2C"&amp;$E288&amp;"&amp;marker="&amp;$F288&amp;","&amp;$E288&amp;",4326&amp;level=16","FEMA AGOL Map Viewer"),HYPERLINK(_xlfn.SINGLE(JobAgolMap)&amp;IF(ISNUMBER(FIND("?",_xlfn.SINGLE(JobAgolMap))),"&amp;","?")&amp;"center="&amp;$F288&amp;","&amp;$E288&amp;"&amp;level=16&amp;marker="&amp;$F288&amp;","&amp;$E288,"Open")))</f>
        <v/>
      </c>
      <c r="Q288" s="4"/>
      <c r="R288" s="4"/>
      <c r="W288" s="6" t="str">
        <f t="shared" si="24"/>
        <v/>
      </c>
      <c r="X288" s="6" t="str">
        <f t="shared" si="25"/>
        <v/>
      </c>
      <c r="Y288" s="6" t="str">
        <f t="shared" si="26"/>
        <v/>
      </c>
      <c r="Z288" s="6" t="str">
        <f t="shared" si="27"/>
        <v/>
      </c>
      <c r="AA288" s="6" t="str">
        <f t="shared" si="28"/>
        <v/>
      </c>
      <c r="AB288" s="6" t="str">
        <f t="shared" si="29"/>
        <v/>
      </c>
      <c r="AC288" s="4"/>
      <c r="AD288" s="4"/>
    </row>
    <row r="289" spans="1:30" x14ac:dyDescent="0.45">
      <c r="A289" s="3"/>
      <c r="B289" s="3"/>
      <c r="C289" s="5" t="str">
        <f>IF($E289="","",COUNT($E$2:$E289))</f>
        <v/>
      </c>
      <c r="D289" s="3"/>
      <c r="E289" s="3"/>
      <c r="F289" s="3"/>
      <c r="G289" s="3"/>
      <c r="H289" s="3"/>
      <c r="I289" s="3"/>
      <c r="J289" s="3"/>
      <c r="K289" s="3"/>
      <c r="L289" s="4"/>
      <c r="M289" s="6" t="str">
        <f>IF(OR($E289="",$F289=""),"",IF(_xlfn.SINGLE(JobState)="",IF(ROW()=2,HYPERLINK("#JobState","Set State →"),""),HYPERLINK(IF(OR(_xlfn.SINGLE(JobState)="MI",_xlfn.SINGLE(JobState)=""),"https://fema.maps.arcgis.com/apps/mapviewer/index.html?webmap=6a1702b9147243d1a5ee62cd614bc681&amp;center="&amp;$F289&amp;","&amp;$E289&amp;"&amp;level=16&amp;marker="&amp;$F289&amp;","&amp;$E289&amp;"",IF(_xlfn.SINGLE(JobState)="IN","https://fema.maps.arcgis.com/apps/mapviewer/index.html?url=https%3A%2F%2Fgis.indot.in.gov%2Fro%2Frest%2Fservices%2FRAH_GIO_Collaboration%2FLRSE_Functional_Class%2FFeatureServer%2F22&amp;find="&amp;$F289&amp;"%2C"&amp;$E289&amp;"&amp;marker="&amp;$F289&amp;","&amp;$E289&amp;",4326&amp;level=16",IF(_xlfn.SINGLE(JobState)="WI","https://fema.maps.arcgis.com/apps/mapviewer/index.html?url=https://services5.arcgis.com/0pgGLzT0Nh7FVjon/arcgis/rest/services/Functional_Class_Local_Non_Prod/FeatureServer/1&amp;find="&amp;$F289&amp;"%2C"&amp;$E289&amp;"&amp;marker="&amp;$F289&amp;","&amp;$E289&amp;",4326&amp;level=16",IF(_xlfn.SINGLE(JobState)="MN","https://fema.maps.arcgis.com/apps/mapviewer/index.html?url=https%3A%2F%2Fdotapp9.dot.state.mn.us%2Fegis12%2Frest%2Fservices%2FBASEMAP%2Fmndot_commonlayers2%2FMapServer%2F11&amp;find="&amp;$F289&amp;"%2C"&amp;$E289&amp;"&amp;marker="&amp;$F289&amp;","&amp;$E289&amp;",4326&amp;level=16",IF(_xlfn.SINGLE(JobState)="IL","https://fema.maps.arcgis.com/apps/mapviewer/index.html?url=https%3A%2F%2Fgis1.dot.illinois.gov%2Farcgis%2Frest%2Fservices%2FAdministrativeData%2FFunctionalClass%2FMapServer%2F0&amp;find="&amp;$F289&amp;"%2C"&amp;$E289&amp;"&amp;marker="&amp;$F289&amp;","&amp;$E289&amp;",4326&amp;level=16",IF(_xlfn.SINGLE(JobState)="OH","https://fema.maps.arcgis.com/apps/mapviewer/index.html?url=https%3A%2F%2Ftims.dot.state.oh.us%2Fags%2Frest%2Fservices%2FRoadway_Information%2FFunctional_Class%2FMapServer%2F0&amp;find="&amp;$F289&amp;"%2C"&amp;$E289&amp;"&amp;marker="&amp;$F289&amp;","&amp;$E289&amp;",4326&amp;level=16","https://fema.maps.arcgis.com/apps/mapviewer/index.html?find="&amp;$F289&amp;"%2C"&amp;$E289&amp;"&amp;marker="&amp;$F289&amp;","&amp;$E289&amp;",4326&amp;level=16")))))),IF(_xlfn.SINGLE(JobState)="WI","Review Local Roads Layer","Review NFC AGOL Layer"))))</f>
        <v/>
      </c>
      <c r="N289" s="6" t="str">
        <f>IF(OR($E289="",$F289=""),"",IF(_xlfn.SINGLE(JobState)="",IF(ROW()=2,HYPERLINK("#JobState","Set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289&amp;"%2C"&amp;$E289&amp;"&amp;marker="&amp;$F289&amp;","&amp;$E289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9" s="6" t="str">
        <f>IF(OR($E289="", $F289=""),"",IF(_xlfn.SINGLE(JobAgolMap)="",HYPERLINK("https://fema.maps.arcgis.com/apps/mapviewer/index.html?find="&amp;$F289&amp;"%2C"&amp;$E289&amp;"&amp;marker="&amp;$F289&amp;","&amp;$E289&amp;",4326&amp;level=16","FEMA AGOL Map Viewer"),HYPERLINK(_xlfn.SINGLE(JobAgolMap)&amp;IF(ISNUMBER(FIND("?",_xlfn.SINGLE(JobAgolMap))),"&amp;","?")&amp;"center="&amp;$F289&amp;","&amp;$E289&amp;"&amp;level=16&amp;marker="&amp;$F289&amp;","&amp;$E289,"Open")))</f>
        <v/>
      </c>
      <c r="Q289" s="4"/>
      <c r="R289" s="4"/>
      <c r="W289" s="6" t="str">
        <f t="shared" si="24"/>
        <v/>
      </c>
      <c r="X289" s="6" t="str">
        <f t="shared" si="25"/>
        <v/>
      </c>
      <c r="Y289" s="6" t="str">
        <f t="shared" si="26"/>
        <v/>
      </c>
      <c r="Z289" s="6" t="str">
        <f t="shared" si="27"/>
        <v/>
      </c>
      <c r="AA289" s="6" t="str">
        <f t="shared" si="28"/>
        <v/>
      </c>
      <c r="AB289" s="6" t="str">
        <f t="shared" si="29"/>
        <v/>
      </c>
      <c r="AC289" s="4"/>
      <c r="AD289" s="4"/>
    </row>
    <row r="290" spans="1:30" x14ac:dyDescent="0.45">
      <c r="A290" s="3"/>
      <c r="B290" s="3"/>
      <c r="C290" s="5" t="str">
        <f>IF($E290="","",COUNT($E$2:$E290))</f>
        <v/>
      </c>
      <c r="D290" s="3"/>
      <c r="E290" s="3"/>
      <c r="F290" s="3"/>
      <c r="G290" s="3"/>
      <c r="H290" s="3"/>
      <c r="I290" s="3"/>
      <c r="J290" s="3"/>
      <c r="K290" s="3"/>
      <c r="L290" s="4"/>
      <c r="M290" s="6" t="str">
        <f>IF(OR($E290="",$F290=""),"",IF(_xlfn.SINGLE(JobState)="",IF(ROW()=2,HYPERLINK("#JobState","Set State →"),""),HYPERLINK(IF(OR(_xlfn.SINGLE(JobState)="MI",_xlfn.SINGLE(JobState)=""),"https://fema.maps.arcgis.com/apps/mapviewer/index.html?webmap=6a1702b9147243d1a5ee62cd614bc681&amp;center="&amp;$F290&amp;","&amp;$E290&amp;"&amp;level=16&amp;marker="&amp;$F290&amp;","&amp;$E290&amp;"",IF(_xlfn.SINGLE(JobState)="IN","https://fema.maps.arcgis.com/apps/mapviewer/index.html?url=https%3A%2F%2Fgis.indot.in.gov%2Fro%2Frest%2Fservices%2FRAH_GIO_Collaboration%2FLRSE_Functional_Class%2FFeatureServer%2F22&amp;find="&amp;$F290&amp;"%2C"&amp;$E290&amp;"&amp;marker="&amp;$F290&amp;","&amp;$E290&amp;",4326&amp;level=16",IF(_xlfn.SINGLE(JobState)="WI","https://fema.maps.arcgis.com/apps/mapviewer/index.html?url=https://services5.arcgis.com/0pgGLzT0Nh7FVjon/arcgis/rest/services/Functional_Class_Local_Non_Prod/FeatureServer/1&amp;find="&amp;$F290&amp;"%2C"&amp;$E290&amp;"&amp;marker="&amp;$F290&amp;","&amp;$E290&amp;",4326&amp;level=16",IF(_xlfn.SINGLE(JobState)="MN","https://fema.maps.arcgis.com/apps/mapviewer/index.html?url=https%3A%2F%2Fdotapp9.dot.state.mn.us%2Fegis12%2Frest%2Fservices%2FBASEMAP%2Fmndot_commonlayers2%2FMapServer%2F11&amp;find="&amp;$F290&amp;"%2C"&amp;$E290&amp;"&amp;marker="&amp;$F290&amp;","&amp;$E290&amp;",4326&amp;level=16",IF(_xlfn.SINGLE(JobState)="IL","https://fema.maps.arcgis.com/apps/mapviewer/index.html?url=https%3A%2F%2Fgis1.dot.illinois.gov%2Farcgis%2Frest%2Fservices%2FAdministrativeData%2FFunctionalClass%2FMapServer%2F0&amp;find="&amp;$F290&amp;"%2C"&amp;$E290&amp;"&amp;marker="&amp;$F290&amp;","&amp;$E290&amp;",4326&amp;level=16",IF(_xlfn.SINGLE(JobState)="OH","https://fema.maps.arcgis.com/apps/mapviewer/index.html?url=https%3A%2F%2Ftims.dot.state.oh.us%2Fags%2Frest%2Fservices%2FRoadway_Information%2FFunctional_Class%2FMapServer%2F0&amp;find="&amp;$F290&amp;"%2C"&amp;$E290&amp;"&amp;marker="&amp;$F290&amp;","&amp;$E290&amp;",4326&amp;level=16","https://fema.maps.arcgis.com/apps/mapviewer/index.html?find="&amp;$F290&amp;"%2C"&amp;$E290&amp;"&amp;marker="&amp;$F290&amp;","&amp;$E290&amp;",4326&amp;level=16")))))),IF(_xlfn.SINGLE(JobState)="WI","Review Local Roads Layer","Review NFC AGOL Layer"))))</f>
        <v/>
      </c>
      <c r="N290" s="6" t="str">
        <f>IF(OR($E290="",$F290=""),"",IF(_xlfn.SINGLE(JobState)="",IF(ROW()=2,HYPERLINK("#JobState","Set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290&amp;"%2C"&amp;$E290&amp;"&amp;marker="&amp;$F290&amp;","&amp;$E290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0" s="6" t="str">
        <f>IF(OR($E290="", $F290=""),"",IF(_xlfn.SINGLE(JobAgolMap)="",HYPERLINK("https://fema.maps.arcgis.com/apps/mapviewer/index.html?find="&amp;$F290&amp;"%2C"&amp;$E290&amp;"&amp;marker="&amp;$F290&amp;","&amp;$E290&amp;",4326&amp;level=16","FEMA AGOL Map Viewer"),HYPERLINK(_xlfn.SINGLE(JobAgolMap)&amp;IF(ISNUMBER(FIND("?",_xlfn.SINGLE(JobAgolMap))),"&amp;","?")&amp;"center="&amp;$F290&amp;","&amp;$E290&amp;"&amp;level=16&amp;marker="&amp;$F290&amp;","&amp;$E290,"Open")))</f>
        <v/>
      </c>
      <c r="Q290" s="4"/>
      <c r="R290" s="4"/>
      <c r="W290" s="6" t="str">
        <f t="shared" si="24"/>
        <v/>
      </c>
      <c r="X290" s="6" t="str">
        <f t="shared" si="25"/>
        <v/>
      </c>
      <c r="Y290" s="6" t="str">
        <f t="shared" si="26"/>
        <v/>
      </c>
      <c r="Z290" s="6" t="str">
        <f t="shared" si="27"/>
        <v/>
      </c>
      <c r="AA290" s="6" t="str">
        <f t="shared" si="28"/>
        <v/>
      </c>
      <c r="AB290" s="6" t="str">
        <f t="shared" si="29"/>
        <v/>
      </c>
      <c r="AC290" s="4"/>
      <c r="AD290" s="4"/>
    </row>
    <row r="291" spans="1:30" x14ac:dyDescent="0.45">
      <c r="A291" s="3"/>
      <c r="B291" s="3"/>
      <c r="C291" s="5" t="str">
        <f>IF($E291="","",COUNT($E$2:$E291))</f>
        <v/>
      </c>
      <c r="D291" s="3"/>
      <c r="E291" s="3"/>
      <c r="F291" s="3"/>
      <c r="G291" s="3"/>
      <c r="H291" s="3"/>
      <c r="I291" s="3"/>
      <c r="J291" s="3"/>
      <c r="K291" s="3"/>
      <c r="L291" s="4"/>
      <c r="M291" s="6" t="str">
        <f>IF(OR($E291="",$F291=""),"",IF(_xlfn.SINGLE(JobState)="",IF(ROW()=2,HYPERLINK("#JobState","Set State →"),""),HYPERLINK(IF(OR(_xlfn.SINGLE(JobState)="MI",_xlfn.SINGLE(JobState)=""),"https://fema.maps.arcgis.com/apps/mapviewer/index.html?webmap=6a1702b9147243d1a5ee62cd614bc681&amp;center="&amp;$F291&amp;","&amp;$E291&amp;"&amp;level=16&amp;marker="&amp;$F291&amp;","&amp;$E291&amp;"",IF(_xlfn.SINGLE(JobState)="IN","https://fema.maps.arcgis.com/apps/mapviewer/index.html?url=https%3A%2F%2Fgis.indot.in.gov%2Fro%2Frest%2Fservices%2FRAH_GIO_Collaboration%2FLRSE_Functional_Class%2FFeatureServer%2F22&amp;find="&amp;$F291&amp;"%2C"&amp;$E291&amp;"&amp;marker="&amp;$F291&amp;","&amp;$E291&amp;",4326&amp;level=16",IF(_xlfn.SINGLE(JobState)="WI","https://fema.maps.arcgis.com/apps/mapviewer/index.html?url=https://services5.arcgis.com/0pgGLzT0Nh7FVjon/arcgis/rest/services/Functional_Class_Local_Non_Prod/FeatureServer/1&amp;find="&amp;$F291&amp;"%2C"&amp;$E291&amp;"&amp;marker="&amp;$F291&amp;","&amp;$E291&amp;",4326&amp;level=16",IF(_xlfn.SINGLE(JobState)="MN","https://fema.maps.arcgis.com/apps/mapviewer/index.html?url=https%3A%2F%2Fdotapp9.dot.state.mn.us%2Fegis12%2Frest%2Fservices%2FBASEMAP%2Fmndot_commonlayers2%2FMapServer%2F11&amp;find="&amp;$F291&amp;"%2C"&amp;$E291&amp;"&amp;marker="&amp;$F291&amp;","&amp;$E291&amp;",4326&amp;level=16",IF(_xlfn.SINGLE(JobState)="IL","https://fema.maps.arcgis.com/apps/mapviewer/index.html?url=https%3A%2F%2Fgis1.dot.illinois.gov%2Farcgis%2Frest%2Fservices%2FAdministrativeData%2FFunctionalClass%2FMapServer%2F0&amp;find="&amp;$F291&amp;"%2C"&amp;$E291&amp;"&amp;marker="&amp;$F291&amp;","&amp;$E291&amp;",4326&amp;level=16",IF(_xlfn.SINGLE(JobState)="OH","https://fema.maps.arcgis.com/apps/mapviewer/index.html?url=https%3A%2F%2Ftims.dot.state.oh.us%2Fags%2Frest%2Fservices%2FRoadway_Information%2FFunctional_Class%2FMapServer%2F0&amp;find="&amp;$F291&amp;"%2C"&amp;$E291&amp;"&amp;marker="&amp;$F291&amp;","&amp;$E291&amp;",4326&amp;level=16","https://fema.maps.arcgis.com/apps/mapviewer/index.html?find="&amp;$F291&amp;"%2C"&amp;$E291&amp;"&amp;marker="&amp;$F291&amp;","&amp;$E291&amp;",4326&amp;level=16")))))),IF(_xlfn.SINGLE(JobState)="WI","Review Local Roads Layer","Review NFC AGOL Layer"))))</f>
        <v/>
      </c>
      <c r="N291" s="6" t="str">
        <f>IF(OR($E291="",$F291=""),"",IF(_xlfn.SINGLE(JobState)="",IF(ROW()=2,HYPERLINK("#JobState","Set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291&amp;"%2C"&amp;$E291&amp;"&amp;marker="&amp;$F291&amp;","&amp;$E291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1" s="6" t="str">
        <f>IF(OR($E291="", $F291=""),"",IF(_xlfn.SINGLE(JobAgolMap)="",HYPERLINK("https://fema.maps.arcgis.com/apps/mapviewer/index.html?find="&amp;$F291&amp;"%2C"&amp;$E291&amp;"&amp;marker="&amp;$F291&amp;","&amp;$E291&amp;",4326&amp;level=16","FEMA AGOL Map Viewer"),HYPERLINK(_xlfn.SINGLE(JobAgolMap)&amp;IF(ISNUMBER(FIND("?",_xlfn.SINGLE(JobAgolMap))),"&amp;","?")&amp;"center="&amp;$F291&amp;","&amp;$E291&amp;"&amp;level=16&amp;marker="&amp;$F291&amp;","&amp;$E291,"Open")))</f>
        <v/>
      </c>
      <c r="Q291" s="4"/>
      <c r="R291" s="4"/>
      <c r="W291" s="6" t="str">
        <f t="shared" si="24"/>
        <v/>
      </c>
      <c r="X291" s="6" t="str">
        <f t="shared" si="25"/>
        <v/>
      </c>
      <c r="Y291" s="6" t="str">
        <f t="shared" si="26"/>
        <v/>
      </c>
      <c r="Z291" s="6" t="str">
        <f t="shared" si="27"/>
        <v/>
      </c>
      <c r="AA291" s="6" t="str">
        <f t="shared" si="28"/>
        <v/>
      </c>
      <c r="AB291" s="6" t="str">
        <f t="shared" si="29"/>
        <v/>
      </c>
      <c r="AC291" s="4"/>
      <c r="AD291" s="4"/>
    </row>
    <row r="292" spans="1:30" x14ac:dyDescent="0.45">
      <c r="A292" s="3"/>
      <c r="B292" s="3"/>
      <c r="C292" s="5" t="str">
        <f>IF($E292="","",COUNT($E$2:$E292))</f>
        <v/>
      </c>
      <c r="D292" s="3"/>
      <c r="E292" s="3"/>
      <c r="F292" s="3"/>
      <c r="G292" s="3"/>
      <c r="H292" s="3"/>
      <c r="I292" s="3"/>
      <c r="J292" s="3"/>
      <c r="K292" s="3"/>
      <c r="L292" s="4"/>
      <c r="M292" s="6" t="str">
        <f>IF(OR($E292="",$F292=""),"",IF(_xlfn.SINGLE(JobState)="",IF(ROW()=2,HYPERLINK("#JobState","Set State →"),""),HYPERLINK(IF(OR(_xlfn.SINGLE(JobState)="MI",_xlfn.SINGLE(JobState)=""),"https://fema.maps.arcgis.com/apps/mapviewer/index.html?webmap=6a1702b9147243d1a5ee62cd614bc681&amp;center="&amp;$F292&amp;","&amp;$E292&amp;"&amp;level=16&amp;marker="&amp;$F292&amp;","&amp;$E292&amp;"",IF(_xlfn.SINGLE(JobState)="IN","https://fema.maps.arcgis.com/apps/mapviewer/index.html?url=https%3A%2F%2Fgis.indot.in.gov%2Fro%2Frest%2Fservices%2FRAH_GIO_Collaboration%2FLRSE_Functional_Class%2FFeatureServer%2F22&amp;find="&amp;$F292&amp;"%2C"&amp;$E292&amp;"&amp;marker="&amp;$F292&amp;","&amp;$E292&amp;",4326&amp;level=16",IF(_xlfn.SINGLE(JobState)="WI","https://fema.maps.arcgis.com/apps/mapviewer/index.html?url=https://services5.arcgis.com/0pgGLzT0Nh7FVjon/arcgis/rest/services/Functional_Class_Local_Non_Prod/FeatureServer/1&amp;find="&amp;$F292&amp;"%2C"&amp;$E292&amp;"&amp;marker="&amp;$F292&amp;","&amp;$E292&amp;",4326&amp;level=16",IF(_xlfn.SINGLE(JobState)="MN","https://fema.maps.arcgis.com/apps/mapviewer/index.html?url=https%3A%2F%2Fdotapp9.dot.state.mn.us%2Fegis12%2Frest%2Fservices%2FBASEMAP%2Fmndot_commonlayers2%2FMapServer%2F11&amp;find="&amp;$F292&amp;"%2C"&amp;$E292&amp;"&amp;marker="&amp;$F292&amp;","&amp;$E292&amp;",4326&amp;level=16",IF(_xlfn.SINGLE(JobState)="IL","https://fema.maps.arcgis.com/apps/mapviewer/index.html?url=https%3A%2F%2Fgis1.dot.illinois.gov%2Farcgis%2Frest%2Fservices%2FAdministrativeData%2FFunctionalClass%2FMapServer%2F0&amp;find="&amp;$F292&amp;"%2C"&amp;$E292&amp;"&amp;marker="&amp;$F292&amp;","&amp;$E292&amp;",4326&amp;level=16",IF(_xlfn.SINGLE(JobState)="OH","https://fema.maps.arcgis.com/apps/mapviewer/index.html?url=https%3A%2F%2Ftims.dot.state.oh.us%2Fags%2Frest%2Fservices%2FRoadway_Information%2FFunctional_Class%2FMapServer%2F0&amp;find="&amp;$F292&amp;"%2C"&amp;$E292&amp;"&amp;marker="&amp;$F292&amp;","&amp;$E292&amp;",4326&amp;level=16","https://fema.maps.arcgis.com/apps/mapviewer/index.html?find="&amp;$F292&amp;"%2C"&amp;$E292&amp;"&amp;marker="&amp;$F292&amp;","&amp;$E292&amp;",4326&amp;level=16")))))),IF(_xlfn.SINGLE(JobState)="WI","Review Local Roads Layer","Review NFC AGOL Layer"))))</f>
        <v/>
      </c>
      <c r="N292" s="6" t="str">
        <f>IF(OR($E292="",$F292=""),"",IF(_xlfn.SINGLE(JobState)="",IF(ROW()=2,HYPERLINK("#JobState","Set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292&amp;"%2C"&amp;$E292&amp;"&amp;marker="&amp;$F292&amp;","&amp;$E292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2" s="6" t="str">
        <f>IF(OR($E292="", $F292=""),"",IF(_xlfn.SINGLE(JobAgolMap)="",HYPERLINK("https://fema.maps.arcgis.com/apps/mapviewer/index.html?find="&amp;$F292&amp;"%2C"&amp;$E292&amp;"&amp;marker="&amp;$F292&amp;","&amp;$E292&amp;",4326&amp;level=16","FEMA AGOL Map Viewer"),HYPERLINK(_xlfn.SINGLE(JobAgolMap)&amp;IF(ISNUMBER(FIND("?",_xlfn.SINGLE(JobAgolMap))),"&amp;","?")&amp;"center="&amp;$F292&amp;","&amp;$E292&amp;"&amp;level=16&amp;marker="&amp;$F292&amp;","&amp;$E292,"Open")))</f>
        <v/>
      </c>
      <c r="Q292" s="4"/>
      <c r="R292" s="4"/>
      <c r="W292" s="6" t="str">
        <f t="shared" si="24"/>
        <v/>
      </c>
      <c r="X292" s="6" t="str">
        <f t="shared" si="25"/>
        <v/>
      </c>
      <c r="Y292" s="6" t="str">
        <f t="shared" si="26"/>
        <v/>
      </c>
      <c r="Z292" s="6" t="str">
        <f t="shared" si="27"/>
        <v/>
      </c>
      <c r="AA292" s="6" t="str">
        <f t="shared" si="28"/>
        <v/>
      </c>
      <c r="AB292" s="6" t="str">
        <f t="shared" si="29"/>
        <v/>
      </c>
      <c r="AC292" s="4"/>
      <c r="AD292" s="4"/>
    </row>
    <row r="293" spans="1:30" x14ac:dyDescent="0.45">
      <c r="A293" s="3"/>
      <c r="B293" s="3"/>
      <c r="C293" s="5" t="str">
        <f>IF($E293="","",COUNT($E$2:$E293))</f>
        <v/>
      </c>
      <c r="D293" s="3"/>
      <c r="E293" s="3"/>
      <c r="F293" s="3"/>
      <c r="G293" s="3"/>
      <c r="H293" s="3"/>
      <c r="I293" s="3"/>
      <c r="J293" s="3"/>
      <c r="K293" s="3"/>
      <c r="L293" s="4"/>
      <c r="M293" s="6" t="str">
        <f>IF(OR($E293="",$F293=""),"",IF(_xlfn.SINGLE(JobState)="",IF(ROW()=2,HYPERLINK("#JobState","Set State →"),""),HYPERLINK(IF(OR(_xlfn.SINGLE(JobState)="MI",_xlfn.SINGLE(JobState)=""),"https://fema.maps.arcgis.com/apps/mapviewer/index.html?webmap=6a1702b9147243d1a5ee62cd614bc681&amp;center="&amp;$F293&amp;","&amp;$E293&amp;"&amp;level=16&amp;marker="&amp;$F293&amp;","&amp;$E293&amp;"",IF(_xlfn.SINGLE(JobState)="IN","https://fema.maps.arcgis.com/apps/mapviewer/index.html?url=https%3A%2F%2Fgis.indot.in.gov%2Fro%2Frest%2Fservices%2FRAH_GIO_Collaboration%2FLRSE_Functional_Class%2FFeatureServer%2F22&amp;find="&amp;$F293&amp;"%2C"&amp;$E293&amp;"&amp;marker="&amp;$F293&amp;","&amp;$E293&amp;",4326&amp;level=16",IF(_xlfn.SINGLE(JobState)="WI","https://fema.maps.arcgis.com/apps/mapviewer/index.html?url=https://services5.arcgis.com/0pgGLzT0Nh7FVjon/arcgis/rest/services/Functional_Class_Local_Non_Prod/FeatureServer/1&amp;find="&amp;$F293&amp;"%2C"&amp;$E293&amp;"&amp;marker="&amp;$F293&amp;","&amp;$E293&amp;",4326&amp;level=16",IF(_xlfn.SINGLE(JobState)="MN","https://fema.maps.arcgis.com/apps/mapviewer/index.html?url=https%3A%2F%2Fdotapp9.dot.state.mn.us%2Fegis12%2Frest%2Fservices%2FBASEMAP%2Fmndot_commonlayers2%2FMapServer%2F11&amp;find="&amp;$F293&amp;"%2C"&amp;$E293&amp;"&amp;marker="&amp;$F293&amp;","&amp;$E293&amp;",4326&amp;level=16",IF(_xlfn.SINGLE(JobState)="IL","https://fema.maps.arcgis.com/apps/mapviewer/index.html?url=https%3A%2F%2Fgis1.dot.illinois.gov%2Farcgis%2Frest%2Fservices%2FAdministrativeData%2FFunctionalClass%2FMapServer%2F0&amp;find="&amp;$F293&amp;"%2C"&amp;$E293&amp;"&amp;marker="&amp;$F293&amp;","&amp;$E293&amp;",4326&amp;level=16",IF(_xlfn.SINGLE(JobState)="OH","https://fema.maps.arcgis.com/apps/mapviewer/index.html?url=https%3A%2F%2Ftims.dot.state.oh.us%2Fags%2Frest%2Fservices%2FRoadway_Information%2FFunctional_Class%2FMapServer%2F0&amp;find="&amp;$F293&amp;"%2C"&amp;$E293&amp;"&amp;marker="&amp;$F293&amp;","&amp;$E293&amp;",4326&amp;level=16","https://fema.maps.arcgis.com/apps/mapviewer/index.html?find="&amp;$F293&amp;"%2C"&amp;$E293&amp;"&amp;marker="&amp;$F293&amp;","&amp;$E293&amp;",4326&amp;level=16")))))),IF(_xlfn.SINGLE(JobState)="WI","Review Local Roads Layer","Review NFC AGOL Layer"))))</f>
        <v/>
      </c>
      <c r="N293" s="6" t="str">
        <f>IF(OR($E293="",$F293=""),"",IF(_xlfn.SINGLE(JobState)="",IF(ROW()=2,HYPERLINK("#JobState","Set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293&amp;"%2C"&amp;$E293&amp;"&amp;marker="&amp;$F293&amp;","&amp;$E293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3" s="6" t="str">
        <f>IF(OR($E293="", $F293=""),"",IF(_xlfn.SINGLE(JobAgolMap)="",HYPERLINK("https://fema.maps.arcgis.com/apps/mapviewer/index.html?find="&amp;$F293&amp;"%2C"&amp;$E293&amp;"&amp;marker="&amp;$F293&amp;","&amp;$E293&amp;",4326&amp;level=16","FEMA AGOL Map Viewer"),HYPERLINK(_xlfn.SINGLE(JobAgolMap)&amp;IF(ISNUMBER(FIND("?",_xlfn.SINGLE(JobAgolMap))),"&amp;","?")&amp;"center="&amp;$F293&amp;","&amp;$E293&amp;"&amp;level=16&amp;marker="&amp;$F293&amp;","&amp;$E293,"Open")))</f>
        <v/>
      </c>
      <c r="Q293" s="4"/>
      <c r="R293" s="4"/>
      <c r="W293" s="6" t="str">
        <f t="shared" si="24"/>
        <v/>
      </c>
      <c r="X293" s="6" t="str">
        <f t="shared" si="25"/>
        <v/>
      </c>
      <c r="Y293" s="6" t="str">
        <f t="shared" si="26"/>
        <v/>
      </c>
      <c r="Z293" s="6" t="str">
        <f t="shared" si="27"/>
        <v/>
      </c>
      <c r="AA293" s="6" t="str">
        <f t="shared" si="28"/>
        <v/>
      </c>
      <c r="AB293" s="6" t="str">
        <f t="shared" si="29"/>
        <v/>
      </c>
      <c r="AC293" s="4"/>
      <c r="AD293" s="4"/>
    </row>
    <row r="294" spans="1:30" x14ac:dyDescent="0.45">
      <c r="A294" s="3"/>
      <c r="B294" s="3"/>
      <c r="C294" s="5" t="str">
        <f>IF($E294="","",COUNT($E$2:$E294))</f>
        <v/>
      </c>
      <c r="D294" s="3"/>
      <c r="E294" s="3"/>
      <c r="F294" s="3"/>
      <c r="G294" s="3"/>
      <c r="H294" s="3"/>
      <c r="I294" s="3"/>
      <c r="J294" s="3"/>
      <c r="K294" s="3"/>
      <c r="L294" s="4"/>
      <c r="M294" s="6" t="str">
        <f>IF(OR($E294="",$F294=""),"",IF(_xlfn.SINGLE(JobState)="",IF(ROW()=2,HYPERLINK("#JobState","Set State →"),""),HYPERLINK(IF(OR(_xlfn.SINGLE(JobState)="MI",_xlfn.SINGLE(JobState)=""),"https://fema.maps.arcgis.com/apps/mapviewer/index.html?webmap=6a1702b9147243d1a5ee62cd614bc681&amp;center="&amp;$F294&amp;","&amp;$E294&amp;"&amp;level=16&amp;marker="&amp;$F294&amp;","&amp;$E294&amp;"",IF(_xlfn.SINGLE(JobState)="IN","https://fema.maps.arcgis.com/apps/mapviewer/index.html?url=https%3A%2F%2Fgis.indot.in.gov%2Fro%2Frest%2Fservices%2FRAH_GIO_Collaboration%2FLRSE_Functional_Class%2FFeatureServer%2F22&amp;find="&amp;$F294&amp;"%2C"&amp;$E294&amp;"&amp;marker="&amp;$F294&amp;","&amp;$E294&amp;",4326&amp;level=16",IF(_xlfn.SINGLE(JobState)="WI","https://fema.maps.arcgis.com/apps/mapviewer/index.html?url=https://services5.arcgis.com/0pgGLzT0Nh7FVjon/arcgis/rest/services/Functional_Class_Local_Non_Prod/FeatureServer/1&amp;find="&amp;$F294&amp;"%2C"&amp;$E294&amp;"&amp;marker="&amp;$F294&amp;","&amp;$E294&amp;",4326&amp;level=16",IF(_xlfn.SINGLE(JobState)="MN","https://fema.maps.arcgis.com/apps/mapviewer/index.html?url=https%3A%2F%2Fdotapp9.dot.state.mn.us%2Fegis12%2Frest%2Fservices%2FBASEMAP%2Fmndot_commonlayers2%2FMapServer%2F11&amp;find="&amp;$F294&amp;"%2C"&amp;$E294&amp;"&amp;marker="&amp;$F294&amp;","&amp;$E294&amp;",4326&amp;level=16",IF(_xlfn.SINGLE(JobState)="IL","https://fema.maps.arcgis.com/apps/mapviewer/index.html?url=https%3A%2F%2Fgis1.dot.illinois.gov%2Farcgis%2Frest%2Fservices%2FAdministrativeData%2FFunctionalClass%2FMapServer%2F0&amp;find="&amp;$F294&amp;"%2C"&amp;$E294&amp;"&amp;marker="&amp;$F294&amp;","&amp;$E294&amp;",4326&amp;level=16",IF(_xlfn.SINGLE(JobState)="OH","https://fema.maps.arcgis.com/apps/mapviewer/index.html?url=https%3A%2F%2Ftims.dot.state.oh.us%2Fags%2Frest%2Fservices%2FRoadway_Information%2FFunctional_Class%2FMapServer%2F0&amp;find="&amp;$F294&amp;"%2C"&amp;$E294&amp;"&amp;marker="&amp;$F294&amp;","&amp;$E294&amp;",4326&amp;level=16","https://fema.maps.arcgis.com/apps/mapviewer/index.html?find="&amp;$F294&amp;"%2C"&amp;$E294&amp;"&amp;marker="&amp;$F294&amp;","&amp;$E294&amp;",4326&amp;level=16")))))),IF(_xlfn.SINGLE(JobState)="WI","Review Local Roads Layer","Review NFC AGOL Layer"))))</f>
        <v/>
      </c>
      <c r="N294" s="6" t="str">
        <f>IF(OR($E294="",$F294=""),"",IF(_xlfn.SINGLE(JobState)="",IF(ROW()=2,HYPERLINK("#JobState","Set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294&amp;"%2C"&amp;$E294&amp;"&amp;marker="&amp;$F294&amp;","&amp;$E294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4" s="6" t="str">
        <f>IF(OR($E294="", $F294=""),"",IF(_xlfn.SINGLE(JobAgolMap)="",HYPERLINK("https://fema.maps.arcgis.com/apps/mapviewer/index.html?find="&amp;$F294&amp;"%2C"&amp;$E294&amp;"&amp;marker="&amp;$F294&amp;","&amp;$E294&amp;",4326&amp;level=16","FEMA AGOL Map Viewer"),HYPERLINK(_xlfn.SINGLE(JobAgolMap)&amp;IF(ISNUMBER(FIND("?",_xlfn.SINGLE(JobAgolMap))),"&amp;","?")&amp;"center="&amp;$F294&amp;","&amp;$E294&amp;"&amp;level=16&amp;marker="&amp;$F294&amp;","&amp;$E294,"Open")))</f>
        <v/>
      </c>
      <c r="Q294" s="4"/>
      <c r="R294" s="4"/>
      <c r="W294" s="6" t="str">
        <f t="shared" si="24"/>
        <v/>
      </c>
      <c r="X294" s="6" t="str">
        <f t="shared" si="25"/>
        <v/>
      </c>
      <c r="Y294" s="6" t="str">
        <f t="shared" si="26"/>
        <v/>
      </c>
      <c r="Z294" s="6" t="str">
        <f t="shared" si="27"/>
        <v/>
      </c>
      <c r="AA294" s="6" t="str">
        <f t="shared" si="28"/>
        <v/>
      </c>
      <c r="AB294" s="6" t="str">
        <f t="shared" si="29"/>
        <v/>
      </c>
      <c r="AC294" s="4"/>
      <c r="AD294" s="4"/>
    </row>
    <row r="295" spans="1:30" x14ac:dyDescent="0.45">
      <c r="A295" s="3"/>
      <c r="B295" s="3"/>
      <c r="C295" s="5" t="str">
        <f>IF($E295="","",COUNT($E$2:$E295))</f>
        <v/>
      </c>
      <c r="D295" s="3"/>
      <c r="E295" s="3"/>
      <c r="F295" s="3"/>
      <c r="G295" s="3"/>
      <c r="H295" s="3"/>
      <c r="I295" s="3"/>
      <c r="J295" s="3"/>
      <c r="K295" s="3"/>
      <c r="L295" s="4"/>
      <c r="M295" s="6" t="str">
        <f>IF(OR($E295="",$F295=""),"",IF(_xlfn.SINGLE(JobState)="",IF(ROW()=2,HYPERLINK("#JobState","Set State →"),""),HYPERLINK(IF(OR(_xlfn.SINGLE(JobState)="MI",_xlfn.SINGLE(JobState)=""),"https://fema.maps.arcgis.com/apps/mapviewer/index.html?webmap=6a1702b9147243d1a5ee62cd614bc681&amp;center="&amp;$F295&amp;","&amp;$E295&amp;"&amp;level=16&amp;marker="&amp;$F295&amp;","&amp;$E295&amp;"",IF(_xlfn.SINGLE(JobState)="IN","https://fema.maps.arcgis.com/apps/mapviewer/index.html?url=https%3A%2F%2Fgis.indot.in.gov%2Fro%2Frest%2Fservices%2FRAH_GIO_Collaboration%2FLRSE_Functional_Class%2FFeatureServer%2F22&amp;find="&amp;$F295&amp;"%2C"&amp;$E295&amp;"&amp;marker="&amp;$F295&amp;","&amp;$E295&amp;",4326&amp;level=16",IF(_xlfn.SINGLE(JobState)="WI","https://fema.maps.arcgis.com/apps/mapviewer/index.html?url=https://services5.arcgis.com/0pgGLzT0Nh7FVjon/arcgis/rest/services/Functional_Class_Local_Non_Prod/FeatureServer/1&amp;find="&amp;$F295&amp;"%2C"&amp;$E295&amp;"&amp;marker="&amp;$F295&amp;","&amp;$E295&amp;",4326&amp;level=16",IF(_xlfn.SINGLE(JobState)="MN","https://fema.maps.arcgis.com/apps/mapviewer/index.html?url=https%3A%2F%2Fdotapp9.dot.state.mn.us%2Fegis12%2Frest%2Fservices%2FBASEMAP%2Fmndot_commonlayers2%2FMapServer%2F11&amp;find="&amp;$F295&amp;"%2C"&amp;$E295&amp;"&amp;marker="&amp;$F295&amp;","&amp;$E295&amp;",4326&amp;level=16",IF(_xlfn.SINGLE(JobState)="IL","https://fema.maps.arcgis.com/apps/mapviewer/index.html?url=https%3A%2F%2Fgis1.dot.illinois.gov%2Farcgis%2Frest%2Fservices%2FAdministrativeData%2FFunctionalClass%2FMapServer%2F0&amp;find="&amp;$F295&amp;"%2C"&amp;$E295&amp;"&amp;marker="&amp;$F295&amp;","&amp;$E295&amp;",4326&amp;level=16",IF(_xlfn.SINGLE(JobState)="OH","https://fema.maps.arcgis.com/apps/mapviewer/index.html?url=https%3A%2F%2Ftims.dot.state.oh.us%2Fags%2Frest%2Fservices%2FRoadway_Information%2FFunctional_Class%2FMapServer%2F0&amp;find="&amp;$F295&amp;"%2C"&amp;$E295&amp;"&amp;marker="&amp;$F295&amp;","&amp;$E295&amp;",4326&amp;level=16","https://fema.maps.arcgis.com/apps/mapviewer/index.html?find="&amp;$F295&amp;"%2C"&amp;$E295&amp;"&amp;marker="&amp;$F295&amp;","&amp;$E295&amp;",4326&amp;level=16")))))),IF(_xlfn.SINGLE(JobState)="WI","Review Local Roads Layer","Review NFC AGOL Layer"))))</f>
        <v/>
      </c>
      <c r="N295" s="6" t="str">
        <f>IF(OR($E295="",$F295=""),"",IF(_xlfn.SINGLE(JobState)="",IF(ROW()=2,HYPERLINK("#JobState","Set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295&amp;"%2C"&amp;$E295&amp;"&amp;marker="&amp;$F295&amp;","&amp;$E295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5" s="6" t="str">
        <f>IF(OR($E295="", $F295=""),"",IF(_xlfn.SINGLE(JobAgolMap)="",HYPERLINK("https://fema.maps.arcgis.com/apps/mapviewer/index.html?find="&amp;$F295&amp;"%2C"&amp;$E295&amp;"&amp;marker="&amp;$F295&amp;","&amp;$E295&amp;",4326&amp;level=16","FEMA AGOL Map Viewer"),HYPERLINK(_xlfn.SINGLE(JobAgolMap)&amp;IF(ISNUMBER(FIND("?",_xlfn.SINGLE(JobAgolMap))),"&amp;","?")&amp;"center="&amp;$F295&amp;","&amp;$E295&amp;"&amp;level=16&amp;marker="&amp;$F295&amp;","&amp;$E295,"Open")))</f>
        <v/>
      </c>
      <c r="Q295" s="4"/>
      <c r="R295" s="4"/>
      <c r="W295" s="6" t="str">
        <f t="shared" si="24"/>
        <v/>
      </c>
      <c r="X295" s="6" t="str">
        <f t="shared" si="25"/>
        <v/>
      </c>
      <c r="Y295" s="6" t="str">
        <f t="shared" si="26"/>
        <v/>
      </c>
      <c r="Z295" s="6" t="str">
        <f t="shared" si="27"/>
        <v/>
      </c>
      <c r="AA295" s="6" t="str">
        <f t="shared" si="28"/>
        <v/>
      </c>
      <c r="AB295" s="6" t="str">
        <f t="shared" si="29"/>
        <v/>
      </c>
      <c r="AC295" s="4"/>
      <c r="AD295" s="4"/>
    </row>
    <row r="296" spans="1:30" x14ac:dyDescent="0.45">
      <c r="A296" s="3"/>
      <c r="B296" s="3"/>
      <c r="C296" s="5" t="str">
        <f>IF($E296="","",COUNT($E$2:$E296))</f>
        <v/>
      </c>
      <c r="D296" s="3"/>
      <c r="E296" s="3"/>
      <c r="F296" s="3"/>
      <c r="G296" s="3"/>
      <c r="H296" s="3"/>
      <c r="I296" s="3"/>
      <c r="J296" s="3"/>
      <c r="K296" s="3"/>
      <c r="L296" s="4"/>
      <c r="M296" s="6" t="str">
        <f>IF(OR($E296="",$F296=""),"",IF(_xlfn.SINGLE(JobState)="",IF(ROW()=2,HYPERLINK("#JobState","Set State →"),""),HYPERLINK(IF(OR(_xlfn.SINGLE(JobState)="MI",_xlfn.SINGLE(JobState)=""),"https://fema.maps.arcgis.com/apps/mapviewer/index.html?webmap=6a1702b9147243d1a5ee62cd614bc681&amp;center="&amp;$F296&amp;","&amp;$E296&amp;"&amp;level=16&amp;marker="&amp;$F296&amp;","&amp;$E296&amp;"",IF(_xlfn.SINGLE(JobState)="IN","https://fema.maps.arcgis.com/apps/mapviewer/index.html?url=https%3A%2F%2Fgis.indot.in.gov%2Fro%2Frest%2Fservices%2FRAH_GIO_Collaboration%2FLRSE_Functional_Class%2FFeatureServer%2F22&amp;find="&amp;$F296&amp;"%2C"&amp;$E296&amp;"&amp;marker="&amp;$F296&amp;","&amp;$E296&amp;",4326&amp;level=16",IF(_xlfn.SINGLE(JobState)="WI","https://fema.maps.arcgis.com/apps/mapviewer/index.html?url=https://services5.arcgis.com/0pgGLzT0Nh7FVjon/arcgis/rest/services/Functional_Class_Local_Non_Prod/FeatureServer/1&amp;find="&amp;$F296&amp;"%2C"&amp;$E296&amp;"&amp;marker="&amp;$F296&amp;","&amp;$E296&amp;",4326&amp;level=16",IF(_xlfn.SINGLE(JobState)="MN","https://fema.maps.arcgis.com/apps/mapviewer/index.html?url=https%3A%2F%2Fdotapp9.dot.state.mn.us%2Fegis12%2Frest%2Fservices%2FBASEMAP%2Fmndot_commonlayers2%2FMapServer%2F11&amp;find="&amp;$F296&amp;"%2C"&amp;$E296&amp;"&amp;marker="&amp;$F296&amp;","&amp;$E296&amp;",4326&amp;level=16",IF(_xlfn.SINGLE(JobState)="IL","https://fema.maps.arcgis.com/apps/mapviewer/index.html?url=https%3A%2F%2Fgis1.dot.illinois.gov%2Farcgis%2Frest%2Fservices%2FAdministrativeData%2FFunctionalClass%2FMapServer%2F0&amp;find="&amp;$F296&amp;"%2C"&amp;$E296&amp;"&amp;marker="&amp;$F296&amp;","&amp;$E296&amp;",4326&amp;level=16",IF(_xlfn.SINGLE(JobState)="OH","https://fema.maps.arcgis.com/apps/mapviewer/index.html?url=https%3A%2F%2Ftims.dot.state.oh.us%2Fags%2Frest%2Fservices%2FRoadway_Information%2FFunctional_Class%2FMapServer%2F0&amp;find="&amp;$F296&amp;"%2C"&amp;$E296&amp;"&amp;marker="&amp;$F296&amp;","&amp;$E296&amp;",4326&amp;level=16","https://fema.maps.arcgis.com/apps/mapviewer/index.html?find="&amp;$F296&amp;"%2C"&amp;$E296&amp;"&amp;marker="&amp;$F296&amp;","&amp;$E296&amp;",4326&amp;level=16")))))),IF(_xlfn.SINGLE(JobState)="WI","Review Local Roads Layer","Review NFC AGOL Layer"))))</f>
        <v/>
      </c>
      <c r="N296" s="6" t="str">
        <f>IF(OR($E296="",$F296=""),"",IF(_xlfn.SINGLE(JobState)="",IF(ROW()=2,HYPERLINK("#JobState","Set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296&amp;"%2C"&amp;$E296&amp;"&amp;marker="&amp;$F296&amp;","&amp;$E296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6" s="6" t="str">
        <f>IF(OR($E296="", $F296=""),"",IF(_xlfn.SINGLE(JobAgolMap)="",HYPERLINK("https://fema.maps.arcgis.com/apps/mapviewer/index.html?find="&amp;$F296&amp;"%2C"&amp;$E296&amp;"&amp;marker="&amp;$F296&amp;","&amp;$E296&amp;",4326&amp;level=16","FEMA AGOL Map Viewer"),HYPERLINK(_xlfn.SINGLE(JobAgolMap)&amp;IF(ISNUMBER(FIND("?",_xlfn.SINGLE(JobAgolMap))),"&amp;","?")&amp;"center="&amp;$F296&amp;","&amp;$E296&amp;"&amp;level=16&amp;marker="&amp;$F296&amp;","&amp;$E296,"Open")))</f>
        <v/>
      </c>
      <c r="Q296" s="4"/>
      <c r="R296" s="4"/>
      <c r="W296" s="6" t="str">
        <f t="shared" si="24"/>
        <v/>
      </c>
      <c r="X296" s="6" t="str">
        <f t="shared" si="25"/>
        <v/>
      </c>
      <c r="Y296" s="6" t="str">
        <f t="shared" si="26"/>
        <v/>
      </c>
      <c r="Z296" s="6" t="str">
        <f t="shared" si="27"/>
        <v/>
      </c>
      <c r="AA296" s="6" t="str">
        <f t="shared" si="28"/>
        <v/>
      </c>
      <c r="AB296" s="6" t="str">
        <f t="shared" si="29"/>
        <v/>
      </c>
      <c r="AC296" s="4"/>
      <c r="AD296" s="4"/>
    </row>
    <row r="297" spans="1:30" x14ac:dyDescent="0.45">
      <c r="A297" s="3"/>
      <c r="B297" s="3"/>
      <c r="C297" s="5" t="str">
        <f>IF($E297="","",COUNT($E$2:$E297))</f>
        <v/>
      </c>
      <c r="D297" s="3"/>
      <c r="E297" s="3"/>
      <c r="F297" s="3"/>
      <c r="G297" s="3"/>
      <c r="H297" s="3"/>
      <c r="I297" s="3"/>
      <c r="J297" s="3"/>
      <c r="K297" s="3"/>
      <c r="L297" s="4"/>
      <c r="M297" s="6" t="str">
        <f>IF(OR($E297="",$F297=""),"",IF(_xlfn.SINGLE(JobState)="",IF(ROW()=2,HYPERLINK("#JobState","Set State →"),""),HYPERLINK(IF(OR(_xlfn.SINGLE(JobState)="MI",_xlfn.SINGLE(JobState)=""),"https://fema.maps.arcgis.com/apps/mapviewer/index.html?webmap=6a1702b9147243d1a5ee62cd614bc681&amp;center="&amp;$F297&amp;","&amp;$E297&amp;"&amp;level=16&amp;marker="&amp;$F297&amp;","&amp;$E297&amp;"",IF(_xlfn.SINGLE(JobState)="IN","https://fema.maps.arcgis.com/apps/mapviewer/index.html?url=https%3A%2F%2Fgis.indot.in.gov%2Fro%2Frest%2Fservices%2FRAH_GIO_Collaboration%2FLRSE_Functional_Class%2FFeatureServer%2F22&amp;find="&amp;$F297&amp;"%2C"&amp;$E297&amp;"&amp;marker="&amp;$F297&amp;","&amp;$E297&amp;",4326&amp;level=16",IF(_xlfn.SINGLE(JobState)="WI","https://fema.maps.arcgis.com/apps/mapviewer/index.html?url=https://services5.arcgis.com/0pgGLzT0Nh7FVjon/arcgis/rest/services/Functional_Class_Local_Non_Prod/FeatureServer/1&amp;find="&amp;$F297&amp;"%2C"&amp;$E297&amp;"&amp;marker="&amp;$F297&amp;","&amp;$E297&amp;",4326&amp;level=16",IF(_xlfn.SINGLE(JobState)="MN","https://fema.maps.arcgis.com/apps/mapviewer/index.html?url=https%3A%2F%2Fdotapp9.dot.state.mn.us%2Fegis12%2Frest%2Fservices%2FBASEMAP%2Fmndot_commonlayers2%2FMapServer%2F11&amp;find="&amp;$F297&amp;"%2C"&amp;$E297&amp;"&amp;marker="&amp;$F297&amp;","&amp;$E297&amp;",4326&amp;level=16",IF(_xlfn.SINGLE(JobState)="IL","https://fema.maps.arcgis.com/apps/mapviewer/index.html?url=https%3A%2F%2Fgis1.dot.illinois.gov%2Farcgis%2Frest%2Fservices%2FAdministrativeData%2FFunctionalClass%2FMapServer%2F0&amp;find="&amp;$F297&amp;"%2C"&amp;$E297&amp;"&amp;marker="&amp;$F297&amp;","&amp;$E297&amp;",4326&amp;level=16",IF(_xlfn.SINGLE(JobState)="OH","https://fema.maps.arcgis.com/apps/mapviewer/index.html?url=https%3A%2F%2Ftims.dot.state.oh.us%2Fags%2Frest%2Fservices%2FRoadway_Information%2FFunctional_Class%2FMapServer%2F0&amp;find="&amp;$F297&amp;"%2C"&amp;$E297&amp;"&amp;marker="&amp;$F297&amp;","&amp;$E297&amp;",4326&amp;level=16","https://fema.maps.arcgis.com/apps/mapviewer/index.html?find="&amp;$F297&amp;"%2C"&amp;$E297&amp;"&amp;marker="&amp;$F297&amp;","&amp;$E297&amp;",4326&amp;level=16")))))),IF(_xlfn.SINGLE(JobState)="WI","Review Local Roads Layer","Review NFC AGOL Layer"))))</f>
        <v/>
      </c>
      <c r="N297" s="6" t="str">
        <f>IF(OR($E297="",$F297=""),"",IF(_xlfn.SINGLE(JobState)="",IF(ROW()=2,HYPERLINK("#JobState","Set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297&amp;"%2C"&amp;$E297&amp;"&amp;marker="&amp;$F297&amp;","&amp;$E297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7" s="6" t="str">
        <f>IF(OR($E297="", $F297=""),"",IF(_xlfn.SINGLE(JobAgolMap)="",HYPERLINK("https://fema.maps.arcgis.com/apps/mapviewer/index.html?find="&amp;$F297&amp;"%2C"&amp;$E297&amp;"&amp;marker="&amp;$F297&amp;","&amp;$E297&amp;",4326&amp;level=16","FEMA AGOL Map Viewer"),HYPERLINK(_xlfn.SINGLE(JobAgolMap)&amp;IF(ISNUMBER(FIND("?",_xlfn.SINGLE(JobAgolMap))),"&amp;","?")&amp;"center="&amp;$F297&amp;","&amp;$E297&amp;"&amp;level=16&amp;marker="&amp;$F297&amp;","&amp;$E297,"Open")))</f>
        <v/>
      </c>
      <c r="Q297" s="4"/>
      <c r="R297" s="4"/>
      <c r="W297" s="6" t="str">
        <f t="shared" si="24"/>
        <v/>
      </c>
      <c r="X297" s="6" t="str">
        <f t="shared" si="25"/>
        <v/>
      </c>
      <c r="Y297" s="6" t="str">
        <f t="shared" si="26"/>
        <v/>
      </c>
      <c r="Z297" s="6" t="str">
        <f t="shared" si="27"/>
        <v/>
      </c>
      <c r="AA297" s="6" t="str">
        <f t="shared" si="28"/>
        <v/>
      </c>
      <c r="AB297" s="6" t="str">
        <f t="shared" si="29"/>
        <v/>
      </c>
      <c r="AC297" s="4"/>
      <c r="AD297" s="4"/>
    </row>
    <row r="298" spans="1:30" x14ac:dyDescent="0.45">
      <c r="A298" s="3"/>
      <c r="B298" s="3"/>
      <c r="C298" s="5" t="str">
        <f>IF($E298="","",COUNT($E$2:$E298))</f>
        <v/>
      </c>
      <c r="D298" s="3"/>
      <c r="E298" s="3"/>
      <c r="F298" s="3"/>
      <c r="G298" s="3"/>
      <c r="H298" s="3"/>
      <c r="I298" s="3"/>
      <c r="J298" s="3"/>
      <c r="K298" s="3"/>
      <c r="L298" s="4"/>
      <c r="M298" s="6" t="str">
        <f>IF(OR($E298="",$F298=""),"",IF(_xlfn.SINGLE(JobState)="",IF(ROW()=2,HYPERLINK("#JobState","Set State →"),""),HYPERLINK(IF(OR(_xlfn.SINGLE(JobState)="MI",_xlfn.SINGLE(JobState)=""),"https://fema.maps.arcgis.com/apps/mapviewer/index.html?webmap=6a1702b9147243d1a5ee62cd614bc681&amp;center="&amp;$F298&amp;","&amp;$E298&amp;"&amp;level=16&amp;marker="&amp;$F298&amp;","&amp;$E298&amp;"",IF(_xlfn.SINGLE(JobState)="IN","https://fema.maps.arcgis.com/apps/mapviewer/index.html?url=https%3A%2F%2Fgis.indot.in.gov%2Fro%2Frest%2Fservices%2FRAH_GIO_Collaboration%2FLRSE_Functional_Class%2FFeatureServer%2F22&amp;find="&amp;$F298&amp;"%2C"&amp;$E298&amp;"&amp;marker="&amp;$F298&amp;","&amp;$E298&amp;",4326&amp;level=16",IF(_xlfn.SINGLE(JobState)="WI","https://fema.maps.arcgis.com/apps/mapviewer/index.html?url=https://services5.arcgis.com/0pgGLzT0Nh7FVjon/arcgis/rest/services/Functional_Class_Local_Non_Prod/FeatureServer/1&amp;find="&amp;$F298&amp;"%2C"&amp;$E298&amp;"&amp;marker="&amp;$F298&amp;","&amp;$E298&amp;",4326&amp;level=16",IF(_xlfn.SINGLE(JobState)="MN","https://fema.maps.arcgis.com/apps/mapviewer/index.html?url=https%3A%2F%2Fdotapp9.dot.state.mn.us%2Fegis12%2Frest%2Fservices%2FBASEMAP%2Fmndot_commonlayers2%2FMapServer%2F11&amp;find="&amp;$F298&amp;"%2C"&amp;$E298&amp;"&amp;marker="&amp;$F298&amp;","&amp;$E298&amp;",4326&amp;level=16",IF(_xlfn.SINGLE(JobState)="IL","https://fema.maps.arcgis.com/apps/mapviewer/index.html?url=https%3A%2F%2Fgis1.dot.illinois.gov%2Farcgis%2Frest%2Fservices%2FAdministrativeData%2FFunctionalClass%2FMapServer%2F0&amp;find="&amp;$F298&amp;"%2C"&amp;$E298&amp;"&amp;marker="&amp;$F298&amp;","&amp;$E298&amp;",4326&amp;level=16",IF(_xlfn.SINGLE(JobState)="OH","https://fema.maps.arcgis.com/apps/mapviewer/index.html?url=https%3A%2F%2Ftims.dot.state.oh.us%2Fags%2Frest%2Fservices%2FRoadway_Information%2FFunctional_Class%2FMapServer%2F0&amp;find="&amp;$F298&amp;"%2C"&amp;$E298&amp;"&amp;marker="&amp;$F298&amp;","&amp;$E298&amp;",4326&amp;level=16","https://fema.maps.arcgis.com/apps/mapviewer/index.html?find="&amp;$F298&amp;"%2C"&amp;$E298&amp;"&amp;marker="&amp;$F298&amp;","&amp;$E298&amp;",4326&amp;level=16")))))),IF(_xlfn.SINGLE(JobState)="WI","Review Local Roads Layer","Review NFC AGOL Layer"))))</f>
        <v/>
      </c>
      <c r="N298" s="6" t="str">
        <f>IF(OR($E298="",$F298=""),"",IF(_xlfn.SINGLE(JobState)="",IF(ROW()=2,HYPERLINK("#JobState","Set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298&amp;"%2C"&amp;$E298&amp;"&amp;marker="&amp;$F298&amp;","&amp;$E298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8" s="6" t="str">
        <f>IF(OR($E298="", $F298=""),"",IF(_xlfn.SINGLE(JobAgolMap)="",HYPERLINK("https://fema.maps.arcgis.com/apps/mapviewer/index.html?find="&amp;$F298&amp;"%2C"&amp;$E298&amp;"&amp;marker="&amp;$F298&amp;","&amp;$E298&amp;",4326&amp;level=16","FEMA AGOL Map Viewer"),HYPERLINK(_xlfn.SINGLE(JobAgolMap)&amp;IF(ISNUMBER(FIND("?",_xlfn.SINGLE(JobAgolMap))),"&amp;","?")&amp;"center="&amp;$F298&amp;","&amp;$E298&amp;"&amp;level=16&amp;marker="&amp;$F298&amp;","&amp;$E298,"Open")))</f>
        <v/>
      </c>
      <c r="Q298" s="4"/>
      <c r="R298" s="4"/>
      <c r="W298" s="6" t="str">
        <f t="shared" si="24"/>
        <v/>
      </c>
      <c r="X298" s="6" t="str">
        <f t="shared" si="25"/>
        <v/>
      </c>
      <c r="Y298" s="6" t="str">
        <f t="shared" si="26"/>
        <v/>
      </c>
      <c r="Z298" s="6" t="str">
        <f t="shared" si="27"/>
        <v/>
      </c>
      <c r="AA298" s="6" t="str">
        <f t="shared" si="28"/>
        <v/>
      </c>
      <c r="AB298" s="6" t="str">
        <f t="shared" si="29"/>
        <v/>
      </c>
      <c r="AC298" s="4"/>
      <c r="AD298" s="4"/>
    </row>
    <row r="299" spans="1:30" x14ac:dyDescent="0.45">
      <c r="A299" s="3"/>
      <c r="B299" s="3"/>
      <c r="C299" s="5" t="str">
        <f>IF($E299="","",COUNT($E$2:$E299))</f>
        <v/>
      </c>
      <c r="D299" s="3"/>
      <c r="E299" s="3"/>
      <c r="F299" s="3"/>
      <c r="G299" s="3"/>
      <c r="H299" s="3"/>
      <c r="I299" s="3"/>
      <c r="J299" s="3"/>
      <c r="K299" s="3"/>
      <c r="L299" s="4"/>
      <c r="M299" s="6" t="str">
        <f>IF(OR($E299="",$F299=""),"",IF(_xlfn.SINGLE(JobState)="",IF(ROW()=2,HYPERLINK("#JobState","Set State →"),""),HYPERLINK(IF(OR(_xlfn.SINGLE(JobState)="MI",_xlfn.SINGLE(JobState)=""),"https://fema.maps.arcgis.com/apps/mapviewer/index.html?webmap=6a1702b9147243d1a5ee62cd614bc681&amp;center="&amp;$F299&amp;","&amp;$E299&amp;"&amp;level=16&amp;marker="&amp;$F299&amp;","&amp;$E299&amp;"",IF(_xlfn.SINGLE(JobState)="IN","https://fema.maps.arcgis.com/apps/mapviewer/index.html?url=https%3A%2F%2Fgis.indot.in.gov%2Fro%2Frest%2Fservices%2FRAH_GIO_Collaboration%2FLRSE_Functional_Class%2FFeatureServer%2F22&amp;find="&amp;$F299&amp;"%2C"&amp;$E299&amp;"&amp;marker="&amp;$F299&amp;","&amp;$E299&amp;",4326&amp;level=16",IF(_xlfn.SINGLE(JobState)="WI","https://fema.maps.arcgis.com/apps/mapviewer/index.html?url=https://services5.arcgis.com/0pgGLzT0Nh7FVjon/arcgis/rest/services/Functional_Class_Local_Non_Prod/FeatureServer/1&amp;find="&amp;$F299&amp;"%2C"&amp;$E299&amp;"&amp;marker="&amp;$F299&amp;","&amp;$E299&amp;",4326&amp;level=16",IF(_xlfn.SINGLE(JobState)="MN","https://fema.maps.arcgis.com/apps/mapviewer/index.html?url=https%3A%2F%2Fdotapp9.dot.state.mn.us%2Fegis12%2Frest%2Fservices%2FBASEMAP%2Fmndot_commonlayers2%2FMapServer%2F11&amp;find="&amp;$F299&amp;"%2C"&amp;$E299&amp;"&amp;marker="&amp;$F299&amp;","&amp;$E299&amp;",4326&amp;level=16",IF(_xlfn.SINGLE(JobState)="IL","https://fema.maps.arcgis.com/apps/mapviewer/index.html?url=https%3A%2F%2Fgis1.dot.illinois.gov%2Farcgis%2Frest%2Fservices%2FAdministrativeData%2FFunctionalClass%2FMapServer%2F0&amp;find="&amp;$F299&amp;"%2C"&amp;$E299&amp;"&amp;marker="&amp;$F299&amp;","&amp;$E299&amp;",4326&amp;level=16",IF(_xlfn.SINGLE(JobState)="OH","https://fema.maps.arcgis.com/apps/mapviewer/index.html?url=https%3A%2F%2Ftims.dot.state.oh.us%2Fags%2Frest%2Fservices%2FRoadway_Information%2FFunctional_Class%2FMapServer%2F0&amp;find="&amp;$F299&amp;"%2C"&amp;$E299&amp;"&amp;marker="&amp;$F299&amp;","&amp;$E299&amp;",4326&amp;level=16","https://fema.maps.arcgis.com/apps/mapviewer/index.html?find="&amp;$F299&amp;"%2C"&amp;$E299&amp;"&amp;marker="&amp;$F299&amp;","&amp;$E299&amp;",4326&amp;level=16")))))),IF(_xlfn.SINGLE(JobState)="WI","Review Local Roads Layer","Review NFC AGOL Layer"))))</f>
        <v/>
      </c>
      <c r="N299" s="6" t="str">
        <f>IF(OR($E299="",$F299=""),"",IF(_xlfn.SINGLE(JobState)="",IF(ROW()=2,HYPERLINK("#JobState","Set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299&amp;"%2C"&amp;$E299&amp;"&amp;marker="&amp;$F299&amp;","&amp;$E299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9" s="6" t="str">
        <f>IF(OR($E299="", $F299=""),"",IF(_xlfn.SINGLE(JobAgolMap)="",HYPERLINK("https://fema.maps.arcgis.com/apps/mapviewer/index.html?find="&amp;$F299&amp;"%2C"&amp;$E299&amp;"&amp;marker="&amp;$F299&amp;","&amp;$E299&amp;",4326&amp;level=16","FEMA AGOL Map Viewer"),HYPERLINK(_xlfn.SINGLE(JobAgolMap)&amp;IF(ISNUMBER(FIND("?",_xlfn.SINGLE(JobAgolMap))),"&amp;","?")&amp;"center="&amp;$F299&amp;","&amp;$E299&amp;"&amp;level=16&amp;marker="&amp;$F299&amp;","&amp;$E299,"Open")))</f>
        <v/>
      </c>
      <c r="Q299" s="4"/>
      <c r="R299" s="4"/>
      <c r="W299" s="6" t="str">
        <f t="shared" si="24"/>
        <v/>
      </c>
      <c r="X299" s="6" t="str">
        <f t="shared" si="25"/>
        <v/>
      </c>
      <c r="Y299" s="6" t="str">
        <f t="shared" si="26"/>
        <v/>
      </c>
      <c r="Z299" s="6" t="str">
        <f t="shared" si="27"/>
        <v/>
      </c>
      <c r="AA299" s="6" t="str">
        <f t="shared" si="28"/>
        <v/>
      </c>
      <c r="AB299" s="6" t="str">
        <f t="shared" si="29"/>
        <v/>
      </c>
      <c r="AC299" s="4"/>
      <c r="AD299" s="4"/>
    </row>
    <row r="300" spans="1:30" x14ac:dyDescent="0.45">
      <c r="A300" s="3"/>
      <c r="B300" s="3"/>
      <c r="C300" s="5" t="str">
        <f>IF($E300="","",COUNT($E$2:$E300))</f>
        <v/>
      </c>
      <c r="D300" s="3"/>
      <c r="E300" s="3"/>
      <c r="F300" s="3"/>
      <c r="G300" s="3"/>
      <c r="H300" s="3"/>
      <c r="I300" s="3"/>
      <c r="J300" s="3"/>
      <c r="K300" s="3"/>
      <c r="L300" s="4"/>
      <c r="M300" s="6" t="str">
        <f>IF(OR($E300="",$F300=""),"",IF(_xlfn.SINGLE(JobState)="",IF(ROW()=2,HYPERLINK("#JobState","Set State →"),""),HYPERLINK(IF(OR(_xlfn.SINGLE(JobState)="MI",_xlfn.SINGLE(JobState)=""),"https://fema.maps.arcgis.com/apps/mapviewer/index.html?webmap=6a1702b9147243d1a5ee62cd614bc681&amp;center="&amp;$F300&amp;","&amp;$E300&amp;"&amp;level=16&amp;marker="&amp;$F300&amp;","&amp;$E300&amp;"",IF(_xlfn.SINGLE(JobState)="IN","https://fema.maps.arcgis.com/apps/mapviewer/index.html?url=https%3A%2F%2Fgis.indot.in.gov%2Fro%2Frest%2Fservices%2FRAH_GIO_Collaboration%2FLRSE_Functional_Class%2FFeatureServer%2F22&amp;find="&amp;$F300&amp;"%2C"&amp;$E300&amp;"&amp;marker="&amp;$F300&amp;","&amp;$E300&amp;",4326&amp;level=16",IF(_xlfn.SINGLE(JobState)="WI","https://fema.maps.arcgis.com/apps/mapviewer/index.html?url=https://services5.arcgis.com/0pgGLzT0Nh7FVjon/arcgis/rest/services/Functional_Class_Local_Non_Prod/FeatureServer/1&amp;find="&amp;$F300&amp;"%2C"&amp;$E300&amp;"&amp;marker="&amp;$F300&amp;","&amp;$E300&amp;",4326&amp;level=16",IF(_xlfn.SINGLE(JobState)="MN","https://fema.maps.arcgis.com/apps/mapviewer/index.html?url=https%3A%2F%2Fdotapp9.dot.state.mn.us%2Fegis12%2Frest%2Fservices%2FBASEMAP%2Fmndot_commonlayers2%2FMapServer%2F11&amp;find="&amp;$F300&amp;"%2C"&amp;$E300&amp;"&amp;marker="&amp;$F300&amp;","&amp;$E300&amp;",4326&amp;level=16",IF(_xlfn.SINGLE(JobState)="IL","https://fema.maps.arcgis.com/apps/mapviewer/index.html?url=https%3A%2F%2Fgis1.dot.illinois.gov%2Farcgis%2Frest%2Fservices%2FAdministrativeData%2FFunctionalClass%2FMapServer%2F0&amp;find="&amp;$F300&amp;"%2C"&amp;$E300&amp;"&amp;marker="&amp;$F300&amp;","&amp;$E300&amp;",4326&amp;level=16",IF(_xlfn.SINGLE(JobState)="OH","https://fema.maps.arcgis.com/apps/mapviewer/index.html?url=https%3A%2F%2Ftims.dot.state.oh.us%2Fags%2Frest%2Fservices%2FRoadway_Information%2FFunctional_Class%2FMapServer%2F0&amp;find="&amp;$F300&amp;"%2C"&amp;$E300&amp;"&amp;marker="&amp;$F300&amp;","&amp;$E300&amp;",4326&amp;level=16","https://fema.maps.arcgis.com/apps/mapviewer/index.html?find="&amp;$F300&amp;"%2C"&amp;$E300&amp;"&amp;marker="&amp;$F300&amp;","&amp;$E300&amp;",4326&amp;level=16")))))),IF(_xlfn.SINGLE(JobState)="WI","Review Local Roads Layer","Review NFC AGOL Layer"))))</f>
        <v/>
      </c>
      <c r="N300" s="6" t="str">
        <f>IF(OR($E300="",$F300=""),"",IF(_xlfn.SINGLE(JobState)="",IF(ROW()=2,HYPERLINK("#JobState","Set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300&amp;"%2C"&amp;$E300&amp;"&amp;marker="&amp;$F300&amp;","&amp;$E300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0" s="6" t="str">
        <f>IF(OR($E300="", $F300=""),"",IF(_xlfn.SINGLE(JobAgolMap)="",HYPERLINK("https://fema.maps.arcgis.com/apps/mapviewer/index.html?find="&amp;$F300&amp;"%2C"&amp;$E300&amp;"&amp;marker="&amp;$F300&amp;","&amp;$E300&amp;",4326&amp;level=16","FEMA AGOL Map Viewer"),HYPERLINK(_xlfn.SINGLE(JobAgolMap)&amp;IF(ISNUMBER(FIND("?",_xlfn.SINGLE(JobAgolMap))),"&amp;","?")&amp;"center="&amp;$F300&amp;","&amp;$E300&amp;"&amp;level=16&amp;marker="&amp;$F300&amp;","&amp;$E300,"Open")))</f>
        <v/>
      </c>
      <c r="Q300" s="4"/>
      <c r="R300" s="4"/>
      <c r="W300" s="6" t="str">
        <f t="shared" si="24"/>
        <v/>
      </c>
      <c r="X300" s="6" t="str">
        <f t="shared" si="25"/>
        <v/>
      </c>
      <c r="Y300" s="6" t="str">
        <f t="shared" si="26"/>
        <v/>
      </c>
      <c r="Z300" s="6" t="str">
        <f t="shared" si="27"/>
        <v/>
      </c>
      <c r="AA300" s="6" t="str">
        <f t="shared" si="28"/>
        <v/>
      </c>
      <c r="AB300" s="6" t="str">
        <f t="shared" si="29"/>
        <v/>
      </c>
      <c r="AC300" s="4"/>
      <c r="AD300" s="4"/>
    </row>
    <row r="301" spans="1:30" x14ac:dyDescent="0.45">
      <c r="A301" s="3"/>
      <c r="B301" s="3"/>
      <c r="C301" s="5" t="str">
        <f>IF($E301="","",COUNT($E$2:$E301))</f>
        <v/>
      </c>
      <c r="D301" s="3"/>
      <c r="E301" s="3"/>
      <c r="F301" s="3"/>
      <c r="G301" s="3"/>
      <c r="H301" s="3"/>
      <c r="I301" s="3"/>
      <c r="J301" s="3"/>
      <c r="K301" s="3"/>
      <c r="L301" s="4"/>
      <c r="M301" s="6" t="str">
        <f>IF(OR($E301="",$F301=""),"",IF(_xlfn.SINGLE(JobState)="",IF(ROW()=2,HYPERLINK("#JobState","Set State →"),""),HYPERLINK(IF(OR(_xlfn.SINGLE(JobState)="MI",_xlfn.SINGLE(JobState)=""),"https://fema.maps.arcgis.com/apps/mapviewer/index.html?webmap=6a1702b9147243d1a5ee62cd614bc681&amp;center="&amp;$F301&amp;","&amp;$E301&amp;"&amp;level=16&amp;marker="&amp;$F301&amp;","&amp;$E301&amp;"",IF(_xlfn.SINGLE(JobState)="IN","https://fema.maps.arcgis.com/apps/mapviewer/index.html?url=https%3A%2F%2Fgis.indot.in.gov%2Fro%2Frest%2Fservices%2FRAH_GIO_Collaboration%2FLRSE_Functional_Class%2FFeatureServer%2F22&amp;find="&amp;$F301&amp;"%2C"&amp;$E301&amp;"&amp;marker="&amp;$F301&amp;","&amp;$E301&amp;",4326&amp;level=16",IF(_xlfn.SINGLE(JobState)="WI","https://fema.maps.arcgis.com/apps/mapviewer/index.html?url=https://services5.arcgis.com/0pgGLzT0Nh7FVjon/arcgis/rest/services/Functional_Class_Local_Non_Prod/FeatureServer/1&amp;find="&amp;$F301&amp;"%2C"&amp;$E301&amp;"&amp;marker="&amp;$F301&amp;","&amp;$E301&amp;",4326&amp;level=16",IF(_xlfn.SINGLE(JobState)="MN","https://fema.maps.arcgis.com/apps/mapviewer/index.html?url=https%3A%2F%2Fdotapp9.dot.state.mn.us%2Fegis12%2Frest%2Fservices%2FBASEMAP%2Fmndot_commonlayers2%2FMapServer%2F11&amp;find="&amp;$F301&amp;"%2C"&amp;$E301&amp;"&amp;marker="&amp;$F301&amp;","&amp;$E301&amp;",4326&amp;level=16",IF(_xlfn.SINGLE(JobState)="IL","https://fema.maps.arcgis.com/apps/mapviewer/index.html?url=https%3A%2F%2Fgis1.dot.illinois.gov%2Farcgis%2Frest%2Fservices%2FAdministrativeData%2FFunctionalClass%2FMapServer%2F0&amp;find="&amp;$F301&amp;"%2C"&amp;$E301&amp;"&amp;marker="&amp;$F301&amp;","&amp;$E301&amp;",4326&amp;level=16",IF(_xlfn.SINGLE(JobState)="OH","https://fema.maps.arcgis.com/apps/mapviewer/index.html?url=https%3A%2F%2Ftims.dot.state.oh.us%2Fags%2Frest%2Fservices%2FRoadway_Information%2FFunctional_Class%2FMapServer%2F0&amp;find="&amp;$F301&amp;"%2C"&amp;$E301&amp;"&amp;marker="&amp;$F301&amp;","&amp;$E301&amp;",4326&amp;level=16","https://fema.maps.arcgis.com/apps/mapviewer/index.html?find="&amp;$F301&amp;"%2C"&amp;$E301&amp;"&amp;marker="&amp;$F301&amp;","&amp;$E301&amp;",4326&amp;level=16")))))),IF(_xlfn.SINGLE(JobState)="WI","Review Local Roads Layer","Review NFC AGOL Layer"))))</f>
        <v/>
      </c>
      <c r="N301" s="6" t="str">
        <f>IF(OR($E301="",$F301=""),"",IF(_xlfn.SINGLE(JobState)="",IF(ROW()=2,HYPERLINK("#JobState","Set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301&amp;"%2C"&amp;$E301&amp;"&amp;marker="&amp;$F301&amp;","&amp;$E301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1" s="6" t="str">
        <f>IF(OR($E301="", $F301=""),"",IF(_xlfn.SINGLE(JobAgolMap)="",HYPERLINK("https://fema.maps.arcgis.com/apps/mapviewer/index.html?find="&amp;$F301&amp;"%2C"&amp;$E301&amp;"&amp;marker="&amp;$F301&amp;","&amp;$E301&amp;",4326&amp;level=16","FEMA AGOL Map Viewer"),HYPERLINK(_xlfn.SINGLE(JobAgolMap)&amp;IF(ISNUMBER(FIND("?",_xlfn.SINGLE(JobAgolMap))),"&amp;","?")&amp;"center="&amp;$F301&amp;","&amp;$E301&amp;"&amp;level=16&amp;marker="&amp;$F301&amp;","&amp;$E301,"Open")))</f>
        <v/>
      </c>
      <c r="Q301" s="4"/>
      <c r="R301" s="4"/>
      <c r="W301" s="6" t="str">
        <f t="shared" si="24"/>
        <v/>
      </c>
      <c r="X301" s="6" t="str">
        <f t="shared" si="25"/>
        <v/>
      </c>
      <c r="Y301" s="6" t="str">
        <f t="shared" si="26"/>
        <v/>
      </c>
      <c r="Z301" s="6" t="str">
        <f t="shared" si="27"/>
        <v/>
      </c>
      <c r="AA301" s="6" t="str">
        <f t="shared" si="28"/>
        <v/>
      </c>
      <c r="AB301" s="6" t="str">
        <f t="shared" si="29"/>
        <v/>
      </c>
      <c r="AC301" s="4"/>
      <c r="AD301" s="4"/>
    </row>
    <row r="302" spans="1:30" x14ac:dyDescent="0.45">
      <c r="A302" s="3"/>
      <c r="B302" s="3"/>
      <c r="C302" s="5" t="str">
        <f>IF($E302="","",COUNT($E$2:$E302))</f>
        <v/>
      </c>
      <c r="D302" s="3"/>
      <c r="E302" s="3"/>
      <c r="F302" s="3"/>
      <c r="G302" s="3"/>
      <c r="H302" s="3"/>
      <c r="I302" s="3"/>
      <c r="J302" s="3"/>
      <c r="K302" s="3"/>
      <c r="L302" s="4"/>
      <c r="M302" s="6" t="str">
        <f>IF(OR($E302="",$F302=""),"",IF(_xlfn.SINGLE(JobState)="",IF(ROW()=2,HYPERLINK("#JobState","Set State →"),""),HYPERLINK(IF(OR(_xlfn.SINGLE(JobState)="MI",_xlfn.SINGLE(JobState)=""),"https://fema.maps.arcgis.com/apps/mapviewer/index.html?webmap=6a1702b9147243d1a5ee62cd614bc681&amp;center="&amp;$F302&amp;","&amp;$E302&amp;"&amp;level=16&amp;marker="&amp;$F302&amp;","&amp;$E302&amp;"",IF(_xlfn.SINGLE(JobState)="IN","https://fema.maps.arcgis.com/apps/mapviewer/index.html?url=https%3A%2F%2Fgis.indot.in.gov%2Fro%2Frest%2Fservices%2FRAH_GIO_Collaboration%2FLRSE_Functional_Class%2FFeatureServer%2F22&amp;find="&amp;$F302&amp;"%2C"&amp;$E302&amp;"&amp;marker="&amp;$F302&amp;","&amp;$E302&amp;",4326&amp;level=16",IF(_xlfn.SINGLE(JobState)="WI","https://fema.maps.arcgis.com/apps/mapviewer/index.html?url=https://services5.arcgis.com/0pgGLzT0Nh7FVjon/arcgis/rest/services/Functional_Class_Local_Non_Prod/FeatureServer/1&amp;find="&amp;$F302&amp;"%2C"&amp;$E302&amp;"&amp;marker="&amp;$F302&amp;","&amp;$E302&amp;",4326&amp;level=16",IF(_xlfn.SINGLE(JobState)="MN","https://fema.maps.arcgis.com/apps/mapviewer/index.html?url=https%3A%2F%2Fdotapp9.dot.state.mn.us%2Fegis12%2Frest%2Fservices%2FBASEMAP%2Fmndot_commonlayers2%2FMapServer%2F11&amp;find="&amp;$F302&amp;"%2C"&amp;$E302&amp;"&amp;marker="&amp;$F302&amp;","&amp;$E302&amp;",4326&amp;level=16",IF(_xlfn.SINGLE(JobState)="IL","https://fema.maps.arcgis.com/apps/mapviewer/index.html?url=https%3A%2F%2Fgis1.dot.illinois.gov%2Farcgis%2Frest%2Fservices%2FAdministrativeData%2FFunctionalClass%2FMapServer%2F0&amp;find="&amp;$F302&amp;"%2C"&amp;$E302&amp;"&amp;marker="&amp;$F302&amp;","&amp;$E302&amp;",4326&amp;level=16",IF(_xlfn.SINGLE(JobState)="OH","https://fema.maps.arcgis.com/apps/mapviewer/index.html?url=https%3A%2F%2Ftims.dot.state.oh.us%2Fags%2Frest%2Fservices%2FRoadway_Information%2FFunctional_Class%2FMapServer%2F0&amp;find="&amp;$F302&amp;"%2C"&amp;$E302&amp;"&amp;marker="&amp;$F302&amp;","&amp;$E302&amp;",4326&amp;level=16","https://fema.maps.arcgis.com/apps/mapviewer/index.html?find="&amp;$F302&amp;"%2C"&amp;$E302&amp;"&amp;marker="&amp;$F302&amp;","&amp;$E302&amp;",4326&amp;level=16")))))),IF(_xlfn.SINGLE(JobState)="WI","Review Local Roads Layer","Review NFC AGOL Layer"))))</f>
        <v/>
      </c>
      <c r="N302" s="6" t="str">
        <f>IF(OR($E302="",$F302=""),"",IF(_xlfn.SINGLE(JobState)="",IF(ROW()=2,HYPERLINK("#JobState","Set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302&amp;"%2C"&amp;$E302&amp;"&amp;marker="&amp;$F302&amp;","&amp;$E302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2" s="6" t="str">
        <f>IF(OR($E302="", $F302=""),"",IF(_xlfn.SINGLE(JobAgolMap)="",HYPERLINK("https://fema.maps.arcgis.com/apps/mapviewer/index.html?find="&amp;$F302&amp;"%2C"&amp;$E302&amp;"&amp;marker="&amp;$F302&amp;","&amp;$E302&amp;",4326&amp;level=16","FEMA AGOL Map Viewer"),HYPERLINK(_xlfn.SINGLE(JobAgolMap)&amp;IF(ISNUMBER(FIND("?",_xlfn.SINGLE(JobAgolMap))),"&amp;","?")&amp;"center="&amp;$F302&amp;","&amp;$E302&amp;"&amp;level=16&amp;marker="&amp;$F302&amp;","&amp;$E302,"Open")))</f>
        <v/>
      </c>
      <c r="Q302" s="4"/>
      <c r="R302" s="4"/>
      <c r="W302" s="6" t="str">
        <f t="shared" si="24"/>
        <v/>
      </c>
      <c r="X302" s="6" t="str">
        <f t="shared" si="25"/>
        <v/>
      </c>
      <c r="Y302" s="6" t="str">
        <f t="shared" si="26"/>
        <v/>
      </c>
      <c r="Z302" s="6" t="str">
        <f t="shared" si="27"/>
        <v/>
      </c>
      <c r="AA302" s="6" t="str">
        <f t="shared" si="28"/>
        <v/>
      </c>
      <c r="AB302" s="6" t="str">
        <f t="shared" si="29"/>
        <v/>
      </c>
      <c r="AC302" s="4"/>
      <c r="AD302" s="4"/>
    </row>
    <row r="303" spans="1:30" x14ac:dyDescent="0.45">
      <c r="A303" s="3"/>
      <c r="B303" s="3"/>
      <c r="C303" s="5" t="str">
        <f>IF($E303="","",COUNT($E$2:$E303))</f>
        <v/>
      </c>
      <c r="D303" s="3"/>
      <c r="E303" s="3"/>
      <c r="F303" s="3"/>
      <c r="G303" s="3"/>
      <c r="H303" s="3"/>
      <c r="I303" s="3"/>
      <c r="J303" s="3"/>
      <c r="K303" s="3"/>
      <c r="L303" s="4"/>
      <c r="M303" s="6" t="str">
        <f>IF(OR($E303="",$F303=""),"",IF(_xlfn.SINGLE(JobState)="",IF(ROW()=2,HYPERLINK("#JobState","Set State →"),""),HYPERLINK(IF(OR(_xlfn.SINGLE(JobState)="MI",_xlfn.SINGLE(JobState)=""),"https://fema.maps.arcgis.com/apps/mapviewer/index.html?webmap=6a1702b9147243d1a5ee62cd614bc681&amp;center="&amp;$F303&amp;","&amp;$E303&amp;"&amp;level=16&amp;marker="&amp;$F303&amp;","&amp;$E303&amp;"",IF(_xlfn.SINGLE(JobState)="IN","https://fema.maps.arcgis.com/apps/mapviewer/index.html?url=https%3A%2F%2Fgis.indot.in.gov%2Fro%2Frest%2Fservices%2FRAH_GIO_Collaboration%2FLRSE_Functional_Class%2FFeatureServer%2F22&amp;find="&amp;$F303&amp;"%2C"&amp;$E303&amp;"&amp;marker="&amp;$F303&amp;","&amp;$E303&amp;",4326&amp;level=16",IF(_xlfn.SINGLE(JobState)="WI","https://fema.maps.arcgis.com/apps/mapviewer/index.html?url=https://services5.arcgis.com/0pgGLzT0Nh7FVjon/arcgis/rest/services/Functional_Class_Local_Non_Prod/FeatureServer/1&amp;find="&amp;$F303&amp;"%2C"&amp;$E303&amp;"&amp;marker="&amp;$F303&amp;","&amp;$E303&amp;",4326&amp;level=16",IF(_xlfn.SINGLE(JobState)="MN","https://fema.maps.arcgis.com/apps/mapviewer/index.html?url=https%3A%2F%2Fdotapp9.dot.state.mn.us%2Fegis12%2Frest%2Fservices%2FBASEMAP%2Fmndot_commonlayers2%2FMapServer%2F11&amp;find="&amp;$F303&amp;"%2C"&amp;$E303&amp;"&amp;marker="&amp;$F303&amp;","&amp;$E303&amp;",4326&amp;level=16",IF(_xlfn.SINGLE(JobState)="IL","https://fema.maps.arcgis.com/apps/mapviewer/index.html?url=https%3A%2F%2Fgis1.dot.illinois.gov%2Farcgis%2Frest%2Fservices%2FAdministrativeData%2FFunctionalClass%2FMapServer%2F0&amp;find="&amp;$F303&amp;"%2C"&amp;$E303&amp;"&amp;marker="&amp;$F303&amp;","&amp;$E303&amp;",4326&amp;level=16",IF(_xlfn.SINGLE(JobState)="OH","https://fema.maps.arcgis.com/apps/mapviewer/index.html?url=https%3A%2F%2Ftims.dot.state.oh.us%2Fags%2Frest%2Fservices%2FRoadway_Information%2FFunctional_Class%2FMapServer%2F0&amp;find="&amp;$F303&amp;"%2C"&amp;$E303&amp;"&amp;marker="&amp;$F303&amp;","&amp;$E303&amp;",4326&amp;level=16","https://fema.maps.arcgis.com/apps/mapviewer/index.html?find="&amp;$F303&amp;"%2C"&amp;$E303&amp;"&amp;marker="&amp;$F303&amp;","&amp;$E303&amp;",4326&amp;level=16")))))),IF(_xlfn.SINGLE(JobState)="WI","Review Local Roads Layer","Review NFC AGOL Layer"))))</f>
        <v/>
      </c>
      <c r="N303" s="6" t="str">
        <f>IF(OR($E303="",$F303=""),"",IF(_xlfn.SINGLE(JobState)="",IF(ROW()=2,HYPERLINK("#JobState","Set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303&amp;"%2C"&amp;$E303&amp;"&amp;marker="&amp;$F303&amp;","&amp;$E303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3" s="6" t="str">
        <f>IF(OR($E303="", $F303=""),"",IF(_xlfn.SINGLE(JobAgolMap)="",HYPERLINK("https://fema.maps.arcgis.com/apps/mapviewer/index.html?find="&amp;$F303&amp;"%2C"&amp;$E303&amp;"&amp;marker="&amp;$F303&amp;","&amp;$E303&amp;",4326&amp;level=16","FEMA AGOL Map Viewer"),HYPERLINK(_xlfn.SINGLE(JobAgolMap)&amp;IF(ISNUMBER(FIND("?",_xlfn.SINGLE(JobAgolMap))),"&amp;","?")&amp;"center="&amp;$F303&amp;","&amp;$E303&amp;"&amp;level=16&amp;marker="&amp;$F303&amp;","&amp;$E303,"Open")))</f>
        <v/>
      </c>
      <c r="Q303" s="4"/>
      <c r="R303" s="4"/>
      <c r="W303" s="6" t="str">
        <f t="shared" si="24"/>
        <v/>
      </c>
      <c r="X303" s="6" t="str">
        <f t="shared" si="25"/>
        <v/>
      </c>
      <c r="Y303" s="6" t="str">
        <f t="shared" si="26"/>
        <v/>
      </c>
      <c r="Z303" s="6" t="str">
        <f t="shared" si="27"/>
        <v/>
      </c>
      <c r="AA303" s="6" t="str">
        <f t="shared" si="28"/>
        <v/>
      </c>
      <c r="AB303" s="6" t="str">
        <f t="shared" si="29"/>
        <v/>
      </c>
      <c r="AC303" s="4"/>
      <c r="AD303" s="4"/>
    </row>
    <row r="304" spans="1:30" x14ac:dyDescent="0.45">
      <c r="A304" s="3"/>
      <c r="B304" s="3"/>
      <c r="C304" s="5" t="str">
        <f>IF($E304="","",COUNT($E$2:$E304))</f>
        <v/>
      </c>
      <c r="D304" s="3"/>
      <c r="E304" s="3"/>
      <c r="F304" s="3"/>
      <c r="G304" s="3"/>
      <c r="H304" s="3"/>
      <c r="I304" s="3"/>
      <c r="J304" s="3"/>
      <c r="K304" s="3"/>
      <c r="L304" s="4"/>
      <c r="M304" s="6" t="str">
        <f>IF(OR($E304="",$F304=""),"",IF(_xlfn.SINGLE(JobState)="",IF(ROW()=2,HYPERLINK("#JobState","Set State →"),""),HYPERLINK(IF(OR(_xlfn.SINGLE(JobState)="MI",_xlfn.SINGLE(JobState)=""),"https://fema.maps.arcgis.com/apps/mapviewer/index.html?webmap=6a1702b9147243d1a5ee62cd614bc681&amp;center="&amp;$F304&amp;","&amp;$E304&amp;"&amp;level=16&amp;marker="&amp;$F304&amp;","&amp;$E304&amp;"",IF(_xlfn.SINGLE(JobState)="IN","https://fema.maps.arcgis.com/apps/mapviewer/index.html?url=https%3A%2F%2Fgis.indot.in.gov%2Fro%2Frest%2Fservices%2FRAH_GIO_Collaboration%2FLRSE_Functional_Class%2FFeatureServer%2F22&amp;find="&amp;$F304&amp;"%2C"&amp;$E304&amp;"&amp;marker="&amp;$F304&amp;","&amp;$E304&amp;",4326&amp;level=16",IF(_xlfn.SINGLE(JobState)="WI","https://fema.maps.arcgis.com/apps/mapviewer/index.html?url=https://services5.arcgis.com/0pgGLzT0Nh7FVjon/arcgis/rest/services/Functional_Class_Local_Non_Prod/FeatureServer/1&amp;find="&amp;$F304&amp;"%2C"&amp;$E304&amp;"&amp;marker="&amp;$F304&amp;","&amp;$E304&amp;",4326&amp;level=16",IF(_xlfn.SINGLE(JobState)="MN","https://fema.maps.arcgis.com/apps/mapviewer/index.html?url=https%3A%2F%2Fdotapp9.dot.state.mn.us%2Fegis12%2Frest%2Fservices%2FBASEMAP%2Fmndot_commonlayers2%2FMapServer%2F11&amp;find="&amp;$F304&amp;"%2C"&amp;$E304&amp;"&amp;marker="&amp;$F304&amp;","&amp;$E304&amp;",4326&amp;level=16",IF(_xlfn.SINGLE(JobState)="IL","https://fema.maps.arcgis.com/apps/mapviewer/index.html?url=https%3A%2F%2Fgis1.dot.illinois.gov%2Farcgis%2Frest%2Fservices%2FAdministrativeData%2FFunctionalClass%2FMapServer%2F0&amp;find="&amp;$F304&amp;"%2C"&amp;$E304&amp;"&amp;marker="&amp;$F304&amp;","&amp;$E304&amp;",4326&amp;level=16",IF(_xlfn.SINGLE(JobState)="OH","https://fema.maps.arcgis.com/apps/mapviewer/index.html?url=https%3A%2F%2Ftims.dot.state.oh.us%2Fags%2Frest%2Fservices%2FRoadway_Information%2FFunctional_Class%2FMapServer%2F0&amp;find="&amp;$F304&amp;"%2C"&amp;$E304&amp;"&amp;marker="&amp;$F304&amp;","&amp;$E304&amp;",4326&amp;level=16","https://fema.maps.arcgis.com/apps/mapviewer/index.html?find="&amp;$F304&amp;"%2C"&amp;$E304&amp;"&amp;marker="&amp;$F304&amp;","&amp;$E304&amp;",4326&amp;level=16")))))),IF(_xlfn.SINGLE(JobState)="WI","Review Local Roads Layer","Review NFC AGOL Layer"))))</f>
        <v/>
      </c>
      <c r="N304" s="6" t="str">
        <f>IF(OR($E304="",$F304=""),"",IF(_xlfn.SINGLE(JobState)="",IF(ROW()=2,HYPERLINK("#JobState","Set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304&amp;"%2C"&amp;$E304&amp;"&amp;marker="&amp;$F304&amp;","&amp;$E304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4" s="6" t="str">
        <f>IF(OR($E304="", $F304=""),"",IF(_xlfn.SINGLE(JobAgolMap)="",HYPERLINK("https://fema.maps.arcgis.com/apps/mapviewer/index.html?find="&amp;$F304&amp;"%2C"&amp;$E304&amp;"&amp;marker="&amp;$F304&amp;","&amp;$E304&amp;",4326&amp;level=16","FEMA AGOL Map Viewer"),HYPERLINK(_xlfn.SINGLE(JobAgolMap)&amp;IF(ISNUMBER(FIND("?",_xlfn.SINGLE(JobAgolMap))),"&amp;","?")&amp;"center="&amp;$F304&amp;","&amp;$E304&amp;"&amp;level=16&amp;marker="&amp;$F304&amp;","&amp;$E304,"Open")))</f>
        <v/>
      </c>
      <c r="Q304" s="4"/>
      <c r="R304" s="4"/>
      <c r="W304" s="6" t="str">
        <f t="shared" si="24"/>
        <v/>
      </c>
      <c r="X304" s="6" t="str">
        <f t="shared" si="25"/>
        <v/>
      </c>
      <c r="Y304" s="6" t="str">
        <f t="shared" si="26"/>
        <v/>
      </c>
      <c r="Z304" s="6" t="str">
        <f t="shared" si="27"/>
        <v/>
      </c>
      <c r="AA304" s="6" t="str">
        <f t="shared" si="28"/>
        <v/>
      </c>
      <c r="AB304" s="6" t="str">
        <f t="shared" si="29"/>
        <v/>
      </c>
      <c r="AC304" s="4"/>
      <c r="AD304" s="4"/>
    </row>
    <row r="305" spans="1:30" x14ac:dyDescent="0.45">
      <c r="A305" s="3"/>
      <c r="B305" s="3"/>
      <c r="C305" s="5" t="str">
        <f>IF($E305="","",COUNT($E$2:$E305))</f>
        <v/>
      </c>
      <c r="D305" s="3"/>
      <c r="E305" s="3"/>
      <c r="F305" s="3"/>
      <c r="G305" s="3"/>
      <c r="H305" s="3"/>
      <c r="I305" s="3"/>
      <c r="J305" s="3"/>
      <c r="K305" s="3"/>
      <c r="L305" s="4"/>
      <c r="M305" s="6" t="str">
        <f>IF(OR($E305="",$F305=""),"",IF(_xlfn.SINGLE(JobState)="",IF(ROW()=2,HYPERLINK("#JobState","Set State →"),""),HYPERLINK(IF(OR(_xlfn.SINGLE(JobState)="MI",_xlfn.SINGLE(JobState)=""),"https://fema.maps.arcgis.com/apps/mapviewer/index.html?webmap=6a1702b9147243d1a5ee62cd614bc681&amp;center="&amp;$F305&amp;","&amp;$E305&amp;"&amp;level=16&amp;marker="&amp;$F305&amp;","&amp;$E305&amp;"",IF(_xlfn.SINGLE(JobState)="IN","https://fema.maps.arcgis.com/apps/mapviewer/index.html?url=https%3A%2F%2Fgis.indot.in.gov%2Fro%2Frest%2Fservices%2FRAH_GIO_Collaboration%2FLRSE_Functional_Class%2FFeatureServer%2F22&amp;find="&amp;$F305&amp;"%2C"&amp;$E305&amp;"&amp;marker="&amp;$F305&amp;","&amp;$E305&amp;",4326&amp;level=16",IF(_xlfn.SINGLE(JobState)="WI","https://fema.maps.arcgis.com/apps/mapviewer/index.html?url=https://services5.arcgis.com/0pgGLzT0Nh7FVjon/arcgis/rest/services/Functional_Class_Local_Non_Prod/FeatureServer/1&amp;find="&amp;$F305&amp;"%2C"&amp;$E305&amp;"&amp;marker="&amp;$F305&amp;","&amp;$E305&amp;",4326&amp;level=16",IF(_xlfn.SINGLE(JobState)="MN","https://fema.maps.arcgis.com/apps/mapviewer/index.html?url=https%3A%2F%2Fdotapp9.dot.state.mn.us%2Fegis12%2Frest%2Fservices%2FBASEMAP%2Fmndot_commonlayers2%2FMapServer%2F11&amp;find="&amp;$F305&amp;"%2C"&amp;$E305&amp;"&amp;marker="&amp;$F305&amp;","&amp;$E305&amp;",4326&amp;level=16",IF(_xlfn.SINGLE(JobState)="IL","https://fema.maps.arcgis.com/apps/mapviewer/index.html?url=https%3A%2F%2Fgis1.dot.illinois.gov%2Farcgis%2Frest%2Fservices%2FAdministrativeData%2FFunctionalClass%2FMapServer%2F0&amp;find="&amp;$F305&amp;"%2C"&amp;$E305&amp;"&amp;marker="&amp;$F305&amp;","&amp;$E305&amp;",4326&amp;level=16",IF(_xlfn.SINGLE(JobState)="OH","https://fema.maps.arcgis.com/apps/mapviewer/index.html?url=https%3A%2F%2Ftims.dot.state.oh.us%2Fags%2Frest%2Fservices%2FRoadway_Information%2FFunctional_Class%2FMapServer%2F0&amp;find="&amp;$F305&amp;"%2C"&amp;$E305&amp;"&amp;marker="&amp;$F305&amp;","&amp;$E305&amp;",4326&amp;level=16","https://fema.maps.arcgis.com/apps/mapviewer/index.html?find="&amp;$F305&amp;"%2C"&amp;$E305&amp;"&amp;marker="&amp;$F305&amp;","&amp;$E305&amp;",4326&amp;level=16")))))),IF(_xlfn.SINGLE(JobState)="WI","Review Local Roads Layer","Review NFC AGOL Layer"))))</f>
        <v/>
      </c>
      <c r="N305" s="6" t="str">
        <f>IF(OR($E305="",$F305=""),"",IF(_xlfn.SINGLE(JobState)="",IF(ROW()=2,HYPERLINK("#JobState","Set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305&amp;"%2C"&amp;$E305&amp;"&amp;marker="&amp;$F305&amp;","&amp;$E305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5" s="6" t="str">
        <f>IF(OR($E305="", $F305=""),"",IF(_xlfn.SINGLE(JobAgolMap)="",HYPERLINK("https://fema.maps.arcgis.com/apps/mapviewer/index.html?find="&amp;$F305&amp;"%2C"&amp;$E305&amp;"&amp;marker="&amp;$F305&amp;","&amp;$E305&amp;",4326&amp;level=16","FEMA AGOL Map Viewer"),HYPERLINK(_xlfn.SINGLE(JobAgolMap)&amp;IF(ISNUMBER(FIND("?",_xlfn.SINGLE(JobAgolMap))),"&amp;","?")&amp;"center="&amp;$F305&amp;","&amp;$E305&amp;"&amp;level=16&amp;marker="&amp;$F305&amp;","&amp;$E305,"Open")))</f>
        <v/>
      </c>
      <c r="Q305" s="4"/>
      <c r="R305" s="4"/>
      <c r="W305" s="6" t="str">
        <f t="shared" si="24"/>
        <v/>
      </c>
      <c r="X305" s="6" t="str">
        <f t="shared" si="25"/>
        <v/>
      </c>
      <c r="Y305" s="6" t="str">
        <f t="shared" si="26"/>
        <v/>
      </c>
      <c r="Z305" s="6" t="str">
        <f t="shared" si="27"/>
        <v/>
      </c>
      <c r="AA305" s="6" t="str">
        <f t="shared" si="28"/>
        <v/>
      </c>
      <c r="AB305" s="6" t="str">
        <f t="shared" si="29"/>
        <v/>
      </c>
      <c r="AC305" s="4"/>
      <c r="AD305" s="4"/>
    </row>
    <row r="306" spans="1:30" x14ac:dyDescent="0.45">
      <c r="A306" s="3"/>
      <c r="B306" s="3"/>
      <c r="C306" s="5" t="str">
        <f>IF($E306="","",COUNT($E$2:$E306))</f>
        <v/>
      </c>
      <c r="D306" s="3"/>
      <c r="E306" s="3"/>
      <c r="F306" s="3"/>
      <c r="G306" s="3"/>
      <c r="H306" s="3"/>
      <c r="I306" s="3"/>
      <c r="J306" s="3"/>
      <c r="K306" s="3"/>
      <c r="L306" s="4"/>
      <c r="M306" s="6" t="str">
        <f>IF(OR($E306="",$F306=""),"",IF(_xlfn.SINGLE(JobState)="",IF(ROW()=2,HYPERLINK("#JobState","Set State →"),""),HYPERLINK(IF(OR(_xlfn.SINGLE(JobState)="MI",_xlfn.SINGLE(JobState)=""),"https://fema.maps.arcgis.com/apps/mapviewer/index.html?webmap=6a1702b9147243d1a5ee62cd614bc681&amp;center="&amp;$F306&amp;","&amp;$E306&amp;"&amp;level=16&amp;marker="&amp;$F306&amp;","&amp;$E306&amp;"",IF(_xlfn.SINGLE(JobState)="IN","https://fema.maps.arcgis.com/apps/mapviewer/index.html?url=https%3A%2F%2Fgis.indot.in.gov%2Fro%2Frest%2Fservices%2FRAH_GIO_Collaboration%2FLRSE_Functional_Class%2FFeatureServer%2F22&amp;find="&amp;$F306&amp;"%2C"&amp;$E306&amp;"&amp;marker="&amp;$F306&amp;","&amp;$E306&amp;",4326&amp;level=16",IF(_xlfn.SINGLE(JobState)="WI","https://fema.maps.arcgis.com/apps/mapviewer/index.html?url=https://services5.arcgis.com/0pgGLzT0Nh7FVjon/arcgis/rest/services/Functional_Class_Local_Non_Prod/FeatureServer/1&amp;find="&amp;$F306&amp;"%2C"&amp;$E306&amp;"&amp;marker="&amp;$F306&amp;","&amp;$E306&amp;",4326&amp;level=16",IF(_xlfn.SINGLE(JobState)="MN","https://fema.maps.arcgis.com/apps/mapviewer/index.html?url=https%3A%2F%2Fdotapp9.dot.state.mn.us%2Fegis12%2Frest%2Fservices%2FBASEMAP%2Fmndot_commonlayers2%2FMapServer%2F11&amp;find="&amp;$F306&amp;"%2C"&amp;$E306&amp;"&amp;marker="&amp;$F306&amp;","&amp;$E306&amp;",4326&amp;level=16",IF(_xlfn.SINGLE(JobState)="IL","https://fema.maps.arcgis.com/apps/mapviewer/index.html?url=https%3A%2F%2Fgis1.dot.illinois.gov%2Farcgis%2Frest%2Fservices%2FAdministrativeData%2FFunctionalClass%2FMapServer%2F0&amp;find="&amp;$F306&amp;"%2C"&amp;$E306&amp;"&amp;marker="&amp;$F306&amp;","&amp;$E306&amp;",4326&amp;level=16",IF(_xlfn.SINGLE(JobState)="OH","https://fema.maps.arcgis.com/apps/mapviewer/index.html?url=https%3A%2F%2Ftims.dot.state.oh.us%2Fags%2Frest%2Fservices%2FRoadway_Information%2FFunctional_Class%2FMapServer%2F0&amp;find="&amp;$F306&amp;"%2C"&amp;$E306&amp;"&amp;marker="&amp;$F306&amp;","&amp;$E306&amp;",4326&amp;level=16","https://fema.maps.arcgis.com/apps/mapviewer/index.html?find="&amp;$F306&amp;"%2C"&amp;$E306&amp;"&amp;marker="&amp;$F306&amp;","&amp;$E306&amp;",4326&amp;level=16")))))),IF(_xlfn.SINGLE(JobState)="WI","Review Local Roads Layer","Review NFC AGOL Layer"))))</f>
        <v/>
      </c>
      <c r="N306" s="6" t="str">
        <f>IF(OR($E306="",$F306=""),"",IF(_xlfn.SINGLE(JobState)="",IF(ROW()=2,HYPERLINK("#JobState","Set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306&amp;"%2C"&amp;$E306&amp;"&amp;marker="&amp;$F306&amp;","&amp;$E306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6" s="6" t="str">
        <f>IF(OR($E306="", $F306=""),"",IF(_xlfn.SINGLE(JobAgolMap)="",HYPERLINK("https://fema.maps.arcgis.com/apps/mapviewer/index.html?find="&amp;$F306&amp;"%2C"&amp;$E306&amp;"&amp;marker="&amp;$F306&amp;","&amp;$E306&amp;",4326&amp;level=16","FEMA AGOL Map Viewer"),HYPERLINK(_xlfn.SINGLE(JobAgolMap)&amp;IF(ISNUMBER(FIND("?",_xlfn.SINGLE(JobAgolMap))),"&amp;","?")&amp;"center="&amp;$F306&amp;","&amp;$E306&amp;"&amp;level=16&amp;marker="&amp;$F306&amp;","&amp;$E306,"Open")))</f>
        <v/>
      </c>
      <c r="Q306" s="4"/>
      <c r="R306" s="4"/>
      <c r="W306" s="6" t="str">
        <f t="shared" si="24"/>
        <v/>
      </c>
      <c r="X306" s="6" t="str">
        <f t="shared" si="25"/>
        <v/>
      </c>
      <c r="Y306" s="6" t="str">
        <f t="shared" si="26"/>
        <v/>
      </c>
      <c r="Z306" s="6" t="str">
        <f t="shared" si="27"/>
        <v/>
      </c>
      <c r="AA306" s="6" t="str">
        <f t="shared" si="28"/>
        <v/>
      </c>
      <c r="AB306" s="6" t="str">
        <f t="shared" si="29"/>
        <v/>
      </c>
      <c r="AC306" s="4"/>
      <c r="AD306" s="4"/>
    </row>
    <row r="307" spans="1:30" x14ac:dyDescent="0.45">
      <c r="A307" s="3"/>
      <c r="B307" s="3"/>
      <c r="C307" s="5" t="str">
        <f>IF($E307="","",COUNT($E$2:$E307))</f>
        <v/>
      </c>
      <c r="D307" s="3"/>
      <c r="E307" s="3"/>
      <c r="F307" s="3"/>
      <c r="G307" s="3"/>
      <c r="H307" s="3"/>
      <c r="I307" s="3"/>
      <c r="J307" s="3"/>
      <c r="K307" s="3"/>
      <c r="L307" s="4"/>
      <c r="M307" s="6" t="str">
        <f>IF(OR($E307="",$F307=""),"",IF(_xlfn.SINGLE(JobState)="",IF(ROW()=2,HYPERLINK("#JobState","Set State →"),""),HYPERLINK(IF(OR(_xlfn.SINGLE(JobState)="MI",_xlfn.SINGLE(JobState)=""),"https://fema.maps.arcgis.com/apps/mapviewer/index.html?webmap=6a1702b9147243d1a5ee62cd614bc681&amp;center="&amp;$F307&amp;","&amp;$E307&amp;"&amp;level=16&amp;marker="&amp;$F307&amp;","&amp;$E307&amp;"",IF(_xlfn.SINGLE(JobState)="IN","https://fema.maps.arcgis.com/apps/mapviewer/index.html?url=https%3A%2F%2Fgis.indot.in.gov%2Fro%2Frest%2Fservices%2FRAH_GIO_Collaboration%2FLRSE_Functional_Class%2FFeatureServer%2F22&amp;find="&amp;$F307&amp;"%2C"&amp;$E307&amp;"&amp;marker="&amp;$F307&amp;","&amp;$E307&amp;",4326&amp;level=16",IF(_xlfn.SINGLE(JobState)="WI","https://fema.maps.arcgis.com/apps/mapviewer/index.html?url=https://services5.arcgis.com/0pgGLzT0Nh7FVjon/arcgis/rest/services/Functional_Class_Local_Non_Prod/FeatureServer/1&amp;find="&amp;$F307&amp;"%2C"&amp;$E307&amp;"&amp;marker="&amp;$F307&amp;","&amp;$E307&amp;",4326&amp;level=16",IF(_xlfn.SINGLE(JobState)="MN","https://fema.maps.arcgis.com/apps/mapviewer/index.html?url=https%3A%2F%2Fdotapp9.dot.state.mn.us%2Fegis12%2Frest%2Fservices%2FBASEMAP%2Fmndot_commonlayers2%2FMapServer%2F11&amp;find="&amp;$F307&amp;"%2C"&amp;$E307&amp;"&amp;marker="&amp;$F307&amp;","&amp;$E307&amp;",4326&amp;level=16",IF(_xlfn.SINGLE(JobState)="IL","https://fema.maps.arcgis.com/apps/mapviewer/index.html?url=https%3A%2F%2Fgis1.dot.illinois.gov%2Farcgis%2Frest%2Fservices%2FAdministrativeData%2FFunctionalClass%2FMapServer%2F0&amp;find="&amp;$F307&amp;"%2C"&amp;$E307&amp;"&amp;marker="&amp;$F307&amp;","&amp;$E307&amp;",4326&amp;level=16",IF(_xlfn.SINGLE(JobState)="OH","https://fema.maps.arcgis.com/apps/mapviewer/index.html?url=https%3A%2F%2Ftims.dot.state.oh.us%2Fags%2Frest%2Fservices%2FRoadway_Information%2FFunctional_Class%2FMapServer%2F0&amp;find="&amp;$F307&amp;"%2C"&amp;$E307&amp;"&amp;marker="&amp;$F307&amp;","&amp;$E307&amp;",4326&amp;level=16","https://fema.maps.arcgis.com/apps/mapviewer/index.html?find="&amp;$F307&amp;"%2C"&amp;$E307&amp;"&amp;marker="&amp;$F307&amp;","&amp;$E307&amp;",4326&amp;level=16")))))),IF(_xlfn.SINGLE(JobState)="WI","Review Local Roads Layer","Review NFC AGOL Layer"))))</f>
        <v/>
      </c>
      <c r="N307" s="6" t="str">
        <f>IF(OR($E307="",$F307=""),"",IF(_xlfn.SINGLE(JobState)="",IF(ROW()=2,HYPERLINK("#JobState","Set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307&amp;"%2C"&amp;$E307&amp;"&amp;marker="&amp;$F307&amp;","&amp;$E307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7" s="6" t="str">
        <f>IF(OR($E307="", $F307=""),"",IF(_xlfn.SINGLE(JobAgolMap)="",HYPERLINK("https://fema.maps.arcgis.com/apps/mapviewer/index.html?find="&amp;$F307&amp;"%2C"&amp;$E307&amp;"&amp;marker="&amp;$F307&amp;","&amp;$E307&amp;",4326&amp;level=16","FEMA AGOL Map Viewer"),HYPERLINK(_xlfn.SINGLE(JobAgolMap)&amp;IF(ISNUMBER(FIND("?",_xlfn.SINGLE(JobAgolMap))),"&amp;","?")&amp;"center="&amp;$F307&amp;","&amp;$E307&amp;"&amp;level=16&amp;marker="&amp;$F307&amp;","&amp;$E307,"Open")))</f>
        <v/>
      </c>
      <c r="Q307" s="4"/>
      <c r="R307" s="4"/>
      <c r="W307" s="6" t="str">
        <f t="shared" si="24"/>
        <v/>
      </c>
      <c r="X307" s="6" t="str">
        <f t="shared" si="25"/>
        <v/>
      </c>
      <c r="Y307" s="6" t="str">
        <f t="shared" si="26"/>
        <v/>
      </c>
      <c r="Z307" s="6" t="str">
        <f t="shared" si="27"/>
        <v/>
      </c>
      <c r="AA307" s="6" t="str">
        <f t="shared" si="28"/>
        <v/>
      </c>
      <c r="AB307" s="6" t="str">
        <f t="shared" si="29"/>
        <v/>
      </c>
      <c r="AC307" s="4"/>
      <c r="AD307" s="4"/>
    </row>
    <row r="308" spans="1:30" x14ac:dyDescent="0.45">
      <c r="A308" s="3"/>
      <c r="B308" s="3"/>
      <c r="C308" s="5" t="str">
        <f>IF($E308="","",COUNT($E$2:$E308))</f>
        <v/>
      </c>
      <c r="D308" s="3"/>
      <c r="E308" s="3"/>
      <c r="F308" s="3"/>
      <c r="G308" s="3"/>
      <c r="H308" s="3"/>
      <c r="I308" s="3"/>
      <c r="J308" s="3"/>
      <c r="K308" s="3"/>
      <c r="L308" s="4"/>
      <c r="M308" s="6" t="str">
        <f>IF(OR($E308="",$F308=""),"",IF(_xlfn.SINGLE(JobState)="",IF(ROW()=2,HYPERLINK("#JobState","Set State →"),""),HYPERLINK(IF(OR(_xlfn.SINGLE(JobState)="MI",_xlfn.SINGLE(JobState)=""),"https://fema.maps.arcgis.com/apps/mapviewer/index.html?webmap=6a1702b9147243d1a5ee62cd614bc681&amp;center="&amp;$F308&amp;","&amp;$E308&amp;"&amp;level=16&amp;marker="&amp;$F308&amp;","&amp;$E308&amp;"",IF(_xlfn.SINGLE(JobState)="IN","https://fema.maps.arcgis.com/apps/mapviewer/index.html?url=https%3A%2F%2Fgis.indot.in.gov%2Fro%2Frest%2Fservices%2FRAH_GIO_Collaboration%2FLRSE_Functional_Class%2FFeatureServer%2F22&amp;find="&amp;$F308&amp;"%2C"&amp;$E308&amp;"&amp;marker="&amp;$F308&amp;","&amp;$E308&amp;",4326&amp;level=16",IF(_xlfn.SINGLE(JobState)="WI","https://fema.maps.arcgis.com/apps/mapviewer/index.html?url=https://services5.arcgis.com/0pgGLzT0Nh7FVjon/arcgis/rest/services/Functional_Class_Local_Non_Prod/FeatureServer/1&amp;find="&amp;$F308&amp;"%2C"&amp;$E308&amp;"&amp;marker="&amp;$F308&amp;","&amp;$E308&amp;",4326&amp;level=16",IF(_xlfn.SINGLE(JobState)="MN","https://fema.maps.arcgis.com/apps/mapviewer/index.html?url=https%3A%2F%2Fdotapp9.dot.state.mn.us%2Fegis12%2Frest%2Fservices%2FBASEMAP%2Fmndot_commonlayers2%2FMapServer%2F11&amp;find="&amp;$F308&amp;"%2C"&amp;$E308&amp;"&amp;marker="&amp;$F308&amp;","&amp;$E308&amp;",4326&amp;level=16",IF(_xlfn.SINGLE(JobState)="IL","https://fema.maps.arcgis.com/apps/mapviewer/index.html?url=https%3A%2F%2Fgis1.dot.illinois.gov%2Farcgis%2Frest%2Fservices%2FAdministrativeData%2FFunctionalClass%2FMapServer%2F0&amp;find="&amp;$F308&amp;"%2C"&amp;$E308&amp;"&amp;marker="&amp;$F308&amp;","&amp;$E308&amp;",4326&amp;level=16",IF(_xlfn.SINGLE(JobState)="OH","https://fema.maps.arcgis.com/apps/mapviewer/index.html?url=https%3A%2F%2Ftims.dot.state.oh.us%2Fags%2Frest%2Fservices%2FRoadway_Information%2FFunctional_Class%2FMapServer%2F0&amp;find="&amp;$F308&amp;"%2C"&amp;$E308&amp;"&amp;marker="&amp;$F308&amp;","&amp;$E308&amp;",4326&amp;level=16","https://fema.maps.arcgis.com/apps/mapviewer/index.html?find="&amp;$F308&amp;"%2C"&amp;$E308&amp;"&amp;marker="&amp;$F308&amp;","&amp;$E308&amp;",4326&amp;level=16")))))),IF(_xlfn.SINGLE(JobState)="WI","Review Local Roads Layer","Review NFC AGOL Layer"))))</f>
        <v/>
      </c>
      <c r="N308" s="6" t="str">
        <f>IF(OR($E308="",$F308=""),"",IF(_xlfn.SINGLE(JobState)="",IF(ROW()=2,HYPERLINK("#JobState","Set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308&amp;"%2C"&amp;$E308&amp;"&amp;marker="&amp;$F308&amp;","&amp;$E308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8" s="6" t="str">
        <f>IF(OR($E308="", $F308=""),"",IF(_xlfn.SINGLE(JobAgolMap)="",HYPERLINK("https://fema.maps.arcgis.com/apps/mapviewer/index.html?find="&amp;$F308&amp;"%2C"&amp;$E308&amp;"&amp;marker="&amp;$F308&amp;","&amp;$E308&amp;",4326&amp;level=16","FEMA AGOL Map Viewer"),HYPERLINK(_xlfn.SINGLE(JobAgolMap)&amp;IF(ISNUMBER(FIND("?",_xlfn.SINGLE(JobAgolMap))),"&amp;","?")&amp;"center="&amp;$F308&amp;","&amp;$E308&amp;"&amp;level=16&amp;marker="&amp;$F308&amp;","&amp;$E308,"Open")))</f>
        <v/>
      </c>
      <c r="Q308" s="4"/>
      <c r="R308" s="4"/>
      <c r="W308" s="6" t="str">
        <f t="shared" si="24"/>
        <v/>
      </c>
      <c r="X308" s="6" t="str">
        <f t="shared" si="25"/>
        <v/>
      </c>
      <c r="Y308" s="6" t="str">
        <f t="shared" si="26"/>
        <v/>
      </c>
      <c r="Z308" s="6" t="str">
        <f t="shared" si="27"/>
        <v/>
      </c>
      <c r="AA308" s="6" t="str">
        <f t="shared" si="28"/>
        <v/>
      </c>
      <c r="AB308" s="6" t="str">
        <f t="shared" si="29"/>
        <v/>
      </c>
      <c r="AC308" s="4"/>
      <c r="AD308" s="4"/>
    </row>
    <row r="309" spans="1:30" x14ac:dyDescent="0.45">
      <c r="A309" s="3"/>
      <c r="B309" s="3"/>
      <c r="C309" s="5" t="str">
        <f>IF($E309="","",COUNT($E$2:$E309))</f>
        <v/>
      </c>
      <c r="D309" s="3"/>
      <c r="E309" s="3"/>
      <c r="F309" s="3"/>
      <c r="G309" s="3"/>
      <c r="H309" s="3"/>
      <c r="I309" s="3"/>
      <c r="J309" s="3"/>
      <c r="K309" s="3"/>
      <c r="L309" s="4"/>
      <c r="M309" s="6" t="str">
        <f>IF(OR($E309="",$F309=""),"",IF(_xlfn.SINGLE(JobState)="",IF(ROW()=2,HYPERLINK("#JobState","Set State →"),""),HYPERLINK(IF(OR(_xlfn.SINGLE(JobState)="MI",_xlfn.SINGLE(JobState)=""),"https://fema.maps.arcgis.com/apps/mapviewer/index.html?webmap=6a1702b9147243d1a5ee62cd614bc681&amp;center="&amp;$F309&amp;","&amp;$E309&amp;"&amp;level=16&amp;marker="&amp;$F309&amp;","&amp;$E309&amp;"",IF(_xlfn.SINGLE(JobState)="IN","https://fema.maps.arcgis.com/apps/mapviewer/index.html?url=https%3A%2F%2Fgis.indot.in.gov%2Fro%2Frest%2Fservices%2FRAH_GIO_Collaboration%2FLRSE_Functional_Class%2FFeatureServer%2F22&amp;find="&amp;$F309&amp;"%2C"&amp;$E309&amp;"&amp;marker="&amp;$F309&amp;","&amp;$E309&amp;",4326&amp;level=16",IF(_xlfn.SINGLE(JobState)="WI","https://fema.maps.arcgis.com/apps/mapviewer/index.html?url=https://services5.arcgis.com/0pgGLzT0Nh7FVjon/arcgis/rest/services/Functional_Class_Local_Non_Prod/FeatureServer/1&amp;find="&amp;$F309&amp;"%2C"&amp;$E309&amp;"&amp;marker="&amp;$F309&amp;","&amp;$E309&amp;",4326&amp;level=16",IF(_xlfn.SINGLE(JobState)="MN","https://fema.maps.arcgis.com/apps/mapviewer/index.html?url=https%3A%2F%2Fdotapp9.dot.state.mn.us%2Fegis12%2Frest%2Fservices%2FBASEMAP%2Fmndot_commonlayers2%2FMapServer%2F11&amp;find="&amp;$F309&amp;"%2C"&amp;$E309&amp;"&amp;marker="&amp;$F309&amp;","&amp;$E309&amp;",4326&amp;level=16",IF(_xlfn.SINGLE(JobState)="IL","https://fema.maps.arcgis.com/apps/mapviewer/index.html?url=https%3A%2F%2Fgis1.dot.illinois.gov%2Farcgis%2Frest%2Fservices%2FAdministrativeData%2FFunctionalClass%2FMapServer%2F0&amp;find="&amp;$F309&amp;"%2C"&amp;$E309&amp;"&amp;marker="&amp;$F309&amp;","&amp;$E309&amp;",4326&amp;level=16",IF(_xlfn.SINGLE(JobState)="OH","https://fema.maps.arcgis.com/apps/mapviewer/index.html?url=https%3A%2F%2Ftims.dot.state.oh.us%2Fags%2Frest%2Fservices%2FRoadway_Information%2FFunctional_Class%2FMapServer%2F0&amp;find="&amp;$F309&amp;"%2C"&amp;$E309&amp;"&amp;marker="&amp;$F309&amp;","&amp;$E309&amp;",4326&amp;level=16","https://fema.maps.arcgis.com/apps/mapviewer/index.html?find="&amp;$F309&amp;"%2C"&amp;$E309&amp;"&amp;marker="&amp;$F309&amp;","&amp;$E309&amp;",4326&amp;level=16")))))),IF(_xlfn.SINGLE(JobState)="WI","Review Local Roads Layer","Review NFC AGOL Layer"))))</f>
        <v/>
      </c>
      <c r="N309" s="6" t="str">
        <f>IF(OR($E309="",$F309=""),"",IF(_xlfn.SINGLE(JobState)="",IF(ROW()=2,HYPERLINK("#JobState","Set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309&amp;"%2C"&amp;$E309&amp;"&amp;marker="&amp;$F309&amp;","&amp;$E309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9" s="6" t="str">
        <f>IF(OR($E309="", $F309=""),"",IF(_xlfn.SINGLE(JobAgolMap)="",HYPERLINK("https://fema.maps.arcgis.com/apps/mapviewer/index.html?find="&amp;$F309&amp;"%2C"&amp;$E309&amp;"&amp;marker="&amp;$F309&amp;","&amp;$E309&amp;",4326&amp;level=16","FEMA AGOL Map Viewer"),HYPERLINK(_xlfn.SINGLE(JobAgolMap)&amp;IF(ISNUMBER(FIND("?",_xlfn.SINGLE(JobAgolMap))),"&amp;","?")&amp;"center="&amp;$F309&amp;","&amp;$E309&amp;"&amp;level=16&amp;marker="&amp;$F309&amp;","&amp;$E309,"Open")))</f>
        <v/>
      </c>
      <c r="Q309" s="4"/>
      <c r="R309" s="4"/>
      <c r="W309" s="6" t="str">
        <f t="shared" si="24"/>
        <v/>
      </c>
      <c r="X309" s="6" t="str">
        <f t="shared" si="25"/>
        <v/>
      </c>
      <c r="Y309" s="6" t="str">
        <f t="shared" si="26"/>
        <v/>
      </c>
      <c r="Z309" s="6" t="str">
        <f t="shared" si="27"/>
        <v/>
      </c>
      <c r="AA309" s="6" t="str">
        <f t="shared" si="28"/>
        <v/>
      </c>
      <c r="AB309" s="6" t="str">
        <f t="shared" si="29"/>
        <v/>
      </c>
      <c r="AC309" s="4"/>
      <c r="AD309" s="4"/>
    </row>
    <row r="310" spans="1:30" x14ac:dyDescent="0.45">
      <c r="A310" s="3"/>
      <c r="B310" s="3"/>
      <c r="C310" s="5" t="str">
        <f>IF($E310="","",COUNT($E$2:$E310))</f>
        <v/>
      </c>
      <c r="D310" s="3"/>
      <c r="E310" s="3"/>
      <c r="F310" s="3"/>
      <c r="G310" s="3"/>
      <c r="H310" s="3"/>
      <c r="I310" s="3"/>
      <c r="J310" s="3"/>
      <c r="K310" s="3"/>
      <c r="L310" s="4"/>
      <c r="M310" s="6" t="str">
        <f>IF(OR($E310="",$F310=""),"",IF(_xlfn.SINGLE(JobState)="",IF(ROW()=2,HYPERLINK("#JobState","Set State →"),""),HYPERLINK(IF(OR(_xlfn.SINGLE(JobState)="MI",_xlfn.SINGLE(JobState)=""),"https://fema.maps.arcgis.com/apps/mapviewer/index.html?webmap=6a1702b9147243d1a5ee62cd614bc681&amp;center="&amp;$F310&amp;","&amp;$E310&amp;"&amp;level=16&amp;marker="&amp;$F310&amp;","&amp;$E310&amp;"",IF(_xlfn.SINGLE(JobState)="IN","https://fema.maps.arcgis.com/apps/mapviewer/index.html?url=https%3A%2F%2Fgis.indot.in.gov%2Fro%2Frest%2Fservices%2FRAH_GIO_Collaboration%2FLRSE_Functional_Class%2FFeatureServer%2F22&amp;find="&amp;$F310&amp;"%2C"&amp;$E310&amp;"&amp;marker="&amp;$F310&amp;","&amp;$E310&amp;",4326&amp;level=16",IF(_xlfn.SINGLE(JobState)="WI","https://fema.maps.arcgis.com/apps/mapviewer/index.html?url=https://services5.arcgis.com/0pgGLzT0Nh7FVjon/arcgis/rest/services/Functional_Class_Local_Non_Prod/FeatureServer/1&amp;find="&amp;$F310&amp;"%2C"&amp;$E310&amp;"&amp;marker="&amp;$F310&amp;","&amp;$E310&amp;",4326&amp;level=16",IF(_xlfn.SINGLE(JobState)="MN","https://fema.maps.arcgis.com/apps/mapviewer/index.html?url=https%3A%2F%2Fdotapp9.dot.state.mn.us%2Fegis12%2Frest%2Fservices%2FBASEMAP%2Fmndot_commonlayers2%2FMapServer%2F11&amp;find="&amp;$F310&amp;"%2C"&amp;$E310&amp;"&amp;marker="&amp;$F310&amp;","&amp;$E310&amp;",4326&amp;level=16",IF(_xlfn.SINGLE(JobState)="IL","https://fema.maps.arcgis.com/apps/mapviewer/index.html?url=https%3A%2F%2Fgis1.dot.illinois.gov%2Farcgis%2Frest%2Fservices%2FAdministrativeData%2FFunctionalClass%2FMapServer%2F0&amp;find="&amp;$F310&amp;"%2C"&amp;$E310&amp;"&amp;marker="&amp;$F310&amp;","&amp;$E310&amp;",4326&amp;level=16",IF(_xlfn.SINGLE(JobState)="OH","https://fema.maps.arcgis.com/apps/mapviewer/index.html?url=https%3A%2F%2Ftims.dot.state.oh.us%2Fags%2Frest%2Fservices%2FRoadway_Information%2FFunctional_Class%2FMapServer%2F0&amp;find="&amp;$F310&amp;"%2C"&amp;$E310&amp;"&amp;marker="&amp;$F310&amp;","&amp;$E310&amp;",4326&amp;level=16","https://fema.maps.arcgis.com/apps/mapviewer/index.html?find="&amp;$F310&amp;"%2C"&amp;$E310&amp;"&amp;marker="&amp;$F310&amp;","&amp;$E310&amp;",4326&amp;level=16")))))),IF(_xlfn.SINGLE(JobState)="WI","Review Local Roads Layer","Review NFC AGOL Layer"))))</f>
        <v/>
      </c>
      <c r="N310" s="6" t="str">
        <f>IF(OR($E310="",$F310=""),"",IF(_xlfn.SINGLE(JobState)="",IF(ROW()=2,HYPERLINK("#JobState","Set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310&amp;"%2C"&amp;$E310&amp;"&amp;marker="&amp;$F310&amp;","&amp;$E310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0" s="6" t="str">
        <f>IF(OR($E310="", $F310=""),"",IF(_xlfn.SINGLE(JobAgolMap)="",HYPERLINK("https://fema.maps.arcgis.com/apps/mapviewer/index.html?find="&amp;$F310&amp;"%2C"&amp;$E310&amp;"&amp;marker="&amp;$F310&amp;","&amp;$E310&amp;",4326&amp;level=16","FEMA AGOL Map Viewer"),HYPERLINK(_xlfn.SINGLE(JobAgolMap)&amp;IF(ISNUMBER(FIND("?",_xlfn.SINGLE(JobAgolMap))),"&amp;","?")&amp;"center="&amp;$F310&amp;","&amp;$E310&amp;"&amp;level=16&amp;marker="&amp;$F310&amp;","&amp;$E310,"Open")))</f>
        <v/>
      </c>
      <c r="Q310" s="4"/>
      <c r="R310" s="4"/>
      <c r="W310" s="6" t="str">
        <f t="shared" si="24"/>
        <v/>
      </c>
      <c r="X310" s="6" t="str">
        <f t="shared" si="25"/>
        <v/>
      </c>
      <c r="Y310" s="6" t="str">
        <f t="shared" si="26"/>
        <v/>
      </c>
      <c r="Z310" s="6" t="str">
        <f t="shared" si="27"/>
        <v/>
      </c>
      <c r="AA310" s="6" t="str">
        <f t="shared" si="28"/>
        <v/>
      </c>
      <c r="AB310" s="6" t="str">
        <f t="shared" si="29"/>
        <v/>
      </c>
      <c r="AC310" s="4"/>
      <c r="AD310" s="4"/>
    </row>
    <row r="311" spans="1:30" x14ac:dyDescent="0.45">
      <c r="A311" s="3"/>
      <c r="B311" s="3"/>
      <c r="C311" s="5" t="str">
        <f>IF($E311="","",COUNT($E$2:$E311))</f>
        <v/>
      </c>
      <c r="D311" s="3"/>
      <c r="E311" s="3"/>
      <c r="F311" s="3"/>
      <c r="G311" s="3"/>
      <c r="H311" s="3"/>
      <c r="I311" s="3"/>
      <c r="J311" s="3"/>
      <c r="K311" s="3"/>
      <c r="L311" s="4"/>
      <c r="M311" s="6" t="str">
        <f>IF(OR($E311="",$F311=""),"",IF(_xlfn.SINGLE(JobState)="",IF(ROW()=2,HYPERLINK("#JobState","Set State →"),""),HYPERLINK(IF(OR(_xlfn.SINGLE(JobState)="MI",_xlfn.SINGLE(JobState)=""),"https://fema.maps.arcgis.com/apps/mapviewer/index.html?webmap=6a1702b9147243d1a5ee62cd614bc681&amp;center="&amp;$F311&amp;","&amp;$E311&amp;"&amp;level=16&amp;marker="&amp;$F311&amp;","&amp;$E311&amp;"",IF(_xlfn.SINGLE(JobState)="IN","https://fema.maps.arcgis.com/apps/mapviewer/index.html?url=https%3A%2F%2Fgis.indot.in.gov%2Fro%2Frest%2Fservices%2FRAH_GIO_Collaboration%2FLRSE_Functional_Class%2FFeatureServer%2F22&amp;find="&amp;$F311&amp;"%2C"&amp;$E311&amp;"&amp;marker="&amp;$F311&amp;","&amp;$E311&amp;",4326&amp;level=16",IF(_xlfn.SINGLE(JobState)="WI","https://fema.maps.arcgis.com/apps/mapviewer/index.html?url=https://services5.arcgis.com/0pgGLzT0Nh7FVjon/arcgis/rest/services/Functional_Class_Local_Non_Prod/FeatureServer/1&amp;find="&amp;$F311&amp;"%2C"&amp;$E311&amp;"&amp;marker="&amp;$F311&amp;","&amp;$E311&amp;",4326&amp;level=16",IF(_xlfn.SINGLE(JobState)="MN","https://fema.maps.arcgis.com/apps/mapviewer/index.html?url=https%3A%2F%2Fdotapp9.dot.state.mn.us%2Fegis12%2Frest%2Fservices%2FBASEMAP%2Fmndot_commonlayers2%2FMapServer%2F11&amp;find="&amp;$F311&amp;"%2C"&amp;$E311&amp;"&amp;marker="&amp;$F311&amp;","&amp;$E311&amp;",4326&amp;level=16",IF(_xlfn.SINGLE(JobState)="IL","https://fema.maps.arcgis.com/apps/mapviewer/index.html?url=https%3A%2F%2Fgis1.dot.illinois.gov%2Farcgis%2Frest%2Fservices%2FAdministrativeData%2FFunctionalClass%2FMapServer%2F0&amp;find="&amp;$F311&amp;"%2C"&amp;$E311&amp;"&amp;marker="&amp;$F311&amp;","&amp;$E311&amp;",4326&amp;level=16",IF(_xlfn.SINGLE(JobState)="OH","https://fema.maps.arcgis.com/apps/mapviewer/index.html?url=https%3A%2F%2Ftims.dot.state.oh.us%2Fags%2Frest%2Fservices%2FRoadway_Information%2FFunctional_Class%2FMapServer%2F0&amp;find="&amp;$F311&amp;"%2C"&amp;$E311&amp;"&amp;marker="&amp;$F311&amp;","&amp;$E311&amp;",4326&amp;level=16","https://fema.maps.arcgis.com/apps/mapviewer/index.html?find="&amp;$F311&amp;"%2C"&amp;$E311&amp;"&amp;marker="&amp;$F311&amp;","&amp;$E311&amp;",4326&amp;level=16")))))),IF(_xlfn.SINGLE(JobState)="WI","Review Local Roads Layer","Review NFC AGOL Layer"))))</f>
        <v/>
      </c>
      <c r="N311" s="6" t="str">
        <f>IF(OR($E311="",$F311=""),"",IF(_xlfn.SINGLE(JobState)="",IF(ROW()=2,HYPERLINK("#JobState","Set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311&amp;"%2C"&amp;$E311&amp;"&amp;marker="&amp;$F311&amp;","&amp;$E311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1" s="6" t="str">
        <f>IF(OR($E311="", $F311=""),"",IF(_xlfn.SINGLE(JobAgolMap)="",HYPERLINK("https://fema.maps.arcgis.com/apps/mapviewer/index.html?find="&amp;$F311&amp;"%2C"&amp;$E311&amp;"&amp;marker="&amp;$F311&amp;","&amp;$E311&amp;",4326&amp;level=16","FEMA AGOL Map Viewer"),HYPERLINK(_xlfn.SINGLE(JobAgolMap)&amp;IF(ISNUMBER(FIND("?",_xlfn.SINGLE(JobAgolMap))),"&amp;","?")&amp;"center="&amp;$F311&amp;","&amp;$E311&amp;"&amp;level=16&amp;marker="&amp;$F311&amp;","&amp;$E311,"Open")))</f>
        <v/>
      </c>
      <c r="Q311" s="4"/>
      <c r="R311" s="4"/>
      <c r="W311" s="6" t="str">
        <f t="shared" si="24"/>
        <v/>
      </c>
      <c r="X311" s="6" t="str">
        <f t="shared" si="25"/>
        <v/>
      </c>
      <c r="Y311" s="6" t="str">
        <f t="shared" si="26"/>
        <v/>
      </c>
      <c r="Z311" s="6" t="str">
        <f t="shared" si="27"/>
        <v/>
      </c>
      <c r="AA311" s="6" t="str">
        <f t="shared" si="28"/>
        <v/>
      </c>
      <c r="AB311" s="6" t="str">
        <f t="shared" si="29"/>
        <v/>
      </c>
      <c r="AC311" s="4"/>
      <c r="AD311" s="4"/>
    </row>
    <row r="312" spans="1:30" x14ac:dyDescent="0.45">
      <c r="A312" s="3"/>
      <c r="B312" s="3"/>
      <c r="C312" s="5" t="str">
        <f>IF($E312="","",COUNT($E$2:$E312))</f>
        <v/>
      </c>
      <c r="D312" s="3"/>
      <c r="E312" s="3"/>
      <c r="F312" s="3"/>
      <c r="G312" s="3"/>
      <c r="H312" s="3"/>
      <c r="I312" s="3"/>
      <c r="J312" s="3"/>
      <c r="K312" s="3"/>
      <c r="L312" s="4"/>
      <c r="M312" s="6" t="str">
        <f>IF(OR($E312="",$F312=""),"",IF(_xlfn.SINGLE(JobState)="",IF(ROW()=2,HYPERLINK("#JobState","Set State →"),""),HYPERLINK(IF(OR(_xlfn.SINGLE(JobState)="MI",_xlfn.SINGLE(JobState)=""),"https://fema.maps.arcgis.com/apps/mapviewer/index.html?webmap=6a1702b9147243d1a5ee62cd614bc681&amp;center="&amp;$F312&amp;","&amp;$E312&amp;"&amp;level=16&amp;marker="&amp;$F312&amp;","&amp;$E312&amp;"",IF(_xlfn.SINGLE(JobState)="IN","https://fema.maps.arcgis.com/apps/mapviewer/index.html?url=https%3A%2F%2Fgis.indot.in.gov%2Fro%2Frest%2Fservices%2FRAH_GIO_Collaboration%2FLRSE_Functional_Class%2FFeatureServer%2F22&amp;find="&amp;$F312&amp;"%2C"&amp;$E312&amp;"&amp;marker="&amp;$F312&amp;","&amp;$E312&amp;",4326&amp;level=16",IF(_xlfn.SINGLE(JobState)="WI","https://fema.maps.arcgis.com/apps/mapviewer/index.html?url=https://services5.arcgis.com/0pgGLzT0Nh7FVjon/arcgis/rest/services/Functional_Class_Local_Non_Prod/FeatureServer/1&amp;find="&amp;$F312&amp;"%2C"&amp;$E312&amp;"&amp;marker="&amp;$F312&amp;","&amp;$E312&amp;",4326&amp;level=16",IF(_xlfn.SINGLE(JobState)="MN","https://fema.maps.arcgis.com/apps/mapviewer/index.html?url=https%3A%2F%2Fdotapp9.dot.state.mn.us%2Fegis12%2Frest%2Fservices%2FBASEMAP%2Fmndot_commonlayers2%2FMapServer%2F11&amp;find="&amp;$F312&amp;"%2C"&amp;$E312&amp;"&amp;marker="&amp;$F312&amp;","&amp;$E312&amp;",4326&amp;level=16",IF(_xlfn.SINGLE(JobState)="IL","https://fema.maps.arcgis.com/apps/mapviewer/index.html?url=https%3A%2F%2Fgis1.dot.illinois.gov%2Farcgis%2Frest%2Fservices%2FAdministrativeData%2FFunctionalClass%2FMapServer%2F0&amp;find="&amp;$F312&amp;"%2C"&amp;$E312&amp;"&amp;marker="&amp;$F312&amp;","&amp;$E312&amp;",4326&amp;level=16",IF(_xlfn.SINGLE(JobState)="OH","https://fema.maps.arcgis.com/apps/mapviewer/index.html?url=https%3A%2F%2Ftims.dot.state.oh.us%2Fags%2Frest%2Fservices%2FRoadway_Information%2FFunctional_Class%2FMapServer%2F0&amp;find="&amp;$F312&amp;"%2C"&amp;$E312&amp;"&amp;marker="&amp;$F312&amp;","&amp;$E312&amp;",4326&amp;level=16","https://fema.maps.arcgis.com/apps/mapviewer/index.html?find="&amp;$F312&amp;"%2C"&amp;$E312&amp;"&amp;marker="&amp;$F312&amp;","&amp;$E312&amp;",4326&amp;level=16")))))),IF(_xlfn.SINGLE(JobState)="WI","Review Local Roads Layer","Review NFC AGOL Layer"))))</f>
        <v/>
      </c>
      <c r="N312" s="6" t="str">
        <f>IF(OR($E312="",$F312=""),"",IF(_xlfn.SINGLE(JobState)="",IF(ROW()=2,HYPERLINK("#JobState","Set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312&amp;"%2C"&amp;$E312&amp;"&amp;marker="&amp;$F312&amp;","&amp;$E312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2" s="6" t="str">
        <f>IF(OR($E312="", $F312=""),"",IF(_xlfn.SINGLE(JobAgolMap)="",HYPERLINK("https://fema.maps.arcgis.com/apps/mapviewer/index.html?find="&amp;$F312&amp;"%2C"&amp;$E312&amp;"&amp;marker="&amp;$F312&amp;","&amp;$E312&amp;",4326&amp;level=16","FEMA AGOL Map Viewer"),HYPERLINK(_xlfn.SINGLE(JobAgolMap)&amp;IF(ISNUMBER(FIND("?",_xlfn.SINGLE(JobAgolMap))),"&amp;","?")&amp;"center="&amp;$F312&amp;","&amp;$E312&amp;"&amp;level=16&amp;marker="&amp;$F312&amp;","&amp;$E312,"Open")))</f>
        <v/>
      </c>
      <c r="Q312" s="4"/>
      <c r="R312" s="4"/>
      <c r="W312" s="6" t="str">
        <f t="shared" si="24"/>
        <v/>
      </c>
      <c r="X312" s="6" t="str">
        <f t="shared" si="25"/>
        <v/>
      </c>
      <c r="Y312" s="6" t="str">
        <f t="shared" si="26"/>
        <v/>
      </c>
      <c r="Z312" s="6" t="str">
        <f t="shared" si="27"/>
        <v/>
      </c>
      <c r="AA312" s="6" t="str">
        <f t="shared" si="28"/>
        <v/>
      </c>
      <c r="AB312" s="6" t="str">
        <f t="shared" si="29"/>
        <v/>
      </c>
      <c r="AC312" s="4"/>
      <c r="AD312" s="4"/>
    </row>
    <row r="313" spans="1:30" x14ac:dyDescent="0.45">
      <c r="A313" s="3"/>
      <c r="B313" s="3"/>
      <c r="C313" s="5" t="str">
        <f>IF($E313="","",COUNT($E$2:$E313))</f>
        <v/>
      </c>
      <c r="D313" s="3"/>
      <c r="E313" s="3"/>
      <c r="F313" s="3"/>
      <c r="G313" s="3"/>
      <c r="H313" s="3"/>
      <c r="I313" s="3"/>
      <c r="J313" s="3"/>
      <c r="K313" s="3"/>
      <c r="L313" s="4"/>
      <c r="M313" s="6" t="str">
        <f>IF(OR($E313="",$F313=""),"",IF(_xlfn.SINGLE(JobState)="",IF(ROW()=2,HYPERLINK("#JobState","Set State →"),""),HYPERLINK(IF(OR(_xlfn.SINGLE(JobState)="MI",_xlfn.SINGLE(JobState)=""),"https://fema.maps.arcgis.com/apps/mapviewer/index.html?webmap=6a1702b9147243d1a5ee62cd614bc681&amp;center="&amp;$F313&amp;","&amp;$E313&amp;"&amp;level=16&amp;marker="&amp;$F313&amp;","&amp;$E313&amp;"",IF(_xlfn.SINGLE(JobState)="IN","https://fema.maps.arcgis.com/apps/mapviewer/index.html?url=https%3A%2F%2Fgis.indot.in.gov%2Fro%2Frest%2Fservices%2FRAH_GIO_Collaboration%2FLRSE_Functional_Class%2FFeatureServer%2F22&amp;find="&amp;$F313&amp;"%2C"&amp;$E313&amp;"&amp;marker="&amp;$F313&amp;","&amp;$E313&amp;",4326&amp;level=16",IF(_xlfn.SINGLE(JobState)="WI","https://fema.maps.arcgis.com/apps/mapviewer/index.html?url=https://services5.arcgis.com/0pgGLzT0Nh7FVjon/arcgis/rest/services/Functional_Class_Local_Non_Prod/FeatureServer/1&amp;find="&amp;$F313&amp;"%2C"&amp;$E313&amp;"&amp;marker="&amp;$F313&amp;","&amp;$E313&amp;",4326&amp;level=16",IF(_xlfn.SINGLE(JobState)="MN","https://fema.maps.arcgis.com/apps/mapviewer/index.html?url=https%3A%2F%2Fdotapp9.dot.state.mn.us%2Fegis12%2Frest%2Fservices%2FBASEMAP%2Fmndot_commonlayers2%2FMapServer%2F11&amp;find="&amp;$F313&amp;"%2C"&amp;$E313&amp;"&amp;marker="&amp;$F313&amp;","&amp;$E313&amp;",4326&amp;level=16",IF(_xlfn.SINGLE(JobState)="IL","https://fema.maps.arcgis.com/apps/mapviewer/index.html?url=https%3A%2F%2Fgis1.dot.illinois.gov%2Farcgis%2Frest%2Fservices%2FAdministrativeData%2FFunctionalClass%2FMapServer%2F0&amp;find="&amp;$F313&amp;"%2C"&amp;$E313&amp;"&amp;marker="&amp;$F313&amp;","&amp;$E313&amp;",4326&amp;level=16",IF(_xlfn.SINGLE(JobState)="OH","https://fema.maps.arcgis.com/apps/mapviewer/index.html?url=https%3A%2F%2Ftims.dot.state.oh.us%2Fags%2Frest%2Fservices%2FRoadway_Information%2FFunctional_Class%2FMapServer%2F0&amp;find="&amp;$F313&amp;"%2C"&amp;$E313&amp;"&amp;marker="&amp;$F313&amp;","&amp;$E313&amp;",4326&amp;level=16","https://fema.maps.arcgis.com/apps/mapviewer/index.html?find="&amp;$F313&amp;"%2C"&amp;$E313&amp;"&amp;marker="&amp;$F313&amp;","&amp;$E313&amp;",4326&amp;level=16")))))),IF(_xlfn.SINGLE(JobState)="WI","Review Local Roads Layer","Review NFC AGOL Layer"))))</f>
        <v/>
      </c>
      <c r="N313" s="6" t="str">
        <f>IF(OR($E313="",$F313=""),"",IF(_xlfn.SINGLE(JobState)="",IF(ROW()=2,HYPERLINK("#JobState","Set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313&amp;"%2C"&amp;$E313&amp;"&amp;marker="&amp;$F313&amp;","&amp;$E313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3" s="6" t="str">
        <f>IF(OR($E313="", $F313=""),"",IF(_xlfn.SINGLE(JobAgolMap)="",HYPERLINK("https://fema.maps.arcgis.com/apps/mapviewer/index.html?find="&amp;$F313&amp;"%2C"&amp;$E313&amp;"&amp;marker="&amp;$F313&amp;","&amp;$E313&amp;",4326&amp;level=16","FEMA AGOL Map Viewer"),HYPERLINK(_xlfn.SINGLE(JobAgolMap)&amp;IF(ISNUMBER(FIND("?",_xlfn.SINGLE(JobAgolMap))),"&amp;","?")&amp;"center="&amp;$F313&amp;","&amp;$E313&amp;"&amp;level=16&amp;marker="&amp;$F313&amp;","&amp;$E313,"Open")))</f>
        <v/>
      </c>
      <c r="Q313" s="4"/>
      <c r="R313" s="4"/>
      <c r="W313" s="6" t="str">
        <f t="shared" si="24"/>
        <v/>
      </c>
      <c r="X313" s="6" t="str">
        <f t="shared" si="25"/>
        <v/>
      </c>
      <c r="Y313" s="6" t="str">
        <f t="shared" si="26"/>
        <v/>
      </c>
      <c r="Z313" s="6" t="str">
        <f t="shared" si="27"/>
        <v/>
      </c>
      <c r="AA313" s="6" t="str">
        <f t="shared" si="28"/>
        <v/>
      </c>
      <c r="AB313" s="6" t="str">
        <f t="shared" si="29"/>
        <v/>
      </c>
      <c r="AC313" s="4"/>
      <c r="AD313" s="4"/>
    </row>
    <row r="314" spans="1:30" x14ac:dyDescent="0.45">
      <c r="A314" s="3"/>
      <c r="B314" s="3"/>
      <c r="C314" s="5" t="str">
        <f>IF($E314="","",COUNT($E$2:$E314))</f>
        <v/>
      </c>
      <c r="D314" s="3"/>
      <c r="E314" s="3"/>
      <c r="F314" s="3"/>
      <c r="G314" s="3"/>
      <c r="H314" s="3"/>
      <c r="I314" s="3"/>
      <c r="J314" s="3"/>
      <c r="K314" s="3"/>
      <c r="L314" s="4"/>
      <c r="M314" s="6" t="str">
        <f>IF(OR($E314="",$F314=""),"",IF(_xlfn.SINGLE(JobState)="",IF(ROW()=2,HYPERLINK("#JobState","Set State →"),""),HYPERLINK(IF(OR(_xlfn.SINGLE(JobState)="MI",_xlfn.SINGLE(JobState)=""),"https://fema.maps.arcgis.com/apps/mapviewer/index.html?webmap=6a1702b9147243d1a5ee62cd614bc681&amp;center="&amp;$F314&amp;","&amp;$E314&amp;"&amp;level=16&amp;marker="&amp;$F314&amp;","&amp;$E314&amp;"",IF(_xlfn.SINGLE(JobState)="IN","https://fema.maps.arcgis.com/apps/mapviewer/index.html?url=https%3A%2F%2Fgis.indot.in.gov%2Fro%2Frest%2Fservices%2FRAH_GIO_Collaboration%2FLRSE_Functional_Class%2FFeatureServer%2F22&amp;find="&amp;$F314&amp;"%2C"&amp;$E314&amp;"&amp;marker="&amp;$F314&amp;","&amp;$E314&amp;",4326&amp;level=16",IF(_xlfn.SINGLE(JobState)="WI","https://fema.maps.arcgis.com/apps/mapviewer/index.html?url=https://services5.arcgis.com/0pgGLzT0Nh7FVjon/arcgis/rest/services/Functional_Class_Local_Non_Prod/FeatureServer/1&amp;find="&amp;$F314&amp;"%2C"&amp;$E314&amp;"&amp;marker="&amp;$F314&amp;","&amp;$E314&amp;",4326&amp;level=16",IF(_xlfn.SINGLE(JobState)="MN","https://fema.maps.arcgis.com/apps/mapviewer/index.html?url=https%3A%2F%2Fdotapp9.dot.state.mn.us%2Fegis12%2Frest%2Fservices%2FBASEMAP%2Fmndot_commonlayers2%2FMapServer%2F11&amp;find="&amp;$F314&amp;"%2C"&amp;$E314&amp;"&amp;marker="&amp;$F314&amp;","&amp;$E314&amp;",4326&amp;level=16",IF(_xlfn.SINGLE(JobState)="IL","https://fema.maps.arcgis.com/apps/mapviewer/index.html?url=https%3A%2F%2Fgis1.dot.illinois.gov%2Farcgis%2Frest%2Fservices%2FAdministrativeData%2FFunctionalClass%2FMapServer%2F0&amp;find="&amp;$F314&amp;"%2C"&amp;$E314&amp;"&amp;marker="&amp;$F314&amp;","&amp;$E314&amp;",4326&amp;level=16",IF(_xlfn.SINGLE(JobState)="OH","https://fema.maps.arcgis.com/apps/mapviewer/index.html?url=https%3A%2F%2Ftims.dot.state.oh.us%2Fags%2Frest%2Fservices%2FRoadway_Information%2FFunctional_Class%2FMapServer%2F0&amp;find="&amp;$F314&amp;"%2C"&amp;$E314&amp;"&amp;marker="&amp;$F314&amp;","&amp;$E314&amp;",4326&amp;level=16","https://fema.maps.arcgis.com/apps/mapviewer/index.html?find="&amp;$F314&amp;"%2C"&amp;$E314&amp;"&amp;marker="&amp;$F314&amp;","&amp;$E314&amp;",4326&amp;level=16")))))),IF(_xlfn.SINGLE(JobState)="WI","Review Local Roads Layer","Review NFC AGOL Layer"))))</f>
        <v/>
      </c>
      <c r="N314" s="6" t="str">
        <f>IF(OR($E314="",$F314=""),"",IF(_xlfn.SINGLE(JobState)="",IF(ROW()=2,HYPERLINK("#JobState","Set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314&amp;"%2C"&amp;$E314&amp;"&amp;marker="&amp;$F314&amp;","&amp;$E314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4" s="6" t="str">
        <f>IF(OR($E314="", $F314=""),"",IF(_xlfn.SINGLE(JobAgolMap)="",HYPERLINK("https://fema.maps.arcgis.com/apps/mapviewer/index.html?find="&amp;$F314&amp;"%2C"&amp;$E314&amp;"&amp;marker="&amp;$F314&amp;","&amp;$E314&amp;",4326&amp;level=16","FEMA AGOL Map Viewer"),HYPERLINK(_xlfn.SINGLE(JobAgolMap)&amp;IF(ISNUMBER(FIND("?",_xlfn.SINGLE(JobAgolMap))),"&amp;","?")&amp;"center="&amp;$F314&amp;","&amp;$E314&amp;"&amp;level=16&amp;marker="&amp;$F314&amp;","&amp;$E314,"Open")))</f>
        <v/>
      </c>
      <c r="Q314" s="4"/>
      <c r="R314" s="4"/>
      <c r="W314" s="6" t="str">
        <f t="shared" si="24"/>
        <v/>
      </c>
      <c r="X314" s="6" t="str">
        <f t="shared" si="25"/>
        <v/>
      </c>
      <c r="Y314" s="6" t="str">
        <f t="shared" si="26"/>
        <v/>
      </c>
      <c r="Z314" s="6" t="str">
        <f t="shared" si="27"/>
        <v/>
      </c>
      <c r="AA314" s="6" t="str">
        <f t="shared" si="28"/>
        <v/>
      </c>
      <c r="AB314" s="6" t="str">
        <f t="shared" si="29"/>
        <v/>
      </c>
      <c r="AC314" s="4"/>
      <c r="AD314" s="4"/>
    </row>
    <row r="315" spans="1:30" x14ac:dyDescent="0.45">
      <c r="A315" s="3"/>
      <c r="B315" s="3"/>
      <c r="C315" s="5" t="str">
        <f>IF($E315="","",COUNT($E$2:$E315))</f>
        <v/>
      </c>
      <c r="D315" s="3"/>
      <c r="E315" s="3"/>
      <c r="F315" s="3"/>
      <c r="G315" s="3"/>
      <c r="H315" s="3"/>
      <c r="I315" s="3"/>
      <c r="J315" s="3"/>
      <c r="K315" s="3"/>
      <c r="L315" s="4"/>
      <c r="M315" s="6" t="str">
        <f>IF(OR($E315="",$F315=""),"",IF(_xlfn.SINGLE(JobState)="",IF(ROW()=2,HYPERLINK("#JobState","Set State →"),""),HYPERLINK(IF(OR(_xlfn.SINGLE(JobState)="MI",_xlfn.SINGLE(JobState)=""),"https://fema.maps.arcgis.com/apps/mapviewer/index.html?webmap=6a1702b9147243d1a5ee62cd614bc681&amp;center="&amp;$F315&amp;","&amp;$E315&amp;"&amp;level=16&amp;marker="&amp;$F315&amp;","&amp;$E315&amp;"",IF(_xlfn.SINGLE(JobState)="IN","https://fema.maps.arcgis.com/apps/mapviewer/index.html?url=https%3A%2F%2Fgis.indot.in.gov%2Fro%2Frest%2Fservices%2FRAH_GIO_Collaboration%2FLRSE_Functional_Class%2FFeatureServer%2F22&amp;find="&amp;$F315&amp;"%2C"&amp;$E315&amp;"&amp;marker="&amp;$F315&amp;","&amp;$E315&amp;",4326&amp;level=16",IF(_xlfn.SINGLE(JobState)="WI","https://fema.maps.arcgis.com/apps/mapviewer/index.html?url=https://services5.arcgis.com/0pgGLzT0Nh7FVjon/arcgis/rest/services/Functional_Class_Local_Non_Prod/FeatureServer/1&amp;find="&amp;$F315&amp;"%2C"&amp;$E315&amp;"&amp;marker="&amp;$F315&amp;","&amp;$E315&amp;",4326&amp;level=16",IF(_xlfn.SINGLE(JobState)="MN","https://fema.maps.arcgis.com/apps/mapviewer/index.html?url=https%3A%2F%2Fdotapp9.dot.state.mn.us%2Fegis12%2Frest%2Fservices%2FBASEMAP%2Fmndot_commonlayers2%2FMapServer%2F11&amp;find="&amp;$F315&amp;"%2C"&amp;$E315&amp;"&amp;marker="&amp;$F315&amp;","&amp;$E315&amp;",4326&amp;level=16",IF(_xlfn.SINGLE(JobState)="IL","https://fema.maps.arcgis.com/apps/mapviewer/index.html?url=https%3A%2F%2Fgis1.dot.illinois.gov%2Farcgis%2Frest%2Fservices%2FAdministrativeData%2FFunctionalClass%2FMapServer%2F0&amp;find="&amp;$F315&amp;"%2C"&amp;$E315&amp;"&amp;marker="&amp;$F315&amp;","&amp;$E315&amp;",4326&amp;level=16",IF(_xlfn.SINGLE(JobState)="OH","https://fema.maps.arcgis.com/apps/mapviewer/index.html?url=https%3A%2F%2Ftims.dot.state.oh.us%2Fags%2Frest%2Fservices%2FRoadway_Information%2FFunctional_Class%2FMapServer%2F0&amp;find="&amp;$F315&amp;"%2C"&amp;$E315&amp;"&amp;marker="&amp;$F315&amp;","&amp;$E315&amp;",4326&amp;level=16","https://fema.maps.arcgis.com/apps/mapviewer/index.html?find="&amp;$F315&amp;"%2C"&amp;$E315&amp;"&amp;marker="&amp;$F315&amp;","&amp;$E315&amp;",4326&amp;level=16")))))),IF(_xlfn.SINGLE(JobState)="WI","Review Local Roads Layer","Review NFC AGOL Layer"))))</f>
        <v/>
      </c>
      <c r="N315" s="6" t="str">
        <f>IF(OR($E315="",$F315=""),"",IF(_xlfn.SINGLE(JobState)="",IF(ROW()=2,HYPERLINK("#JobState","Set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315&amp;"%2C"&amp;$E315&amp;"&amp;marker="&amp;$F315&amp;","&amp;$E315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5" s="6" t="str">
        <f>IF(OR($E315="", $F315=""),"",IF(_xlfn.SINGLE(JobAgolMap)="",HYPERLINK("https://fema.maps.arcgis.com/apps/mapviewer/index.html?find="&amp;$F315&amp;"%2C"&amp;$E315&amp;"&amp;marker="&amp;$F315&amp;","&amp;$E315&amp;",4326&amp;level=16","FEMA AGOL Map Viewer"),HYPERLINK(_xlfn.SINGLE(JobAgolMap)&amp;IF(ISNUMBER(FIND("?",_xlfn.SINGLE(JobAgolMap))),"&amp;","?")&amp;"center="&amp;$F315&amp;","&amp;$E315&amp;"&amp;level=16&amp;marker="&amp;$F315&amp;","&amp;$E315,"Open")))</f>
        <v/>
      </c>
      <c r="Q315" s="4"/>
      <c r="R315" s="4"/>
      <c r="W315" s="6" t="str">
        <f t="shared" si="24"/>
        <v/>
      </c>
      <c r="X315" s="6" t="str">
        <f t="shared" si="25"/>
        <v/>
      </c>
      <c r="Y315" s="6" t="str">
        <f t="shared" si="26"/>
        <v/>
      </c>
      <c r="Z315" s="6" t="str">
        <f t="shared" si="27"/>
        <v/>
      </c>
      <c r="AA315" s="6" t="str">
        <f t="shared" si="28"/>
        <v/>
      </c>
      <c r="AB315" s="6" t="str">
        <f t="shared" si="29"/>
        <v/>
      </c>
      <c r="AC315" s="4"/>
      <c r="AD315" s="4"/>
    </row>
    <row r="316" spans="1:30" x14ac:dyDescent="0.45">
      <c r="A316" s="3"/>
      <c r="B316" s="3"/>
      <c r="C316" s="5" t="str">
        <f>IF($E316="","",COUNT($E$2:$E316))</f>
        <v/>
      </c>
      <c r="D316" s="3"/>
      <c r="E316" s="3"/>
      <c r="F316" s="3"/>
      <c r="G316" s="3"/>
      <c r="H316" s="3"/>
      <c r="I316" s="3"/>
      <c r="J316" s="3"/>
      <c r="K316" s="3"/>
      <c r="L316" s="4"/>
      <c r="M316" s="6" t="str">
        <f>IF(OR($E316="",$F316=""),"",IF(_xlfn.SINGLE(JobState)="",IF(ROW()=2,HYPERLINK("#JobState","Set State →"),""),HYPERLINK(IF(OR(_xlfn.SINGLE(JobState)="MI",_xlfn.SINGLE(JobState)=""),"https://fema.maps.arcgis.com/apps/mapviewer/index.html?webmap=6a1702b9147243d1a5ee62cd614bc681&amp;center="&amp;$F316&amp;","&amp;$E316&amp;"&amp;level=16&amp;marker="&amp;$F316&amp;","&amp;$E316&amp;"",IF(_xlfn.SINGLE(JobState)="IN","https://fema.maps.arcgis.com/apps/mapviewer/index.html?url=https%3A%2F%2Fgis.indot.in.gov%2Fro%2Frest%2Fservices%2FRAH_GIO_Collaboration%2FLRSE_Functional_Class%2FFeatureServer%2F22&amp;find="&amp;$F316&amp;"%2C"&amp;$E316&amp;"&amp;marker="&amp;$F316&amp;","&amp;$E316&amp;",4326&amp;level=16",IF(_xlfn.SINGLE(JobState)="WI","https://fema.maps.arcgis.com/apps/mapviewer/index.html?url=https://services5.arcgis.com/0pgGLzT0Nh7FVjon/arcgis/rest/services/Functional_Class_Local_Non_Prod/FeatureServer/1&amp;find="&amp;$F316&amp;"%2C"&amp;$E316&amp;"&amp;marker="&amp;$F316&amp;","&amp;$E316&amp;",4326&amp;level=16",IF(_xlfn.SINGLE(JobState)="MN","https://fema.maps.arcgis.com/apps/mapviewer/index.html?url=https%3A%2F%2Fdotapp9.dot.state.mn.us%2Fegis12%2Frest%2Fservices%2FBASEMAP%2Fmndot_commonlayers2%2FMapServer%2F11&amp;find="&amp;$F316&amp;"%2C"&amp;$E316&amp;"&amp;marker="&amp;$F316&amp;","&amp;$E316&amp;",4326&amp;level=16",IF(_xlfn.SINGLE(JobState)="IL","https://fema.maps.arcgis.com/apps/mapviewer/index.html?url=https%3A%2F%2Fgis1.dot.illinois.gov%2Farcgis%2Frest%2Fservices%2FAdministrativeData%2FFunctionalClass%2FMapServer%2F0&amp;find="&amp;$F316&amp;"%2C"&amp;$E316&amp;"&amp;marker="&amp;$F316&amp;","&amp;$E316&amp;",4326&amp;level=16",IF(_xlfn.SINGLE(JobState)="OH","https://fema.maps.arcgis.com/apps/mapviewer/index.html?url=https%3A%2F%2Ftims.dot.state.oh.us%2Fags%2Frest%2Fservices%2FRoadway_Information%2FFunctional_Class%2FMapServer%2F0&amp;find="&amp;$F316&amp;"%2C"&amp;$E316&amp;"&amp;marker="&amp;$F316&amp;","&amp;$E316&amp;",4326&amp;level=16","https://fema.maps.arcgis.com/apps/mapviewer/index.html?find="&amp;$F316&amp;"%2C"&amp;$E316&amp;"&amp;marker="&amp;$F316&amp;","&amp;$E316&amp;",4326&amp;level=16")))))),IF(_xlfn.SINGLE(JobState)="WI","Review Local Roads Layer","Review NFC AGOL Layer"))))</f>
        <v/>
      </c>
      <c r="N316" s="6" t="str">
        <f>IF(OR($E316="",$F316=""),"",IF(_xlfn.SINGLE(JobState)="",IF(ROW()=2,HYPERLINK("#JobState","Set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316&amp;"%2C"&amp;$E316&amp;"&amp;marker="&amp;$F316&amp;","&amp;$E316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6" s="6" t="str">
        <f>IF(OR($E316="", $F316=""),"",IF(_xlfn.SINGLE(JobAgolMap)="",HYPERLINK("https://fema.maps.arcgis.com/apps/mapviewer/index.html?find="&amp;$F316&amp;"%2C"&amp;$E316&amp;"&amp;marker="&amp;$F316&amp;","&amp;$E316&amp;",4326&amp;level=16","FEMA AGOL Map Viewer"),HYPERLINK(_xlfn.SINGLE(JobAgolMap)&amp;IF(ISNUMBER(FIND("?",_xlfn.SINGLE(JobAgolMap))),"&amp;","?")&amp;"center="&amp;$F316&amp;","&amp;$E316&amp;"&amp;level=16&amp;marker="&amp;$F316&amp;","&amp;$E316,"Open")))</f>
        <v/>
      </c>
      <c r="Q316" s="4"/>
      <c r="R316" s="4"/>
      <c r="W316" s="6" t="str">
        <f t="shared" si="24"/>
        <v/>
      </c>
      <c r="X316" s="6" t="str">
        <f t="shared" si="25"/>
        <v/>
      </c>
      <c r="Y316" s="6" t="str">
        <f t="shared" si="26"/>
        <v/>
      </c>
      <c r="Z316" s="6" t="str">
        <f t="shared" si="27"/>
        <v/>
      </c>
      <c r="AA316" s="6" t="str">
        <f t="shared" si="28"/>
        <v/>
      </c>
      <c r="AB316" s="6" t="str">
        <f t="shared" si="29"/>
        <v/>
      </c>
      <c r="AC316" s="4"/>
      <c r="AD316" s="4"/>
    </row>
    <row r="317" spans="1:30" x14ac:dyDescent="0.45">
      <c r="A317" s="3"/>
      <c r="B317" s="3"/>
      <c r="C317" s="5" t="str">
        <f>IF($E317="","",COUNT($E$2:$E317))</f>
        <v/>
      </c>
      <c r="D317" s="3"/>
      <c r="E317" s="3"/>
      <c r="F317" s="3"/>
      <c r="G317" s="3"/>
      <c r="H317" s="3"/>
      <c r="I317" s="3"/>
      <c r="J317" s="3"/>
      <c r="K317" s="3"/>
      <c r="L317" s="4"/>
      <c r="M317" s="6" t="str">
        <f>IF(OR($E317="",$F317=""),"",IF(_xlfn.SINGLE(JobState)="",IF(ROW()=2,HYPERLINK("#JobState","Set State →"),""),HYPERLINK(IF(OR(_xlfn.SINGLE(JobState)="MI",_xlfn.SINGLE(JobState)=""),"https://fema.maps.arcgis.com/apps/mapviewer/index.html?webmap=6a1702b9147243d1a5ee62cd614bc681&amp;center="&amp;$F317&amp;","&amp;$E317&amp;"&amp;level=16&amp;marker="&amp;$F317&amp;","&amp;$E317&amp;"",IF(_xlfn.SINGLE(JobState)="IN","https://fema.maps.arcgis.com/apps/mapviewer/index.html?url=https%3A%2F%2Fgis.indot.in.gov%2Fro%2Frest%2Fservices%2FRAH_GIO_Collaboration%2FLRSE_Functional_Class%2FFeatureServer%2F22&amp;find="&amp;$F317&amp;"%2C"&amp;$E317&amp;"&amp;marker="&amp;$F317&amp;","&amp;$E317&amp;",4326&amp;level=16",IF(_xlfn.SINGLE(JobState)="WI","https://fema.maps.arcgis.com/apps/mapviewer/index.html?url=https://services5.arcgis.com/0pgGLzT0Nh7FVjon/arcgis/rest/services/Functional_Class_Local_Non_Prod/FeatureServer/1&amp;find="&amp;$F317&amp;"%2C"&amp;$E317&amp;"&amp;marker="&amp;$F317&amp;","&amp;$E317&amp;",4326&amp;level=16",IF(_xlfn.SINGLE(JobState)="MN","https://fema.maps.arcgis.com/apps/mapviewer/index.html?url=https%3A%2F%2Fdotapp9.dot.state.mn.us%2Fegis12%2Frest%2Fservices%2FBASEMAP%2Fmndot_commonlayers2%2FMapServer%2F11&amp;find="&amp;$F317&amp;"%2C"&amp;$E317&amp;"&amp;marker="&amp;$F317&amp;","&amp;$E317&amp;",4326&amp;level=16",IF(_xlfn.SINGLE(JobState)="IL","https://fema.maps.arcgis.com/apps/mapviewer/index.html?url=https%3A%2F%2Fgis1.dot.illinois.gov%2Farcgis%2Frest%2Fservices%2FAdministrativeData%2FFunctionalClass%2FMapServer%2F0&amp;find="&amp;$F317&amp;"%2C"&amp;$E317&amp;"&amp;marker="&amp;$F317&amp;","&amp;$E317&amp;",4326&amp;level=16",IF(_xlfn.SINGLE(JobState)="OH","https://fema.maps.arcgis.com/apps/mapviewer/index.html?url=https%3A%2F%2Ftims.dot.state.oh.us%2Fags%2Frest%2Fservices%2FRoadway_Information%2FFunctional_Class%2FMapServer%2F0&amp;find="&amp;$F317&amp;"%2C"&amp;$E317&amp;"&amp;marker="&amp;$F317&amp;","&amp;$E317&amp;",4326&amp;level=16","https://fema.maps.arcgis.com/apps/mapviewer/index.html?find="&amp;$F317&amp;"%2C"&amp;$E317&amp;"&amp;marker="&amp;$F317&amp;","&amp;$E317&amp;",4326&amp;level=16")))))),IF(_xlfn.SINGLE(JobState)="WI","Review Local Roads Layer","Review NFC AGOL Layer"))))</f>
        <v/>
      </c>
      <c r="N317" s="6" t="str">
        <f>IF(OR($E317="",$F317=""),"",IF(_xlfn.SINGLE(JobState)="",IF(ROW()=2,HYPERLINK("#JobState","Set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317&amp;"%2C"&amp;$E317&amp;"&amp;marker="&amp;$F317&amp;","&amp;$E317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7" s="6" t="str">
        <f>IF(OR($E317="", $F317=""),"",IF(_xlfn.SINGLE(JobAgolMap)="",HYPERLINK("https://fema.maps.arcgis.com/apps/mapviewer/index.html?find="&amp;$F317&amp;"%2C"&amp;$E317&amp;"&amp;marker="&amp;$F317&amp;","&amp;$E317&amp;",4326&amp;level=16","FEMA AGOL Map Viewer"),HYPERLINK(_xlfn.SINGLE(JobAgolMap)&amp;IF(ISNUMBER(FIND("?",_xlfn.SINGLE(JobAgolMap))),"&amp;","?")&amp;"center="&amp;$F317&amp;","&amp;$E317&amp;"&amp;level=16&amp;marker="&amp;$F317&amp;","&amp;$E317,"Open")))</f>
        <v/>
      </c>
      <c r="Q317" s="4"/>
      <c r="R317" s="4"/>
      <c r="W317" s="6" t="str">
        <f t="shared" si="24"/>
        <v/>
      </c>
      <c r="X317" s="6" t="str">
        <f t="shared" si="25"/>
        <v/>
      </c>
      <c r="Y317" s="6" t="str">
        <f t="shared" si="26"/>
        <v/>
      </c>
      <c r="Z317" s="6" t="str">
        <f t="shared" si="27"/>
        <v/>
      </c>
      <c r="AA317" s="6" t="str">
        <f t="shared" si="28"/>
        <v/>
      </c>
      <c r="AB317" s="6" t="str">
        <f t="shared" si="29"/>
        <v/>
      </c>
      <c r="AC317" s="4"/>
      <c r="AD317" s="4"/>
    </row>
    <row r="318" spans="1:30" x14ac:dyDescent="0.45">
      <c r="A318" s="3"/>
      <c r="B318" s="3"/>
      <c r="C318" s="5" t="str">
        <f>IF($E318="","",COUNT($E$2:$E318))</f>
        <v/>
      </c>
      <c r="D318" s="3"/>
      <c r="E318" s="3"/>
      <c r="F318" s="3"/>
      <c r="G318" s="3"/>
      <c r="H318" s="3"/>
      <c r="I318" s="3"/>
      <c r="J318" s="3"/>
      <c r="K318" s="3"/>
      <c r="L318" s="4"/>
      <c r="M318" s="6" t="str">
        <f>IF(OR($E318="",$F318=""),"",IF(_xlfn.SINGLE(JobState)="",IF(ROW()=2,HYPERLINK("#JobState","Set State →"),""),HYPERLINK(IF(OR(_xlfn.SINGLE(JobState)="MI",_xlfn.SINGLE(JobState)=""),"https://fema.maps.arcgis.com/apps/mapviewer/index.html?webmap=6a1702b9147243d1a5ee62cd614bc681&amp;center="&amp;$F318&amp;","&amp;$E318&amp;"&amp;level=16&amp;marker="&amp;$F318&amp;","&amp;$E318&amp;"",IF(_xlfn.SINGLE(JobState)="IN","https://fema.maps.arcgis.com/apps/mapviewer/index.html?url=https%3A%2F%2Fgis.indot.in.gov%2Fro%2Frest%2Fservices%2FRAH_GIO_Collaboration%2FLRSE_Functional_Class%2FFeatureServer%2F22&amp;find="&amp;$F318&amp;"%2C"&amp;$E318&amp;"&amp;marker="&amp;$F318&amp;","&amp;$E318&amp;",4326&amp;level=16",IF(_xlfn.SINGLE(JobState)="WI","https://fema.maps.arcgis.com/apps/mapviewer/index.html?url=https://services5.arcgis.com/0pgGLzT0Nh7FVjon/arcgis/rest/services/Functional_Class_Local_Non_Prod/FeatureServer/1&amp;find="&amp;$F318&amp;"%2C"&amp;$E318&amp;"&amp;marker="&amp;$F318&amp;","&amp;$E318&amp;",4326&amp;level=16",IF(_xlfn.SINGLE(JobState)="MN","https://fema.maps.arcgis.com/apps/mapviewer/index.html?url=https%3A%2F%2Fdotapp9.dot.state.mn.us%2Fegis12%2Frest%2Fservices%2FBASEMAP%2Fmndot_commonlayers2%2FMapServer%2F11&amp;find="&amp;$F318&amp;"%2C"&amp;$E318&amp;"&amp;marker="&amp;$F318&amp;","&amp;$E318&amp;",4326&amp;level=16",IF(_xlfn.SINGLE(JobState)="IL","https://fema.maps.arcgis.com/apps/mapviewer/index.html?url=https%3A%2F%2Fgis1.dot.illinois.gov%2Farcgis%2Frest%2Fservices%2FAdministrativeData%2FFunctionalClass%2FMapServer%2F0&amp;find="&amp;$F318&amp;"%2C"&amp;$E318&amp;"&amp;marker="&amp;$F318&amp;","&amp;$E318&amp;",4326&amp;level=16",IF(_xlfn.SINGLE(JobState)="OH","https://fema.maps.arcgis.com/apps/mapviewer/index.html?url=https%3A%2F%2Ftims.dot.state.oh.us%2Fags%2Frest%2Fservices%2FRoadway_Information%2FFunctional_Class%2FMapServer%2F0&amp;find="&amp;$F318&amp;"%2C"&amp;$E318&amp;"&amp;marker="&amp;$F318&amp;","&amp;$E318&amp;",4326&amp;level=16","https://fema.maps.arcgis.com/apps/mapviewer/index.html?find="&amp;$F318&amp;"%2C"&amp;$E318&amp;"&amp;marker="&amp;$F318&amp;","&amp;$E318&amp;",4326&amp;level=16")))))),IF(_xlfn.SINGLE(JobState)="WI","Review Local Roads Layer","Review NFC AGOL Layer"))))</f>
        <v/>
      </c>
      <c r="N318" s="6" t="str">
        <f>IF(OR($E318="",$F318=""),"",IF(_xlfn.SINGLE(JobState)="",IF(ROW()=2,HYPERLINK("#JobState","Set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318&amp;"%2C"&amp;$E318&amp;"&amp;marker="&amp;$F318&amp;","&amp;$E318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8" s="6" t="str">
        <f>IF(OR($E318="", $F318=""),"",IF(_xlfn.SINGLE(JobAgolMap)="",HYPERLINK("https://fema.maps.arcgis.com/apps/mapviewer/index.html?find="&amp;$F318&amp;"%2C"&amp;$E318&amp;"&amp;marker="&amp;$F318&amp;","&amp;$E318&amp;",4326&amp;level=16","FEMA AGOL Map Viewer"),HYPERLINK(_xlfn.SINGLE(JobAgolMap)&amp;IF(ISNUMBER(FIND("?",_xlfn.SINGLE(JobAgolMap))),"&amp;","?")&amp;"center="&amp;$F318&amp;","&amp;$E318&amp;"&amp;level=16&amp;marker="&amp;$F318&amp;","&amp;$E318,"Open")))</f>
        <v/>
      </c>
      <c r="Q318" s="4"/>
      <c r="R318" s="4"/>
      <c r="W318" s="6" t="str">
        <f t="shared" si="24"/>
        <v/>
      </c>
      <c r="X318" s="6" t="str">
        <f t="shared" si="25"/>
        <v/>
      </c>
      <c r="Y318" s="6" t="str">
        <f t="shared" si="26"/>
        <v/>
      </c>
      <c r="Z318" s="6" t="str">
        <f t="shared" si="27"/>
        <v/>
      </c>
      <c r="AA318" s="6" t="str">
        <f t="shared" si="28"/>
        <v/>
      </c>
      <c r="AB318" s="6" t="str">
        <f t="shared" si="29"/>
        <v/>
      </c>
      <c r="AC318" s="4"/>
      <c r="AD318" s="4"/>
    </row>
    <row r="319" spans="1:30" x14ac:dyDescent="0.45">
      <c r="A319" s="3"/>
      <c r="B319" s="3"/>
      <c r="C319" s="5" t="str">
        <f>IF($E319="","",COUNT($E$2:$E319))</f>
        <v/>
      </c>
      <c r="D319" s="3"/>
      <c r="E319" s="3"/>
      <c r="F319" s="3"/>
      <c r="G319" s="3"/>
      <c r="H319" s="3"/>
      <c r="I319" s="3"/>
      <c r="J319" s="3"/>
      <c r="K319" s="3"/>
      <c r="L319" s="4"/>
      <c r="M319" s="6" t="str">
        <f>IF(OR($E319="",$F319=""),"",IF(_xlfn.SINGLE(JobState)="",IF(ROW()=2,HYPERLINK("#JobState","Set State →"),""),HYPERLINK(IF(OR(_xlfn.SINGLE(JobState)="MI",_xlfn.SINGLE(JobState)=""),"https://fema.maps.arcgis.com/apps/mapviewer/index.html?webmap=6a1702b9147243d1a5ee62cd614bc681&amp;center="&amp;$F319&amp;","&amp;$E319&amp;"&amp;level=16&amp;marker="&amp;$F319&amp;","&amp;$E319&amp;"",IF(_xlfn.SINGLE(JobState)="IN","https://fema.maps.arcgis.com/apps/mapviewer/index.html?url=https%3A%2F%2Fgis.indot.in.gov%2Fro%2Frest%2Fservices%2FRAH_GIO_Collaboration%2FLRSE_Functional_Class%2FFeatureServer%2F22&amp;find="&amp;$F319&amp;"%2C"&amp;$E319&amp;"&amp;marker="&amp;$F319&amp;","&amp;$E319&amp;",4326&amp;level=16",IF(_xlfn.SINGLE(JobState)="WI","https://fema.maps.arcgis.com/apps/mapviewer/index.html?url=https://services5.arcgis.com/0pgGLzT0Nh7FVjon/arcgis/rest/services/Functional_Class_Local_Non_Prod/FeatureServer/1&amp;find="&amp;$F319&amp;"%2C"&amp;$E319&amp;"&amp;marker="&amp;$F319&amp;","&amp;$E319&amp;",4326&amp;level=16",IF(_xlfn.SINGLE(JobState)="MN","https://fema.maps.arcgis.com/apps/mapviewer/index.html?url=https%3A%2F%2Fdotapp9.dot.state.mn.us%2Fegis12%2Frest%2Fservices%2FBASEMAP%2Fmndot_commonlayers2%2FMapServer%2F11&amp;find="&amp;$F319&amp;"%2C"&amp;$E319&amp;"&amp;marker="&amp;$F319&amp;","&amp;$E319&amp;",4326&amp;level=16",IF(_xlfn.SINGLE(JobState)="IL","https://fema.maps.arcgis.com/apps/mapviewer/index.html?url=https%3A%2F%2Fgis1.dot.illinois.gov%2Farcgis%2Frest%2Fservices%2FAdministrativeData%2FFunctionalClass%2FMapServer%2F0&amp;find="&amp;$F319&amp;"%2C"&amp;$E319&amp;"&amp;marker="&amp;$F319&amp;","&amp;$E319&amp;",4326&amp;level=16",IF(_xlfn.SINGLE(JobState)="OH","https://fema.maps.arcgis.com/apps/mapviewer/index.html?url=https%3A%2F%2Ftims.dot.state.oh.us%2Fags%2Frest%2Fservices%2FRoadway_Information%2FFunctional_Class%2FMapServer%2F0&amp;find="&amp;$F319&amp;"%2C"&amp;$E319&amp;"&amp;marker="&amp;$F319&amp;","&amp;$E319&amp;",4326&amp;level=16","https://fema.maps.arcgis.com/apps/mapviewer/index.html?find="&amp;$F319&amp;"%2C"&amp;$E319&amp;"&amp;marker="&amp;$F319&amp;","&amp;$E319&amp;",4326&amp;level=16")))))),IF(_xlfn.SINGLE(JobState)="WI","Review Local Roads Layer","Review NFC AGOL Layer"))))</f>
        <v/>
      </c>
      <c r="N319" s="6" t="str">
        <f>IF(OR($E319="",$F319=""),"",IF(_xlfn.SINGLE(JobState)="",IF(ROW()=2,HYPERLINK("#JobState","Set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319&amp;"%2C"&amp;$E319&amp;"&amp;marker="&amp;$F319&amp;","&amp;$E319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9" s="6" t="str">
        <f>IF(OR($E319="", $F319=""),"",IF(_xlfn.SINGLE(JobAgolMap)="",HYPERLINK("https://fema.maps.arcgis.com/apps/mapviewer/index.html?find="&amp;$F319&amp;"%2C"&amp;$E319&amp;"&amp;marker="&amp;$F319&amp;","&amp;$E319&amp;",4326&amp;level=16","FEMA AGOL Map Viewer"),HYPERLINK(_xlfn.SINGLE(JobAgolMap)&amp;IF(ISNUMBER(FIND("?",_xlfn.SINGLE(JobAgolMap))),"&amp;","?")&amp;"center="&amp;$F319&amp;","&amp;$E319&amp;"&amp;level=16&amp;marker="&amp;$F319&amp;","&amp;$E319,"Open")))</f>
        <v/>
      </c>
      <c r="Q319" s="4"/>
      <c r="R319" s="4"/>
      <c r="W319" s="6" t="str">
        <f t="shared" si="24"/>
        <v/>
      </c>
      <c r="X319" s="6" t="str">
        <f t="shared" si="25"/>
        <v/>
      </c>
      <c r="Y319" s="6" t="str">
        <f t="shared" si="26"/>
        <v/>
      </c>
      <c r="Z319" s="6" t="str">
        <f t="shared" si="27"/>
        <v/>
      </c>
      <c r="AA319" s="6" t="str">
        <f t="shared" si="28"/>
        <v/>
      </c>
      <c r="AB319" s="6" t="str">
        <f t="shared" si="29"/>
        <v/>
      </c>
      <c r="AC319" s="4"/>
      <c r="AD319" s="4"/>
    </row>
    <row r="320" spans="1:30" x14ac:dyDescent="0.45">
      <c r="A320" s="3"/>
      <c r="B320" s="3"/>
      <c r="C320" s="5" t="str">
        <f>IF($E320="","",COUNT($E$2:$E320))</f>
        <v/>
      </c>
      <c r="D320" s="3"/>
      <c r="E320" s="3"/>
      <c r="F320" s="3"/>
      <c r="G320" s="3"/>
      <c r="H320" s="3"/>
      <c r="I320" s="3"/>
      <c r="J320" s="3"/>
      <c r="K320" s="3"/>
      <c r="L320" s="4"/>
      <c r="M320" s="6" t="str">
        <f>IF(OR($E320="",$F320=""),"",IF(_xlfn.SINGLE(JobState)="",IF(ROW()=2,HYPERLINK("#JobState","Set State →"),""),HYPERLINK(IF(OR(_xlfn.SINGLE(JobState)="MI",_xlfn.SINGLE(JobState)=""),"https://fema.maps.arcgis.com/apps/mapviewer/index.html?webmap=6a1702b9147243d1a5ee62cd614bc681&amp;center="&amp;$F320&amp;","&amp;$E320&amp;"&amp;level=16&amp;marker="&amp;$F320&amp;","&amp;$E320&amp;"",IF(_xlfn.SINGLE(JobState)="IN","https://fema.maps.arcgis.com/apps/mapviewer/index.html?url=https%3A%2F%2Fgis.indot.in.gov%2Fro%2Frest%2Fservices%2FRAH_GIO_Collaboration%2FLRSE_Functional_Class%2FFeatureServer%2F22&amp;find="&amp;$F320&amp;"%2C"&amp;$E320&amp;"&amp;marker="&amp;$F320&amp;","&amp;$E320&amp;",4326&amp;level=16",IF(_xlfn.SINGLE(JobState)="WI","https://fema.maps.arcgis.com/apps/mapviewer/index.html?url=https://services5.arcgis.com/0pgGLzT0Nh7FVjon/arcgis/rest/services/Functional_Class_Local_Non_Prod/FeatureServer/1&amp;find="&amp;$F320&amp;"%2C"&amp;$E320&amp;"&amp;marker="&amp;$F320&amp;","&amp;$E320&amp;",4326&amp;level=16",IF(_xlfn.SINGLE(JobState)="MN","https://fema.maps.arcgis.com/apps/mapviewer/index.html?url=https%3A%2F%2Fdotapp9.dot.state.mn.us%2Fegis12%2Frest%2Fservices%2FBASEMAP%2Fmndot_commonlayers2%2FMapServer%2F11&amp;find="&amp;$F320&amp;"%2C"&amp;$E320&amp;"&amp;marker="&amp;$F320&amp;","&amp;$E320&amp;",4326&amp;level=16",IF(_xlfn.SINGLE(JobState)="IL","https://fema.maps.arcgis.com/apps/mapviewer/index.html?url=https%3A%2F%2Fgis1.dot.illinois.gov%2Farcgis%2Frest%2Fservices%2FAdministrativeData%2FFunctionalClass%2FMapServer%2F0&amp;find="&amp;$F320&amp;"%2C"&amp;$E320&amp;"&amp;marker="&amp;$F320&amp;","&amp;$E320&amp;",4326&amp;level=16",IF(_xlfn.SINGLE(JobState)="OH","https://fema.maps.arcgis.com/apps/mapviewer/index.html?url=https%3A%2F%2Ftims.dot.state.oh.us%2Fags%2Frest%2Fservices%2FRoadway_Information%2FFunctional_Class%2FMapServer%2F0&amp;find="&amp;$F320&amp;"%2C"&amp;$E320&amp;"&amp;marker="&amp;$F320&amp;","&amp;$E320&amp;",4326&amp;level=16","https://fema.maps.arcgis.com/apps/mapviewer/index.html?find="&amp;$F320&amp;"%2C"&amp;$E320&amp;"&amp;marker="&amp;$F320&amp;","&amp;$E320&amp;",4326&amp;level=16")))))),IF(_xlfn.SINGLE(JobState)="WI","Review Local Roads Layer","Review NFC AGOL Layer"))))</f>
        <v/>
      </c>
      <c r="N320" s="6" t="str">
        <f>IF(OR($E320="",$F320=""),"",IF(_xlfn.SINGLE(JobState)="",IF(ROW()=2,HYPERLINK("#JobState","Set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320&amp;"%2C"&amp;$E320&amp;"&amp;marker="&amp;$F320&amp;","&amp;$E320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0" s="6" t="str">
        <f>IF(OR($E320="", $F320=""),"",IF(_xlfn.SINGLE(JobAgolMap)="",HYPERLINK("https://fema.maps.arcgis.com/apps/mapviewer/index.html?find="&amp;$F320&amp;"%2C"&amp;$E320&amp;"&amp;marker="&amp;$F320&amp;","&amp;$E320&amp;",4326&amp;level=16","FEMA AGOL Map Viewer"),HYPERLINK(_xlfn.SINGLE(JobAgolMap)&amp;IF(ISNUMBER(FIND("?",_xlfn.SINGLE(JobAgolMap))),"&amp;","?")&amp;"center="&amp;$F320&amp;","&amp;$E320&amp;"&amp;level=16&amp;marker="&amp;$F320&amp;","&amp;$E320,"Open")))</f>
        <v/>
      </c>
      <c r="Q320" s="4"/>
      <c r="R320" s="4"/>
      <c r="W320" s="6" t="str">
        <f t="shared" si="24"/>
        <v/>
      </c>
      <c r="X320" s="6" t="str">
        <f t="shared" si="25"/>
        <v/>
      </c>
      <c r="Y320" s="6" t="str">
        <f t="shared" si="26"/>
        <v/>
      </c>
      <c r="Z320" s="6" t="str">
        <f t="shared" si="27"/>
        <v/>
      </c>
      <c r="AA320" s="6" t="str">
        <f t="shared" si="28"/>
        <v/>
      </c>
      <c r="AB320" s="6" t="str">
        <f t="shared" si="29"/>
        <v/>
      </c>
      <c r="AC320" s="4"/>
      <c r="AD320" s="4"/>
    </row>
    <row r="321" spans="1:30" x14ac:dyDescent="0.45">
      <c r="A321" s="3"/>
      <c r="B321" s="3"/>
      <c r="C321" s="5" t="str">
        <f>IF($E321="","",COUNT($E$2:$E321))</f>
        <v/>
      </c>
      <c r="D321" s="3"/>
      <c r="E321" s="3"/>
      <c r="F321" s="3"/>
      <c r="G321" s="3"/>
      <c r="H321" s="3"/>
      <c r="I321" s="3"/>
      <c r="J321" s="3"/>
      <c r="K321" s="3"/>
      <c r="L321" s="4"/>
      <c r="M321" s="6" t="str">
        <f>IF(OR($E321="",$F321=""),"",IF(_xlfn.SINGLE(JobState)="",IF(ROW()=2,HYPERLINK("#JobState","Set State →"),""),HYPERLINK(IF(OR(_xlfn.SINGLE(JobState)="MI",_xlfn.SINGLE(JobState)=""),"https://fema.maps.arcgis.com/apps/mapviewer/index.html?webmap=6a1702b9147243d1a5ee62cd614bc681&amp;center="&amp;$F321&amp;","&amp;$E321&amp;"&amp;level=16&amp;marker="&amp;$F321&amp;","&amp;$E321&amp;"",IF(_xlfn.SINGLE(JobState)="IN","https://fema.maps.arcgis.com/apps/mapviewer/index.html?url=https%3A%2F%2Fgis.indot.in.gov%2Fro%2Frest%2Fservices%2FRAH_GIO_Collaboration%2FLRSE_Functional_Class%2FFeatureServer%2F22&amp;find="&amp;$F321&amp;"%2C"&amp;$E321&amp;"&amp;marker="&amp;$F321&amp;","&amp;$E321&amp;",4326&amp;level=16",IF(_xlfn.SINGLE(JobState)="WI","https://fema.maps.arcgis.com/apps/mapviewer/index.html?url=https://services5.arcgis.com/0pgGLzT0Nh7FVjon/arcgis/rest/services/Functional_Class_Local_Non_Prod/FeatureServer/1&amp;find="&amp;$F321&amp;"%2C"&amp;$E321&amp;"&amp;marker="&amp;$F321&amp;","&amp;$E321&amp;",4326&amp;level=16",IF(_xlfn.SINGLE(JobState)="MN","https://fema.maps.arcgis.com/apps/mapviewer/index.html?url=https%3A%2F%2Fdotapp9.dot.state.mn.us%2Fegis12%2Frest%2Fservices%2FBASEMAP%2Fmndot_commonlayers2%2FMapServer%2F11&amp;find="&amp;$F321&amp;"%2C"&amp;$E321&amp;"&amp;marker="&amp;$F321&amp;","&amp;$E321&amp;",4326&amp;level=16",IF(_xlfn.SINGLE(JobState)="IL","https://fema.maps.arcgis.com/apps/mapviewer/index.html?url=https%3A%2F%2Fgis1.dot.illinois.gov%2Farcgis%2Frest%2Fservices%2FAdministrativeData%2FFunctionalClass%2FMapServer%2F0&amp;find="&amp;$F321&amp;"%2C"&amp;$E321&amp;"&amp;marker="&amp;$F321&amp;","&amp;$E321&amp;",4326&amp;level=16",IF(_xlfn.SINGLE(JobState)="OH","https://fema.maps.arcgis.com/apps/mapviewer/index.html?url=https%3A%2F%2Ftims.dot.state.oh.us%2Fags%2Frest%2Fservices%2FRoadway_Information%2FFunctional_Class%2FMapServer%2F0&amp;find="&amp;$F321&amp;"%2C"&amp;$E321&amp;"&amp;marker="&amp;$F321&amp;","&amp;$E321&amp;",4326&amp;level=16","https://fema.maps.arcgis.com/apps/mapviewer/index.html?find="&amp;$F321&amp;"%2C"&amp;$E321&amp;"&amp;marker="&amp;$F321&amp;","&amp;$E321&amp;",4326&amp;level=16")))))),IF(_xlfn.SINGLE(JobState)="WI","Review Local Roads Layer","Review NFC AGOL Layer"))))</f>
        <v/>
      </c>
      <c r="N321" s="6" t="str">
        <f>IF(OR($E321="",$F321=""),"",IF(_xlfn.SINGLE(JobState)="",IF(ROW()=2,HYPERLINK("#JobState","Set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321&amp;"%2C"&amp;$E321&amp;"&amp;marker="&amp;$F321&amp;","&amp;$E321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1" s="6" t="str">
        <f>IF(OR($E321="", $F321=""),"",IF(_xlfn.SINGLE(JobAgolMap)="",HYPERLINK("https://fema.maps.arcgis.com/apps/mapviewer/index.html?find="&amp;$F321&amp;"%2C"&amp;$E321&amp;"&amp;marker="&amp;$F321&amp;","&amp;$E321&amp;",4326&amp;level=16","FEMA AGOL Map Viewer"),HYPERLINK(_xlfn.SINGLE(JobAgolMap)&amp;IF(ISNUMBER(FIND("?",_xlfn.SINGLE(JobAgolMap))),"&amp;","?")&amp;"center="&amp;$F321&amp;","&amp;$E321&amp;"&amp;level=16&amp;marker="&amp;$F321&amp;","&amp;$E321,"Open")))</f>
        <v/>
      </c>
      <c r="Q321" s="4"/>
      <c r="R321" s="4"/>
      <c r="W321" s="6" t="str">
        <f t="shared" si="24"/>
        <v/>
      </c>
      <c r="X321" s="6" t="str">
        <f t="shared" si="25"/>
        <v/>
      </c>
      <c r="Y321" s="6" t="str">
        <f t="shared" si="26"/>
        <v/>
      </c>
      <c r="Z321" s="6" t="str">
        <f t="shared" si="27"/>
        <v/>
      </c>
      <c r="AA321" s="6" t="str">
        <f t="shared" si="28"/>
        <v/>
      </c>
      <c r="AB321" s="6" t="str">
        <f t="shared" si="29"/>
        <v/>
      </c>
      <c r="AC321" s="4"/>
      <c r="AD321" s="4"/>
    </row>
    <row r="322" spans="1:30" x14ac:dyDescent="0.45">
      <c r="A322" s="3"/>
      <c r="B322" s="3"/>
      <c r="C322" s="5" t="str">
        <f>IF($E322="","",COUNT($E$2:$E322))</f>
        <v/>
      </c>
      <c r="D322" s="3"/>
      <c r="E322" s="3"/>
      <c r="F322" s="3"/>
      <c r="G322" s="3"/>
      <c r="H322" s="3"/>
      <c r="I322" s="3"/>
      <c r="J322" s="3"/>
      <c r="K322" s="3"/>
      <c r="L322" s="4"/>
      <c r="M322" s="6" t="str">
        <f>IF(OR($E322="",$F322=""),"",IF(_xlfn.SINGLE(JobState)="",IF(ROW()=2,HYPERLINK("#JobState","Set State →"),""),HYPERLINK(IF(OR(_xlfn.SINGLE(JobState)="MI",_xlfn.SINGLE(JobState)=""),"https://fema.maps.arcgis.com/apps/mapviewer/index.html?webmap=6a1702b9147243d1a5ee62cd614bc681&amp;center="&amp;$F322&amp;","&amp;$E322&amp;"&amp;level=16&amp;marker="&amp;$F322&amp;","&amp;$E322&amp;"",IF(_xlfn.SINGLE(JobState)="IN","https://fema.maps.arcgis.com/apps/mapviewer/index.html?url=https%3A%2F%2Fgis.indot.in.gov%2Fro%2Frest%2Fservices%2FRAH_GIO_Collaboration%2FLRSE_Functional_Class%2FFeatureServer%2F22&amp;find="&amp;$F322&amp;"%2C"&amp;$E322&amp;"&amp;marker="&amp;$F322&amp;","&amp;$E322&amp;",4326&amp;level=16",IF(_xlfn.SINGLE(JobState)="WI","https://fema.maps.arcgis.com/apps/mapviewer/index.html?url=https://services5.arcgis.com/0pgGLzT0Nh7FVjon/arcgis/rest/services/Functional_Class_Local_Non_Prod/FeatureServer/1&amp;find="&amp;$F322&amp;"%2C"&amp;$E322&amp;"&amp;marker="&amp;$F322&amp;","&amp;$E322&amp;",4326&amp;level=16",IF(_xlfn.SINGLE(JobState)="MN","https://fema.maps.arcgis.com/apps/mapviewer/index.html?url=https%3A%2F%2Fdotapp9.dot.state.mn.us%2Fegis12%2Frest%2Fservices%2FBASEMAP%2Fmndot_commonlayers2%2FMapServer%2F11&amp;find="&amp;$F322&amp;"%2C"&amp;$E322&amp;"&amp;marker="&amp;$F322&amp;","&amp;$E322&amp;",4326&amp;level=16",IF(_xlfn.SINGLE(JobState)="IL","https://fema.maps.arcgis.com/apps/mapviewer/index.html?url=https%3A%2F%2Fgis1.dot.illinois.gov%2Farcgis%2Frest%2Fservices%2FAdministrativeData%2FFunctionalClass%2FMapServer%2F0&amp;find="&amp;$F322&amp;"%2C"&amp;$E322&amp;"&amp;marker="&amp;$F322&amp;","&amp;$E322&amp;",4326&amp;level=16",IF(_xlfn.SINGLE(JobState)="OH","https://fema.maps.arcgis.com/apps/mapviewer/index.html?url=https%3A%2F%2Ftims.dot.state.oh.us%2Fags%2Frest%2Fservices%2FRoadway_Information%2FFunctional_Class%2FMapServer%2F0&amp;find="&amp;$F322&amp;"%2C"&amp;$E322&amp;"&amp;marker="&amp;$F322&amp;","&amp;$E322&amp;",4326&amp;level=16","https://fema.maps.arcgis.com/apps/mapviewer/index.html?find="&amp;$F322&amp;"%2C"&amp;$E322&amp;"&amp;marker="&amp;$F322&amp;","&amp;$E322&amp;",4326&amp;level=16")))))),IF(_xlfn.SINGLE(JobState)="WI","Review Local Roads Layer","Review NFC AGOL Layer"))))</f>
        <v/>
      </c>
      <c r="N322" s="6" t="str">
        <f>IF(OR($E322="",$F322=""),"",IF(_xlfn.SINGLE(JobState)="",IF(ROW()=2,HYPERLINK("#JobState","Set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322&amp;"%2C"&amp;$E322&amp;"&amp;marker="&amp;$F322&amp;","&amp;$E322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2" s="6" t="str">
        <f>IF(OR($E322="", $F322=""),"",IF(_xlfn.SINGLE(JobAgolMap)="",HYPERLINK("https://fema.maps.arcgis.com/apps/mapviewer/index.html?find="&amp;$F322&amp;"%2C"&amp;$E322&amp;"&amp;marker="&amp;$F322&amp;","&amp;$E322&amp;",4326&amp;level=16","FEMA AGOL Map Viewer"),HYPERLINK(_xlfn.SINGLE(JobAgolMap)&amp;IF(ISNUMBER(FIND("?",_xlfn.SINGLE(JobAgolMap))),"&amp;","?")&amp;"center="&amp;$F322&amp;","&amp;$E322&amp;"&amp;level=16&amp;marker="&amp;$F322&amp;","&amp;$E322,"Open")))</f>
        <v/>
      </c>
      <c r="Q322" s="4"/>
      <c r="R322" s="4"/>
      <c r="W322" s="6" t="str">
        <f t="shared" ref="W322:W385" si="30">IF(OR($E322="",$F322=""),"",HYPERLINK("https://www.google.com/maps?q="&amp;$E322&amp;","&amp;$F322&amp;"","Map"))</f>
        <v/>
      </c>
      <c r="X322" s="6" t="str">
        <f t="shared" ref="X322:X385" si="31">IF(OR($E322="",$F322=""),"",HYPERLINK("https://www.google.com/maps?q&amp;layer=c&amp;cbll="&amp;$E322&amp;","&amp;$F322&amp;"","Street"))</f>
        <v/>
      </c>
      <c r="Y322" s="6" t="str">
        <f t="shared" ref="Y322:Y385" si="32">IF(OR($E322="",$F322=""),"",HYPERLINK("https://www.bing.com/maps?cp="&amp;$E322&amp;"~"&amp;$F322&amp;"&amp;lvl=18&amp;style=h","Bing"))</f>
        <v/>
      </c>
      <c r="Z322" s="6" t="str">
        <f t="shared" ref="Z322:Z385" si="33">IF(OR($E322="",$F322=""),"",HYPERLINK("https://earth.google.com/web/search/"&amp;$E322&amp;","&amp;$F322&amp;"","Earth"))</f>
        <v/>
      </c>
      <c r="AA322" s="6" t="str">
        <f t="shared" ref="AA322:AA385" si="34">IF(OR($E322="",$F322=""),"",HYPERLINK("https://fema.maps.arcgis.com/apps/mapviewer/index.html?find="&amp;$F322&amp;"%2C"&amp;$E322&amp;"&amp;marker="&amp;$F322&amp;","&amp;$E322&amp;",4326&amp;level=16","FEMA"))</f>
        <v/>
      </c>
      <c r="AB322" s="6" t="str">
        <f t="shared" ref="AB322:AB385" si="35">IF(OR($E322="",$F322=""),"",HYPERLINK("https://msc.fema.gov/portal/firmette?latitude="&amp;$E322&amp;"&amp;longitude="&amp;$F322&amp;"","FIRMette"))</f>
        <v/>
      </c>
      <c r="AC322" s="4"/>
      <c r="AD322" s="4"/>
    </row>
    <row r="323" spans="1:30" x14ac:dyDescent="0.45">
      <c r="A323" s="3"/>
      <c r="B323" s="3"/>
      <c r="C323" s="5" t="str">
        <f>IF($E323="","",COUNT($E$2:$E323))</f>
        <v/>
      </c>
      <c r="D323" s="3"/>
      <c r="E323" s="3"/>
      <c r="F323" s="3"/>
      <c r="G323" s="3"/>
      <c r="H323" s="3"/>
      <c r="I323" s="3"/>
      <c r="J323" s="3"/>
      <c r="K323" s="3"/>
      <c r="L323" s="4"/>
      <c r="M323" s="6" t="str">
        <f>IF(OR($E323="",$F323=""),"",IF(_xlfn.SINGLE(JobState)="",IF(ROW()=2,HYPERLINK("#JobState","Set State →"),""),HYPERLINK(IF(OR(_xlfn.SINGLE(JobState)="MI",_xlfn.SINGLE(JobState)=""),"https://fema.maps.arcgis.com/apps/mapviewer/index.html?webmap=6a1702b9147243d1a5ee62cd614bc681&amp;center="&amp;$F323&amp;","&amp;$E323&amp;"&amp;level=16&amp;marker="&amp;$F323&amp;","&amp;$E323&amp;"",IF(_xlfn.SINGLE(JobState)="IN","https://fema.maps.arcgis.com/apps/mapviewer/index.html?url=https%3A%2F%2Fgis.indot.in.gov%2Fro%2Frest%2Fservices%2FRAH_GIO_Collaboration%2FLRSE_Functional_Class%2FFeatureServer%2F22&amp;find="&amp;$F323&amp;"%2C"&amp;$E323&amp;"&amp;marker="&amp;$F323&amp;","&amp;$E323&amp;",4326&amp;level=16",IF(_xlfn.SINGLE(JobState)="WI","https://fema.maps.arcgis.com/apps/mapviewer/index.html?url=https://services5.arcgis.com/0pgGLzT0Nh7FVjon/arcgis/rest/services/Functional_Class_Local_Non_Prod/FeatureServer/1&amp;find="&amp;$F323&amp;"%2C"&amp;$E323&amp;"&amp;marker="&amp;$F323&amp;","&amp;$E323&amp;",4326&amp;level=16",IF(_xlfn.SINGLE(JobState)="MN","https://fema.maps.arcgis.com/apps/mapviewer/index.html?url=https%3A%2F%2Fdotapp9.dot.state.mn.us%2Fegis12%2Frest%2Fservices%2FBASEMAP%2Fmndot_commonlayers2%2FMapServer%2F11&amp;find="&amp;$F323&amp;"%2C"&amp;$E323&amp;"&amp;marker="&amp;$F323&amp;","&amp;$E323&amp;",4326&amp;level=16",IF(_xlfn.SINGLE(JobState)="IL","https://fema.maps.arcgis.com/apps/mapviewer/index.html?url=https%3A%2F%2Fgis1.dot.illinois.gov%2Farcgis%2Frest%2Fservices%2FAdministrativeData%2FFunctionalClass%2FMapServer%2F0&amp;find="&amp;$F323&amp;"%2C"&amp;$E323&amp;"&amp;marker="&amp;$F323&amp;","&amp;$E323&amp;",4326&amp;level=16",IF(_xlfn.SINGLE(JobState)="OH","https://fema.maps.arcgis.com/apps/mapviewer/index.html?url=https%3A%2F%2Ftims.dot.state.oh.us%2Fags%2Frest%2Fservices%2FRoadway_Information%2FFunctional_Class%2FMapServer%2F0&amp;find="&amp;$F323&amp;"%2C"&amp;$E323&amp;"&amp;marker="&amp;$F323&amp;","&amp;$E323&amp;",4326&amp;level=16","https://fema.maps.arcgis.com/apps/mapviewer/index.html?find="&amp;$F323&amp;"%2C"&amp;$E323&amp;"&amp;marker="&amp;$F323&amp;","&amp;$E323&amp;",4326&amp;level=16")))))),IF(_xlfn.SINGLE(JobState)="WI","Review Local Roads Layer","Review NFC AGOL Layer"))))</f>
        <v/>
      </c>
      <c r="N323" s="6" t="str">
        <f>IF(OR($E323="",$F323=""),"",IF(_xlfn.SINGLE(JobState)="",IF(ROW()=2,HYPERLINK("#JobState","Set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323&amp;"%2C"&amp;$E323&amp;"&amp;marker="&amp;$F323&amp;","&amp;$E323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3" s="6" t="str">
        <f>IF(OR($E323="", $F323=""),"",IF(_xlfn.SINGLE(JobAgolMap)="",HYPERLINK("https://fema.maps.arcgis.com/apps/mapviewer/index.html?find="&amp;$F323&amp;"%2C"&amp;$E323&amp;"&amp;marker="&amp;$F323&amp;","&amp;$E323&amp;",4326&amp;level=16","FEMA AGOL Map Viewer"),HYPERLINK(_xlfn.SINGLE(JobAgolMap)&amp;IF(ISNUMBER(FIND("?",_xlfn.SINGLE(JobAgolMap))),"&amp;","?")&amp;"center="&amp;$F323&amp;","&amp;$E323&amp;"&amp;level=16&amp;marker="&amp;$F323&amp;","&amp;$E323,"Open")))</f>
        <v/>
      </c>
      <c r="Q323" s="4"/>
      <c r="R323" s="4"/>
      <c r="W323" s="6" t="str">
        <f t="shared" si="30"/>
        <v/>
      </c>
      <c r="X323" s="6" t="str">
        <f t="shared" si="31"/>
        <v/>
      </c>
      <c r="Y323" s="6" t="str">
        <f t="shared" si="32"/>
        <v/>
      </c>
      <c r="Z323" s="6" t="str">
        <f t="shared" si="33"/>
        <v/>
      </c>
      <c r="AA323" s="6" t="str">
        <f t="shared" si="34"/>
        <v/>
      </c>
      <c r="AB323" s="6" t="str">
        <f t="shared" si="35"/>
        <v/>
      </c>
      <c r="AC323" s="4"/>
      <c r="AD323" s="4"/>
    </row>
    <row r="324" spans="1:30" x14ac:dyDescent="0.45">
      <c r="A324" s="3"/>
      <c r="B324" s="3"/>
      <c r="C324" s="5" t="str">
        <f>IF($E324="","",COUNT($E$2:$E324))</f>
        <v/>
      </c>
      <c r="D324" s="3"/>
      <c r="E324" s="3"/>
      <c r="F324" s="3"/>
      <c r="G324" s="3"/>
      <c r="H324" s="3"/>
      <c r="I324" s="3"/>
      <c r="J324" s="3"/>
      <c r="K324" s="3"/>
      <c r="L324" s="4"/>
      <c r="M324" s="6" t="str">
        <f>IF(OR($E324="",$F324=""),"",IF(_xlfn.SINGLE(JobState)="",IF(ROW()=2,HYPERLINK("#JobState","Set State →"),""),HYPERLINK(IF(OR(_xlfn.SINGLE(JobState)="MI",_xlfn.SINGLE(JobState)=""),"https://fema.maps.arcgis.com/apps/mapviewer/index.html?webmap=6a1702b9147243d1a5ee62cd614bc681&amp;center="&amp;$F324&amp;","&amp;$E324&amp;"&amp;level=16&amp;marker="&amp;$F324&amp;","&amp;$E324&amp;"",IF(_xlfn.SINGLE(JobState)="IN","https://fema.maps.arcgis.com/apps/mapviewer/index.html?url=https%3A%2F%2Fgis.indot.in.gov%2Fro%2Frest%2Fservices%2FRAH_GIO_Collaboration%2FLRSE_Functional_Class%2FFeatureServer%2F22&amp;find="&amp;$F324&amp;"%2C"&amp;$E324&amp;"&amp;marker="&amp;$F324&amp;","&amp;$E324&amp;",4326&amp;level=16",IF(_xlfn.SINGLE(JobState)="WI","https://fema.maps.arcgis.com/apps/mapviewer/index.html?url=https://services5.arcgis.com/0pgGLzT0Nh7FVjon/arcgis/rest/services/Functional_Class_Local_Non_Prod/FeatureServer/1&amp;find="&amp;$F324&amp;"%2C"&amp;$E324&amp;"&amp;marker="&amp;$F324&amp;","&amp;$E324&amp;",4326&amp;level=16",IF(_xlfn.SINGLE(JobState)="MN","https://fema.maps.arcgis.com/apps/mapviewer/index.html?url=https%3A%2F%2Fdotapp9.dot.state.mn.us%2Fegis12%2Frest%2Fservices%2FBASEMAP%2Fmndot_commonlayers2%2FMapServer%2F11&amp;find="&amp;$F324&amp;"%2C"&amp;$E324&amp;"&amp;marker="&amp;$F324&amp;","&amp;$E324&amp;",4326&amp;level=16",IF(_xlfn.SINGLE(JobState)="IL","https://fema.maps.arcgis.com/apps/mapviewer/index.html?url=https%3A%2F%2Fgis1.dot.illinois.gov%2Farcgis%2Frest%2Fservices%2FAdministrativeData%2FFunctionalClass%2FMapServer%2F0&amp;find="&amp;$F324&amp;"%2C"&amp;$E324&amp;"&amp;marker="&amp;$F324&amp;","&amp;$E324&amp;",4326&amp;level=16",IF(_xlfn.SINGLE(JobState)="OH","https://fema.maps.arcgis.com/apps/mapviewer/index.html?url=https%3A%2F%2Ftims.dot.state.oh.us%2Fags%2Frest%2Fservices%2FRoadway_Information%2FFunctional_Class%2FMapServer%2F0&amp;find="&amp;$F324&amp;"%2C"&amp;$E324&amp;"&amp;marker="&amp;$F324&amp;","&amp;$E324&amp;",4326&amp;level=16","https://fema.maps.arcgis.com/apps/mapviewer/index.html?find="&amp;$F324&amp;"%2C"&amp;$E324&amp;"&amp;marker="&amp;$F324&amp;","&amp;$E324&amp;",4326&amp;level=16")))))),IF(_xlfn.SINGLE(JobState)="WI","Review Local Roads Layer","Review NFC AGOL Layer"))))</f>
        <v/>
      </c>
      <c r="N324" s="6" t="str">
        <f>IF(OR($E324="",$F324=""),"",IF(_xlfn.SINGLE(JobState)="",IF(ROW()=2,HYPERLINK("#JobState","Set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324&amp;"%2C"&amp;$E324&amp;"&amp;marker="&amp;$F324&amp;","&amp;$E324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4" s="6" t="str">
        <f>IF(OR($E324="", $F324=""),"",IF(_xlfn.SINGLE(JobAgolMap)="",HYPERLINK("https://fema.maps.arcgis.com/apps/mapviewer/index.html?find="&amp;$F324&amp;"%2C"&amp;$E324&amp;"&amp;marker="&amp;$F324&amp;","&amp;$E324&amp;",4326&amp;level=16","FEMA AGOL Map Viewer"),HYPERLINK(_xlfn.SINGLE(JobAgolMap)&amp;IF(ISNUMBER(FIND("?",_xlfn.SINGLE(JobAgolMap))),"&amp;","?")&amp;"center="&amp;$F324&amp;","&amp;$E324&amp;"&amp;level=16&amp;marker="&amp;$F324&amp;","&amp;$E324,"Open")))</f>
        <v/>
      </c>
      <c r="Q324" s="4"/>
      <c r="R324" s="4"/>
      <c r="W324" s="6" t="str">
        <f t="shared" si="30"/>
        <v/>
      </c>
      <c r="X324" s="6" t="str">
        <f t="shared" si="31"/>
        <v/>
      </c>
      <c r="Y324" s="6" t="str">
        <f t="shared" si="32"/>
        <v/>
      </c>
      <c r="Z324" s="6" t="str">
        <f t="shared" si="33"/>
        <v/>
      </c>
      <c r="AA324" s="6" t="str">
        <f t="shared" si="34"/>
        <v/>
      </c>
      <c r="AB324" s="6" t="str">
        <f t="shared" si="35"/>
        <v/>
      </c>
      <c r="AC324" s="4"/>
      <c r="AD324" s="4"/>
    </row>
    <row r="325" spans="1:30" x14ac:dyDescent="0.45">
      <c r="A325" s="3"/>
      <c r="B325" s="3"/>
      <c r="C325" s="5" t="str">
        <f>IF($E325="","",COUNT($E$2:$E325))</f>
        <v/>
      </c>
      <c r="D325" s="3"/>
      <c r="E325" s="3"/>
      <c r="F325" s="3"/>
      <c r="G325" s="3"/>
      <c r="H325" s="3"/>
      <c r="I325" s="3"/>
      <c r="J325" s="3"/>
      <c r="K325" s="3"/>
      <c r="L325" s="4"/>
      <c r="M325" s="6" t="str">
        <f>IF(OR($E325="",$F325=""),"",IF(_xlfn.SINGLE(JobState)="",IF(ROW()=2,HYPERLINK("#JobState","Set State →"),""),HYPERLINK(IF(OR(_xlfn.SINGLE(JobState)="MI",_xlfn.SINGLE(JobState)=""),"https://fema.maps.arcgis.com/apps/mapviewer/index.html?webmap=6a1702b9147243d1a5ee62cd614bc681&amp;center="&amp;$F325&amp;","&amp;$E325&amp;"&amp;level=16&amp;marker="&amp;$F325&amp;","&amp;$E325&amp;"",IF(_xlfn.SINGLE(JobState)="IN","https://fema.maps.arcgis.com/apps/mapviewer/index.html?url=https%3A%2F%2Fgis.indot.in.gov%2Fro%2Frest%2Fservices%2FRAH_GIO_Collaboration%2FLRSE_Functional_Class%2FFeatureServer%2F22&amp;find="&amp;$F325&amp;"%2C"&amp;$E325&amp;"&amp;marker="&amp;$F325&amp;","&amp;$E325&amp;",4326&amp;level=16",IF(_xlfn.SINGLE(JobState)="WI","https://fema.maps.arcgis.com/apps/mapviewer/index.html?url=https://services5.arcgis.com/0pgGLzT0Nh7FVjon/arcgis/rest/services/Functional_Class_Local_Non_Prod/FeatureServer/1&amp;find="&amp;$F325&amp;"%2C"&amp;$E325&amp;"&amp;marker="&amp;$F325&amp;","&amp;$E325&amp;",4326&amp;level=16",IF(_xlfn.SINGLE(JobState)="MN","https://fema.maps.arcgis.com/apps/mapviewer/index.html?url=https%3A%2F%2Fdotapp9.dot.state.mn.us%2Fegis12%2Frest%2Fservices%2FBASEMAP%2Fmndot_commonlayers2%2FMapServer%2F11&amp;find="&amp;$F325&amp;"%2C"&amp;$E325&amp;"&amp;marker="&amp;$F325&amp;","&amp;$E325&amp;",4326&amp;level=16",IF(_xlfn.SINGLE(JobState)="IL","https://fema.maps.arcgis.com/apps/mapviewer/index.html?url=https%3A%2F%2Fgis1.dot.illinois.gov%2Farcgis%2Frest%2Fservices%2FAdministrativeData%2FFunctionalClass%2FMapServer%2F0&amp;find="&amp;$F325&amp;"%2C"&amp;$E325&amp;"&amp;marker="&amp;$F325&amp;","&amp;$E325&amp;",4326&amp;level=16",IF(_xlfn.SINGLE(JobState)="OH","https://fema.maps.arcgis.com/apps/mapviewer/index.html?url=https%3A%2F%2Ftims.dot.state.oh.us%2Fags%2Frest%2Fservices%2FRoadway_Information%2FFunctional_Class%2FMapServer%2F0&amp;find="&amp;$F325&amp;"%2C"&amp;$E325&amp;"&amp;marker="&amp;$F325&amp;","&amp;$E325&amp;",4326&amp;level=16","https://fema.maps.arcgis.com/apps/mapviewer/index.html?find="&amp;$F325&amp;"%2C"&amp;$E325&amp;"&amp;marker="&amp;$F325&amp;","&amp;$E325&amp;",4326&amp;level=16")))))),IF(_xlfn.SINGLE(JobState)="WI","Review Local Roads Layer","Review NFC AGOL Layer"))))</f>
        <v/>
      </c>
      <c r="N325" s="6" t="str">
        <f>IF(OR($E325="",$F325=""),"",IF(_xlfn.SINGLE(JobState)="",IF(ROW()=2,HYPERLINK("#JobState","Set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325&amp;"%2C"&amp;$E325&amp;"&amp;marker="&amp;$F325&amp;","&amp;$E325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5" s="6" t="str">
        <f>IF(OR($E325="", $F325=""),"",IF(_xlfn.SINGLE(JobAgolMap)="",HYPERLINK("https://fema.maps.arcgis.com/apps/mapviewer/index.html?find="&amp;$F325&amp;"%2C"&amp;$E325&amp;"&amp;marker="&amp;$F325&amp;","&amp;$E325&amp;",4326&amp;level=16","FEMA AGOL Map Viewer"),HYPERLINK(_xlfn.SINGLE(JobAgolMap)&amp;IF(ISNUMBER(FIND("?",_xlfn.SINGLE(JobAgolMap))),"&amp;","?")&amp;"center="&amp;$F325&amp;","&amp;$E325&amp;"&amp;level=16&amp;marker="&amp;$F325&amp;","&amp;$E325,"Open")))</f>
        <v/>
      </c>
      <c r="Q325" s="4"/>
      <c r="R325" s="4"/>
      <c r="W325" s="6" t="str">
        <f t="shared" si="30"/>
        <v/>
      </c>
      <c r="X325" s="6" t="str">
        <f t="shared" si="31"/>
        <v/>
      </c>
      <c r="Y325" s="6" t="str">
        <f t="shared" si="32"/>
        <v/>
      </c>
      <c r="Z325" s="6" t="str">
        <f t="shared" si="33"/>
        <v/>
      </c>
      <c r="AA325" s="6" t="str">
        <f t="shared" si="34"/>
        <v/>
      </c>
      <c r="AB325" s="6" t="str">
        <f t="shared" si="35"/>
        <v/>
      </c>
      <c r="AC325" s="4"/>
      <c r="AD325" s="4"/>
    </row>
    <row r="326" spans="1:30" x14ac:dyDescent="0.45">
      <c r="A326" s="3"/>
      <c r="B326" s="3"/>
      <c r="C326" s="5" t="str">
        <f>IF($E326="","",COUNT($E$2:$E326))</f>
        <v/>
      </c>
      <c r="D326" s="3"/>
      <c r="E326" s="3"/>
      <c r="F326" s="3"/>
      <c r="G326" s="3"/>
      <c r="H326" s="3"/>
      <c r="I326" s="3"/>
      <c r="J326" s="3"/>
      <c r="K326" s="3"/>
      <c r="L326" s="4"/>
      <c r="M326" s="6" t="str">
        <f>IF(OR($E326="",$F326=""),"",IF(_xlfn.SINGLE(JobState)="",IF(ROW()=2,HYPERLINK("#JobState","Set State →"),""),HYPERLINK(IF(OR(_xlfn.SINGLE(JobState)="MI",_xlfn.SINGLE(JobState)=""),"https://fema.maps.arcgis.com/apps/mapviewer/index.html?webmap=6a1702b9147243d1a5ee62cd614bc681&amp;center="&amp;$F326&amp;","&amp;$E326&amp;"&amp;level=16&amp;marker="&amp;$F326&amp;","&amp;$E326&amp;"",IF(_xlfn.SINGLE(JobState)="IN","https://fema.maps.arcgis.com/apps/mapviewer/index.html?url=https%3A%2F%2Fgis.indot.in.gov%2Fro%2Frest%2Fservices%2FRAH_GIO_Collaboration%2FLRSE_Functional_Class%2FFeatureServer%2F22&amp;find="&amp;$F326&amp;"%2C"&amp;$E326&amp;"&amp;marker="&amp;$F326&amp;","&amp;$E326&amp;",4326&amp;level=16",IF(_xlfn.SINGLE(JobState)="WI","https://fema.maps.arcgis.com/apps/mapviewer/index.html?url=https://services5.arcgis.com/0pgGLzT0Nh7FVjon/arcgis/rest/services/Functional_Class_Local_Non_Prod/FeatureServer/1&amp;find="&amp;$F326&amp;"%2C"&amp;$E326&amp;"&amp;marker="&amp;$F326&amp;","&amp;$E326&amp;",4326&amp;level=16",IF(_xlfn.SINGLE(JobState)="MN","https://fema.maps.arcgis.com/apps/mapviewer/index.html?url=https%3A%2F%2Fdotapp9.dot.state.mn.us%2Fegis12%2Frest%2Fservices%2FBASEMAP%2Fmndot_commonlayers2%2FMapServer%2F11&amp;find="&amp;$F326&amp;"%2C"&amp;$E326&amp;"&amp;marker="&amp;$F326&amp;","&amp;$E326&amp;",4326&amp;level=16",IF(_xlfn.SINGLE(JobState)="IL","https://fema.maps.arcgis.com/apps/mapviewer/index.html?url=https%3A%2F%2Fgis1.dot.illinois.gov%2Farcgis%2Frest%2Fservices%2FAdministrativeData%2FFunctionalClass%2FMapServer%2F0&amp;find="&amp;$F326&amp;"%2C"&amp;$E326&amp;"&amp;marker="&amp;$F326&amp;","&amp;$E326&amp;",4326&amp;level=16",IF(_xlfn.SINGLE(JobState)="OH","https://fema.maps.arcgis.com/apps/mapviewer/index.html?url=https%3A%2F%2Ftims.dot.state.oh.us%2Fags%2Frest%2Fservices%2FRoadway_Information%2FFunctional_Class%2FMapServer%2F0&amp;find="&amp;$F326&amp;"%2C"&amp;$E326&amp;"&amp;marker="&amp;$F326&amp;","&amp;$E326&amp;",4326&amp;level=16","https://fema.maps.arcgis.com/apps/mapviewer/index.html?find="&amp;$F326&amp;"%2C"&amp;$E326&amp;"&amp;marker="&amp;$F326&amp;","&amp;$E326&amp;",4326&amp;level=16")))))),IF(_xlfn.SINGLE(JobState)="WI","Review Local Roads Layer","Review NFC AGOL Layer"))))</f>
        <v/>
      </c>
      <c r="N326" s="6" t="str">
        <f>IF(OR($E326="",$F326=""),"",IF(_xlfn.SINGLE(JobState)="",IF(ROW()=2,HYPERLINK("#JobState","Set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326&amp;"%2C"&amp;$E326&amp;"&amp;marker="&amp;$F326&amp;","&amp;$E326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6" s="6" t="str">
        <f>IF(OR($E326="", $F326=""),"",IF(_xlfn.SINGLE(JobAgolMap)="",HYPERLINK("https://fema.maps.arcgis.com/apps/mapviewer/index.html?find="&amp;$F326&amp;"%2C"&amp;$E326&amp;"&amp;marker="&amp;$F326&amp;","&amp;$E326&amp;",4326&amp;level=16","FEMA AGOL Map Viewer"),HYPERLINK(_xlfn.SINGLE(JobAgolMap)&amp;IF(ISNUMBER(FIND("?",_xlfn.SINGLE(JobAgolMap))),"&amp;","?")&amp;"center="&amp;$F326&amp;","&amp;$E326&amp;"&amp;level=16&amp;marker="&amp;$F326&amp;","&amp;$E326,"Open")))</f>
        <v/>
      </c>
      <c r="Q326" s="4"/>
      <c r="R326" s="4"/>
      <c r="W326" s="6" t="str">
        <f t="shared" si="30"/>
        <v/>
      </c>
      <c r="X326" s="6" t="str">
        <f t="shared" si="31"/>
        <v/>
      </c>
      <c r="Y326" s="6" t="str">
        <f t="shared" si="32"/>
        <v/>
      </c>
      <c r="Z326" s="6" t="str">
        <f t="shared" si="33"/>
        <v/>
      </c>
      <c r="AA326" s="6" t="str">
        <f t="shared" si="34"/>
        <v/>
      </c>
      <c r="AB326" s="6" t="str">
        <f t="shared" si="35"/>
        <v/>
      </c>
      <c r="AC326" s="4"/>
      <c r="AD326" s="4"/>
    </row>
    <row r="327" spans="1:30" x14ac:dyDescent="0.45">
      <c r="A327" s="3"/>
      <c r="B327" s="3"/>
      <c r="C327" s="5" t="str">
        <f>IF($E327="","",COUNT($E$2:$E327))</f>
        <v/>
      </c>
      <c r="D327" s="3"/>
      <c r="E327" s="3"/>
      <c r="F327" s="3"/>
      <c r="G327" s="3"/>
      <c r="H327" s="3"/>
      <c r="I327" s="3"/>
      <c r="J327" s="3"/>
      <c r="K327" s="3"/>
      <c r="L327" s="4"/>
      <c r="M327" s="6" t="str">
        <f>IF(OR($E327="",$F327=""),"",IF(_xlfn.SINGLE(JobState)="",IF(ROW()=2,HYPERLINK("#JobState","Set State →"),""),HYPERLINK(IF(OR(_xlfn.SINGLE(JobState)="MI",_xlfn.SINGLE(JobState)=""),"https://fema.maps.arcgis.com/apps/mapviewer/index.html?webmap=6a1702b9147243d1a5ee62cd614bc681&amp;center="&amp;$F327&amp;","&amp;$E327&amp;"&amp;level=16&amp;marker="&amp;$F327&amp;","&amp;$E327&amp;"",IF(_xlfn.SINGLE(JobState)="IN","https://fema.maps.arcgis.com/apps/mapviewer/index.html?url=https%3A%2F%2Fgis.indot.in.gov%2Fro%2Frest%2Fservices%2FRAH_GIO_Collaboration%2FLRSE_Functional_Class%2FFeatureServer%2F22&amp;find="&amp;$F327&amp;"%2C"&amp;$E327&amp;"&amp;marker="&amp;$F327&amp;","&amp;$E327&amp;",4326&amp;level=16",IF(_xlfn.SINGLE(JobState)="WI","https://fema.maps.arcgis.com/apps/mapviewer/index.html?url=https://services5.arcgis.com/0pgGLzT0Nh7FVjon/arcgis/rest/services/Functional_Class_Local_Non_Prod/FeatureServer/1&amp;find="&amp;$F327&amp;"%2C"&amp;$E327&amp;"&amp;marker="&amp;$F327&amp;","&amp;$E327&amp;",4326&amp;level=16",IF(_xlfn.SINGLE(JobState)="MN","https://fema.maps.arcgis.com/apps/mapviewer/index.html?url=https%3A%2F%2Fdotapp9.dot.state.mn.us%2Fegis12%2Frest%2Fservices%2FBASEMAP%2Fmndot_commonlayers2%2FMapServer%2F11&amp;find="&amp;$F327&amp;"%2C"&amp;$E327&amp;"&amp;marker="&amp;$F327&amp;","&amp;$E327&amp;",4326&amp;level=16",IF(_xlfn.SINGLE(JobState)="IL","https://fema.maps.arcgis.com/apps/mapviewer/index.html?url=https%3A%2F%2Fgis1.dot.illinois.gov%2Farcgis%2Frest%2Fservices%2FAdministrativeData%2FFunctionalClass%2FMapServer%2F0&amp;find="&amp;$F327&amp;"%2C"&amp;$E327&amp;"&amp;marker="&amp;$F327&amp;","&amp;$E327&amp;",4326&amp;level=16",IF(_xlfn.SINGLE(JobState)="OH","https://fema.maps.arcgis.com/apps/mapviewer/index.html?url=https%3A%2F%2Ftims.dot.state.oh.us%2Fags%2Frest%2Fservices%2FRoadway_Information%2FFunctional_Class%2FMapServer%2F0&amp;find="&amp;$F327&amp;"%2C"&amp;$E327&amp;"&amp;marker="&amp;$F327&amp;","&amp;$E327&amp;",4326&amp;level=16","https://fema.maps.arcgis.com/apps/mapviewer/index.html?find="&amp;$F327&amp;"%2C"&amp;$E327&amp;"&amp;marker="&amp;$F327&amp;","&amp;$E327&amp;",4326&amp;level=16")))))),IF(_xlfn.SINGLE(JobState)="WI","Review Local Roads Layer","Review NFC AGOL Layer"))))</f>
        <v/>
      </c>
      <c r="N327" s="6" t="str">
        <f>IF(OR($E327="",$F327=""),"",IF(_xlfn.SINGLE(JobState)="",IF(ROW()=2,HYPERLINK("#JobState","Set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327&amp;"%2C"&amp;$E327&amp;"&amp;marker="&amp;$F327&amp;","&amp;$E327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7" s="6" t="str">
        <f>IF(OR($E327="", $F327=""),"",IF(_xlfn.SINGLE(JobAgolMap)="",HYPERLINK("https://fema.maps.arcgis.com/apps/mapviewer/index.html?find="&amp;$F327&amp;"%2C"&amp;$E327&amp;"&amp;marker="&amp;$F327&amp;","&amp;$E327&amp;",4326&amp;level=16","FEMA AGOL Map Viewer"),HYPERLINK(_xlfn.SINGLE(JobAgolMap)&amp;IF(ISNUMBER(FIND("?",_xlfn.SINGLE(JobAgolMap))),"&amp;","?")&amp;"center="&amp;$F327&amp;","&amp;$E327&amp;"&amp;level=16&amp;marker="&amp;$F327&amp;","&amp;$E327,"Open")))</f>
        <v/>
      </c>
      <c r="Q327" s="4"/>
      <c r="R327" s="4"/>
      <c r="W327" s="6" t="str">
        <f t="shared" si="30"/>
        <v/>
      </c>
      <c r="X327" s="6" t="str">
        <f t="shared" si="31"/>
        <v/>
      </c>
      <c r="Y327" s="6" t="str">
        <f t="shared" si="32"/>
        <v/>
      </c>
      <c r="Z327" s="6" t="str">
        <f t="shared" si="33"/>
        <v/>
      </c>
      <c r="AA327" s="6" t="str">
        <f t="shared" si="34"/>
        <v/>
      </c>
      <c r="AB327" s="6" t="str">
        <f t="shared" si="35"/>
        <v/>
      </c>
      <c r="AC327" s="4"/>
      <c r="AD327" s="4"/>
    </row>
    <row r="328" spans="1:30" x14ac:dyDescent="0.45">
      <c r="A328" s="3"/>
      <c r="B328" s="3"/>
      <c r="C328" s="5" t="str">
        <f>IF($E328="","",COUNT($E$2:$E328))</f>
        <v/>
      </c>
      <c r="D328" s="3"/>
      <c r="E328" s="3"/>
      <c r="F328" s="3"/>
      <c r="G328" s="3"/>
      <c r="H328" s="3"/>
      <c r="I328" s="3"/>
      <c r="J328" s="3"/>
      <c r="K328" s="3"/>
      <c r="L328" s="4"/>
      <c r="M328" s="6" t="str">
        <f>IF(OR($E328="",$F328=""),"",IF(_xlfn.SINGLE(JobState)="",IF(ROW()=2,HYPERLINK("#JobState","Set State →"),""),HYPERLINK(IF(OR(_xlfn.SINGLE(JobState)="MI",_xlfn.SINGLE(JobState)=""),"https://fema.maps.arcgis.com/apps/mapviewer/index.html?webmap=6a1702b9147243d1a5ee62cd614bc681&amp;center="&amp;$F328&amp;","&amp;$E328&amp;"&amp;level=16&amp;marker="&amp;$F328&amp;","&amp;$E328&amp;"",IF(_xlfn.SINGLE(JobState)="IN","https://fema.maps.arcgis.com/apps/mapviewer/index.html?url=https%3A%2F%2Fgis.indot.in.gov%2Fro%2Frest%2Fservices%2FRAH_GIO_Collaboration%2FLRSE_Functional_Class%2FFeatureServer%2F22&amp;find="&amp;$F328&amp;"%2C"&amp;$E328&amp;"&amp;marker="&amp;$F328&amp;","&amp;$E328&amp;",4326&amp;level=16",IF(_xlfn.SINGLE(JobState)="WI","https://fema.maps.arcgis.com/apps/mapviewer/index.html?url=https://services5.arcgis.com/0pgGLzT0Nh7FVjon/arcgis/rest/services/Functional_Class_Local_Non_Prod/FeatureServer/1&amp;find="&amp;$F328&amp;"%2C"&amp;$E328&amp;"&amp;marker="&amp;$F328&amp;","&amp;$E328&amp;",4326&amp;level=16",IF(_xlfn.SINGLE(JobState)="MN","https://fema.maps.arcgis.com/apps/mapviewer/index.html?url=https%3A%2F%2Fdotapp9.dot.state.mn.us%2Fegis12%2Frest%2Fservices%2FBASEMAP%2Fmndot_commonlayers2%2FMapServer%2F11&amp;find="&amp;$F328&amp;"%2C"&amp;$E328&amp;"&amp;marker="&amp;$F328&amp;","&amp;$E328&amp;",4326&amp;level=16",IF(_xlfn.SINGLE(JobState)="IL","https://fema.maps.arcgis.com/apps/mapviewer/index.html?url=https%3A%2F%2Fgis1.dot.illinois.gov%2Farcgis%2Frest%2Fservices%2FAdministrativeData%2FFunctionalClass%2FMapServer%2F0&amp;find="&amp;$F328&amp;"%2C"&amp;$E328&amp;"&amp;marker="&amp;$F328&amp;","&amp;$E328&amp;",4326&amp;level=16",IF(_xlfn.SINGLE(JobState)="OH","https://fema.maps.arcgis.com/apps/mapviewer/index.html?url=https%3A%2F%2Ftims.dot.state.oh.us%2Fags%2Frest%2Fservices%2FRoadway_Information%2FFunctional_Class%2FMapServer%2F0&amp;find="&amp;$F328&amp;"%2C"&amp;$E328&amp;"&amp;marker="&amp;$F328&amp;","&amp;$E328&amp;",4326&amp;level=16","https://fema.maps.arcgis.com/apps/mapviewer/index.html?find="&amp;$F328&amp;"%2C"&amp;$E328&amp;"&amp;marker="&amp;$F328&amp;","&amp;$E328&amp;",4326&amp;level=16")))))),IF(_xlfn.SINGLE(JobState)="WI","Review Local Roads Layer","Review NFC AGOL Layer"))))</f>
        <v/>
      </c>
      <c r="N328" s="6" t="str">
        <f>IF(OR($E328="",$F328=""),"",IF(_xlfn.SINGLE(JobState)="",IF(ROW()=2,HYPERLINK("#JobState","Set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328&amp;"%2C"&amp;$E328&amp;"&amp;marker="&amp;$F328&amp;","&amp;$E328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8" s="6" t="str">
        <f>IF(OR($E328="", $F328=""),"",IF(_xlfn.SINGLE(JobAgolMap)="",HYPERLINK("https://fema.maps.arcgis.com/apps/mapviewer/index.html?find="&amp;$F328&amp;"%2C"&amp;$E328&amp;"&amp;marker="&amp;$F328&amp;","&amp;$E328&amp;",4326&amp;level=16","FEMA AGOL Map Viewer"),HYPERLINK(_xlfn.SINGLE(JobAgolMap)&amp;IF(ISNUMBER(FIND("?",_xlfn.SINGLE(JobAgolMap))),"&amp;","?")&amp;"center="&amp;$F328&amp;","&amp;$E328&amp;"&amp;level=16&amp;marker="&amp;$F328&amp;","&amp;$E328,"Open")))</f>
        <v/>
      </c>
      <c r="Q328" s="4"/>
      <c r="R328" s="4"/>
      <c r="W328" s="6" t="str">
        <f t="shared" si="30"/>
        <v/>
      </c>
      <c r="X328" s="6" t="str">
        <f t="shared" si="31"/>
        <v/>
      </c>
      <c r="Y328" s="6" t="str">
        <f t="shared" si="32"/>
        <v/>
      </c>
      <c r="Z328" s="6" t="str">
        <f t="shared" si="33"/>
        <v/>
      </c>
      <c r="AA328" s="6" t="str">
        <f t="shared" si="34"/>
        <v/>
      </c>
      <c r="AB328" s="6" t="str">
        <f t="shared" si="35"/>
        <v/>
      </c>
      <c r="AC328" s="4"/>
      <c r="AD328" s="4"/>
    </row>
    <row r="329" spans="1:30" x14ac:dyDescent="0.45">
      <c r="A329" s="3"/>
      <c r="B329" s="3"/>
      <c r="C329" s="5" t="str">
        <f>IF($E329="","",COUNT($E$2:$E329))</f>
        <v/>
      </c>
      <c r="D329" s="3"/>
      <c r="E329" s="3"/>
      <c r="F329" s="3"/>
      <c r="G329" s="3"/>
      <c r="H329" s="3"/>
      <c r="I329" s="3"/>
      <c r="J329" s="3"/>
      <c r="K329" s="3"/>
      <c r="L329" s="4"/>
      <c r="M329" s="6" t="str">
        <f>IF(OR($E329="",$F329=""),"",IF(_xlfn.SINGLE(JobState)="",IF(ROW()=2,HYPERLINK("#JobState","Set State →"),""),HYPERLINK(IF(OR(_xlfn.SINGLE(JobState)="MI",_xlfn.SINGLE(JobState)=""),"https://fema.maps.arcgis.com/apps/mapviewer/index.html?webmap=6a1702b9147243d1a5ee62cd614bc681&amp;center="&amp;$F329&amp;","&amp;$E329&amp;"&amp;level=16&amp;marker="&amp;$F329&amp;","&amp;$E329&amp;"",IF(_xlfn.SINGLE(JobState)="IN","https://fema.maps.arcgis.com/apps/mapviewer/index.html?url=https%3A%2F%2Fgis.indot.in.gov%2Fro%2Frest%2Fservices%2FRAH_GIO_Collaboration%2FLRSE_Functional_Class%2FFeatureServer%2F22&amp;find="&amp;$F329&amp;"%2C"&amp;$E329&amp;"&amp;marker="&amp;$F329&amp;","&amp;$E329&amp;",4326&amp;level=16",IF(_xlfn.SINGLE(JobState)="WI","https://fema.maps.arcgis.com/apps/mapviewer/index.html?url=https://services5.arcgis.com/0pgGLzT0Nh7FVjon/arcgis/rest/services/Functional_Class_Local_Non_Prod/FeatureServer/1&amp;find="&amp;$F329&amp;"%2C"&amp;$E329&amp;"&amp;marker="&amp;$F329&amp;","&amp;$E329&amp;",4326&amp;level=16",IF(_xlfn.SINGLE(JobState)="MN","https://fema.maps.arcgis.com/apps/mapviewer/index.html?url=https%3A%2F%2Fdotapp9.dot.state.mn.us%2Fegis12%2Frest%2Fservices%2FBASEMAP%2Fmndot_commonlayers2%2FMapServer%2F11&amp;find="&amp;$F329&amp;"%2C"&amp;$E329&amp;"&amp;marker="&amp;$F329&amp;","&amp;$E329&amp;",4326&amp;level=16",IF(_xlfn.SINGLE(JobState)="IL","https://fema.maps.arcgis.com/apps/mapviewer/index.html?url=https%3A%2F%2Fgis1.dot.illinois.gov%2Farcgis%2Frest%2Fservices%2FAdministrativeData%2FFunctionalClass%2FMapServer%2F0&amp;find="&amp;$F329&amp;"%2C"&amp;$E329&amp;"&amp;marker="&amp;$F329&amp;","&amp;$E329&amp;",4326&amp;level=16",IF(_xlfn.SINGLE(JobState)="OH","https://fema.maps.arcgis.com/apps/mapviewer/index.html?url=https%3A%2F%2Ftims.dot.state.oh.us%2Fags%2Frest%2Fservices%2FRoadway_Information%2FFunctional_Class%2FMapServer%2F0&amp;find="&amp;$F329&amp;"%2C"&amp;$E329&amp;"&amp;marker="&amp;$F329&amp;","&amp;$E329&amp;",4326&amp;level=16","https://fema.maps.arcgis.com/apps/mapviewer/index.html?find="&amp;$F329&amp;"%2C"&amp;$E329&amp;"&amp;marker="&amp;$F329&amp;","&amp;$E329&amp;",4326&amp;level=16")))))),IF(_xlfn.SINGLE(JobState)="WI","Review Local Roads Layer","Review NFC AGOL Layer"))))</f>
        <v/>
      </c>
      <c r="N329" s="6" t="str">
        <f>IF(OR($E329="",$F329=""),"",IF(_xlfn.SINGLE(JobState)="",IF(ROW()=2,HYPERLINK("#JobState","Set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329&amp;"%2C"&amp;$E329&amp;"&amp;marker="&amp;$F329&amp;","&amp;$E329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9" s="6" t="str">
        <f>IF(OR($E329="", $F329=""),"",IF(_xlfn.SINGLE(JobAgolMap)="",HYPERLINK("https://fema.maps.arcgis.com/apps/mapviewer/index.html?find="&amp;$F329&amp;"%2C"&amp;$E329&amp;"&amp;marker="&amp;$F329&amp;","&amp;$E329&amp;",4326&amp;level=16","FEMA AGOL Map Viewer"),HYPERLINK(_xlfn.SINGLE(JobAgolMap)&amp;IF(ISNUMBER(FIND("?",_xlfn.SINGLE(JobAgolMap))),"&amp;","?")&amp;"center="&amp;$F329&amp;","&amp;$E329&amp;"&amp;level=16&amp;marker="&amp;$F329&amp;","&amp;$E329,"Open")))</f>
        <v/>
      </c>
      <c r="Q329" s="4"/>
      <c r="R329" s="4"/>
      <c r="W329" s="6" t="str">
        <f t="shared" si="30"/>
        <v/>
      </c>
      <c r="X329" s="6" t="str">
        <f t="shared" si="31"/>
        <v/>
      </c>
      <c r="Y329" s="6" t="str">
        <f t="shared" si="32"/>
        <v/>
      </c>
      <c r="Z329" s="6" t="str">
        <f t="shared" si="33"/>
        <v/>
      </c>
      <c r="AA329" s="6" t="str">
        <f t="shared" si="34"/>
        <v/>
      </c>
      <c r="AB329" s="6" t="str">
        <f t="shared" si="35"/>
        <v/>
      </c>
      <c r="AC329" s="4"/>
      <c r="AD329" s="4"/>
    </row>
    <row r="330" spans="1:30" x14ac:dyDescent="0.45">
      <c r="A330" s="3"/>
      <c r="B330" s="3"/>
      <c r="C330" s="5" t="str">
        <f>IF($E330="","",COUNT($E$2:$E330))</f>
        <v/>
      </c>
      <c r="D330" s="3"/>
      <c r="E330" s="3"/>
      <c r="F330" s="3"/>
      <c r="G330" s="3"/>
      <c r="H330" s="3"/>
      <c r="I330" s="3"/>
      <c r="J330" s="3"/>
      <c r="K330" s="3"/>
      <c r="L330" s="4"/>
      <c r="M330" s="6" t="str">
        <f>IF(OR($E330="",$F330=""),"",IF(_xlfn.SINGLE(JobState)="",IF(ROW()=2,HYPERLINK("#JobState","Set State →"),""),HYPERLINK(IF(OR(_xlfn.SINGLE(JobState)="MI",_xlfn.SINGLE(JobState)=""),"https://fema.maps.arcgis.com/apps/mapviewer/index.html?webmap=6a1702b9147243d1a5ee62cd614bc681&amp;center="&amp;$F330&amp;","&amp;$E330&amp;"&amp;level=16&amp;marker="&amp;$F330&amp;","&amp;$E330&amp;"",IF(_xlfn.SINGLE(JobState)="IN","https://fema.maps.arcgis.com/apps/mapviewer/index.html?url=https%3A%2F%2Fgis.indot.in.gov%2Fro%2Frest%2Fservices%2FRAH_GIO_Collaboration%2FLRSE_Functional_Class%2FFeatureServer%2F22&amp;find="&amp;$F330&amp;"%2C"&amp;$E330&amp;"&amp;marker="&amp;$F330&amp;","&amp;$E330&amp;",4326&amp;level=16",IF(_xlfn.SINGLE(JobState)="WI","https://fema.maps.arcgis.com/apps/mapviewer/index.html?url=https://services5.arcgis.com/0pgGLzT0Nh7FVjon/arcgis/rest/services/Functional_Class_Local_Non_Prod/FeatureServer/1&amp;find="&amp;$F330&amp;"%2C"&amp;$E330&amp;"&amp;marker="&amp;$F330&amp;","&amp;$E330&amp;",4326&amp;level=16",IF(_xlfn.SINGLE(JobState)="MN","https://fema.maps.arcgis.com/apps/mapviewer/index.html?url=https%3A%2F%2Fdotapp9.dot.state.mn.us%2Fegis12%2Frest%2Fservices%2FBASEMAP%2Fmndot_commonlayers2%2FMapServer%2F11&amp;find="&amp;$F330&amp;"%2C"&amp;$E330&amp;"&amp;marker="&amp;$F330&amp;","&amp;$E330&amp;",4326&amp;level=16",IF(_xlfn.SINGLE(JobState)="IL","https://fema.maps.arcgis.com/apps/mapviewer/index.html?url=https%3A%2F%2Fgis1.dot.illinois.gov%2Farcgis%2Frest%2Fservices%2FAdministrativeData%2FFunctionalClass%2FMapServer%2F0&amp;find="&amp;$F330&amp;"%2C"&amp;$E330&amp;"&amp;marker="&amp;$F330&amp;","&amp;$E330&amp;",4326&amp;level=16",IF(_xlfn.SINGLE(JobState)="OH","https://fema.maps.arcgis.com/apps/mapviewer/index.html?url=https%3A%2F%2Ftims.dot.state.oh.us%2Fags%2Frest%2Fservices%2FRoadway_Information%2FFunctional_Class%2FMapServer%2F0&amp;find="&amp;$F330&amp;"%2C"&amp;$E330&amp;"&amp;marker="&amp;$F330&amp;","&amp;$E330&amp;",4326&amp;level=16","https://fema.maps.arcgis.com/apps/mapviewer/index.html?find="&amp;$F330&amp;"%2C"&amp;$E330&amp;"&amp;marker="&amp;$F330&amp;","&amp;$E330&amp;",4326&amp;level=16")))))),IF(_xlfn.SINGLE(JobState)="WI","Review Local Roads Layer","Review NFC AGOL Layer"))))</f>
        <v/>
      </c>
      <c r="N330" s="6" t="str">
        <f>IF(OR($E330="",$F330=""),"",IF(_xlfn.SINGLE(JobState)="",IF(ROW()=2,HYPERLINK("#JobState","Set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330&amp;"%2C"&amp;$E330&amp;"&amp;marker="&amp;$F330&amp;","&amp;$E330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0" s="6" t="str">
        <f>IF(OR($E330="", $F330=""),"",IF(_xlfn.SINGLE(JobAgolMap)="",HYPERLINK("https://fema.maps.arcgis.com/apps/mapviewer/index.html?find="&amp;$F330&amp;"%2C"&amp;$E330&amp;"&amp;marker="&amp;$F330&amp;","&amp;$E330&amp;",4326&amp;level=16","FEMA AGOL Map Viewer"),HYPERLINK(_xlfn.SINGLE(JobAgolMap)&amp;IF(ISNUMBER(FIND("?",_xlfn.SINGLE(JobAgolMap))),"&amp;","?")&amp;"center="&amp;$F330&amp;","&amp;$E330&amp;"&amp;level=16&amp;marker="&amp;$F330&amp;","&amp;$E330,"Open")))</f>
        <v/>
      </c>
      <c r="Q330" s="4"/>
      <c r="R330" s="4"/>
      <c r="W330" s="6" t="str">
        <f t="shared" si="30"/>
        <v/>
      </c>
      <c r="X330" s="6" t="str">
        <f t="shared" si="31"/>
        <v/>
      </c>
      <c r="Y330" s="6" t="str">
        <f t="shared" si="32"/>
        <v/>
      </c>
      <c r="Z330" s="6" t="str">
        <f t="shared" si="33"/>
        <v/>
      </c>
      <c r="AA330" s="6" t="str">
        <f t="shared" si="34"/>
        <v/>
      </c>
      <c r="AB330" s="6" t="str">
        <f t="shared" si="35"/>
        <v/>
      </c>
      <c r="AC330" s="4"/>
      <c r="AD330" s="4"/>
    </row>
    <row r="331" spans="1:30" x14ac:dyDescent="0.45">
      <c r="A331" s="3"/>
      <c r="B331" s="3"/>
      <c r="C331" s="5" t="str">
        <f>IF($E331="","",COUNT($E$2:$E331))</f>
        <v/>
      </c>
      <c r="D331" s="3"/>
      <c r="E331" s="3"/>
      <c r="F331" s="3"/>
      <c r="G331" s="3"/>
      <c r="H331" s="3"/>
      <c r="I331" s="3"/>
      <c r="J331" s="3"/>
      <c r="K331" s="3"/>
      <c r="L331" s="4"/>
      <c r="M331" s="6" t="str">
        <f>IF(OR($E331="",$F331=""),"",IF(_xlfn.SINGLE(JobState)="",IF(ROW()=2,HYPERLINK("#JobState","Set State →"),""),HYPERLINK(IF(OR(_xlfn.SINGLE(JobState)="MI",_xlfn.SINGLE(JobState)=""),"https://fema.maps.arcgis.com/apps/mapviewer/index.html?webmap=6a1702b9147243d1a5ee62cd614bc681&amp;center="&amp;$F331&amp;","&amp;$E331&amp;"&amp;level=16&amp;marker="&amp;$F331&amp;","&amp;$E331&amp;"",IF(_xlfn.SINGLE(JobState)="IN","https://fema.maps.arcgis.com/apps/mapviewer/index.html?url=https%3A%2F%2Fgis.indot.in.gov%2Fro%2Frest%2Fservices%2FRAH_GIO_Collaboration%2FLRSE_Functional_Class%2FFeatureServer%2F22&amp;find="&amp;$F331&amp;"%2C"&amp;$E331&amp;"&amp;marker="&amp;$F331&amp;","&amp;$E331&amp;",4326&amp;level=16",IF(_xlfn.SINGLE(JobState)="WI","https://fema.maps.arcgis.com/apps/mapviewer/index.html?url=https://services5.arcgis.com/0pgGLzT0Nh7FVjon/arcgis/rest/services/Functional_Class_Local_Non_Prod/FeatureServer/1&amp;find="&amp;$F331&amp;"%2C"&amp;$E331&amp;"&amp;marker="&amp;$F331&amp;","&amp;$E331&amp;",4326&amp;level=16",IF(_xlfn.SINGLE(JobState)="MN","https://fema.maps.arcgis.com/apps/mapviewer/index.html?url=https%3A%2F%2Fdotapp9.dot.state.mn.us%2Fegis12%2Frest%2Fservices%2FBASEMAP%2Fmndot_commonlayers2%2FMapServer%2F11&amp;find="&amp;$F331&amp;"%2C"&amp;$E331&amp;"&amp;marker="&amp;$F331&amp;","&amp;$E331&amp;",4326&amp;level=16",IF(_xlfn.SINGLE(JobState)="IL","https://fema.maps.arcgis.com/apps/mapviewer/index.html?url=https%3A%2F%2Fgis1.dot.illinois.gov%2Farcgis%2Frest%2Fservices%2FAdministrativeData%2FFunctionalClass%2FMapServer%2F0&amp;find="&amp;$F331&amp;"%2C"&amp;$E331&amp;"&amp;marker="&amp;$F331&amp;","&amp;$E331&amp;",4326&amp;level=16",IF(_xlfn.SINGLE(JobState)="OH","https://fema.maps.arcgis.com/apps/mapviewer/index.html?url=https%3A%2F%2Ftims.dot.state.oh.us%2Fags%2Frest%2Fservices%2FRoadway_Information%2FFunctional_Class%2FMapServer%2F0&amp;find="&amp;$F331&amp;"%2C"&amp;$E331&amp;"&amp;marker="&amp;$F331&amp;","&amp;$E331&amp;",4326&amp;level=16","https://fema.maps.arcgis.com/apps/mapviewer/index.html?find="&amp;$F331&amp;"%2C"&amp;$E331&amp;"&amp;marker="&amp;$F331&amp;","&amp;$E331&amp;",4326&amp;level=16")))))),IF(_xlfn.SINGLE(JobState)="WI","Review Local Roads Layer","Review NFC AGOL Layer"))))</f>
        <v/>
      </c>
      <c r="N331" s="6" t="str">
        <f>IF(OR($E331="",$F331=""),"",IF(_xlfn.SINGLE(JobState)="",IF(ROW()=2,HYPERLINK("#JobState","Set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331&amp;"%2C"&amp;$E331&amp;"&amp;marker="&amp;$F331&amp;","&amp;$E331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1" s="6" t="str">
        <f>IF(OR($E331="", $F331=""),"",IF(_xlfn.SINGLE(JobAgolMap)="",HYPERLINK("https://fema.maps.arcgis.com/apps/mapviewer/index.html?find="&amp;$F331&amp;"%2C"&amp;$E331&amp;"&amp;marker="&amp;$F331&amp;","&amp;$E331&amp;",4326&amp;level=16","FEMA AGOL Map Viewer"),HYPERLINK(_xlfn.SINGLE(JobAgolMap)&amp;IF(ISNUMBER(FIND("?",_xlfn.SINGLE(JobAgolMap))),"&amp;","?")&amp;"center="&amp;$F331&amp;","&amp;$E331&amp;"&amp;level=16&amp;marker="&amp;$F331&amp;","&amp;$E331,"Open")))</f>
        <v/>
      </c>
      <c r="Q331" s="4"/>
      <c r="R331" s="4"/>
      <c r="W331" s="6" t="str">
        <f t="shared" si="30"/>
        <v/>
      </c>
      <c r="X331" s="6" t="str">
        <f t="shared" si="31"/>
        <v/>
      </c>
      <c r="Y331" s="6" t="str">
        <f t="shared" si="32"/>
        <v/>
      </c>
      <c r="Z331" s="6" t="str">
        <f t="shared" si="33"/>
        <v/>
      </c>
      <c r="AA331" s="6" t="str">
        <f t="shared" si="34"/>
        <v/>
      </c>
      <c r="AB331" s="6" t="str">
        <f t="shared" si="35"/>
        <v/>
      </c>
      <c r="AC331" s="4"/>
      <c r="AD331" s="4"/>
    </row>
    <row r="332" spans="1:30" x14ac:dyDescent="0.45">
      <c r="A332" s="3"/>
      <c r="B332" s="3"/>
      <c r="C332" s="5" t="str">
        <f>IF($E332="","",COUNT($E$2:$E332))</f>
        <v/>
      </c>
      <c r="D332" s="3"/>
      <c r="E332" s="3"/>
      <c r="F332" s="3"/>
      <c r="G332" s="3"/>
      <c r="H332" s="3"/>
      <c r="I332" s="3"/>
      <c r="J332" s="3"/>
      <c r="K332" s="3"/>
      <c r="L332" s="4"/>
      <c r="M332" s="6" t="str">
        <f>IF(OR($E332="",$F332=""),"",IF(_xlfn.SINGLE(JobState)="",IF(ROW()=2,HYPERLINK("#JobState","Set State →"),""),HYPERLINK(IF(OR(_xlfn.SINGLE(JobState)="MI",_xlfn.SINGLE(JobState)=""),"https://fema.maps.arcgis.com/apps/mapviewer/index.html?webmap=6a1702b9147243d1a5ee62cd614bc681&amp;center="&amp;$F332&amp;","&amp;$E332&amp;"&amp;level=16&amp;marker="&amp;$F332&amp;","&amp;$E332&amp;"",IF(_xlfn.SINGLE(JobState)="IN","https://fema.maps.arcgis.com/apps/mapviewer/index.html?url=https%3A%2F%2Fgis.indot.in.gov%2Fro%2Frest%2Fservices%2FRAH_GIO_Collaboration%2FLRSE_Functional_Class%2FFeatureServer%2F22&amp;find="&amp;$F332&amp;"%2C"&amp;$E332&amp;"&amp;marker="&amp;$F332&amp;","&amp;$E332&amp;",4326&amp;level=16",IF(_xlfn.SINGLE(JobState)="WI","https://fema.maps.arcgis.com/apps/mapviewer/index.html?url=https://services5.arcgis.com/0pgGLzT0Nh7FVjon/arcgis/rest/services/Functional_Class_Local_Non_Prod/FeatureServer/1&amp;find="&amp;$F332&amp;"%2C"&amp;$E332&amp;"&amp;marker="&amp;$F332&amp;","&amp;$E332&amp;",4326&amp;level=16",IF(_xlfn.SINGLE(JobState)="MN","https://fema.maps.arcgis.com/apps/mapviewer/index.html?url=https%3A%2F%2Fdotapp9.dot.state.mn.us%2Fegis12%2Frest%2Fservices%2FBASEMAP%2Fmndot_commonlayers2%2FMapServer%2F11&amp;find="&amp;$F332&amp;"%2C"&amp;$E332&amp;"&amp;marker="&amp;$F332&amp;","&amp;$E332&amp;",4326&amp;level=16",IF(_xlfn.SINGLE(JobState)="IL","https://fema.maps.arcgis.com/apps/mapviewer/index.html?url=https%3A%2F%2Fgis1.dot.illinois.gov%2Farcgis%2Frest%2Fservices%2FAdministrativeData%2FFunctionalClass%2FMapServer%2F0&amp;find="&amp;$F332&amp;"%2C"&amp;$E332&amp;"&amp;marker="&amp;$F332&amp;","&amp;$E332&amp;",4326&amp;level=16",IF(_xlfn.SINGLE(JobState)="OH","https://fema.maps.arcgis.com/apps/mapviewer/index.html?url=https%3A%2F%2Ftims.dot.state.oh.us%2Fags%2Frest%2Fservices%2FRoadway_Information%2FFunctional_Class%2FMapServer%2F0&amp;find="&amp;$F332&amp;"%2C"&amp;$E332&amp;"&amp;marker="&amp;$F332&amp;","&amp;$E332&amp;",4326&amp;level=16","https://fema.maps.arcgis.com/apps/mapviewer/index.html?find="&amp;$F332&amp;"%2C"&amp;$E332&amp;"&amp;marker="&amp;$F332&amp;","&amp;$E332&amp;",4326&amp;level=16")))))),IF(_xlfn.SINGLE(JobState)="WI","Review Local Roads Layer","Review NFC AGOL Layer"))))</f>
        <v/>
      </c>
      <c r="N332" s="6" t="str">
        <f>IF(OR($E332="",$F332=""),"",IF(_xlfn.SINGLE(JobState)="",IF(ROW()=2,HYPERLINK("#JobState","Set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332&amp;"%2C"&amp;$E332&amp;"&amp;marker="&amp;$F332&amp;","&amp;$E332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2" s="6" t="str">
        <f>IF(OR($E332="", $F332=""),"",IF(_xlfn.SINGLE(JobAgolMap)="",HYPERLINK("https://fema.maps.arcgis.com/apps/mapviewer/index.html?find="&amp;$F332&amp;"%2C"&amp;$E332&amp;"&amp;marker="&amp;$F332&amp;","&amp;$E332&amp;",4326&amp;level=16","FEMA AGOL Map Viewer"),HYPERLINK(_xlfn.SINGLE(JobAgolMap)&amp;IF(ISNUMBER(FIND("?",_xlfn.SINGLE(JobAgolMap))),"&amp;","?")&amp;"center="&amp;$F332&amp;","&amp;$E332&amp;"&amp;level=16&amp;marker="&amp;$F332&amp;","&amp;$E332,"Open")))</f>
        <v/>
      </c>
      <c r="Q332" s="4"/>
      <c r="R332" s="4"/>
      <c r="W332" s="6" t="str">
        <f t="shared" si="30"/>
        <v/>
      </c>
      <c r="X332" s="6" t="str">
        <f t="shared" si="31"/>
        <v/>
      </c>
      <c r="Y332" s="6" t="str">
        <f t="shared" si="32"/>
        <v/>
      </c>
      <c r="Z332" s="6" t="str">
        <f t="shared" si="33"/>
        <v/>
      </c>
      <c r="AA332" s="6" t="str">
        <f t="shared" si="34"/>
        <v/>
      </c>
      <c r="AB332" s="6" t="str">
        <f t="shared" si="35"/>
        <v/>
      </c>
      <c r="AC332" s="4"/>
      <c r="AD332" s="4"/>
    </row>
    <row r="333" spans="1:30" x14ac:dyDescent="0.45">
      <c r="A333" s="3"/>
      <c r="B333" s="3"/>
      <c r="C333" s="5" t="str">
        <f>IF($E333="","",COUNT($E$2:$E333))</f>
        <v/>
      </c>
      <c r="D333" s="3"/>
      <c r="E333" s="3"/>
      <c r="F333" s="3"/>
      <c r="G333" s="3"/>
      <c r="H333" s="3"/>
      <c r="I333" s="3"/>
      <c r="J333" s="3"/>
      <c r="K333" s="3"/>
      <c r="L333" s="4"/>
      <c r="M333" s="6" t="str">
        <f>IF(OR($E333="",$F333=""),"",IF(_xlfn.SINGLE(JobState)="",IF(ROW()=2,HYPERLINK("#JobState","Set State →"),""),HYPERLINK(IF(OR(_xlfn.SINGLE(JobState)="MI",_xlfn.SINGLE(JobState)=""),"https://fema.maps.arcgis.com/apps/mapviewer/index.html?webmap=6a1702b9147243d1a5ee62cd614bc681&amp;center="&amp;$F333&amp;","&amp;$E333&amp;"&amp;level=16&amp;marker="&amp;$F333&amp;","&amp;$E333&amp;"",IF(_xlfn.SINGLE(JobState)="IN","https://fema.maps.arcgis.com/apps/mapviewer/index.html?url=https%3A%2F%2Fgis.indot.in.gov%2Fro%2Frest%2Fservices%2FRAH_GIO_Collaboration%2FLRSE_Functional_Class%2FFeatureServer%2F22&amp;find="&amp;$F333&amp;"%2C"&amp;$E333&amp;"&amp;marker="&amp;$F333&amp;","&amp;$E333&amp;",4326&amp;level=16",IF(_xlfn.SINGLE(JobState)="WI","https://fema.maps.arcgis.com/apps/mapviewer/index.html?url=https://services5.arcgis.com/0pgGLzT0Nh7FVjon/arcgis/rest/services/Functional_Class_Local_Non_Prod/FeatureServer/1&amp;find="&amp;$F333&amp;"%2C"&amp;$E333&amp;"&amp;marker="&amp;$F333&amp;","&amp;$E333&amp;",4326&amp;level=16",IF(_xlfn.SINGLE(JobState)="MN","https://fema.maps.arcgis.com/apps/mapviewer/index.html?url=https%3A%2F%2Fdotapp9.dot.state.mn.us%2Fegis12%2Frest%2Fservices%2FBASEMAP%2Fmndot_commonlayers2%2FMapServer%2F11&amp;find="&amp;$F333&amp;"%2C"&amp;$E333&amp;"&amp;marker="&amp;$F333&amp;","&amp;$E333&amp;",4326&amp;level=16",IF(_xlfn.SINGLE(JobState)="IL","https://fema.maps.arcgis.com/apps/mapviewer/index.html?url=https%3A%2F%2Fgis1.dot.illinois.gov%2Farcgis%2Frest%2Fservices%2FAdministrativeData%2FFunctionalClass%2FMapServer%2F0&amp;find="&amp;$F333&amp;"%2C"&amp;$E333&amp;"&amp;marker="&amp;$F333&amp;","&amp;$E333&amp;",4326&amp;level=16",IF(_xlfn.SINGLE(JobState)="OH","https://fema.maps.arcgis.com/apps/mapviewer/index.html?url=https%3A%2F%2Ftims.dot.state.oh.us%2Fags%2Frest%2Fservices%2FRoadway_Information%2FFunctional_Class%2FMapServer%2F0&amp;find="&amp;$F333&amp;"%2C"&amp;$E333&amp;"&amp;marker="&amp;$F333&amp;","&amp;$E333&amp;",4326&amp;level=16","https://fema.maps.arcgis.com/apps/mapviewer/index.html?find="&amp;$F333&amp;"%2C"&amp;$E333&amp;"&amp;marker="&amp;$F333&amp;","&amp;$E333&amp;",4326&amp;level=16")))))),IF(_xlfn.SINGLE(JobState)="WI","Review Local Roads Layer","Review NFC AGOL Layer"))))</f>
        <v/>
      </c>
      <c r="N333" s="6" t="str">
        <f>IF(OR($E333="",$F333=""),"",IF(_xlfn.SINGLE(JobState)="",IF(ROW()=2,HYPERLINK("#JobState","Set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333&amp;"%2C"&amp;$E333&amp;"&amp;marker="&amp;$F333&amp;","&amp;$E333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3" s="6" t="str">
        <f>IF(OR($E333="", $F333=""),"",IF(_xlfn.SINGLE(JobAgolMap)="",HYPERLINK("https://fema.maps.arcgis.com/apps/mapviewer/index.html?find="&amp;$F333&amp;"%2C"&amp;$E333&amp;"&amp;marker="&amp;$F333&amp;","&amp;$E333&amp;",4326&amp;level=16","FEMA AGOL Map Viewer"),HYPERLINK(_xlfn.SINGLE(JobAgolMap)&amp;IF(ISNUMBER(FIND("?",_xlfn.SINGLE(JobAgolMap))),"&amp;","?")&amp;"center="&amp;$F333&amp;","&amp;$E333&amp;"&amp;level=16&amp;marker="&amp;$F333&amp;","&amp;$E333,"Open")))</f>
        <v/>
      </c>
      <c r="Q333" s="4"/>
      <c r="R333" s="4"/>
      <c r="W333" s="6" t="str">
        <f t="shared" si="30"/>
        <v/>
      </c>
      <c r="X333" s="6" t="str">
        <f t="shared" si="31"/>
        <v/>
      </c>
      <c r="Y333" s="6" t="str">
        <f t="shared" si="32"/>
        <v/>
      </c>
      <c r="Z333" s="6" t="str">
        <f t="shared" si="33"/>
        <v/>
      </c>
      <c r="AA333" s="6" t="str">
        <f t="shared" si="34"/>
        <v/>
      </c>
      <c r="AB333" s="6" t="str">
        <f t="shared" si="35"/>
        <v/>
      </c>
      <c r="AC333" s="4"/>
      <c r="AD333" s="4"/>
    </row>
    <row r="334" spans="1:30" x14ac:dyDescent="0.45">
      <c r="A334" s="3"/>
      <c r="B334" s="3"/>
      <c r="C334" s="5" t="str">
        <f>IF($E334="","",COUNT($E$2:$E334))</f>
        <v/>
      </c>
      <c r="D334" s="3"/>
      <c r="E334" s="3"/>
      <c r="F334" s="3"/>
      <c r="G334" s="3"/>
      <c r="H334" s="3"/>
      <c r="I334" s="3"/>
      <c r="J334" s="3"/>
      <c r="K334" s="3"/>
      <c r="L334" s="4"/>
      <c r="M334" s="6" t="str">
        <f>IF(OR($E334="",$F334=""),"",IF(_xlfn.SINGLE(JobState)="",IF(ROW()=2,HYPERLINK("#JobState","Set State →"),""),HYPERLINK(IF(OR(_xlfn.SINGLE(JobState)="MI",_xlfn.SINGLE(JobState)=""),"https://fema.maps.arcgis.com/apps/mapviewer/index.html?webmap=6a1702b9147243d1a5ee62cd614bc681&amp;center="&amp;$F334&amp;","&amp;$E334&amp;"&amp;level=16&amp;marker="&amp;$F334&amp;","&amp;$E334&amp;"",IF(_xlfn.SINGLE(JobState)="IN","https://fema.maps.arcgis.com/apps/mapviewer/index.html?url=https%3A%2F%2Fgis.indot.in.gov%2Fro%2Frest%2Fservices%2FRAH_GIO_Collaboration%2FLRSE_Functional_Class%2FFeatureServer%2F22&amp;find="&amp;$F334&amp;"%2C"&amp;$E334&amp;"&amp;marker="&amp;$F334&amp;","&amp;$E334&amp;",4326&amp;level=16",IF(_xlfn.SINGLE(JobState)="WI","https://fema.maps.arcgis.com/apps/mapviewer/index.html?url=https://services5.arcgis.com/0pgGLzT0Nh7FVjon/arcgis/rest/services/Functional_Class_Local_Non_Prod/FeatureServer/1&amp;find="&amp;$F334&amp;"%2C"&amp;$E334&amp;"&amp;marker="&amp;$F334&amp;","&amp;$E334&amp;",4326&amp;level=16",IF(_xlfn.SINGLE(JobState)="MN","https://fema.maps.arcgis.com/apps/mapviewer/index.html?url=https%3A%2F%2Fdotapp9.dot.state.mn.us%2Fegis12%2Frest%2Fservices%2FBASEMAP%2Fmndot_commonlayers2%2FMapServer%2F11&amp;find="&amp;$F334&amp;"%2C"&amp;$E334&amp;"&amp;marker="&amp;$F334&amp;","&amp;$E334&amp;",4326&amp;level=16",IF(_xlfn.SINGLE(JobState)="IL","https://fema.maps.arcgis.com/apps/mapviewer/index.html?url=https%3A%2F%2Fgis1.dot.illinois.gov%2Farcgis%2Frest%2Fservices%2FAdministrativeData%2FFunctionalClass%2FMapServer%2F0&amp;find="&amp;$F334&amp;"%2C"&amp;$E334&amp;"&amp;marker="&amp;$F334&amp;","&amp;$E334&amp;",4326&amp;level=16",IF(_xlfn.SINGLE(JobState)="OH","https://fema.maps.arcgis.com/apps/mapviewer/index.html?url=https%3A%2F%2Ftims.dot.state.oh.us%2Fags%2Frest%2Fservices%2FRoadway_Information%2FFunctional_Class%2FMapServer%2F0&amp;find="&amp;$F334&amp;"%2C"&amp;$E334&amp;"&amp;marker="&amp;$F334&amp;","&amp;$E334&amp;",4326&amp;level=16","https://fema.maps.arcgis.com/apps/mapviewer/index.html?find="&amp;$F334&amp;"%2C"&amp;$E334&amp;"&amp;marker="&amp;$F334&amp;","&amp;$E334&amp;",4326&amp;level=16")))))),IF(_xlfn.SINGLE(JobState)="WI","Review Local Roads Layer","Review NFC AGOL Layer"))))</f>
        <v/>
      </c>
      <c r="N334" s="6" t="str">
        <f>IF(OR($E334="",$F334=""),"",IF(_xlfn.SINGLE(JobState)="",IF(ROW()=2,HYPERLINK("#JobState","Set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334&amp;"%2C"&amp;$E334&amp;"&amp;marker="&amp;$F334&amp;","&amp;$E334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4" s="6" t="str">
        <f>IF(OR($E334="", $F334=""),"",IF(_xlfn.SINGLE(JobAgolMap)="",HYPERLINK("https://fema.maps.arcgis.com/apps/mapviewer/index.html?find="&amp;$F334&amp;"%2C"&amp;$E334&amp;"&amp;marker="&amp;$F334&amp;","&amp;$E334&amp;",4326&amp;level=16","FEMA AGOL Map Viewer"),HYPERLINK(_xlfn.SINGLE(JobAgolMap)&amp;IF(ISNUMBER(FIND("?",_xlfn.SINGLE(JobAgolMap))),"&amp;","?")&amp;"center="&amp;$F334&amp;","&amp;$E334&amp;"&amp;level=16&amp;marker="&amp;$F334&amp;","&amp;$E334,"Open")))</f>
        <v/>
      </c>
      <c r="Q334" s="4"/>
      <c r="R334" s="4"/>
      <c r="W334" s="6" t="str">
        <f t="shared" si="30"/>
        <v/>
      </c>
      <c r="X334" s="6" t="str">
        <f t="shared" si="31"/>
        <v/>
      </c>
      <c r="Y334" s="6" t="str">
        <f t="shared" si="32"/>
        <v/>
      </c>
      <c r="Z334" s="6" t="str">
        <f t="shared" si="33"/>
        <v/>
      </c>
      <c r="AA334" s="6" t="str">
        <f t="shared" si="34"/>
        <v/>
      </c>
      <c r="AB334" s="6" t="str">
        <f t="shared" si="35"/>
        <v/>
      </c>
      <c r="AC334" s="4"/>
      <c r="AD334" s="4"/>
    </row>
    <row r="335" spans="1:30" x14ac:dyDescent="0.45">
      <c r="A335" s="3"/>
      <c r="B335" s="3"/>
      <c r="C335" s="5" t="str">
        <f>IF($E335="","",COUNT($E$2:$E335))</f>
        <v/>
      </c>
      <c r="D335" s="3"/>
      <c r="E335" s="3"/>
      <c r="F335" s="3"/>
      <c r="G335" s="3"/>
      <c r="H335" s="3"/>
      <c r="I335" s="3"/>
      <c r="J335" s="3"/>
      <c r="K335" s="3"/>
      <c r="L335" s="4"/>
      <c r="M335" s="6" t="str">
        <f>IF(OR($E335="",$F335=""),"",IF(_xlfn.SINGLE(JobState)="",IF(ROW()=2,HYPERLINK("#JobState","Set State →"),""),HYPERLINK(IF(OR(_xlfn.SINGLE(JobState)="MI",_xlfn.SINGLE(JobState)=""),"https://fema.maps.arcgis.com/apps/mapviewer/index.html?webmap=6a1702b9147243d1a5ee62cd614bc681&amp;center="&amp;$F335&amp;","&amp;$E335&amp;"&amp;level=16&amp;marker="&amp;$F335&amp;","&amp;$E335&amp;"",IF(_xlfn.SINGLE(JobState)="IN","https://fema.maps.arcgis.com/apps/mapviewer/index.html?url=https%3A%2F%2Fgis.indot.in.gov%2Fro%2Frest%2Fservices%2FRAH_GIO_Collaboration%2FLRSE_Functional_Class%2FFeatureServer%2F22&amp;find="&amp;$F335&amp;"%2C"&amp;$E335&amp;"&amp;marker="&amp;$F335&amp;","&amp;$E335&amp;",4326&amp;level=16",IF(_xlfn.SINGLE(JobState)="WI","https://fema.maps.arcgis.com/apps/mapviewer/index.html?url=https://services5.arcgis.com/0pgGLzT0Nh7FVjon/arcgis/rest/services/Functional_Class_Local_Non_Prod/FeatureServer/1&amp;find="&amp;$F335&amp;"%2C"&amp;$E335&amp;"&amp;marker="&amp;$F335&amp;","&amp;$E335&amp;",4326&amp;level=16",IF(_xlfn.SINGLE(JobState)="MN","https://fema.maps.arcgis.com/apps/mapviewer/index.html?url=https%3A%2F%2Fdotapp9.dot.state.mn.us%2Fegis12%2Frest%2Fservices%2FBASEMAP%2Fmndot_commonlayers2%2FMapServer%2F11&amp;find="&amp;$F335&amp;"%2C"&amp;$E335&amp;"&amp;marker="&amp;$F335&amp;","&amp;$E335&amp;",4326&amp;level=16",IF(_xlfn.SINGLE(JobState)="IL","https://fema.maps.arcgis.com/apps/mapviewer/index.html?url=https%3A%2F%2Fgis1.dot.illinois.gov%2Farcgis%2Frest%2Fservices%2FAdministrativeData%2FFunctionalClass%2FMapServer%2F0&amp;find="&amp;$F335&amp;"%2C"&amp;$E335&amp;"&amp;marker="&amp;$F335&amp;","&amp;$E335&amp;",4326&amp;level=16",IF(_xlfn.SINGLE(JobState)="OH","https://fema.maps.arcgis.com/apps/mapviewer/index.html?url=https%3A%2F%2Ftims.dot.state.oh.us%2Fags%2Frest%2Fservices%2FRoadway_Information%2FFunctional_Class%2FMapServer%2F0&amp;find="&amp;$F335&amp;"%2C"&amp;$E335&amp;"&amp;marker="&amp;$F335&amp;","&amp;$E335&amp;",4326&amp;level=16","https://fema.maps.arcgis.com/apps/mapviewer/index.html?find="&amp;$F335&amp;"%2C"&amp;$E335&amp;"&amp;marker="&amp;$F335&amp;","&amp;$E335&amp;",4326&amp;level=16")))))),IF(_xlfn.SINGLE(JobState)="WI","Review Local Roads Layer","Review NFC AGOL Layer"))))</f>
        <v/>
      </c>
      <c r="N335" s="6" t="str">
        <f>IF(OR($E335="",$F335=""),"",IF(_xlfn.SINGLE(JobState)="",IF(ROW()=2,HYPERLINK("#JobState","Set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335&amp;"%2C"&amp;$E335&amp;"&amp;marker="&amp;$F335&amp;","&amp;$E335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5" s="6" t="str">
        <f>IF(OR($E335="", $F335=""),"",IF(_xlfn.SINGLE(JobAgolMap)="",HYPERLINK("https://fema.maps.arcgis.com/apps/mapviewer/index.html?find="&amp;$F335&amp;"%2C"&amp;$E335&amp;"&amp;marker="&amp;$F335&amp;","&amp;$E335&amp;",4326&amp;level=16","FEMA AGOL Map Viewer"),HYPERLINK(_xlfn.SINGLE(JobAgolMap)&amp;IF(ISNUMBER(FIND("?",_xlfn.SINGLE(JobAgolMap))),"&amp;","?")&amp;"center="&amp;$F335&amp;","&amp;$E335&amp;"&amp;level=16&amp;marker="&amp;$F335&amp;","&amp;$E335,"Open")))</f>
        <v/>
      </c>
      <c r="Q335" s="4"/>
      <c r="R335" s="4"/>
      <c r="W335" s="6" t="str">
        <f t="shared" si="30"/>
        <v/>
      </c>
      <c r="X335" s="6" t="str">
        <f t="shared" si="31"/>
        <v/>
      </c>
      <c r="Y335" s="6" t="str">
        <f t="shared" si="32"/>
        <v/>
      </c>
      <c r="Z335" s="6" t="str">
        <f t="shared" si="33"/>
        <v/>
      </c>
      <c r="AA335" s="6" t="str">
        <f t="shared" si="34"/>
        <v/>
      </c>
      <c r="AB335" s="6" t="str">
        <f t="shared" si="35"/>
        <v/>
      </c>
      <c r="AC335" s="4"/>
      <c r="AD335" s="4"/>
    </row>
    <row r="336" spans="1:30" x14ac:dyDescent="0.45">
      <c r="A336" s="3"/>
      <c r="B336" s="3"/>
      <c r="C336" s="5" t="str">
        <f>IF($E336="","",COUNT($E$2:$E336))</f>
        <v/>
      </c>
      <c r="D336" s="3"/>
      <c r="E336" s="3"/>
      <c r="F336" s="3"/>
      <c r="G336" s="3"/>
      <c r="H336" s="3"/>
      <c r="I336" s="3"/>
      <c r="J336" s="3"/>
      <c r="K336" s="3"/>
      <c r="L336" s="4"/>
      <c r="M336" s="6" t="str">
        <f>IF(OR($E336="",$F336=""),"",IF(_xlfn.SINGLE(JobState)="",IF(ROW()=2,HYPERLINK("#JobState","Set State →"),""),HYPERLINK(IF(OR(_xlfn.SINGLE(JobState)="MI",_xlfn.SINGLE(JobState)=""),"https://fema.maps.arcgis.com/apps/mapviewer/index.html?webmap=6a1702b9147243d1a5ee62cd614bc681&amp;center="&amp;$F336&amp;","&amp;$E336&amp;"&amp;level=16&amp;marker="&amp;$F336&amp;","&amp;$E336&amp;"",IF(_xlfn.SINGLE(JobState)="IN","https://fema.maps.arcgis.com/apps/mapviewer/index.html?url=https%3A%2F%2Fgis.indot.in.gov%2Fro%2Frest%2Fservices%2FRAH_GIO_Collaboration%2FLRSE_Functional_Class%2FFeatureServer%2F22&amp;find="&amp;$F336&amp;"%2C"&amp;$E336&amp;"&amp;marker="&amp;$F336&amp;","&amp;$E336&amp;",4326&amp;level=16",IF(_xlfn.SINGLE(JobState)="WI","https://fema.maps.arcgis.com/apps/mapviewer/index.html?url=https://services5.arcgis.com/0pgGLzT0Nh7FVjon/arcgis/rest/services/Functional_Class_Local_Non_Prod/FeatureServer/1&amp;find="&amp;$F336&amp;"%2C"&amp;$E336&amp;"&amp;marker="&amp;$F336&amp;","&amp;$E336&amp;",4326&amp;level=16",IF(_xlfn.SINGLE(JobState)="MN","https://fema.maps.arcgis.com/apps/mapviewer/index.html?url=https%3A%2F%2Fdotapp9.dot.state.mn.us%2Fegis12%2Frest%2Fservices%2FBASEMAP%2Fmndot_commonlayers2%2FMapServer%2F11&amp;find="&amp;$F336&amp;"%2C"&amp;$E336&amp;"&amp;marker="&amp;$F336&amp;","&amp;$E336&amp;",4326&amp;level=16",IF(_xlfn.SINGLE(JobState)="IL","https://fema.maps.arcgis.com/apps/mapviewer/index.html?url=https%3A%2F%2Fgis1.dot.illinois.gov%2Farcgis%2Frest%2Fservices%2FAdministrativeData%2FFunctionalClass%2FMapServer%2F0&amp;find="&amp;$F336&amp;"%2C"&amp;$E336&amp;"&amp;marker="&amp;$F336&amp;","&amp;$E336&amp;",4326&amp;level=16",IF(_xlfn.SINGLE(JobState)="OH","https://fema.maps.arcgis.com/apps/mapviewer/index.html?url=https%3A%2F%2Ftims.dot.state.oh.us%2Fags%2Frest%2Fservices%2FRoadway_Information%2FFunctional_Class%2FMapServer%2F0&amp;find="&amp;$F336&amp;"%2C"&amp;$E336&amp;"&amp;marker="&amp;$F336&amp;","&amp;$E336&amp;",4326&amp;level=16","https://fema.maps.arcgis.com/apps/mapviewer/index.html?find="&amp;$F336&amp;"%2C"&amp;$E336&amp;"&amp;marker="&amp;$F336&amp;","&amp;$E336&amp;",4326&amp;level=16")))))),IF(_xlfn.SINGLE(JobState)="WI","Review Local Roads Layer","Review NFC AGOL Layer"))))</f>
        <v/>
      </c>
      <c r="N336" s="6" t="str">
        <f>IF(OR($E336="",$F336=""),"",IF(_xlfn.SINGLE(JobState)="",IF(ROW()=2,HYPERLINK("#JobState","Set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336&amp;"%2C"&amp;$E336&amp;"&amp;marker="&amp;$F336&amp;","&amp;$E336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6" s="6" t="str">
        <f>IF(OR($E336="", $F336=""),"",IF(_xlfn.SINGLE(JobAgolMap)="",HYPERLINK("https://fema.maps.arcgis.com/apps/mapviewer/index.html?find="&amp;$F336&amp;"%2C"&amp;$E336&amp;"&amp;marker="&amp;$F336&amp;","&amp;$E336&amp;",4326&amp;level=16","FEMA AGOL Map Viewer"),HYPERLINK(_xlfn.SINGLE(JobAgolMap)&amp;IF(ISNUMBER(FIND("?",_xlfn.SINGLE(JobAgolMap))),"&amp;","?")&amp;"center="&amp;$F336&amp;","&amp;$E336&amp;"&amp;level=16&amp;marker="&amp;$F336&amp;","&amp;$E336,"Open")))</f>
        <v/>
      </c>
      <c r="Q336" s="4"/>
      <c r="R336" s="4"/>
      <c r="W336" s="6" t="str">
        <f t="shared" si="30"/>
        <v/>
      </c>
      <c r="X336" s="6" t="str">
        <f t="shared" si="31"/>
        <v/>
      </c>
      <c r="Y336" s="6" t="str">
        <f t="shared" si="32"/>
        <v/>
      </c>
      <c r="Z336" s="6" t="str">
        <f t="shared" si="33"/>
        <v/>
      </c>
      <c r="AA336" s="6" t="str">
        <f t="shared" si="34"/>
        <v/>
      </c>
      <c r="AB336" s="6" t="str">
        <f t="shared" si="35"/>
        <v/>
      </c>
      <c r="AC336" s="4"/>
      <c r="AD336" s="4"/>
    </row>
    <row r="337" spans="1:30" x14ac:dyDescent="0.45">
      <c r="A337" s="3"/>
      <c r="B337" s="3"/>
      <c r="C337" s="5" t="str">
        <f>IF($E337="","",COUNT($E$2:$E337))</f>
        <v/>
      </c>
      <c r="D337" s="3"/>
      <c r="E337" s="3"/>
      <c r="F337" s="3"/>
      <c r="G337" s="3"/>
      <c r="H337" s="3"/>
      <c r="I337" s="3"/>
      <c r="J337" s="3"/>
      <c r="K337" s="3"/>
      <c r="L337" s="4"/>
      <c r="M337" s="6" t="str">
        <f>IF(OR($E337="",$F337=""),"",IF(_xlfn.SINGLE(JobState)="",IF(ROW()=2,HYPERLINK("#JobState","Set State →"),""),HYPERLINK(IF(OR(_xlfn.SINGLE(JobState)="MI",_xlfn.SINGLE(JobState)=""),"https://fema.maps.arcgis.com/apps/mapviewer/index.html?webmap=6a1702b9147243d1a5ee62cd614bc681&amp;center="&amp;$F337&amp;","&amp;$E337&amp;"&amp;level=16&amp;marker="&amp;$F337&amp;","&amp;$E337&amp;"",IF(_xlfn.SINGLE(JobState)="IN","https://fema.maps.arcgis.com/apps/mapviewer/index.html?url=https%3A%2F%2Fgis.indot.in.gov%2Fro%2Frest%2Fservices%2FRAH_GIO_Collaboration%2FLRSE_Functional_Class%2FFeatureServer%2F22&amp;find="&amp;$F337&amp;"%2C"&amp;$E337&amp;"&amp;marker="&amp;$F337&amp;","&amp;$E337&amp;",4326&amp;level=16",IF(_xlfn.SINGLE(JobState)="WI","https://fema.maps.arcgis.com/apps/mapviewer/index.html?url=https://services5.arcgis.com/0pgGLzT0Nh7FVjon/arcgis/rest/services/Functional_Class_Local_Non_Prod/FeatureServer/1&amp;find="&amp;$F337&amp;"%2C"&amp;$E337&amp;"&amp;marker="&amp;$F337&amp;","&amp;$E337&amp;",4326&amp;level=16",IF(_xlfn.SINGLE(JobState)="MN","https://fema.maps.arcgis.com/apps/mapviewer/index.html?url=https%3A%2F%2Fdotapp9.dot.state.mn.us%2Fegis12%2Frest%2Fservices%2FBASEMAP%2Fmndot_commonlayers2%2FMapServer%2F11&amp;find="&amp;$F337&amp;"%2C"&amp;$E337&amp;"&amp;marker="&amp;$F337&amp;","&amp;$E337&amp;",4326&amp;level=16",IF(_xlfn.SINGLE(JobState)="IL","https://fema.maps.arcgis.com/apps/mapviewer/index.html?url=https%3A%2F%2Fgis1.dot.illinois.gov%2Farcgis%2Frest%2Fservices%2FAdministrativeData%2FFunctionalClass%2FMapServer%2F0&amp;find="&amp;$F337&amp;"%2C"&amp;$E337&amp;"&amp;marker="&amp;$F337&amp;","&amp;$E337&amp;",4326&amp;level=16",IF(_xlfn.SINGLE(JobState)="OH","https://fema.maps.arcgis.com/apps/mapviewer/index.html?url=https%3A%2F%2Ftims.dot.state.oh.us%2Fags%2Frest%2Fservices%2FRoadway_Information%2FFunctional_Class%2FMapServer%2F0&amp;find="&amp;$F337&amp;"%2C"&amp;$E337&amp;"&amp;marker="&amp;$F337&amp;","&amp;$E337&amp;",4326&amp;level=16","https://fema.maps.arcgis.com/apps/mapviewer/index.html?find="&amp;$F337&amp;"%2C"&amp;$E337&amp;"&amp;marker="&amp;$F337&amp;","&amp;$E337&amp;",4326&amp;level=16")))))),IF(_xlfn.SINGLE(JobState)="WI","Review Local Roads Layer","Review NFC AGOL Layer"))))</f>
        <v/>
      </c>
      <c r="N337" s="6" t="str">
        <f>IF(OR($E337="",$F337=""),"",IF(_xlfn.SINGLE(JobState)="",IF(ROW()=2,HYPERLINK("#JobState","Set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337&amp;"%2C"&amp;$E337&amp;"&amp;marker="&amp;$F337&amp;","&amp;$E337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7" s="6" t="str">
        <f>IF(OR($E337="", $F337=""),"",IF(_xlfn.SINGLE(JobAgolMap)="",HYPERLINK("https://fema.maps.arcgis.com/apps/mapviewer/index.html?find="&amp;$F337&amp;"%2C"&amp;$E337&amp;"&amp;marker="&amp;$F337&amp;","&amp;$E337&amp;",4326&amp;level=16","FEMA AGOL Map Viewer"),HYPERLINK(_xlfn.SINGLE(JobAgolMap)&amp;IF(ISNUMBER(FIND("?",_xlfn.SINGLE(JobAgolMap))),"&amp;","?")&amp;"center="&amp;$F337&amp;","&amp;$E337&amp;"&amp;level=16&amp;marker="&amp;$F337&amp;","&amp;$E337,"Open")))</f>
        <v/>
      </c>
      <c r="Q337" s="4"/>
      <c r="R337" s="4"/>
      <c r="W337" s="6" t="str">
        <f t="shared" si="30"/>
        <v/>
      </c>
      <c r="X337" s="6" t="str">
        <f t="shared" si="31"/>
        <v/>
      </c>
      <c r="Y337" s="6" t="str">
        <f t="shared" si="32"/>
        <v/>
      </c>
      <c r="Z337" s="6" t="str">
        <f t="shared" si="33"/>
        <v/>
      </c>
      <c r="AA337" s="6" t="str">
        <f t="shared" si="34"/>
        <v/>
      </c>
      <c r="AB337" s="6" t="str">
        <f t="shared" si="35"/>
        <v/>
      </c>
      <c r="AC337" s="4"/>
      <c r="AD337" s="4"/>
    </row>
    <row r="338" spans="1:30" x14ac:dyDescent="0.45">
      <c r="A338" s="3"/>
      <c r="B338" s="3"/>
      <c r="C338" s="5" t="str">
        <f>IF($E338="","",COUNT($E$2:$E338))</f>
        <v/>
      </c>
      <c r="D338" s="3"/>
      <c r="E338" s="3"/>
      <c r="F338" s="3"/>
      <c r="G338" s="3"/>
      <c r="H338" s="3"/>
      <c r="I338" s="3"/>
      <c r="J338" s="3"/>
      <c r="K338" s="3"/>
      <c r="L338" s="4"/>
      <c r="M338" s="6" t="str">
        <f>IF(OR($E338="",$F338=""),"",IF(_xlfn.SINGLE(JobState)="",IF(ROW()=2,HYPERLINK("#JobState","Set State →"),""),HYPERLINK(IF(OR(_xlfn.SINGLE(JobState)="MI",_xlfn.SINGLE(JobState)=""),"https://fema.maps.arcgis.com/apps/mapviewer/index.html?webmap=6a1702b9147243d1a5ee62cd614bc681&amp;center="&amp;$F338&amp;","&amp;$E338&amp;"&amp;level=16&amp;marker="&amp;$F338&amp;","&amp;$E338&amp;"",IF(_xlfn.SINGLE(JobState)="IN","https://fema.maps.arcgis.com/apps/mapviewer/index.html?url=https%3A%2F%2Fgis.indot.in.gov%2Fro%2Frest%2Fservices%2FRAH_GIO_Collaboration%2FLRSE_Functional_Class%2FFeatureServer%2F22&amp;find="&amp;$F338&amp;"%2C"&amp;$E338&amp;"&amp;marker="&amp;$F338&amp;","&amp;$E338&amp;",4326&amp;level=16",IF(_xlfn.SINGLE(JobState)="WI","https://fema.maps.arcgis.com/apps/mapviewer/index.html?url=https://services5.arcgis.com/0pgGLzT0Nh7FVjon/arcgis/rest/services/Functional_Class_Local_Non_Prod/FeatureServer/1&amp;find="&amp;$F338&amp;"%2C"&amp;$E338&amp;"&amp;marker="&amp;$F338&amp;","&amp;$E338&amp;",4326&amp;level=16",IF(_xlfn.SINGLE(JobState)="MN","https://fema.maps.arcgis.com/apps/mapviewer/index.html?url=https%3A%2F%2Fdotapp9.dot.state.mn.us%2Fegis12%2Frest%2Fservices%2FBASEMAP%2Fmndot_commonlayers2%2FMapServer%2F11&amp;find="&amp;$F338&amp;"%2C"&amp;$E338&amp;"&amp;marker="&amp;$F338&amp;","&amp;$E338&amp;",4326&amp;level=16",IF(_xlfn.SINGLE(JobState)="IL","https://fema.maps.arcgis.com/apps/mapviewer/index.html?url=https%3A%2F%2Fgis1.dot.illinois.gov%2Farcgis%2Frest%2Fservices%2FAdministrativeData%2FFunctionalClass%2FMapServer%2F0&amp;find="&amp;$F338&amp;"%2C"&amp;$E338&amp;"&amp;marker="&amp;$F338&amp;","&amp;$E338&amp;",4326&amp;level=16",IF(_xlfn.SINGLE(JobState)="OH","https://fema.maps.arcgis.com/apps/mapviewer/index.html?url=https%3A%2F%2Ftims.dot.state.oh.us%2Fags%2Frest%2Fservices%2FRoadway_Information%2FFunctional_Class%2FMapServer%2F0&amp;find="&amp;$F338&amp;"%2C"&amp;$E338&amp;"&amp;marker="&amp;$F338&amp;","&amp;$E338&amp;",4326&amp;level=16","https://fema.maps.arcgis.com/apps/mapviewer/index.html?find="&amp;$F338&amp;"%2C"&amp;$E338&amp;"&amp;marker="&amp;$F338&amp;","&amp;$E338&amp;",4326&amp;level=16")))))),IF(_xlfn.SINGLE(JobState)="WI","Review Local Roads Layer","Review NFC AGOL Layer"))))</f>
        <v/>
      </c>
      <c r="N338" s="6" t="str">
        <f>IF(OR($E338="",$F338=""),"",IF(_xlfn.SINGLE(JobState)="",IF(ROW()=2,HYPERLINK("#JobState","Set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338&amp;"%2C"&amp;$E338&amp;"&amp;marker="&amp;$F338&amp;","&amp;$E338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8" s="6" t="str">
        <f>IF(OR($E338="", $F338=""),"",IF(_xlfn.SINGLE(JobAgolMap)="",HYPERLINK("https://fema.maps.arcgis.com/apps/mapviewer/index.html?find="&amp;$F338&amp;"%2C"&amp;$E338&amp;"&amp;marker="&amp;$F338&amp;","&amp;$E338&amp;",4326&amp;level=16","FEMA AGOL Map Viewer"),HYPERLINK(_xlfn.SINGLE(JobAgolMap)&amp;IF(ISNUMBER(FIND("?",_xlfn.SINGLE(JobAgolMap))),"&amp;","?")&amp;"center="&amp;$F338&amp;","&amp;$E338&amp;"&amp;level=16&amp;marker="&amp;$F338&amp;","&amp;$E338,"Open")))</f>
        <v/>
      </c>
      <c r="Q338" s="4"/>
      <c r="R338" s="4"/>
      <c r="W338" s="6" t="str">
        <f t="shared" si="30"/>
        <v/>
      </c>
      <c r="X338" s="6" t="str">
        <f t="shared" si="31"/>
        <v/>
      </c>
      <c r="Y338" s="6" t="str">
        <f t="shared" si="32"/>
        <v/>
      </c>
      <c r="Z338" s="6" t="str">
        <f t="shared" si="33"/>
        <v/>
      </c>
      <c r="AA338" s="6" t="str">
        <f t="shared" si="34"/>
        <v/>
      </c>
      <c r="AB338" s="6" t="str">
        <f t="shared" si="35"/>
        <v/>
      </c>
      <c r="AC338" s="4"/>
      <c r="AD338" s="4"/>
    </row>
    <row r="339" spans="1:30" x14ac:dyDescent="0.45">
      <c r="A339" s="3"/>
      <c r="B339" s="3"/>
      <c r="C339" s="5" t="str">
        <f>IF($E339="","",COUNT($E$2:$E339))</f>
        <v/>
      </c>
      <c r="D339" s="3"/>
      <c r="E339" s="3"/>
      <c r="F339" s="3"/>
      <c r="G339" s="3"/>
      <c r="H339" s="3"/>
      <c r="I339" s="3"/>
      <c r="J339" s="3"/>
      <c r="K339" s="3"/>
      <c r="L339" s="4"/>
      <c r="M339" s="6" t="str">
        <f>IF(OR($E339="",$F339=""),"",IF(_xlfn.SINGLE(JobState)="",IF(ROW()=2,HYPERLINK("#JobState","Set State →"),""),HYPERLINK(IF(OR(_xlfn.SINGLE(JobState)="MI",_xlfn.SINGLE(JobState)=""),"https://fema.maps.arcgis.com/apps/mapviewer/index.html?webmap=6a1702b9147243d1a5ee62cd614bc681&amp;center="&amp;$F339&amp;","&amp;$E339&amp;"&amp;level=16&amp;marker="&amp;$F339&amp;","&amp;$E339&amp;"",IF(_xlfn.SINGLE(JobState)="IN","https://fema.maps.arcgis.com/apps/mapviewer/index.html?url=https%3A%2F%2Fgis.indot.in.gov%2Fro%2Frest%2Fservices%2FRAH_GIO_Collaboration%2FLRSE_Functional_Class%2FFeatureServer%2F22&amp;find="&amp;$F339&amp;"%2C"&amp;$E339&amp;"&amp;marker="&amp;$F339&amp;","&amp;$E339&amp;",4326&amp;level=16",IF(_xlfn.SINGLE(JobState)="WI","https://fema.maps.arcgis.com/apps/mapviewer/index.html?url=https://services5.arcgis.com/0pgGLzT0Nh7FVjon/arcgis/rest/services/Functional_Class_Local_Non_Prod/FeatureServer/1&amp;find="&amp;$F339&amp;"%2C"&amp;$E339&amp;"&amp;marker="&amp;$F339&amp;","&amp;$E339&amp;",4326&amp;level=16",IF(_xlfn.SINGLE(JobState)="MN","https://fema.maps.arcgis.com/apps/mapviewer/index.html?url=https%3A%2F%2Fdotapp9.dot.state.mn.us%2Fegis12%2Frest%2Fservices%2FBASEMAP%2Fmndot_commonlayers2%2FMapServer%2F11&amp;find="&amp;$F339&amp;"%2C"&amp;$E339&amp;"&amp;marker="&amp;$F339&amp;","&amp;$E339&amp;",4326&amp;level=16",IF(_xlfn.SINGLE(JobState)="IL","https://fema.maps.arcgis.com/apps/mapviewer/index.html?url=https%3A%2F%2Fgis1.dot.illinois.gov%2Farcgis%2Frest%2Fservices%2FAdministrativeData%2FFunctionalClass%2FMapServer%2F0&amp;find="&amp;$F339&amp;"%2C"&amp;$E339&amp;"&amp;marker="&amp;$F339&amp;","&amp;$E339&amp;",4326&amp;level=16",IF(_xlfn.SINGLE(JobState)="OH","https://fema.maps.arcgis.com/apps/mapviewer/index.html?url=https%3A%2F%2Ftims.dot.state.oh.us%2Fags%2Frest%2Fservices%2FRoadway_Information%2FFunctional_Class%2FMapServer%2F0&amp;find="&amp;$F339&amp;"%2C"&amp;$E339&amp;"&amp;marker="&amp;$F339&amp;","&amp;$E339&amp;",4326&amp;level=16","https://fema.maps.arcgis.com/apps/mapviewer/index.html?find="&amp;$F339&amp;"%2C"&amp;$E339&amp;"&amp;marker="&amp;$F339&amp;","&amp;$E339&amp;",4326&amp;level=16")))))),IF(_xlfn.SINGLE(JobState)="WI","Review Local Roads Layer","Review NFC AGOL Layer"))))</f>
        <v/>
      </c>
      <c r="N339" s="6" t="str">
        <f>IF(OR($E339="",$F339=""),"",IF(_xlfn.SINGLE(JobState)="",IF(ROW()=2,HYPERLINK("#JobState","Set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339&amp;"%2C"&amp;$E339&amp;"&amp;marker="&amp;$F339&amp;","&amp;$E339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9" s="6" t="str">
        <f>IF(OR($E339="", $F339=""),"",IF(_xlfn.SINGLE(JobAgolMap)="",HYPERLINK("https://fema.maps.arcgis.com/apps/mapviewer/index.html?find="&amp;$F339&amp;"%2C"&amp;$E339&amp;"&amp;marker="&amp;$F339&amp;","&amp;$E339&amp;",4326&amp;level=16","FEMA AGOL Map Viewer"),HYPERLINK(_xlfn.SINGLE(JobAgolMap)&amp;IF(ISNUMBER(FIND("?",_xlfn.SINGLE(JobAgolMap))),"&amp;","?")&amp;"center="&amp;$F339&amp;","&amp;$E339&amp;"&amp;level=16&amp;marker="&amp;$F339&amp;","&amp;$E339,"Open")))</f>
        <v/>
      </c>
      <c r="Q339" s="4"/>
      <c r="R339" s="4"/>
      <c r="W339" s="6" t="str">
        <f t="shared" si="30"/>
        <v/>
      </c>
      <c r="X339" s="6" t="str">
        <f t="shared" si="31"/>
        <v/>
      </c>
      <c r="Y339" s="6" t="str">
        <f t="shared" si="32"/>
        <v/>
      </c>
      <c r="Z339" s="6" t="str">
        <f t="shared" si="33"/>
        <v/>
      </c>
      <c r="AA339" s="6" t="str">
        <f t="shared" si="34"/>
        <v/>
      </c>
      <c r="AB339" s="6" t="str">
        <f t="shared" si="35"/>
        <v/>
      </c>
      <c r="AC339" s="4"/>
      <c r="AD339" s="4"/>
    </row>
    <row r="340" spans="1:30" x14ac:dyDescent="0.45">
      <c r="A340" s="3"/>
      <c r="B340" s="3"/>
      <c r="C340" s="5" t="str">
        <f>IF($E340="","",COUNT($E$2:$E340))</f>
        <v/>
      </c>
      <c r="D340" s="3"/>
      <c r="E340" s="3"/>
      <c r="F340" s="3"/>
      <c r="G340" s="3"/>
      <c r="H340" s="3"/>
      <c r="I340" s="3"/>
      <c r="J340" s="3"/>
      <c r="K340" s="3"/>
      <c r="L340" s="4"/>
      <c r="M340" s="6" t="str">
        <f>IF(OR($E340="",$F340=""),"",IF(_xlfn.SINGLE(JobState)="",IF(ROW()=2,HYPERLINK("#JobState","Set State →"),""),HYPERLINK(IF(OR(_xlfn.SINGLE(JobState)="MI",_xlfn.SINGLE(JobState)=""),"https://fema.maps.arcgis.com/apps/mapviewer/index.html?webmap=6a1702b9147243d1a5ee62cd614bc681&amp;center="&amp;$F340&amp;","&amp;$E340&amp;"&amp;level=16&amp;marker="&amp;$F340&amp;","&amp;$E340&amp;"",IF(_xlfn.SINGLE(JobState)="IN","https://fema.maps.arcgis.com/apps/mapviewer/index.html?url=https%3A%2F%2Fgis.indot.in.gov%2Fro%2Frest%2Fservices%2FRAH_GIO_Collaboration%2FLRSE_Functional_Class%2FFeatureServer%2F22&amp;find="&amp;$F340&amp;"%2C"&amp;$E340&amp;"&amp;marker="&amp;$F340&amp;","&amp;$E340&amp;",4326&amp;level=16",IF(_xlfn.SINGLE(JobState)="WI","https://fema.maps.arcgis.com/apps/mapviewer/index.html?url=https://services5.arcgis.com/0pgGLzT0Nh7FVjon/arcgis/rest/services/Functional_Class_Local_Non_Prod/FeatureServer/1&amp;find="&amp;$F340&amp;"%2C"&amp;$E340&amp;"&amp;marker="&amp;$F340&amp;","&amp;$E340&amp;",4326&amp;level=16",IF(_xlfn.SINGLE(JobState)="MN","https://fema.maps.arcgis.com/apps/mapviewer/index.html?url=https%3A%2F%2Fdotapp9.dot.state.mn.us%2Fegis12%2Frest%2Fservices%2FBASEMAP%2Fmndot_commonlayers2%2FMapServer%2F11&amp;find="&amp;$F340&amp;"%2C"&amp;$E340&amp;"&amp;marker="&amp;$F340&amp;","&amp;$E340&amp;",4326&amp;level=16",IF(_xlfn.SINGLE(JobState)="IL","https://fema.maps.arcgis.com/apps/mapviewer/index.html?url=https%3A%2F%2Fgis1.dot.illinois.gov%2Farcgis%2Frest%2Fservices%2FAdministrativeData%2FFunctionalClass%2FMapServer%2F0&amp;find="&amp;$F340&amp;"%2C"&amp;$E340&amp;"&amp;marker="&amp;$F340&amp;","&amp;$E340&amp;",4326&amp;level=16",IF(_xlfn.SINGLE(JobState)="OH","https://fema.maps.arcgis.com/apps/mapviewer/index.html?url=https%3A%2F%2Ftims.dot.state.oh.us%2Fags%2Frest%2Fservices%2FRoadway_Information%2FFunctional_Class%2FMapServer%2F0&amp;find="&amp;$F340&amp;"%2C"&amp;$E340&amp;"&amp;marker="&amp;$F340&amp;","&amp;$E340&amp;",4326&amp;level=16","https://fema.maps.arcgis.com/apps/mapviewer/index.html?find="&amp;$F340&amp;"%2C"&amp;$E340&amp;"&amp;marker="&amp;$F340&amp;","&amp;$E340&amp;",4326&amp;level=16")))))),IF(_xlfn.SINGLE(JobState)="WI","Review Local Roads Layer","Review NFC AGOL Layer"))))</f>
        <v/>
      </c>
      <c r="N340" s="6" t="str">
        <f>IF(OR($E340="",$F340=""),"",IF(_xlfn.SINGLE(JobState)="",IF(ROW()=2,HYPERLINK("#JobState","Set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340&amp;"%2C"&amp;$E340&amp;"&amp;marker="&amp;$F340&amp;","&amp;$E340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0" s="6" t="str">
        <f>IF(OR($E340="", $F340=""),"",IF(_xlfn.SINGLE(JobAgolMap)="",HYPERLINK("https://fema.maps.arcgis.com/apps/mapviewer/index.html?find="&amp;$F340&amp;"%2C"&amp;$E340&amp;"&amp;marker="&amp;$F340&amp;","&amp;$E340&amp;",4326&amp;level=16","FEMA AGOL Map Viewer"),HYPERLINK(_xlfn.SINGLE(JobAgolMap)&amp;IF(ISNUMBER(FIND("?",_xlfn.SINGLE(JobAgolMap))),"&amp;","?")&amp;"center="&amp;$F340&amp;","&amp;$E340&amp;"&amp;level=16&amp;marker="&amp;$F340&amp;","&amp;$E340,"Open")))</f>
        <v/>
      </c>
      <c r="Q340" s="4"/>
      <c r="R340" s="4"/>
      <c r="W340" s="6" t="str">
        <f t="shared" si="30"/>
        <v/>
      </c>
      <c r="X340" s="6" t="str">
        <f t="shared" si="31"/>
        <v/>
      </c>
      <c r="Y340" s="6" t="str">
        <f t="shared" si="32"/>
        <v/>
      </c>
      <c r="Z340" s="6" t="str">
        <f t="shared" si="33"/>
        <v/>
      </c>
      <c r="AA340" s="6" t="str">
        <f t="shared" si="34"/>
        <v/>
      </c>
      <c r="AB340" s="6" t="str">
        <f t="shared" si="35"/>
        <v/>
      </c>
      <c r="AC340" s="4"/>
      <c r="AD340" s="4"/>
    </row>
    <row r="341" spans="1:30" x14ac:dyDescent="0.45">
      <c r="A341" s="3"/>
      <c r="B341" s="3"/>
      <c r="C341" s="5" t="str">
        <f>IF($E341="","",COUNT($E$2:$E341))</f>
        <v/>
      </c>
      <c r="D341" s="3"/>
      <c r="E341" s="3"/>
      <c r="F341" s="3"/>
      <c r="G341" s="3"/>
      <c r="H341" s="3"/>
      <c r="I341" s="3"/>
      <c r="J341" s="3"/>
      <c r="K341" s="3"/>
      <c r="L341" s="4"/>
      <c r="M341" s="6" t="str">
        <f>IF(OR($E341="",$F341=""),"",IF(_xlfn.SINGLE(JobState)="",IF(ROW()=2,HYPERLINK("#JobState","Set State →"),""),HYPERLINK(IF(OR(_xlfn.SINGLE(JobState)="MI",_xlfn.SINGLE(JobState)=""),"https://fema.maps.arcgis.com/apps/mapviewer/index.html?webmap=6a1702b9147243d1a5ee62cd614bc681&amp;center="&amp;$F341&amp;","&amp;$E341&amp;"&amp;level=16&amp;marker="&amp;$F341&amp;","&amp;$E341&amp;"",IF(_xlfn.SINGLE(JobState)="IN","https://fema.maps.arcgis.com/apps/mapviewer/index.html?url=https%3A%2F%2Fgis.indot.in.gov%2Fro%2Frest%2Fservices%2FRAH_GIO_Collaboration%2FLRSE_Functional_Class%2FFeatureServer%2F22&amp;find="&amp;$F341&amp;"%2C"&amp;$E341&amp;"&amp;marker="&amp;$F341&amp;","&amp;$E341&amp;",4326&amp;level=16",IF(_xlfn.SINGLE(JobState)="WI","https://fema.maps.arcgis.com/apps/mapviewer/index.html?url=https://services5.arcgis.com/0pgGLzT0Nh7FVjon/arcgis/rest/services/Functional_Class_Local_Non_Prod/FeatureServer/1&amp;find="&amp;$F341&amp;"%2C"&amp;$E341&amp;"&amp;marker="&amp;$F341&amp;","&amp;$E341&amp;",4326&amp;level=16",IF(_xlfn.SINGLE(JobState)="MN","https://fema.maps.arcgis.com/apps/mapviewer/index.html?url=https%3A%2F%2Fdotapp9.dot.state.mn.us%2Fegis12%2Frest%2Fservices%2FBASEMAP%2Fmndot_commonlayers2%2FMapServer%2F11&amp;find="&amp;$F341&amp;"%2C"&amp;$E341&amp;"&amp;marker="&amp;$F341&amp;","&amp;$E341&amp;",4326&amp;level=16",IF(_xlfn.SINGLE(JobState)="IL","https://fema.maps.arcgis.com/apps/mapviewer/index.html?url=https%3A%2F%2Fgis1.dot.illinois.gov%2Farcgis%2Frest%2Fservices%2FAdministrativeData%2FFunctionalClass%2FMapServer%2F0&amp;find="&amp;$F341&amp;"%2C"&amp;$E341&amp;"&amp;marker="&amp;$F341&amp;","&amp;$E341&amp;",4326&amp;level=16",IF(_xlfn.SINGLE(JobState)="OH","https://fema.maps.arcgis.com/apps/mapviewer/index.html?url=https%3A%2F%2Ftims.dot.state.oh.us%2Fags%2Frest%2Fservices%2FRoadway_Information%2FFunctional_Class%2FMapServer%2F0&amp;find="&amp;$F341&amp;"%2C"&amp;$E341&amp;"&amp;marker="&amp;$F341&amp;","&amp;$E341&amp;",4326&amp;level=16","https://fema.maps.arcgis.com/apps/mapviewer/index.html?find="&amp;$F341&amp;"%2C"&amp;$E341&amp;"&amp;marker="&amp;$F341&amp;","&amp;$E341&amp;",4326&amp;level=16")))))),IF(_xlfn.SINGLE(JobState)="WI","Review Local Roads Layer","Review NFC AGOL Layer"))))</f>
        <v/>
      </c>
      <c r="N341" s="6" t="str">
        <f>IF(OR($E341="",$F341=""),"",IF(_xlfn.SINGLE(JobState)="",IF(ROW()=2,HYPERLINK("#JobState","Set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341&amp;"%2C"&amp;$E341&amp;"&amp;marker="&amp;$F341&amp;","&amp;$E341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1" s="6" t="str">
        <f>IF(OR($E341="", $F341=""),"",IF(_xlfn.SINGLE(JobAgolMap)="",HYPERLINK("https://fema.maps.arcgis.com/apps/mapviewer/index.html?find="&amp;$F341&amp;"%2C"&amp;$E341&amp;"&amp;marker="&amp;$F341&amp;","&amp;$E341&amp;",4326&amp;level=16","FEMA AGOL Map Viewer"),HYPERLINK(_xlfn.SINGLE(JobAgolMap)&amp;IF(ISNUMBER(FIND("?",_xlfn.SINGLE(JobAgolMap))),"&amp;","?")&amp;"center="&amp;$F341&amp;","&amp;$E341&amp;"&amp;level=16&amp;marker="&amp;$F341&amp;","&amp;$E341,"Open")))</f>
        <v/>
      </c>
      <c r="Q341" s="4"/>
      <c r="R341" s="4"/>
      <c r="W341" s="6" t="str">
        <f t="shared" si="30"/>
        <v/>
      </c>
      <c r="X341" s="6" t="str">
        <f t="shared" si="31"/>
        <v/>
      </c>
      <c r="Y341" s="6" t="str">
        <f t="shared" si="32"/>
        <v/>
      </c>
      <c r="Z341" s="6" t="str">
        <f t="shared" si="33"/>
        <v/>
      </c>
      <c r="AA341" s="6" t="str">
        <f t="shared" si="34"/>
        <v/>
      </c>
      <c r="AB341" s="6" t="str">
        <f t="shared" si="35"/>
        <v/>
      </c>
      <c r="AC341" s="4"/>
      <c r="AD341" s="4"/>
    </row>
    <row r="342" spans="1:30" x14ac:dyDescent="0.45">
      <c r="A342" s="3"/>
      <c r="B342" s="3"/>
      <c r="C342" s="5" t="str">
        <f>IF($E342="","",COUNT($E$2:$E342))</f>
        <v/>
      </c>
      <c r="D342" s="3"/>
      <c r="E342" s="3"/>
      <c r="F342" s="3"/>
      <c r="G342" s="3"/>
      <c r="H342" s="3"/>
      <c r="I342" s="3"/>
      <c r="J342" s="3"/>
      <c r="K342" s="3"/>
      <c r="L342" s="4"/>
      <c r="M342" s="6" t="str">
        <f>IF(OR($E342="",$F342=""),"",IF(_xlfn.SINGLE(JobState)="",IF(ROW()=2,HYPERLINK("#JobState","Set State →"),""),HYPERLINK(IF(OR(_xlfn.SINGLE(JobState)="MI",_xlfn.SINGLE(JobState)=""),"https://fema.maps.arcgis.com/apps/mapviewer/index.html?webmap=6a1702b9147243d1a5ee62cd614bc681&amp;center="&amp;$F342&amp;","&amp;$E342&amp;"&amp;level=16&amp;marker="&amp;$F342&amp;","&amp;$E342&amp;"",IF(_xlfn.SINGLE(JobState)="IN","https://fema.maps.arcgis.com/apps/mapviewer/index.html?url=https%3A%2F%2Fgis.indot.in.gov%2Fro%2Frest%2Fservices%2FRAH_GIO_Collaboration%2FLRSE_Functional_Class%2FFeatureServer%2F22&amp;find="&amp;$F342&amp;"%2C"&amp;$E342&amp;"&amp;marker="&amp;$F342&amp;","&amp;$E342&amp;",4326&amp;level=16",IF(_xlfn.SINGLE(JobState)="WI","https://fema.maps.arcgis.com/apps/mapviewer/index.html?url=https://services5.arcgis.com/0pgGLzT0Nh7FVjon/arcgis/rest/services/Functional_Class_Local_Non_Prod/FeatureServer/1&amp;find="&amp;$F342&amp;"%2C"&amp;$E342&amp;"&amp;marker="&amp;$F342&amp;","&amp;$E342&amp;",4326&amp;level=16",IF(_xlfn.SINGLE(JobState)="MN","https://fema.maps.arcgis.com/apps/mapviewer/index.html?url=https%3A%2F%2Fdotapp9.dot.state.mn.us%2Fegis12%2Frest%2Fservices%2FBASEMAP%2Fmndot_commonlayers2%2FMapServer%2F11&amp;find="&amp;$F342&amp;"%2C"&amp;$E342&amp;"&amp;marker="&amp;$F342&amp;","&amp;$E342&amp;",4326&amp;level=16",IF(_xlfn.SINGLE(JobState)="IL","https://fema.maps.arcgis.com/apps/mapviewer/index.html?url=https%3A%2F%2Fgis1.dot.illinois.gov%2Farcgis%2Frest%2Fservices%2FAdministrativeData%2FFunctionalClass%2FMapServer%2F0&amp;find="&amp;$F342&amp;"%2C"&amp;$E342&amp;"&amp;marker="&amp;$F342&amp;","&amp;$E342&amp;",4326&amp;level=16",IF(_xlfn.SINGLE(JobState)="OH","https://fema.maps.arcgis.com/apps/mapviewer/index.html?url=https%3A%2F%2Ftims.dot.state.oh.us%2Fags%2Frest%2Fservices%2FRoadway_Information%2FFunctional_Class%2FMapServer%2F0&amp;find="&amp;$F342&amp;"%2C"&amp;$E342&amp;"&amp;marker="&amp;$F342&amp;","&amp;$E342&amp;",4326&amp;level=16","https://fema.maps.arcgis.com/apps/mapviewer/index.html?find="&amp;$F342&amp;"%2C"&amp;$E342&amp;"&amp;marker="&amp;$F342&amp;","&amp;$E342&amp;",4326&amp;level=16")))))),IF(_xlfn.SINGLE(JobState)="WI","Review Local Roads Layer","Review NFC AGOL Layer"))))</f>
        <v/>
      </c>
      <c r="N342" s="6" t="str">
        <f>IF(OR($E342="",$F342=""),"",IF(_xlfn.SINGLE(JobState)="",IF(ROW()=2,HYPERLINK("#JobState","Set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342&amp;"%2C"&amp;$E342&amp;"&amp;marker="&amp;$F342&amp;","&amp;$E342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2" s="6" t="str">
        <f>IF(OR($E342="", $F342=""),"",IF(_xlfn.SINGLE(JobAgolMap)="",HYPERLINK("https://fema.maps.arcgis.com/apps/mapviewer/index.html?find="&amp;$F342&amp;"%2C"&amp;$E342&amp;"&amp;marker="&amp;$F342&amp;","&amp;$E342&amp;",4326&amp;level=16","FEMA AGOL Map Viewer"),HYPERLINK(_xlfn.SINGLE(JobAgolMap)&amp;IF(ISNUMBER(FIND("?",_xlfn.SINGLE(JobAgolMap))),"&amp;","?")&amp;"center="&amp;$F342&amp;","&amp;$E342&amp;"&amp;level=16&amp;marker="&amp;$F342&amp;","&amp;$E342,"Open")))</f>
        <v/>
      </c>
      <c r="Q342" s="4"/>
      <c r="R342" s="4"/>
      <c r="W342" s="6" t="str">
        <f t="shared" si="30"/>
        <v/>
      </c>
      <c r="X342" s="6" t="str">
        <f t="shared" si="31"/>
        <v/>
      </c>
      <c r="Y342" s="6" t="str">
        <f t="shared" si="32"/>
        <v/>
      </c>
      <c r="Z342" s="6" t="str">
        <f t="shared" si="33"/>
        <v/>
      </c>
      <c r="AA342" s="6" t="str">
        <f t="shared" si="34"/>
        <v/>
      </c>
      <c r="AB342" s="6" t="str">
        <f t="shared" si="35"/>
        <v/>
      </c>
      <c r="AC342" s="4"/>
      <c r="AD342" s="4"/>
    </row>
    <row r="343" spans="1:30" x14ac:dyDescent="0.45">
      <c r="A343" s="3"/>
      <c r="B343" s="3"/>
      <c r="C343" s="5" t="str">
        <f>IF($E343="","",COUNT($E$2:$E343))</f>
        <v/>
      </c>
      <c r="D343" s="3"/>
      <c r="E343" s="3"/>
      <c r="F343" s="3"/>
      <c r="G343" s="3"/>
      <c r="H343" s="3"/>
      <c r="I343" s="3"/>
      <c r="J343" s="3"/>
      <c r="K343" s="3"/>
      <c r="L343" s="4"/>
      <c r="M343" s="6" t="str">
        <f>IF(OR($E343="",$F343=""),"",IF(_xlfn.SINGLE(JobState)="",IF(ROW()=2,HYPERLINK("#JobState","Set State →"),""),HYPERLINK(IF(OR(_xlfn.SINGLE(JobState)="MI",_xlfn.SINGLE(JobState)=""),"https://fema.maps.arcgis.com/apps/mapviewer/index.html?webmap=6a1702b9147243d1a5ee62cd614bc681&amp;center="&amp;$F343&amp;","&amp;$E343&amp;"&amp;level=16&amp;marker="&amp;$F343&amp;","&amp;$E343&amp;"",IF(_xlfn.SINGLE(JobState)="IN","https://fema.maps.arcgis.com/apps/mapviewer/index.html?url=https%3A%2F%2Fgis.indot.in.gov%2Fro%2Frest%2Fservices%2FRAH_GIO_Collaboration%2FLRSE_Functional_Class%2FFeatureServer%2F22&amp;find="&amp;$F343&amp;"%2C"&amp;$E343&amp;"&amp;marker="&amp;$F343&amp;","&amp;$E343&amp;",4326&amp;level=16",IF(_xlfn.SINGLE(JobState)="WI","https://fema.maps.arcgis.com/apps/mapviewer/index.html?url=https://services5.arcgis.com/0pgGLzT0Nh7FVjon/arcgis/rest/services/Functional_Class_Local_Non_Prod/FeatureServer/1&amp;find="&amp;$F343&amp;"%2C"&amp;$E343&amp;"&amp;marker="&amp;$F343&amp;","&amp;$E343&amp;",4326&amp;level=16",IF(_xlfn.SINGLE(JobState)="MN","https://fema.maps.arcgis.com/apps/mapviewer/index.html?url=https%3A%2F%2Fdotapp9.dot.state.mn.us%2Fegis12%2Frest%2Fservices%2FBASEMAP%2Fmndot_commonlayers2%2FMapServer%2F11&amp;find="&amp;$F343&amp;"%2C"&amp;$E343&amp;"&amp;marker="&amp;$F343&amp;","&amp;$E343&amp;",4326&amp;level=16",IF(_xlfn.SINGLE(JobState)="IL","https://fema.maps.arcgis.com/apps/mapviewer/index.html?url=https%3A%2F%2Fgis1.dot.illinois.gov%2Farcgis%2Frest%2Fservices%2FAdministrativeData%2FFunctionalClass%2FMapServer%2F0&amp;find="&amp;$F343&amp;"%2C"&amp;$E343&amp;"&amp;marker="&amp;$F343&amp;","&amp;$E343&amp;",4326&amp;level=16",IF(_xlfn.SINGLE(JobState)="OH","https://fema.maps.arcgis.com/apps/mapviewer/index.html?url=https%3A%2F%2Ftims.dot.state.oh.us%2Fags%2Frest%2Fservices%2FRoadway_Information%2FFunctional_Class%2FMapServer%2F0&amp;find="&amp;$F343&amp;"%2C"&amp;$E343&amp;"&amp;marker="&amp;$F343&amp;","&amp;$E343&amp;",4326&amp;level=16","https://fema.maps.arcgis.com/apps/mapviewer/index.html?find="&amp;$F343&amp;"%2C"&amp;$E343&amp;"&amp;marker="&amp;$F343&amp;","&amp;$E343&amp;",4326&amp;level=16")))))),IF(_xlfn.SINGLE(JobState)="WI","Review Local Roads Layer","Review NFC AGOL Layer"))))</f>
        <v/>
      </c>
      <c r="N343" s="6" t="str">
        <f>IF(OR($E343="",$F343=""),"",IF(_xlfn.SINGLE(JobState)="",IF(ROW()=2,HYPERLINK("#JobState","Set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343&amp;"%2C"&amp;$E343&amp;"&amp;marker="&amp;$F343&amp;","&amp;$E343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3" s="6" t="str">
        <f>IF(OR($E343="", $F343=""),"",IF(_xlfn.SINGLE(JobAgolMap)="",HYPERLINK("https://fema.maps.arcgis.com/apps/mapviewer/index.html?find="&amp;$F343&amp;"%2C"&amp;$E343&amp;"&amp;marker="&amp;$F343&amp;","&amp;$E343&amp;",4326&amp;level=16","FEMA AGOL Map Viewer"),HYPERLINK(_xlfn.SINGLE(JobAgolMap)&amp;IF(ISNUMBER(FIND("?",_xlfn.SINGLE(JobAgolMap))),"&amp;","?")&amp;"center="&amp;$F343&amp;","&amp;$E343&amp;"&amp;level=16&amp;marker="&amp;$F343&amp;","&amp;$E343,"Open")))</f>
        <v/>
      </c>
      <c r="Q343" s="4"/>
      <c r="R343" s="4"/>
      <c r="W343" s="6" t="str">
        <f t="shared" si="30"/>
        <v/>
      </c>
      <c r="X343" s="6" t="str">
        <f t="shared" si="31"/>
        <v/>
      </c>
      <c r="Y343" s="6" t="str">
        <f t="shared" si="32"/>
        <v/>
      </c>
      <c r="Z343" s="6" t="str">
        <f t="shared" si="33"/>
        <v/>
      </c>
      <c r="AA343" s="6" t="str">
        <f t="shared" si="34"/>
        <v/>
      </c>
      <c r="AB343" s="6" t="str">
        <f t="shared" si="35"/>
        <v/>
      </c>
      <c r="AC343" s="4"/>
      <c r="AD343" s="4"/>
    </row>
    <row r="344" spans="1:30" x14ac:dyDescent="0.45">
      <c r="A344" s="3"/>
      <c r="B344" s="3"/>
      <c r="C344" s="5" t="str">
        <f>IF($E344="","",COUNT($E$2:$E344))</f>
        <v/>
      </c>
      <c r="D344" s="3"/>
      <c r="E344" s="3"/>
      <c r="F344" s="3"/>
      <c r="G344" s="3"/>
      <c r="H344" s="3"/>
      <c r="I344" s="3"/>
      <c r="J344" s="3"/>
      <c r="K344" s="3"/>
      <c r="L344" s="4"/>
      <c r="M344" s="6" t="str">
        <f>IF(OR($E344="",$F344=""),"",IF(_xlfn.SINGLE(JobState)="",IF(ROW()=2,HYPERLINK("#JobState","Set State →"),""),HYPERLINK(IF(OR(_xlfn.SINGLE(JobState)="MI",_xlfn.SINGLE(JobState)=""),"https://fema.maps.arcgis.com/apps/mapviewer/index.html?webmap=6a1702b9147243d1a5ee62cd614bc681&amp;center="&amp;$F344&amp;","&amp;$E344&amp;"&amp;level=16&amp;marker="&amp;$F344&amp;","&amp;$E344&amp;"",IF(_xlfn.SINGLE(JobState)="IN","https://fema.maps.arcgis.com/apps/mapviewer/index.html?url=https%3A%2F%2Fgis.indot.in.gov%2Fro%2Frest%2Fservices%2FRAH_GIO_Collaboration%2FLRSE_Functional_Class%2FFeatureServer%2F22&amp;find="&amp;$F344&amp;"%2C"&amp;$E344&amp;"&amp;marker="&amp;$F344&amp;","&amp;$E344&amp;",4326&amp;level=16",IF(_xlfn.SINGLE(JobState)="WI","https://fema.maps.arcgis.com/apps/mapviewer/index.html?url=https://services5.arcgis.com/0pgGLzT0Nh7FVjon/arcgis/rest/services/Functional_Class_Local_Non_Prod/FeatureServer/1&amp;find="&amp;$F344&amp;"%2C"&amp;$E344&amp;"&amp;marker="&amp;$F344&amp;","&amp;$E344&amp;",4326&amp;level=16",IF(_xlfn.SINGLE(JobState)="MN","https://fema.maps.arcgis.com/apps/mapviewer/index.html?url=https%3A%2F%2Fdotapp9.dot.state.mn.us%2Fegis12%2Frest%2Fservices%2FBASEMAP%2Fmndot_commonlayers2%2FMapServer%2F11&amp;find="&amp;$F344&amp;"%2C"&amp;$E344&amp;"&amp;marker="&amp;$F344&amp;","&amp;$E344&amp;",4326&amp;level=16",IF(_xlfn.SINGLE(JobState)="IL","https://fema.maps.arcgis.com/apps/mapviewer/index.html?url=https%3A%2F%2Fgis1.dot.illinois.gov%2Farcgis%2Frest%2Fservices%2FAdministrativeData%2FFunctionalClass%2FMapServer%2F0&amp;find="&amp;$F344&amp;"%2C"&amp;$E344&amp;"&amp;marker="&amp;$F344&amp;","&amp;$E344&amp;",4326&amp;level=16",IF(_xlfn.SINGLE(JobState)="OH","https://fema.maps.arcgis.com/apps/mapviewer/index.html?url=https%3A%2F%2Ftims.dot.state.oh.us%2Fags%2Frest%2Fservices%2FRoadway_Information%2FFunctional_Class%2FMapServer%2F0&amp;find="&amp;$F344&amp;"%2C"&amp;$E344&amp;"&amp;marker="&amp;$F344&amp;","&amp;$E344&amp;",4326&amp;level=16","https://fema.maps.arcgis.com/apps/mapviewer/index.html?find="&amp;$F344&amp;"%2C"&amp;$E344&amp;"&amp;marker="&amp;$F344&amp;","&amp;$E344&amp;",4326&amp;level=16")))))),IF(_xlfn.SINGLE(JobState)="WI","Review Local Roads Layer","Review NFC AGOL Layer"))))</f>
        <v/>
      </c>
      <c r="N344" s="6" t="str">
        <f>IF(OR($E344="",$F344=""),"",IF(_xlfn.SINGLE(JobState)="",IF(ROW()=2,HYPERLINK("#JobState","Set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344&amp;"%2C"&amp;$E344&amp;"&amp;marker="&amp;$F344&amp;","&amp;$E344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4" s="6" t="str">
        <f>IF(OR($E344="", $F344=""),"",IF(_xlfn.SINGLE(JobAgolMap)="",HYPERLINK("https://fema.maps.arcgis.com/apps/mapviewer/index.html?find="&amp;$F344&amp;"%2C"&amp;$E344&amp;"&amp;marker="&amp;$F344&amp;","&amp;$E344&amp;",4326&amp;level=16","FEMA AGOL Map Viewer"),HYPERLINK(_xlfn.SINGLE(JobAgolMap)&amp;IF(ISNUMBER(FIND("?",_xlfn.SINGLE(JobAgolMap))),"&amp;","?")&amp;"center="&amp;$F344&amp;","&amp;$E344&amp;"&amp;level=16&amp;marker="&amp;$F344&amp;","&amp;$E344,"Open")))</f>
        <v/>
      </c>
      <c r="Q344" s="4"/>
      <c r="R344" s="4"/>
      <c r="W344" s="6" t="str">
        <f t="shared" si="30"/>
        <v/>
      </c>
      <c r="X344" s="6" t="str">
        <f t="shared" si="31"/>
        <v/>
      </c>
      <c r="Y344" s="6" t="str">
        <f t="shared" si="32"/>
        <v/>
      </c>
      <c r="Z344" s="6" t="str">
        <f t="shared" si="33"/>
        <v/>
      </c>
      <c r="AA344" s="6" t="str">
        <f t="shared" si="34"/>
        <v/>
      </c>
      <c r="AB344" s="6" t="str">
        <f t="shared" si="35"/>
        <v/>
      </c>
      <c r="AC344" s="4"/>
      <c r="AD344" s="4"/>
    </row>
    <row r="345" spans="1:30" x14ac:dyDescent="0.45">
      <c r="A345" s="3"/>
      <c r="B345" s="3"/>
      <c r="C345" s="5" t="str">
        <f>IF($E345="","",COUNT($E$2:$E345))</f>
        <v/>
      </c>
      <c r="D345" s="3"/>
      <c r="E345" s="3"/>
      <c r="F345" s="3"/>
      <c r="G345" s="3"/>
      <c r="H345" s="3"/>
      <c r="I345" s="3"/>
      <c r="J345" s="3"/>
      <c r="K345" s="3"/>
      <c r="L345" s="4"/>
      <c r="M345" s="6" t="str">
        <f>IF(OR($E345="",$F345=""),"",IF(_xlfn.SINGLE(JobState)="",IF(ROW()=2,HYPERLINK("#JobState","Set State →"),""),HYPERLINK(IF(OR(_xlfn.SINGLE(JobState)="MI",_xlfn.SINGLE(JobState)=""),"https://fema.maps.arcgis.com/apps/mapviewer/index.html?webmap=6a1702b9147243d1a5ee62cd614bc681&amp;center="&amp;$F345&amp;","&amp;$E345&amp;"&amp;level=16&amp;marker="&amp;$F345&amp;","&amp;$E345&amp;"",IF(_xlfn.SINGLE(JobState)="IN","https://fema.maps.arcgis.com/apps/mapviewer/index.html?url=https%3A%2F%2Fgis.indot.in.gov%2Fro%2Frest%2Fservices%2FRAH_GIO_Collaboration%2FLRSE_Functional_Class%2FFeatureServer%2F22&amp;find="&amp;$F345&amp;"%2C"&amp;$E345&amp;"&amp;marker="&amp;$F345&amp;","&amp;$E345&amp;",4326&amp;level=16",IF(_xlfn.SINGLE(JobState)="WI","https://fema.maps.arcgis.com/apps/mapviewer/index.html?url=https://services5.arcgis.com/0pgGLzT0Nh7FVjon/arcgis/rest/services/Functional_Class_Local_Non_Prod/FeatureServer/1&amp;find="&amp;$F345&amp;"%2C"&amp;$E345&amp;"&amp;marker="&amp;$F345&amp;","&amp;$E345&amp;",4326&amp;level=16",IF(_xlfn.SINGLE(JobState)="MN","https://fema.maps.arcgis.com/apps/mapviewer/index.html?url=https%3A%2F%2Fdotapp9.dot.state.mn.us%2Fegis12%2Frest%2Fservices%2FBASEMAP%2Fmndot_commonlayers2%2FMapServer%2F11&amp;find="&amp;$F345&amp;"%2C"&amp;$E345&amp;"&amp;marker="&amp;$F345&amp;","&amp;$E345&amp;",4326&amp;level=16",IF(_xlfn.SINGLE(JobState)="IL","https://fema.maps.arcgis.com/apps/mapviewer/index.html?url=https%3A%2F%2Fgis1.dot.illinois.gov%2Farcgis%2Frest%2Fservices%2FAdministrativeData%2FFunctionalClass%2FMapServer%2F0&amp;find="&amp;$F345&amp;"%2C"&amp;$E345&amp;"&amp;marker="&amp;$F345&amp;","&amp;$E345&amp;",4326&amp;level=16",IF(_xlfn.SINGLE(JobState)="OH","https://fema.maps.arcgis.com/apps/mapviewer/index.html?url=https%3A%2F%2Ftims.dot.state.oh.us%2Fags%2Frest%2Fservices%2FRoadway_Information%2FFunctional_Class%2FMapServer%2F0&amp;find="&amp;$F345&amp;"%2C"&amp;$E345&amp;"&amp;marker="&amp;$F345&amp;","&amp;$E345&amp;",4326&amp;level=16","https://fema.maps.arcgis.com/apps/mapviewer/index.html?find="&amp;$F345&amp;"%2C"&amp;$E345&amp;"&amp;marker="&amp;$F345&amp;","&amp;$E345&amp;",4326&amp;level=16")))))),IF(_xlfn.SINGLE(JobState)="WI","Review Local Roads Layer","Review NFC AGOL Layer"))))</f>
        <v/>
      </c>
      <c r="N345" s="6" t="str">
        <f>IF(OR($E345="",$F345=""),"",IF(_xlfn.SINGLE(JobState)="",IF(ROW()=2,HYPERLINK("#JobState","Set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345&amp;"%2C"&amp;$E345&amp;"&amp;marker="&amp;$F345&amp;","&amp;$E345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5" s="6" t="str">
        <f>IF(OR($E345="", $F345=""),"",IF(_xlfn.SINGLE(JobAgolMap)="",HYPERLINK("https://fema.maps.arcgis.com/apps/mapviewer/index.html?find="&amp;$F345&amp;"%2C"&amp;$E345&amp;"&amp;marker="&amp;$F345&amp;","&amp;$E345&amp;",4326&amp;level=16","FEMA AGOL Map Viewer"),HYPERLINK(_xlfn.SINGLE(JobAgolMap)&amp;IF(ISNUMBER(FIND("?",_xlfn.SINGLE(JobAgolMap))),"&amp;","?")&amp;"center="&amp;$F345&amp;","&amp;$E345&amp;"&amp;level=16&amp;marker="&amp;$F345&amp;","&amp;$E345,"Open")))</f>
        <v/>
      </c>
      <c r="Q345" s="4"/>
      <c r="R345" s="4"/>
      <c r="W345" s="6" t="str">
        <f t="shared" si="30"/>
        <v/>
      </c>
      <c r="X345" s="6" t="str">
        <f t="shared" si="31"/>
        <v/>
      </c>
      <c r="Y345" s="6" t="str">
        <f t="shared" si="32"/>
        <v/>
      </c>
      <c r="Z345" s="6" t="str">
        <f t="shared" si="33"/>
        <v/>
      </c>
      <c r="AA345" s="6" t="str">
        <f t="shared" si="34"/>
        <v/>
      </c>
      <c r="AB345" s="6" t="str">
        <f t="shared" si="35"/>
        <v/>
      </c>
      <c r="AC345" s="4"/>
      <c r="AD345" s="4"/>
    </row>
    <row r="346" spans="1:30" x14ac:dyDescent="0.45">
      <c r="A346" s="3"/>
      <c r="B346" s="3"/>
      <c r="C346" s="5" t="str">
        <f>IF($E346="","",COUNT($E$2:$E346))</f>
        <v/>
      </c>
      <c r="D346" s="3"/>
      <c r="E346" s="3"/>
      <c r="F346" s="3"/>
      <c r="G346" s="3"/>
      <c r="H346" s="3"/>
      <c r="I346" s="3"/>
      <c r="J346" s="3"/>
      <c r="K346" s="3"/>
      <c r="L346" s="4"/>
      <c r="M346" s="6" t="str">
        <f>IF(OR($E346="",$F346=""),"",IF(_xlfn.SINGLE(JobState)="",IF(ROW()=2,HYPERLINK("#JobState","Set State →"),""),HYPERLINK(IF(OR(_xlfn.SINGLE(JobState)="MI",_xlfn.SINGLE(JobState)=""),"https://fema.maps.arcgis.com/apps/mapviewer/index.html?webmap=6a1702b9147243d1a5ee62cd614bc681&amp;center="&amp;$F346&amp;","&amp;$E346&amp;"&amp;level=16&amp;marker="&amp;$F346&amp;","&amp;$E346&amp;"",IF(_xlfn.SINGLE(JobState)="IN","https://fema.maps.arcgis.com/apps/mapviewer/index.html?url=https%3A%2F%2Fgis.indot.in.gov%2Fro%2Frest%2Fservices%2FRAH_GIO_Collaboration%2FLRSE_Functional_Class%2FFeatureServer%2F22&amp;find="&amp;$F346&amp;"%2C"&amp;$E346&amp;"&amp;marker="&amp;$F346&amp;","&amp;$E346&amp;",4326&amp;level=16",IF(_xlfn.SINGLE(JobState)="WI","https://fema.maps.arcgis.com/apps/mapviewer/index.html?url=https://services5.arcgis.com/0pgGLzT0Nh7FVjon/arcgis/rest/services/Functional_Class_Local_Non_Prod/FeatureServer/1&amp;find="&amp;$F346&amp;"%2C"&amp;$E346&amp;"&amp;marker="&amp;$F346&amp;","&amp;$E346&amp;",4326&amp;level=16",IF(_xlfn.SINGLE(JobState)="MN","https://fema.maps.arcgis.com/apps/mapviewer/index.html?url=https%3A%2F%2Fdotapp9.dot.state.mn.us%2Fegis12%2Frest%2Fservices%2FBASEMAP%2Fmndot_commonlayers2%2FMapServer%2F11&amp;find="&amp;$F346&amp;"%2C"&amp;$E346&amp;"&amp;marker="&amp;$F346&amp;","&amp;$E346&amp;",4326&amp;level=16",IF(_xlfn.SINGLE(JobState)="IL","https://fema.maps.arcgis.com/apps/mapviewer/index.html?url=https%3A%2F%2Fgis1.dot.illinois.gov%2Farcgis%2Frest%2Fservices%2FAdministrativeData%2FFunctionalClass%2FMapServer%2F0&amp;find="&amp;$F346&amp;"%2C"&amp;$E346&amp;"&amp;marker="&amp;$F346&amp;","&amp;$E346&amp;",4326&amp;level=16",IF(_xlfn.SINGLE(JobState)="OH","https://fema.maps.arcgis.com/apps/mapviewer/index.html?url=https%3A%2F%2Ftims.dot.state.oh.us%2Fags%2Frest%2Fservices%2FRoadway_Information%2FFunctional_Class%2FMapServer%2F0&amp;find="&amp;$F346&amp;"%2C"&amp;$E346&amp;"&amp;marker="&amp;$F346&amp;","&amp;$E346&amp;",4326&amp;level=16","https://fema.maps.arcgis.com/apps/mapviewer/index.html?find="&amp;$F346&amp;"%2C"&amp;$E346&amp;"&amp;marker="&amp;$F346&amp;","&amp;$E346&amp;",4326&amp;level=16")))))),IF(_xlfn.SINGLE(JobState)="WI","Review Local Roads Layer","Review NFC AGOL Layer"))))</f>
        <v/>
      </c>
      <c r="N346" s="6" t="str">
        <f>IF(OR($E346="",$F346=""),"",IF(_xlfn.SINGLE(JobState)="",IF(ROW()=2,HYPERLINK("#JobState","Set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346&amp;"%2C"&amp;$E346&amp;"&amp;marker="&amp;$F346&amp;","&amp;$E346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6" s="6" t="str">
        <f>IF(OR($E346="", $F346=""),"",IF(_xlfn.SINGLE(JobAgolMap)="",HYPERLINK("https://fema.maps.arcgis.com/apps/mapviewer/index.html?find="&amp;$F346&amp;"%2C"&amp;$E346&amp;"&amp;marker="&amp;$F346&amp;","&amp;$E346&amp;",4326&amp;level=16","FEMA AGOL Map Viewer"),HYPERLINK(_xlfn.SINGLE(JobAgolMap)&amp;IF(ISNUMBER(FIND("?",_xlfn.SINGLE(JobAgolMap))),"&amp;","?")&amp;"center="&amp;$F346&amp;","&amp;$E346&amp;"&amp;level=16&amp;marker="&amp;$F346&amp;","&amp;$E346,"Open")))</f>
        <v/>
      </c>
      <c r="Q346" s="4"/>
      <c r="R346" s="4"/>
      <c r="W346" s="6" t="str">
        <f t="shared" si="30"/>
        <v/>
      </c>
      <c r="X346" s="6" t="str">
        <f t="shared" si="31"/>
        <v/>
      </c>
      <c r="Y346" s="6" t="str">
        <f t="shared" si="32"/>
        <v/>
      </c>
      <c r="Z346" s="6" t="str">
        <f t="shared" si="33"/>
        <v/>
      </c>
      <c r="AA346" s="6" t="str">
        <f t="shared" si="34"/>
        <v/>
      </c>
      <c r="AB346" s="6" t="str">
        <f t="shared" si="35"/>
        <v/>
      </c>
      <c r="AC346" s="4"/>
      <c r="AD346" s="4"/>
    </row>
    <row r="347" spans="1:30" x14ac:dyDescent="0.45">
      <c r="A347" s="3"/>
      <c r="B347" s="3"/>
      <c r="C347" s="5" t="str">
        <f>IF($E347="","",COUNT($E$2:$E347))</f>
        <v/>
      </c>
      <c r="D347" s="3"/>
      <c r="E347" s="3"/>
      <c r="F347" s="3"/>
      <c r="G347" s="3"/>
      <c r="H347" s="3"/>
      <c r="I347" s="3"/>
      <c r="J347" s="3"/>
      <c r="K347" s="3"/>
      <c r="L347" s="4"/>
      <c r="M347" s="6" t="str">
        <f>IF(OR($E347="",$F347=""),"",IF(_xlfn.SINGLE(JobState)="",IF(ROW()=2,HYPERLINK("#JobState","Set State →"),""),HYPERLINK(IF(OR(_xlfn.SINGLE(JobState)="MI",_xlfn.SINGLE(JobState)=""),"https://fema.maps.arcgis.com/apps/mapviewer/index.html?webmap=6a1702b9147243d1a5ee62cd614bc681&amp;center="&amp;$F347&amp;","&amp;$E347&amp;"&amp;level=16&amp;marker="&amp;$F347&amp;","&amp;$E347&amp;"",IF(_xlfn.SINGLE(JobState)="IN","https://fema.maps.arcgis.com/apps/mapviewer/index.html?url=https%3A%2F%2Fgis.indot.in.gov%2Fro%2Frest%2Fservices%2FRAH_GIO_Collaboration%2FLRSE_Functional_Class%2FFeatureServer%2F22&amp;find="&amp;$F347&amp;"%2C"&amp;$E347&amp;"&amp;marker="&amp;$F347&amp;","&amp;$E347&amp;",4326&amp;level=16",IF(_xlfn.SINGLE(JobState)="WI","https://fema.maps.arcgis.com/apps/mapviewer/index.html?url=https://services5.arcgis.com/0pgGLzT0Nh7FVjon/arcgis/rest/services/Functional_Class_Local_Non_Prod/FeatureServer/1&amp;find="&amp;$F347&amp;"%2C"&amp;$E347&amp;"&amp;marker="&amp;$F347&amp;","&amp;$E347&amp;",4326&amp;level=16",IF(_xlfn.SINGLE(JobState)="MN","https://fema.maps.arcgis.com/apps/mapviewer/index.html?url=https%3A%2F%2Fdotapp9.dot.state.mn.us%2Fegis12%2Frest%2Fservices%2FBASEMAP%2Fmndot_commonlayers2%2FMapServer%2F11&amp;find="&amp;$F347&amp;"%2C"&amp;$E347&amp;"&amp;marker="&amp;$F347&amp;","&amp;$E347&amp;",4326&amp;level=16",IF(_xlfn.SINGLE(JobState)="IL","https://fema.maps.arcgis.com/apps/mapviewer/index.html?url=https%3A%2F%2Fgis1.dot.illinois.gov%2Farcgis%2Frest%2Fservices%2FAdministrativeData%2FFunctionalClass%2FMapServer%2F0&amp;find="&amp;$F347&amp;"%2C"&amp;$E347&amp;"&amp;marker="&amp;$F347&amp;","&amp;$E347&amp;",4326&amp;level=16",IF(_xlfn.SINGLE(JobState)="OH","https://fema.maps.arcgis.com/apps/mapviewer/index.html?url=https%3A%2F%2Ftims.dot.state.oh.us%2Fags%2Frest%2Fservices%2FRoadway_Information%2FFunctional_Class%2FMapServer%2F0&amp;find="&amp;$F347&amp;"%2C"&amp;$E347&amp;"&amp;marker="&amp;$F347&amp;","&amp;$E347&amp;",4326&amp;level=16","https://fema.maps.arcgis.com/apps/mapviewer/index.html?find="&amp;$F347&amp;"%2C"&amp;$E347&amp;"&amp;marker="&amp;$F347&amp;","&amp;$E347&amp;",4326&amp;level=16")))))),IF(_xlfn.SINGLE(JobState)="WI","Review Local Roads Layer","Review NFC AGOL Layer"))))</f>
        <v/>
      </c>
      <c r="N347" s="6" t="str">
        <f>IF(OR($E347="",$F347=""),"",IF(_xlfn.SINGLE(JobState)="",IF(ROW()=2,HYPERLINK("#JobState","Set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347&amp;"%2C"&amp;$E347&amp;"&amp;marker="&amp;$F347&amp;","&amp;$E347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7" s="6" t="str">
        <f>IF(OR($E347="", $F347=""),"",IF(_xlfn.SINGLE(JobAgolMap)="",HYPERLINK("https://fema.maps.arcgis.com/apps/mapviewer/index.html?find="&amp;$F347&amp;"%2C"&amp;$E347&amp;"&amp;marker="&amp;$F347&amp;","&amp;$E347&amp;",4326&amp;level=16","FEMA AGOL Map Viewer"),HYPERLINK(_xlfn.SINGLE(JobAgolMap)&amp;IF(ISNUMBER(FIND("?",_xlfn.SINGLE(JobAgolMap))),"&amp;","?")&amp;"center="&amp;$F347&amp;","&amp;$E347&amp;"&amp;level=16&amp;marker="&amp;$F347&amp;","&amp;$E347,"Open")))</f>
        <v/>
      </c>
      <c r="Q347" s="4"/>
      <c r="R347" s="4"/>
      <c r="W347" s="6" t="str">
        <f t="shared" si="30"/>
        <v/>
      </c>
      <c r="X347" s="6" t="str">
        <f t="shared" si="31"/>
        <v/>
      </c>
      <c r="Y347" s="6" t="str">
        <f t="shared" si="32"/>
        <v/>
      </c>
      <c r="Z347" s="6" t="str">
        <f t="shared" si="33"/>
        <v/>
      </c>
      <c r="AA347" s="6" t="str">
        <f t="shared" si="34"/>
        <v/>
      </c>
      <c r="AB347" s="6" t="str">
        <f t="shared" si="35"/>
        <v/>
      </c>
      <c r="AC347" s="4"/>
      <c r="AD347" s="4"/>
    </row>
    <row r="348" spans="1:30" x14ac:dyDescent="0.45">
      <c r="A348" s="3"/>
      <c r="B348" s="3"/>
      <c r="C348" s="5" t="str">
        <f>IF($E348="","",COUNT($E$2:$E348))</f>
        <v/>
      </c>
      <c r="D348" s="3"/>
      <c r="E348" s="3"/>
      <c r="F348" s="3"/>
      <c r="G348" s="3"/>
      <c r="H348" s="3"/>
      <c r="I348" s="3"/>
      <c r="J348" s="3"/>
      <c r="K348" s="3"/>
      <c r="L348" s="4"/>
      <c r="M348" s="6" t="str">
        <f>IF(OR($E348="",$F348=""),"",IF(_xlfn.SINGLE(JobState)="",IF(ROW()=2,HYPERLINK("#JobState","Set State →"),""),HYPERLINK(IF(OR(_xlfn.SINGLE(JobState)="MI",_xlfn.SINGLE(JobState)=""),"https://fema.maps.arcgis.com/apps/mapviewer/index.html?webmap=6a1702b9147243d1a5ee62cd614bc681&amp;center="&amp;$F348&amp;","&amp;$E348&amp;"&amp;level=16&amp;marker="&amp;$F348&amp;","&amp;$E348&amp;"",IF(_xlfn.SINGLE(JobState)="IN","https://fema.maps.arcgis.com/apps/mapviewer/index.html?url=https%3A%2F%2Fgis.indot.in.gov%2Fro%2Frest%2Fservices%2FRAH_GIO_Collaboration%2FLRSE_Functional_Class%2FFeatureServer%2F22&amp;find="&amp;$F348&amp;"%2C"&amp;$E348&amp;"&amp;marker="&amp;$F348&amp;","&amp;$E348&amp;",4326&amp;level=16",IF(_xlfn.SINGLE(JobState)="WI","https://fema.maps.arcgis.com/apps/mapviewer/index.html?url=https://services5.arcgis.com/0pgGLzT0Nh7FVjon/arcgis/rest/services/Functional_Class_Local_Non_Prod/FeatureServer/1&amp;find="&amp;$F348&amp;"%2C"&amp;$E348&amp;"&amp;marker="&amp;$F348&amp;","&amp;$E348&amp;",4326&amp;level=16",IF(_xlfn.SINGLE(JobState)="MN","https://fema.maps.arcgis.com/apps/mapviewer/index.html?url=https%3A%2F%2Fdotapp9.dot.state.mn.us%2Fegis12%2Frest%2Fservices%2FBASEMAP%2Fmndot_commonlayers2%2FMapServer%2F11&amp;find="&amp;$F348&amp;"%2C"&amp;$E348&amp;"&amp;marker="&amp;$F348&amp;","&amp;$E348&amp;",4326&amp;level=16",IF(_xlfn.SINGLE(JobState)="IL","https://fema.maps.arcgis.com/apps/mapviewer/index.html?url=https%3A%2F%2Fgis1.dot.illinois.gov%2Farcgis%2Frest%2Fservices%2FAdministrativeData%2FFunctionalClass%2FMapServer%2F0&amp;find="&amp;$F348&amp;"%2C"&amp;$E348&amp;"&amp;marker="&amp;$F348&amp;","&amp;$E348&amp;",4326&amp;level=16",IF(_xlfn.SINGLE(JobState)="OH","https://fema.maps.arcgis.com/apps/mapviewer/index.html?url=https%3A%2F%2Ftims.dot.state.oh.us%2Fags%2Frest%2Fservices%2FRoadway_Information%2FFunctional_Class%2FMapServer%2F0&amp;find="&amp;$F348&amp;"%2C"&amp;$E348&amp;"&amp;marker="&amp;$F348&amp;","&amp;$E348&amp;",4326&amp;level=16","https://fema.maps.arcgis.com/apps/mapviewer/index.html?find="&amp;$F348&amp;"%2C"&amp;$E348&amp;"&amp;marker="&amp;$F348&amp;","&amp;$E348&amp;",4326&amp;level=16")))))),IF(_xlfn.SINGLE(JobState)="WI","Review Local Roads Layer","Review NFC AGOL Layer"))))</f>
        <v/>
      </c>
      <c r="N348" s="6" t="str">
        <f>IF(OR($E348="",$F348=""),"",IF(_xlfn.SINGLE(JobState)="",IF(ROW()=2,HYPERLINK("#JobState","Set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348&amp;"%2C"&amp;$E348&amp;"&amp;marker="&amp;$F348&amp;","&amp;$E348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8" s="6" t="str">
        <f>IF(OR($E348="", $F348=""),"",IF(_xlfn.SINGLE(JobAgolMap)="",HYPERLINK("https://fema.maps.arcgis.com/apps/mapviewer/index.html?find="&amp;$F348&amp;"%2C"&amp;$E348&amp;"&amp;marker="&amp;$F348&amp;","&amp;$E348&amp;",4326&amp;level=16","FEMA AGOL Map Viewer"),HYPERLINK(_xlfn.SINGLE(JobAgolMap)&amp;IF(ISNUMBER(FIND("?",_xlfn.SINGLE(JobAgolMap))),"&amp;","?")&amp;"center="&amp;$F348&amp;","&amp;$E348&amp;"&amp;level=16&amp;marker="&amp;$F348&amp;","&amp;$E348,"Open")))</f>
        <v/>
      </c>
      <c r="Q348" s="4"/>
      <c r="R348" s="4"/>
      <c r="W348" s="6" t="str">
        <f t="shared" si="30"/>
        <v/>
      </c>
      <c r="X348" s="6" t="str">
        <f t="shared" si="31"/>
        <v/>
      </c>
      <c r="Y348" s="6" t="str">
        <f t="shared" si="32"/>
        <v/>
      </c>
      <c r="Z348" s="6" t="str">
        <f t="shared" si="33"/>
        <v/>
      </c>
      <c r="AA348" s="6" t="str">
        <f t="shared" si="34"/>
        <v/>
      </c>
      <c r="AB348" s="6" t="str">
        <f t="shared" si="35"/>
        <v/>
      </c>
      <c r="AC348" s="4"/>
      <c r="AD348" s="4"/>
    </row>
    <row r="349" spans="1:30" x14ac:dyDescent="0.45">
      <c r="A349" s="3"/>
      <c r="B349" s="3"/>
      <c r="C349" s="5" t="str">
        <f>IF($E349="","",COUNT($E$2:$E349))</f>
        <v/>
      </c>
      <c r="D349" s="3"/>
      <c r="E349" s="3"/>
      <c r="F349" s="3"/>
      <c r="G349" s="3"/>
      <c r="H349" s="3"/>
      <c r="I349" s="3"/>
      <c r="J349" s="3"/>
      <c r="K349" s="3"/>
      <c r="L349" s="4"/>
      <c r="M349" s="6" t="str">
        <f>IF(OR($E349="",$F349=""),"",IF(_xlfn.SINGLE(JobState)="",IF(ROW()=2,HYPERLINK("#JobState","Set State →"),""),HYPERLINK(IF(OR(_xlfn.SINGLE(JobState)="MI",_xlfn.SINGLE(JobState)=""),"https://fema.maps.arcgis.com/apps/mapviewer/index.html?webmap=6a1702b9147243d1a5ee62cd614bc681&amp;center="&amp;$F349&amp;","&amp;$E349&amp;"&amp;level=16&amp;marker="&amp;$F349&amp;","&amp;$E349&amp;"",IF(_xlfn.SINGLE(JobState)="IN","https://fema.maps.arcgis.com/apps/mapviewer/index.html?url=https%3A%2F%2Fgis.indot.in.gov%2Fro%2Frest%2Fservices%2FRAH_GIO_Collaboration%2FLRSE_Functional_Class%2FFeatureServer%2F22&amp;find="&amp;$F349&amp;"%2C"&amp;$E349&amp;"&amp;marker="&amp;$F349&amp;","&amp;$E349&amp;",4326&amp;level=16",IF(_xlfn.SINGLE(JobState)="WI","https://fema.maps.arcgis.com/apps/mapviewer/index.html?url=https://services5.arcgis.com/0pgGLzT0Nh7FVjon/arcgis/rest/services/Functional_Class_Local_Non_Prod/FeatureServer/1&amp;find="&amp;$F349&amp;"%2C"&amp;$E349&amp;"&amp;marker="&amp;$F349&amp;","&amp;$E349&amp;",4326&amp;level=16",IF(_xlfn.SINGLE(JobState)="MN","https://fema.maps.arcgis.com/apps/mapviewer/index.html?url=https%3A%2F%2Fdotapp9.dot.state.mn.us%2Fegis12%2Frest%2Fservices%2FBASEMAP%2Fmndot_commonlayers2%2FMapServer%2F11&amp;find="&amp;$F349&amp;"%2C"&amp;$E349&amp;"&amp;marker="&amp;$F349&amp;","&amp;$E349&amp;",4326&amp;level=16",IF(_xlfn.SINGLE(JobState)="IL","https://fema.maps.arcgis.com/apps/mapviewer/index.html?url=https%3A%2F%2Fgis1.dot.illinois.gov%2Farcgis%2Frest%2Fservices%2FAdministrativeData%2FFunctionalClass%2FMapServer%2F0&amp;find="&amp;$F349&amp;"%2C"&amp;$E349&amp;"&amp;marker="&amp;$F349&amp;","&amp;$E349&amp;",4326&amp;level=16",IF(_xlfn.SINGLE(JobState)="OH","https://fema.maps.arcgis.com/apps/mapviewer/index.html?url=https%3A%2F%2Ftims.dot.state.oh.us%2Fags%2Frest%2Fservices%2FRoadway_Information%2FFunctional_Class%2FMapServer%2F0&amp;find="&amp;$F349&amp;"%2C"&amp;$E349&amp;"&amp;marker="&amp;$F349&amp;","&amp;$E349&amp;",4326&amp;level=16","https://fema.maps.arcgis.com/apps/mapviewer/index.html?find="&amp;$F349&amp;"%2C"&amp;$E349&amp;"&amp;marker="&amp;$F349&amp;","&amp;$E349&amp;",4326&amp;level=16")))))),IF(_xlfn.SINGLE(JobState)="WI","Review Local Roads Layer","Review NFC AGOL Layer"))))</f>
        <v/>
      </c>
      <c r="N349" s="6" t="str">
        <f>IF(OR($E349="",$F349=""),"",IF(_xlfn.SINGLE(JobState)="",IF(ROW()=2,HYPERLINK("#JobState","Set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349&amp;"%2C"&amp;$E349&amp;"&amp;marker="&amp;$F349&amp;","&amp;$E349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9" s="6" t="str">
        <f>IF(OR($E349="", $F349=""),"",IF(_xlfn.SINGLE(JobAgolMap)="",HYPERLINK("https://fema.maps.arcgis.com/apps/mapviewer/index.html?find="&amp;$F349&amp;"%2C"&amp;$E349&amp;"&amp;marker="&amp;$F349&amp;","&amp;$E349&amp;",4326&amp;level=16","FEMA AGOL Map Viewer"),HYPERLINK(_xlfn.SINGLE(JobAgolMap)&amp;IF(ISNUMBER(FIND("?",_xlfn.SINGLE(JobAgolMap))),"&amp;","?")&amp;"center="&amp;$F349&amp;","&amp;$E349&amp;"&amp;level=16&amp;marker="&amp;$F349&amp;","&amp;$E349,"Open")))</f>
        <v/>
      </c>
      <c r="Q349" s="4"/>
      <c r="R349" s="4"/>
      <c r="W349" s="6" t="str">
        <f t="shared" si="30"/>
        <v/>
      </c>
      <c r="X349" s="6" t="str">
        <f t="shared" si="31"/>
        <v/>
      </c>
      <c r="Y349" s="6" t="str">
        <f t="shared" si="32"/>
        <v/>
      </c>
      <c r="Z349" s="6" t="str">
        <f t="shared" si="33"/>
        <v/>
      </c>
      <c r="AA349" s="6" t="str">
        <f t="shared" si="34"/>
        <v/>
      </c>
      <c r="AB349" s="6" t="str">
        <f t="shared" si="35"/>
        <v/>
      </c>
      <c r="AC349" s="4"/>
      <c r="AD349" s="4"/>
    </row>
    <row r="350" spans="1:30" x14ac:dyDescent="0.45">
      <c r="A350" s="3"/>
      <c r="B350" s="3"/>
      <c r="C350" s="5" t="str">
        <f>IF($E350="","",COUNT($E$2:$E350))</f>
        <v/>
      </c>
      <c r="D350" s="3"/>
      <c r="E350" s="3"/>
      <c r="F350" s="3"/>
      <c r="G350" s="3"/>
      <c r="H350" s="3"/>
      <c r="I350" s="3"/>
      <c r="J350" s="3"/>
      <c r="K350" s="3"/>
      <c r="L350" s="4"/>
      <c r="M350" s="6" t="str">
        <f>IF(OR($E350="",$F350=""),"",IF(_xlfn.SINGLE(JobState)="",IF(ROW()=2,HYPERLINK("#JobState","Set State →"),""),HYPERLINK(IF(OR(_xlfn.SINGLE(JobState)="MI",_xlfn.SINGLE(JobState)=""),"https://fema.maps.arcgis.com/apps/mapviewer/index.html?webmap=6a1702b9147243d1a5ee62cd614bc681&amp;center="&amp;$F350&amp;","&amp;$E350&amp;"&amp;level=16&amp;marker="&amp;$F350&amp;","&amp;$E350&amp;"",IF(_xlfn.SINGLE(JobState)="IN","https://fema.maps.arcgis.com/apps/mapviewer/index.html?url=https%3A%2F%2Fgis.indot.in.gov%2Fro%2Frest%2Fservices%2FRAH_GIO_Collaboration%2FLRSE_Functional_Class%2FFeatureServer%2F22&amp;find="&amp;$F350&amp;"%2C"&amp;$E350&amp;"&amp;marker="&amp;$F350&amp;","&amp;$E350&amp;",4326&amp;level=16",IF(_xlfn.SINGLE(JobState)="WI","https://fema.maps.arcgis.com/apps/mapviewer/index.html?url=https://services5.arcgis.com/0pgGLzT0Nh7FVjon/arcgis/rest/services/Functional_Class_Local_Non_Prod/FeatureServer/1&amp;find="&amp;$F350&amp;"%2C"&amp;$E350&amp;"&amp;marker="&amp;$F350&amp;","&amp;$E350&amp;",4326&amp;level=16",IF(_xlfn.SINGLE(JobState)="MN","https://fema.maps.arcgis.com/apps/mapviewer/index.html?url=https%3A%2F%2Fdotapp9.dot.state.mn.us%2Fegis12%2Frest%2Fservices%2FBASEMAP%2Fmndot_commonlayers2%2FMapServer%2F11&amp;find="&amp;$F350&amp;"%2C"&amp;$E350&amp;"&amp;marker="&amp;$F350&amp;","&amp;$E350&amp;",4326&amp;level=16",IF(_xlfn.SINGLE(JobState)="IL","https://fema.maps.arcgis.com/apps/mapviewer/index.html?url=https%3A%2F%2Fgis1.dot.illinois.gov%2Farcgis%2Frest%2Fservices%2FAdministrativeData%2FFunctionalClass%2FMapServer%2F0&amp;find="&amp;$F350&amp;"%2C"&amp;$E350&amp;"&amp;marker="&amp;$F350&amp;","&amp;$E350&amp;",4326&amp;level=16",IF(_xlfn.SINGLE(JobState)="OH","https://fema.maps.arcgis.com/apps/mapviewer/index.html?url=https%3A%2F%2Ftims.dot.state.oh.us%2Fags%2Frest%2Fservices%2FRoadway_Information%2FFunctional_Class%2FMapServer%2F0&amp;find="&amp;$F350&amp;"%2C"&amp;$E350&amp;"&amp;marker="&amp;$F350&amp;","&amp;$E350&amp;",4326&amp;level=16","https://fema.maps.arcgis.com/apps/mapviewer/index.html?find="&amp;$F350&amp;"%2C"&amp;$E350&amp;"&amp;marker="&amp;$F350&amp;","&amp;$E350&amp;",4326&amp;level=16")))))),IF(_xlfn.SINGLE(JobState)="WI","Review Local Roads Layer","Review NFC AGOL Layer"))))</f>
        <v/>
      </c>
      <c r="N350" s="6" t="str">
        <f>IF(OR($E350="",$F350=""),"",IF(_xlfn.SINGLE(JobState)="",IF(ROW()=2,HYPERLINK("#JobState","Set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350&amp;"%2C"&amp;$E350&amp;"&amp;marker="&amp;$F350&amp;","&amp;$E350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0" s="6" t="str">
        <f>IF(OR($E350="", $F350=""),"",IF(_xlfn.SINGLE(JobAgolMap)="",HYPERLINK("https://fema.maps.arcgis.com/apps/mapviewer/index.html?find="&amp;$F350&amp;"%2C"&amp;$E350&amp;"&amp;marker="&amp;$F350&amp;","&amp;$E350&amp;",4326&amp;level=16","FEMA AGOL Map Viewer"),HYPERLINK(_xlfn.SINGLE(JobAgolMap)&amp;IF(ISNUMBER(FIND("?",_xlfn.SINGLE(JobAgolMap))),"&amp;","?")&amp;"center="&amp;$F350&amp;","&amp;$E350&amp;"&amp;level=16&amp;marker="&amp;$F350&amp;","&amp;$E350,"Open")))</f>
        <v/>
      </c>
      <c r="Q350" s="4"/>
      <c r="R350" s="4"/>
      <c r="W350" s="6" t="str">
        <f t="shared" si="30"/>
        <v/>
      </c>
      <c r="X350" s="6" t="str">
        <f t="shared" si="31"/>
        <v/>
      </c>
      <c r="Y350" s="6" t="str">
        <f t="shared" si="32"/>
        <v/>
      </c>
      <c r="Z350" s="6" t="str">
        <f t="shared" si="33"/>
        <v/>
      </c>
      <c r="AA350" s="6" t="str">
        <f t="shared" si="34"/>
        <v/>
      </c>
      <c r="AB350" s="6" t="str">
        <f t="shared" si="35"/>
        <v/>
      </c>
      <c r="AC350" s="4"/>
      <c r="AD350" s="4"/>
    </row>
    <row r="351" spans="1:30" x14ac:dyDescent="0.45">
      <c r="A351" s="3"/>
      <c r="B351" s="3"/>
      <c r="C351" s="5" t="str">
        <f>IF($E351="","",COUNT($E$2:$E351))</f>
        <v/>
      </c>
      <c r="D351" s="3"/>
      <c r="E351" s="3"/>
      <c r="F351" s="3"/>
      <c r="G351" s="3"/>
      <c r="H351" s="3"/>
      <c r="I351" s="3"/>
      <c r="J351" s="3"/>
      <c r="K351" s="3"/>
      <c r="L351" s="4"/>
      <c r="M351" s="6" t="str">
        <f>IF(OR($E351="",$F351=""),"",IF(_xlfn.SINGLE(JobState)="",IF(ROW()=2,HYPERLINK("#JobState","Set State →"),""),HYPERLINK(IF(OR(_xlfn.SINGLE(JobState)="MI",_xlfn.SINGLE(JobState)=""),"https://fema.maps.arcgis.com/apps/mapviewer/index.html?webmap=6a1702b9147243d1a5ee62cd614bc681&amp;center="&amp;$F351&amp;","&amp;$E351&amp;"&amp;level=16&amp;marker="&amp;$F351&amp;","&amp;$E351&amp;"",IF(_xlfn.SINGLE(JobState)="IN","https://fema.maps.arcgis.com/apps/mapviewer/index.html?url=https%3A%2F%2Fgis.indot.in.gov%2Fro%2Frest%2Fservices%2FRAH_GIO_Collaboration%2FLRSE_Functional_Class%2FFeatureServer%2F22&amp;find="&amp;$F351&amp;"%2C"&amp;$E351&amp;"&amp;marker="&amp;$F351&amp;","&amp;$E351&amp;",4326&amp;level=16",IF(_xlfn.SINGLE(JobState)="WI","https://fema.maps.arcgis.com/apps/mapviewer/index.html?url=https://services5.arcgis.com/0pgGLzT0Nh7FVjon/arcgis/rest/services/Functional_Class_Local_Non_Prod/FeatureServer/1&amp;find="&amp;$F351&amp;"%2C"&amp;$E351&amp;"&amp;marker="&amp;$F351&amp;","&amp;$E351&amp;",4326&amp;level=16",IF(_xlfn.SINGLE(JobState)="MN","https://fema.maps.arcgis.com/apps/mapviewer/index.html?url=https%3A%2F%2Fdotapp9.dot.state.mn.us%2Fegis12%2Frest%2Fservices%2FBASEMAP%2Fmndot_commonlayers2%2FMapServer%2F11&amp;find="&amp;$F351&amp;"%2C"&amp;$E351&amp;"&amp;marker="&amp;$F351&amp;","&amp;$E351&amp;",4326&amp;level=16",IF(_xlfn.SINGLE(JobState)="IL","https://fema.maps.arcgis.com/apps/mapviewer/index.html?url=https%3A%2F%2Fgis1.dot.illinois.gov%2Farcgis%2Frest%2Fservices%2FAdministrativeData%2FFunctionalClass%2FMapServer%2F0&amp;find="&amp;$F351&amp;"%2C"&amp;$E351&amp;"&amp;marker="&amp;$F351&amp;","&amp;$E351&amp;",4326&amp;level=16",IF(_xlfn.SINGLE(JobState)="OH","https://fema.maps.arcgis.com/apps/mapviewer/index.html?url=https%3A%2F%2Ftims.dot.state.oh.us%2Fags%2Frest%2Fservices%2FRoadway_Information%2FFunctional_Class%2FMapServer%2F0&amp;find="&amp;$F351&amp;"%2C"&amp;$E351&amp;"&amp;marker="&amp;$F351&amp;","&amp;$E351&amp;",4326&amp;level=16","https://fema.maps.arcgis.com/apps/mapviewer/index.html?find="&amp;$F351&amp;"%2C"&amp;$E351&amp;"&amp;marker="&amp;$F351&amp;","&amp;$E351&amp;",4326&amp;level=16")))))),IF(_xlfn.SINGLE(JobState)="WI","Review Local Roads Layer","Review NFC AGOL Layer"))))</f>
        <v/>
      </c>
      <c r="N351" s="6" t="str">
        <f>IF(OR($E351="",$F351=""),"",IF(_xlfn.SINGLE(JobState)="",IF(ROW()=2,HYPERLINK("#JobState","Set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351&amp;"%2C"&amp;$E351&amp;"&amp;marker="&amp;$F351&amp;","&amp;$E351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1" s="6" t="str">
        <f>IF(OR($E351="", $F351=""),"",IF(_xlfn.SINGLE(JobAgolMap)="",HYPERLINK("https://fema.maps.arcgis.com/apps/mapviewer/index.html?find="&amp;$F351&amp;"%2C"&amp;$E351&amp;"&amp;marker="&amp;$F351&amp;","&amp;$E351&amp;",4326&amp;level=16","FEMA AGOL Map Viewer"),HYPERLINK(_xlfn.SINGLE(JobAgolMap)&amp;IF(ISNUMBER(FIND("?",_xlfn.SINGLE(JobAgolMap))),"&amp;","?")&amp;"center="&amp;$F351&amp;","&amp;$E351&amp;"&amp;level=16&amp;marker="&amp;$F351&amp;","&amp;$E351,"Open")))</f>
        <v/>
      </c>
      <c r="Q351" s="4"/>
      <c r="R351" s="4"/>
      <c r="W351" s="6" t="str">
        <f t="shared" si="30"/>
        <v/>
      </c>
      <c r="X351" s="6" t="str">
        <f t="shared" si="31"/>
        <v/>
      </c>
      <c r="Y351" s="6" t="str">
        <f t="shared" si="32"/>
        <v/>
      </c>
      <c r="Z351" s="6" t="str">
        <f t="shared" si="33"/>
        <v/>
      </c>
      <c r="AA351" s="6" t="str">
        <f t="shared" si="34"/>
        <v/>
      </c>
      <c r="AB351" s="6" t="str">
        <f t="shared" si="35"/>
        <v/>
      </c>
      <c r="AC351" s="4"/>
      <c r="AD351" s="4"/>
    </row>
    <row r="352" spans="1:30" x14ac:dyDescent="0.45">
      <c r="A352" s="3"/>
      <c r="B352" s="3"/>
      <c r="C352" s="5" t="str">
        <f>IF($E352="","",COUNT($E$2:$E352))</f>
        <v/>
      </c>
      <c r="D352" s="3"/>
      <c r="E352" s="3"/>
      <c r="F352" s="3"/>
      <c r="G352" s="3"/>
      <c r="H352" s="3"/>
      <c r="I352" s="3"/>
      <c r="J352" s="3"/>
      <c r="K352" s="3"/>
      <c r="L352" s="4"/>
      <c r="M352" s="6" t="str">
        <f>IF(OR($E352="",$F352=""),"",IF(_xlfn.SINGLE(JobState)="",IF(ROW()=2,HYPERLINK("#JobState","Set State →"),""),HYPERLINK(IF(OR(_xlfn.SINGLE(JobState)="MI",_xlfn.SINGLE(JobState)=""),"https://fema.maps.arcgis.com/apps/mapviewer/index.html?webmap=6a1702b9147243d1a5ee62cd614bc681&amp;center="&amp;$F352&amp;","&amp;$E352&amp;"&amp;level=16&amp;marker="&amp;$F352&amp;","&amp;$E352&amp;"",IF(_xlfn.SINGLE(JobState)="IN","https://fema.maps.arcgis.com/apps/mapviewer/index.html?url=https%3A%2F%2Fgis.indot.in.gov%2Fro%2Frest%2Fservices%2FRAH_GIO_Collaboration%2FLRSE_Functional_Class%2FFeatureServer%2F22&amp;find="&amp;$F352&amp;"%2C"&amp;$E352&amp;"&amp;marker="&amp;$F352&amp;","&amp;$E352&amp;",4326&amp;level=16",IF(_xlfn.SINGLE(JobState)="WI","https://fema.maps.arcgis.com/apps/mapviewer/index.html?url=https://services5.arcgis.com/0pgGLzT0Nh7FVjon/arcgis/rest/services/Functional_Class_Local_Non_Prod/FeatureServer/1&amp;find="&amp;$F352&amp;"%2C"&amp;$E352&amp;"&amp;marker="&amp;$F352&amp;","&amp;$E352&amp;",4326&amp;level=16",IF(_xlfn.SINGLE(JobState)="MN","https://fema.maps.arcgis.com/apps/mapviewer/index.html?url=https%3A%2F%2Fdotapp9.dot.state.mn.us%2Fegis12%2Frest%2Fservices%2FBASEMAP%2Fmndot_commonlayers2%2FMapServer%2F11&amp;find="&amp;$F352&amp;"%2C"&amp;$E352&amp;"&amp;marker="&amp;$F352&amp;","&amp;$E352&amp;",4326&amp;level=16",IF(_xlfn.SINGLE(JobState)="IL","https://fema.maps.arcgis.com/apps/mapviewer/index.html?url=https%3A%2F%2Fgis1.dot.illinois.gov%2Farcgis%2Frest%2Fservices%2FAdministrativeData%2FFunctionalClass%2FMapServer%2F0&amp;find="&amp;$F352&amp;"%2C"&amp;$E352&amp;"&amp;marker="&amp;$F352&amp;","&amp;$E352&amp;",4326&amp;level=16",IF(_xlfn.SINGLE(JobState)="OH","https://fema.maps.arcgis.com/apps/mapviewer/index.html?url=https%3A%2F%2Ftims.dot.state.oh.us%2Fags%2Frest%2Fservices%2FRoadway_Information%2FFunctional_Class%2FMapServer%2F0&amp;find="&amp;$F352&amp;"%2C"&amp;$E352&amp;"&amp;marker="&amp;$F352&amp;","&amp;$E352&amp;",4326&amp;level=16","https://fema.maps.arcgis.com/apps/mapviewer/index.html?find="&amp;$F352&amp;"%2C"&amp;$E352&amp;"&amp;marker="&amp;$F352&amp;","&amp;$E352&amp;",4326&amp;level=16")))))),IF(_xlfn.SINGLE(JobState)="WI","Review Local Roads Layer","Review NFC AGOL Layer"))))</f>
        <v/>
      </c>
      <c r="N352" s="6" t="str">
        <f>IF(OR($E352="",$F352=""),"",IF(_xlfn.SINGLE(JobState)="",IF(ROW()=2,HYPERLINK("#JobState","Set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352&amp;"%2C"&amp;$E352&amp;"&amp;marker="&amp;$F352&amp;","&amp;$E352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2" s="6" t="str">
        <f>IF(OR($E352="", $F352=""),"",IF(_xlfn.SINGLE(JobAgolMap)="",HYPERLINK("https://fema.maps.arcgis.com/apps/mapviewer/index.html?find="&amp;$F352&amp;"%2C"&amp;$E352&amp;"&amp;marker="&amp;$F352&amp;","&amp;$E352&amp;",4326&amp;level=16","FEMA AGOL Map Viewer"),HYPERLINK(_xlfn.SINGLE(JobAgolMap)&amp;IF(ISNUMBER(FIND("?",_xlfn.SINGLE(JobAgolMap))),"&amp;","?")&amp;"center="&amp;$F352&amp;","&amp;$E352&amp;"&amp;level=16&amp;marker="&amp;$F352&amp;","&amp;$E352,"Open")))</f>
        <v/>
      </c>
      <c r="Q352" s="4"/>
      <c r="R352" s="4"/>
      <c r="W352" s="6" t="str">
        <f t="shared" si="30"/>
        <v/>
      </c>
      <c r="X352" s="6" t="str">
        <f t="shared" si="31"/>
        <v/>
      </c>
      <c r="Y352" s="6" t="str">
        <f t="shared" si="32"/>
        <v/>
      </c>
      <c r="Z352" s="6" t="str">
        <f t="shared" si="33"/>
        <v/>
      </c>
      <c r="AA352" s="6" t="str">
        <f t="shared" si="34"/>
        <v/>
      </c>
      <c r="AB352" s="6" t="str">
        <f t="shared" si="35"/>
        <v/>
      </c>
      <c r="AC352" s="4"/>
      <c r="AD352" s="4"/>
    </row>
    <row r="353" spans="1:30" x14ac:dyDescent="0.45">
      <c r="A353" s="3"/>
      <c r="B353" s="3"/>
      <c r="C353" s="5" t="str">
        <f>IF($E353="","",COUNT($E$2:$E353))</f>
        <v/>
      </c>
      <c r="D353" s="3"/>
      <c r="E353" s="3"/>
      <c r="F353" s="3"/>
      <c r="G353" s="3"/>
      <c r="H353" s="3"/>
      <c r="I353" s="3"/>
      <c r="J353" s="3"/>
      <c r="K353" s="3"/>
      <c r="L353" s="4"/>
      <c r="M353" s="6" t="str">
        <f>IF(OR($E353="",$F353=""),"",IF(_xlfn.SINGLE(JobState)="",IF(ROW()=2,HYPERLINK("#JobState","Set State →"),""),HYPERLINK(IF(OR(_xlfn.SINGLE(JobState)="MI",_xlfn.SINGLE(JobState)=""),"https://fema.maps.arcgis.com/apps/mapviewer/index.html?webmap=6a1702b9147243d1a5ee62cd614bc681&amp;center="&amp;$F353&amp;","&amp;$E353&amp;"&amp;level=16&amp;marker="&amp;$F353&amp;","&amp;$E353&amp;"",IF(_xlfn.SINGLE(JobState)="IN","https://fema.maps.arcgis.com/apps/mapviewer/index.html?url=https%3A%2F%2Fgis.indot.in.gov%2Fro%2Frest%2Fservices%2FRAH_GIO_Collaboration%2FLRSE_Functional_Class%2FFeatureServer%2F22&amp;find="&amp;$F353&amp;"%2C"&amp;$E353&amp;"&amp;marker="&amp;$F353&amp;","&amp;$E353&amp;",4326&amp;level=16",IF(_xlfn.SINGLE(JobState)="WI","https://fema.maps.arcgis.com/apps/mapviewer/index.html?url=https://services5.arcgis.com/0pgGLzT0Nh7FVjon/arcgis/rest/services/Functional_Class_Local_Non_Prod/FeatureServer/1&amp;find="&amp;$F353&amp;"%2C"&amp;$E353&amp;"&amp;marker="&amp;$F353&amp;","&amp;$E353&amp;",4326&amp;level=16",IF(_xlfn.SINGLE(JobState)="MN","https://fema.maps.arcgis.com/apps/mapviewer/index.html?url=https%3A%2F%2Fdotapp9.dot.state.mn.us%2Fegis12%2Frest%2Fservices%2FBASEMAP%2Fmndot_commonlayers2%2FMapServer%2F11&amp;find="&amp;$F353&amp;"%2C"&amp;$E353&amp;"&amp;marker="&amp;$F353&amp;","&amp;$E353&amp;",4326&amp;level=16",IF(_xlfn.SINGLE(JobState)="IL","https://fema.maps.arcgis.com/apps/mapviewer/index.html?url=https%3A%2F%2Fgis1.dot.illinois.gov%2Farcgis%2Frest%2Fservices%2FAdministrativeData%2FFunctionalClass%2FMapServer%2F0&amp;find="&amp;$F353&amp;"%2C"&amp;$E353&amp;"&amp;marker="&amp;$F353&amp;","&amp;$E353&amp;",4326&amp;level=16",IF(_xlfn.SINGLE(JobState)="OH","https://fema.maps.arcgis.com/apps/mapviewer/index.html?url=https%3A%2F%2Ftims.dot.state.oh.us%2Fags%2Frest%2Fservices%2FRoadway_Information%2FFunctional_Class%2FMapServer%2F0&amp;find="&amp;$F353&amp;"%2C"&amp;$E353&amp;"&amp;marker="&amp;$F353&amp;","&amp;$E353&amp;",4326&amp;level=16","https://fema.maps.arcgis.com/apps/mapviewer/index.html?find="&amp;$F353&amp;"%2C"&amp;$E353&amp;"&amp;marker="&amp;$F353&amp;","&amp;$E353&amp;",4326&amp;level=16")))))),IF(_xlfn.SINGLE(JobState)="WI","Review Local Roads Layer","Review NFC AGOL Layer"))))</f>
        <v/>
      </c>
      <c r="N353" s="6" t="str">
        <f>IF(OR($E353="",$F353=""),"",IF(_xlfn.SINGLE(JobState)="",IF(ROW()=2,HYPERLINK("#JobState","Set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353&amp;"%2C"&amp;$E353&amp;"&amp;marker="&amp;$F353&amp;","&amp;$E353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3" s="6" t="str">
        <f>IF(OR($E353="", $F353=""),"",IF(_xlfn.SINGLE(JobAgolMap)="",HYPERLINK("https://fema.maps.arcgis.com/apps/mapviewer/index.html?find="&amp;$F353&amp;"%2C"&amp;$E353&amp;"&amp;marker="&amp;$F353&amp;","&amp;$E353&amp;",4326&amp;level=16","FEMA AGOL Map Viewer"),HYPERLINK(_xlfn.SINGLE(JobAgolMap)&amp;IF(ISNUMBER(FIND("?",_xlfn.SINGLE(JobAgolMap))),"&amp;","?")&amp;"center="&amp;$F353&amp;","&amp;$E353&amp;"&amp;level=16&amp;marker="&amp;$F353&amp;","&amp;$E353,"Open")))</f>
        <v/>
      </c>
      <c r="Q353" s="4"/>
      <c r="R353" s="4"/>
      <c r="W353" s="6" t="str">
        <f t="shared" si="30"/>
        <v/>
      </c>
      <c r="X353" s="6" t="str">
        <f t="shared" si="31"/>
        <v/>
      </c>
      <c r="Y353" s="6" t="str">
        <f t="shared" si="32"/>
        <v/>
      </c>
      <c r="Z353" s="6" t="str">
        <f t="shared" si="33"/>
        <v/>
      </c>
      <c r="AA353" s="6" t="str">
        <f t="shared" si="34"/>
        <v/>
      </c>
      <c r="AB353" s="6" t="str">
        <f t="shared" si="35"/>
        <v/>
      </c>
      <c r="AC353" s="4"/>
      <c r="AD353" s="4"/>
    </row>
    <row r="354" spans="1:30" x14ac:dyDescent="0.45">
      <c r="A354" s="3"/>
      <c r="B354" s="3"/>
      <c r="C354" s="5" t="str">
        <f>IF($E354="","",COUNT($E$2:$E354))</f>
        <v/>
      </c>
      <c r="D354" s="3"/>
      <c r="E354" s="3"/>
      <c r="F354" s="3"/>
      <c r="G354" s="3"/>
      <c r="H354" s="3"/>
      <c r="I354" s="3"/>
      <c r="J354" s="3"/>
      <c r="K354" s="3"/>
      <c r="L354" s="4"/>
      <c r="M354" s="6" t="str">
        <f>IF(OR($E354="",$F354=""),"",IF(_xlfn.SINGLE(JobState)="",IF(ROW()=2,HYPERLINK("#JobState","Set State →"),""),HYPERLINK(IF(OR(_xlfn.SINGLE(JobState)="MI",_xlfn.SINGLE(JobState)=""),"https://fema.maps.arcgis.com/apps/mapviewer/index.html?webmap=6a1702b9147243d1a5ee62cd614bc681&amp;center="&amp;$F354&amp;","&amp;$E354&amp;"&amp;level=16&amp;marker="&amp;$F354&amp;","&amp;$E354&amp;"",IF(_xlfn.SINGLE(JobState)="IN","https://fema.maps.arcgis.com/apps/mapviewer/index.html?url=https%3A%2F%2Fgis.indot.in.gov%2Fro%2Frest%2Fservices%2FRAH_GIO_Collaboration%2FLRSE_Functional_Class%2FFeatureServer%2F22&amp;find="&amp;$F354&amp;"%2C"&amp;$E354&amp;"&amp;marker="&amp;$F354&amp;","&amp;$E354&amp;",4326&amp;level=16",IF(_xlfn.SINGLE(JobState)="WI","https://fema.maps.arcgis.com/apps/mapviewer/index.html?url=https://services5.arcgis.com/0pgGLzT0Nh7FVjon/arcgis/rest/services/Functional_Class_Local_Non_Prod/FeatureServer/1&amp;find="&amp;$F354&amp;"%2C"&amp;$E354&amp;"&amp;marker="&amp;$F354&amp;","&amp;$E354&amp;",4326&amp;level=16",IF(_xlfn.SINGLE(JobState)="MN","https://fema.maps.arcgis.com/apps/mapviewer/index.html?url=https%3A%2F%2Fdotapp9.dot.state.mn.us%2Fegis12%2Frest%2Fservices%2FBASEMAP%2Fmndot_commonlayers2%2FMapServer%2F11&amp;find="&amp;$F354&amp;"%2C"&amp;$E354&amp;"&amp;marker="&amp;$F354&amp;","&amp;$E354&amp;",4326&amp;level=16",IF(_xlfn.SINGLE(JobState)="IL","https://fema.maps.arcgis.com/apps/mapviewer/index.html?url=https%3A%2F%2Fgis1.dot.illinois.gov%2Farcgis%2Frest%2Fservices%2FAdministrativeData%2FFunctionalClass%2FMapServer%2F0&amp;find="&amp;$F354&amp;"%2C"&amp;$E354&amp;"&amp;marker="&amp;$F354&amp;","&amp;$E354&amp;",4326&amp;level=16",IF(_xlfn.SINGLE(JobState)="OH","https://fema.maps.arcgis.com/apps/mapviewer/index.html?url=https%3A%2F%2Ftims.dot.state.oh.us%2Fags%2Frest%2Fservices%2FRoadway_Information%2FFunctional_Class%2FMapServer%2F0&amp;find="&amp;$F354&amp;"%2C"&amp;$E354&amp;"&amp;marker="&amp;$F354&amp;","&amp;$E354&amp;",4326&amp;level=16","https://fema.maps.arcgis.com/apps/mapviewer/index.html?find="&amp;$F354&amp;"%2C"&amp;$E354&amp;"&amp;marker="&amp;$F354&amp;","&amp;$E354&amp;",4326&amp;level=16")))))),IF(_xlfn.SINGLE(JobState)="WI","Review Local Roads Layer","Review NFC AGOL Layer"))))</f>
        <v/>
      </c>
      <c r="N354" s="6" t="str">
        <f>IF(OR($E354="",$F354=""),"",IF(_xlfn.SINGLE(JobState)="",IF(ROW()=2,HYPERLINK("#JobState","Set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354&amp;"%2C"&amp;$E354&amp;"&amp;marker="&amp;$F354&amp;","&amp;$E354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4" s="6" t="str">
        <f>IF(OR($E354="", $F354=""),"",IF(_xlfn.SINGLE(JobAgolMap)="",HYPERLINK("https://fema.maps.arcgis.com/apps/mapviewer/index.html?find="&amp;$F354&amp;"%2C"&amp;$E354&amp;"&amp;marker="&amp;$F354&amp;","&amp;$E354&amp;",4326&amp;level=16","FEMA AGOL Map Viewer"),HYPERLINK(_xlfn.SINGLE(JobAgolMap)&amp;IF(ISNUMBER(FIND("?",_xlfn.SINGLE(JobAgolMap))),"&amp;","?")&amp;"center="&amp;$F354&amp;","&amp;$E354&amp;"&amp;level=16&amp;marker="&amp;$F354&amp;","&amp;$E354,"Open")))</f>
        <v/>
      </c>
      <c r="Q354" s="4"/>
      <c r="R354" s="4"/>
      <c r="W354" s="6" t="str">
        <f t="shared" si="30"/>
        <v/>
      </c>
      <c r="X354" s="6" t="str">
        <f t="shared" si="31"/>
        <v/>
      </c>
      <c r="Y354" s="6" t="str">
        <f t="shared" si="32"/>
        <v/>
      </c>
      <c r="Z354" s="6" t="str">
        <f t="shared" si="33"/>
        <v/>
      </c>
      <c r="AA354" s="6" t="str">
        <f t="shared" si="34"/>
        <v/>
      </c>
      <c r="AB354" s="6" t="str">
        <f t="shared" si="35"/>
        <v/>
      </c>
      <c r="AC354" s="4"/>
      <c r="AD354" s="4"/>
    </row>
    <row r="355" spans="1:30" x14ac:dyDescent="0.45">
      <c r="A355" s="3"/>
      <c r="B355" s="3"/>
      <c r="C355" s="5" t="str">
        <f>IF($E355="","",COUNT($E$2:$E355))</f>
        <v/>
      </c>
      <c r="D355" s="3"/>
      <c r="E355" s="3"/>
      <c r="F355" s="3"/>
      <c r="G355" s="3"/>
      <c r="H355" s="3"/>
      <c r="I355" s="3"/>
      <c r="J355" s="3"/>
      <c r="K355" s="3"/>
      <c r="L355" s="4"/>
      <c r="M355" s="6" t="str">
        <f>IF(OR($E355="",$F355=""),"",IF(_xlfn.SINGLE(JobState)="",IF(ROW()=2,HYPERLINK("#JobState","Set State →"),""),HYPERLINK(IF(OR(_xlfn.SINGLE(JobState)="MI",_xlfn.SINGLE(JobState)=""),"https://fema.maps.arcgis.com/apps/mapviewer/index.html?webmap=6a1702b9147243d1a5ee62cd614bc681&amp;center="&amp;$F355&amp;","&amp;$E355&amp;"&amp;level=16&amp;marker="&amp;$F355&amp;","&amp;$E355&amp;"",IF(_xlfn.SINGLE(JobState)="IN","https://fema.maps.arcgis.com/apps/mapviewer/index.html?url=https%3A%2F%2Fgis.indot.in.gov%2Fro%2Frest%2Fservices%2FRAH_GIO_Collaboration%2FLRSE_Functional_Class%2FFeatureServer%2F22&amp;find="&amp;$F355&amp;"%2C"&amp;$E355&amp;"&amp;marker="&amp;$F355&amp;","&amp;$E355&amp;",4326&amp;level=16",IF(_xlfn.SINGLE(JobState)="WI","https://fema.maps.arcgis.com/apps/mapviewer/index.html?url=https://services5.arcgis.com/0pgGLzT0Nh7FVjon/arcgis/rest/services/Functional_Class_Local_Non_Prod/FeatureServer/1&amp;find="&amp;$F355&amp;"%2C"&amp;$E355&amp;"&amp;marker="&amp;$F355&amp;","&amp;$E355&amp;",4326&amp;level=16",IF(_xlfn.SINGLE(JobState)="MN","https://fema.maps.arcgis.com/apps/mapviewer/index.html?url=https%3A%2F%2Fdotapp9.dot.state.mn.us%2Fegis12%2Frest%2Fservices%2FBASEMAP%2Fmndot_commonlayers2%2FMapServer%2F11&amp;find="&amp;$F355&amp;"%2C"&amp;$E355&amp;"&amp;marker="&amp;$F355&amp;","&amp;$E355&amp;",4326&amp;level=16",IF(_xlfn.SINGLE(JobState)="IL","https://fema.maps.arcgis.com/apps/mapviewer/index.html?url=https%3A%2F%2Fgis1.dot.illinois.gov%2Farcgis%2Frest%2Fservices%2FAdministrativeData%2FFunctionalClass%2FMapServer%2F0&amp;find="&amp;$F355&amp;"%2C"&amp;$E355&amp;"&amp;marker="&amp;$F355&amp;","&amp;$E355&amp;",4326&amp;level=16",IF(_xlfn.SINGLE(JobState)="OH","https://fema.maps.arcgis.com/apps/mapviewer/index.html?url=https%3A%2F%2Ftims.dot.state.oh.us%2Fags%2Frest%2Fservices%2FRoadway_Information%2FFunctional_Class%2FMapServer%2F0&amp;find="&amp;$F355&amp;"%2C"&amp;$E355&amp;"&amp;marker="&amp;$F355&amp;","&amp;$E355&amp;",4326&amp;level=16","https://fema.maps.arcgis.com/apps/mapviewer/index.html?find="&amp;$F355&amp;"%2C"&amp;$E355&amp;"&amp;marker="&amp;$F355&amp;","&amp;$E355&amp;",4326&amp;level=16")))))),IF(_xlfn.SINGLE(JobState)="WI","Review Local Roads Layer","Review NFC AGOL Layer"))))</f>
        <v/>
      </c>
      <c r="N355" s="6" t="str">
        <f>IF(OR($E355="",$F355=""),"",IF(_xlfn.SINGLE(JobState)="",IF(ROW()=2,HYPERLINK("#JobState","Set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355&amp;"%2C"&amp;$E355&amp;"&amp;marker="&amp;$F355&amp;","&amp;$E355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5" s="6" t="str">
        <f>IF(OR($E355="", $F355=""),"",IF(_xlfn.SINGLE(JobAgolMap)="",HYPERLINK("https://fema.maps.arcgis.com/apps/mapviewer/index.html?find="&amp;$F355&amp;"%2C"&amp;$E355&amp;"&amp;marker="&amp;$F355&amp;","&amp;$E355&amp;",4326&amp;level=16","FEMA AGOL Map Viewer"),HYPERLINK(_xlfn.SINGLE(JobAgolMap)&amp;IF(ISNUMBER(FIND("?",_xlfn.SINGLE(JobAgolMap))),"&amp;","?")&amp;"center="&amp;$F355&amp;","&amp;$E355&amp;"&amp;level=16&amp;marker="&amp;$F355&amp;","&amp;$E355,"Open")))</f>
        <v/>
      </c>
      <c r="Q355" s="4"/>
      <c r="R355" s="4"/>
      <c r="W355" s="6" t="str">
        <f t="shared" si="30"/>
        <v/>
      </c>
      <c r="X355" s="6" t="str">
        <f t="shared" si="31"/>
        <v/>
      </c>
      <c r="Y355" s="6" t="str">
        <f t="shared" si="32"/>
        <v/>
      </c>
      <c r="Z355" s="6" t="str">
        <f t="shared" si="33"/>
        <v/>
      </c>
      <c r="AA355" s="6" t="str">
        <f t="shared" si="34"/>
        <v/>
      </c>
      <c r="AB355" s="6" t="str">
        <f t="shared" si="35"/>
        <v/>
      </c>
      <c r="AC355" s="4"/>
      <c r="AD355" s="4"/>
    </row>
    <row r="356" spans="1:30" x14ac:dyDescent="0.45">
      <c r="A356" s="3"/>
      <c r="B356" s="3"/>
      <c r="C356" s="5" t="str">
        <f>IF($E356="","",COUNT($E$2:$E356))</f>
        <v/>
      </c>
      <c r="D356" s="3"/>
      <c r="E356" s="3"/>
      <c r="F356" s="3"/>
      <c r="G356" s="3"/>
      <c r="H356" s="3"/>
      <c r="I356" s="3"/>
      <c r="J356" s="3"/>
      <c r="K356" s="3"/>
      <c r="L356" s="4"/>
      <c r="M356" s="6" t="str">
        <f>IF(OR($E356="",$F356=""),"",IF(_xlfn.SINGLE(JobState)="",IF(ROW()=2,HYPERLINK("#JobState","Set State →"),""),HYPERLINK(IF(OR(_xlfn.SINGLE(JobState)="MI",_xlfn.SINGLE(JobState)=""),"https://fema.maps.arcgis.com/apps/mapviewer/index.html?webmap=6a1702b9147243d1a5ee62cd614bc681&amp;center="&amp;$F356&amp;","&amp;$E356&amp;"&amp;level=16&amp;marker="&amp;$F356&amp;","&amp;$E356&amp;"",IF(_xlfn.SINGLE(JobState)="IN","https://fema.maps.arcgis.com/apps/mapviewer/index.html?url=https%3A%2F%2Fgis.indot.in.gov%2Fro%2Frest%2Fservices%2FRAH_GIO_Collaboration%2FLRSE_Functional_Class%2FFeatureServer%2F22&amp;find="&amp;$F356&amp;"%2C"&amp;$E356&amp;"&amp;marker="&amp;$F356&amp;","&amp;$E356&amp;",4326&amp;level=16",IF(_xlfn.SINGLE(JobState)="WI","https://fema.maps.arcgis.com/apps/mapviewer/index.html?url=https://services5.arcgis.com/0pgGLzT0Nh7FVjon/arcgis/rest/services/Functional_Class_Local_Non_Prod/FeatureServer/1&amp;find="&amp;$F356&amp;"%2C"&amp;$E356&amp;"&amp;marker="&amp;$F356&amp;","&amp;$E356&amp;",4326&amp;level=16",IF(_xlfn.SINGLE(JobState)="MN","https://fema.maps.arcgis.com/apps/mapviewer/index.html?url=https%3A%2F%2Fdotapp9.dot.state.mn.us%2Fegis12%2Frest%2Fservices%2FBASEMAP%2Fmndot_commonlayers2%2FMapServer%2F11&amp;find="&amp;$F356&amp;"%2C"&amp;$E356&amp;"&amp;marker="&amp;$F356&amp;","&amp;$E356&amp;",4326&amp;level=16",IF(_xlfn.SINGLE(JobState)="IL","https://fema.maps.arcgis.com/apps/mapviewer/index.html?url=https%3A%2F%2Fgis1.dot.illinois.gov%2Farcgis%2Frest%2Fservices%2FAdministrativeData%2FFunctionalClass%2FMapServer%2F0&amp;find="&amp;$F356&amp;"%2C"&amp;$E356&amp;"&amp;marker="&amp;$F356&amp;","&amp;$E356&amp;",4326&amp;level=16",IF(_xlfn.SINGLE(JobState)="OH","https://fema.maps.arcgis.com/apps/mapviewer/index.html?url=https%3A%2F%2Ftims.dot.state.oh.us%2Fags%2Frest%2Fservices%2FRoadway_Information%2FFunctional_Class%2FMapServer%2F0&amp;find="&amp;$F356&amp;"%2C"&amp;$E356&amp;"&amp;marker="&amp;$F356&amp;","&amp;$E356&amp;",4326&amp;level=16","https://fema.maps.arcgis.com/apps/mapviewer/index.html?find="&amp;$F356&amp;"%2C"&amp;$E356&amp;"&amp;marker="&amp;$F356&amp;","&amp;$E356&amp;",4326&amp;level=16")))))),IF(_xlfn.SINGLE(JobState)="WI","Review Local Roads Layer","Review NFC AGOL Layer"))))</f>
        <v/>
      </c>
      <c r="N356" s="6" t="str">
        <f>IF(OR($E356="",$F356=""),"",IF(_xlfn.SINGLE(JobState)="",IF(ROW()=2,HYPERLINK("#JobState","Set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356&amp;"%2C"&amp;$E356&amp;"&amp;marker="&amp;$F356&amp;","&amp;$E356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6" s="6" t="str">
        <f>IF(OR($E356="", $F356=""),"",IF(_xlfn.SINGLE(JobAgolMap)="",HYPERLINK("https://fema.maps.arcgis.com/apps/mapviewer/index.html?find="&amp;$F356&amp;"%2C"&amp;$E356&amp;"&amp;marker="&amp;$F356&amp;","&amp;$E356&amp;",4326&amp;level=16","FEMA AGOL Map Viewer"),HYPERLINK(_xlfn.SINGLE(JobAgolMap)&amp;IF(ISNUMBER(FIND("?",_xlfn.SINGLE(JobAgolMap))),"&amp;","?")&amp;"center="&amp;$F356&amp;","&amp;$E356&amp;"&amp;level=16&amp;marker="&amp;$F356&amp;","&amp;$E356,"Open")))</f>
        <v/>
      </c>
      <c r="Q356" s="4"/>
      <c r="R356" s="4"/>
      <c r="W356" s="6" t="str">
        <f t="shared" si="30"/>
        <v/>
      </c>
      <c r="X356" s="6" t="str">
        <f t="shared" si="31"/>
        <v/>
      </c>
      <c r="Y356" s="6" t="str">
        <f t="shared" si="32"/>
        <v/>
      </c>
      <c r="Z356" s="6" t="str">
        <f t="shared" si="33"/>
        <v/>
      </c>
      <c r="AA356" s="6" t="str">
        <f t="shared" si="34"/>
        <v/>
      </c>
      <c r="AB356" s="6" t="str">
        <f t="shared" si="35"/>
        <v/>
      </c>
      <c r="AC356" s="4"/>
      <c r="AD356" s="4"/>
    </row>
    <row r="357" spans="1:30" x14ac:dyDescent="0.45">
      <c r="A357" s="3"/>
      <c r="B357" s="3"/>
      <c r="C357" s="5" t="str">
        <f>IF($E357="","",COUNT($E$2:$E357))</f>
        <v/>
      </c>
      <c r="D357" s="3"/>
      <c r="E357" s="3"/>
      <c r="F357" s="3"/>
      <c r="G357" s="3"/>
      <c r="H357" s="3"/>
      <c r="I357" s="3"/>
      <c r="J357" s="3"/>
      <c r="K357" s="3"/>
      <c r="L357" s="4"/>
      <c r="M357" s="6" t="str">
        <f>IF(OR($E357="",$F357=""),"",IF(_xlfn.SINGLE(JobState)="",IF(ROW()=2,HYPERLINK("#JobState","Set State →"),""),HYPERLINK(IF(OR(_xlfn.SINGLE(JobState)="MI",_xlfn.SINGLE(JobState)=""),"https://fema.maps.arcgis.com/apps/mapviewer/index.html?webmap=6a1702b9147243d1a5ee62cd614bc681&amp;center="&amp;$F357&amp;","&amp;$E357&amp;"&amp;level=16&amp;marker="&amp;$F357&amp;","&amp;$E357&amp;"",IF(_xlfn.SINGLE(JobState)="IN","https://fema.maps.arcgis.com/apps/mapviewer/index.html?url=https%3A%2F%2Fgis.indot.in.gov%2Fro%2Frest%2Fservices%2FRAH_GIO_Collaboration%2FLRSE_Functional_Class%2FFeatureServer%2F22&amp;find="&amp;$F357&amp;"%2C"&amp;$E357&amp;"&amp;marker="&amp;$F357&amp;","&amp;$E357&amp;",4326&amp;level=16",IF(_xlfn.SINGLE(JobState)="WI","https://fema.maps.arcgis.com/apps/mapviewer/index.html?url=https://services5.arcgis.com/0pgGLzT0Nh7FVjon/arcgis/rest/services/Functional_Class_Local_Non_Prod/FeatureServer/1&amp;find="&amp;$F357&amp;"%2C"&amp;$E357&amp;"&amp;marker="&amp;$F357&amp;","&amp;$E357&amp;",4326&amp;level=16",IF(_xlfn.SINGLE(JobState)="MN","https://fema.maps.arcgis.com/apps/mapviewer/index.html?url=https%3A%2F%2Fdotapp9.dot.state.mn.us%2Fegis12%2Frest%2Fservices%2FBASEMAP%2Fmndot_commonlayers2%2FMapServer%2F11&amp;find="&amp;$F357&amp;"%2C"&amp;$E357&amp;"&amp;marker="&amp;$F357&amp;","&amp;$E357&amp;",4326&amp;level=16",IF(_xlfn.SINGLE(JobState)="IL","https://fema.maps.arcgis.com/apps/mapviewer/index.html?url=https%3A%2F%2Fgis1.dot.illinois.gov%2Farcgis%2Frest%2Fservices%2FAdministrativeData%2FFunctionalClass%2FMapServer%2F0&amp;find="&amp;$F357&amp;"%2C"&amp;$E357&amp;"&amp;marker="&amp;$F357&amp;","&amp;$E357&amp;",4326&amp;level=16",IF(_xlfn.SINGLE(JobState)="OH","https://fema.maps.arcgis.com/apps/mapviewer/index.html?url=https%3A%2F%2Ftims.dot.state.oh.us%2Fags%2Frest%2Fservices%2FRoadway_Information%2FFunctional_Class%2FMapServer%2F0&amp;find="&amp;$F357&amp;"%2C"&amp;$E357&amp;"&amp;marker="&amp;$F357&amp;","&amp;$E357&amp;",4326&amp;level=16","https://fema.maps.arcgis.com/apps/mapviewer/index.html?find="&amp;$F357&amp;"%2C"&amp;$E357&amp;"&amp;marker="&amp;$F357&amp;","&amp;$E357&amp;",4326&amp;level=16")))))),IF(_xlfn.SINGLE(JobState)="WI","Review Local Roads Layer","Review NFC AGOL Layer"))))</f>
        <v/>
      </c>
      <c r="N357" s="6" t="str">
        <f>IF(OR($E357="",$F357=""),"",IF(_xlfn.SINGLE(JobState)="",IF(ROW()=2,HYPERLINK("#JobState","Set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357&amp;"%2C"&amp;$E357&amp;"&amp;marker="&amp;$F357&amp;","&amp;$E357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7" s="6" t="str">
        <f>IF(OR($E357="", $F357=""),"",IF(_xlfn.SINGLE(JobAgolMap)="",HYPERLINK("https://fema.maps.arcgis.com/apps/mapviewer/index.html?find="&amp;$F357&amp;"%2C"&amp;$E357&amp;"&amp;marker="&amp;$F357&amp;","&amp;$E357&amp;",4326&amp;level=16","FEMA AGOL Map Viewer"),HYPERLINK(_xlfn.SINGLE(JobAgolMap)&amp;IF(ISNUMBER(FIND("?",_xlfn.SINGLE(JobAgolMap))),"&amp;","?")&amp;"center="&amp;$F357&amp;","&amp;$E357&amp;"&amp;level=16&amp;marker="&amp;$F357&amp;","&amp;$E357,"Open")))</f>
        <v/>
      </c>
      <c r="Q357" s="4"/>
      <c r="R357" s="4"/>
      <c r="W357" s="6" t="str">
        <f t="shared" si="30"/>
        <v/>
      </c>
      <c r="X357" s="6" t="str">
        <f t="shared" si="31"/>
        <v/>
      </c>
      <c r="Y357" s="6" t="str">
        <f t="shared" si="32"/>
        <v/>
      </c>
      <c r="Z357" s="6" t="str">
        <f t="shared" si="33"/>
        <v/>
      </c>
      <c r="AA357" s="6" t="str">
        <f t="shared" si="34"/>
        <v/>
      </c>
      <c r="AB357" s="6" t="str">
        <f t="shared" si="35"/>
        <v/>
      </c>
      <c r="AC357" s="4"/>
      <c r="AD357" s="4"/>
    </row>
    <row r="358" spans="1:30" x14ac:dyDescent="0.45">
      <c r="A358" s="3"/>
      <c r="B358" s="3"/>
      <c r="C358" s="5" t="str">
        <f>IF($E358="","",COUNT($E$2:$E358))</f>
        <v/>
      </c>
      <c r="D358" s="3"/>
      <c r="E358" s="3"/>
      <c r="F358" s="3"/>
      <c r="G358" s="3"/>
      <c r="H358" s="3"/>
      <c r="I358" s="3"/>
      <c r="J358" s="3"/>
      <c r="K358" s="3"/>
      <c r="L358" s="4"/>
      <c r="M358" s="6" t="str">
        <f>IF(OR($E358="",$F358=""),"",IF(_xlfn.SINGLE(JobState)="",IF(ROW()=2,HYPERLINK("#JobState","Set State →"),""),HYPERLINK(IF(OR(_xlfn.SINGLE(JobState)="MI",_xlfn.SINGLE(JobState)=""),"https://fema.maps.arcgis.com/apps/mapviewer/index.html?webmap=6a1702b9147243d1a5ee62cd614bc681&amp;center="&amp;$F358&amp;","&amp;$E358&amp;"&amp;level=16&amp;marker="&amp;$F358&amp;","&amp;$E358&amp;"",IF(_xlfn.SINGLE(JobState)="IN","https://fema.maps.arcgis.com/apps/mapviewer/index.html?url=https%3A%2F%2Fgis.indot.in.gov%2Fro%2Frest%2Fservices%2FRAH_GIO_Collaboration%2FLRSE_Functional_Class%2FFeatureServer%2F22&amp;find="&amp;$F358&amp;"%2C"&amp;$E358&amp;"&amp;marker="&amp;$F358&amp;","&amp;$E358&amp;",4326&amp;level=16",IF(_xlfn.SINGLE(JobState)="WI","https://fema.maps.arcgis.com/apps/mapviewer/index.html?url=https://services5.arcgis.com/0pgGLzT0Nh7FVjon/arcgis/rest/services/Functional_Class_Local_Non_Prod/FeatureServer/1&amp;find="&amp;$F358&amp;"%2C"&amp;$E358&amp;"&amp;marker="&amp;$F358&amp;","&amp;$E358&amp;",4326&amp;level=16",IF(_xlfn.SINGLE(JobState)="MN","https://fema.maps.arcgis.com/apps/mapviewer/index.html?url=https%3A%2F%2Fdotapp9.dot.state.mn.us%2Fegis12%2Frest%2Fservices%2FBASEMAP%2Fmndot_commonlayers2%2FMapServer%2F11&amp;find="&amp;$F358&amp;"%2C"&amp;$E358&amp;"&amp;marker="&amp;$F358&amp;","&amp;$E358&amp;",4326&amp;level=16",IF(_xlfn.SINGLE(JobState)="IL","https://fema.maps.arcgis.com/apps/mapviewer/index.html?url=https%3A%2F%2Fgis1.dot.illinois.gov%2Farcgis%2Frest%2Fservices%2FAdministrativeData%2FFunctionalClass%2FMapServer%2F0&amp;find="&amp;$F358&amp;"%2C"&amp;$E358&amp;"&amp;marker="&amp;$F358&amp;","&amp;$E358&amp;",4326&amp;level=16",IF(_xlfn.SINGLE(JobState)="OH","https://fema.maps.arcgis.com/apps/mapviewer/index.html?url=https%3A%2F%2Ftims.dot.state.oh.us%2Fags%2Frest%2Fservices%2FRoadway_Information%2FFunctional_Class%2FMapServer%2F0&amp;find="&amp;$F358&amp;"%2C"&amp;$E358&amp;"&amp;marker="&amp;$F358&amp;","&amp;$E358&amp;",4326&amp;level=16","https://fema.maps.arcgis.com/apps/mapviewer/index.html?find="&amp;$F358&amp;"%2C"&amp;$E358&amp;"&amp;marker="&amp;$F358&amp;","&amp;$E358&amp;",4326&amp;level=16")))))),IF(_xlfn.SINGLE(JobState)="WI","Review Local Roads Layer","Review NFC AGOL Layer"))))</f>
        <v/>
      </c>
      <c r="N358" s="6" t="str">
        <f>IF(OR($E358="",$F358=""),"",IF(_xlfn.SINGLE(JobState)="",IF(ROW()=2,HYPERLINK("#JobState","Set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358&amp;"%2C"&amp;$E358&amp;"&amp;marker="&amp;$F358&amp;","&amp;$E358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8" s="6" t="str">
        <f>IF(OR($E358="", $F358=""),"",IF(_xlfn.SINGLE(JobAgolMap)="",HYPERLINK("https://fema.maps.arcgis.com/apps/mapviewer/index.html?find="&amp;$F358&amp;"%2C"&amp;$E358&amp;"&amp;marker="&amp;$F358&amp;","&amp;$E358&amp;",4326&amp;level=16","FEMA AGOL Map Viewer"),HYPERLINK(_xlfn.SINGLE(JobAgolMap)&amp;IF(ISNUMBER(FIND("?",_xlfn.SINGLE(JobAgolMap))),"&amp;","?")&amp;"center="&amp;$F358&amp;","&amp;$E358&amp;"&amp;level=16&amp;marker="&amp;$F358&amp;","&amp;$E358,"Open")))</f>
        <v/>
      </c>
      <c r="Q358" s="4"/>
      <c r="R358" s="4"/>
      <c r="W358" s="6" t="str">
        <f t="shared" si="30"/>
        <v/>
      </c>
      <c r="X358" s="6" t="str">
        <f t="shared" si="31"/>
        <v/>
      </c>
      <c r="Y358" s="6" t="str">
        <f t="shared" si="32"/>
        <v/>
      </c>
      <c r="Z358" s="6" t="str">
        <f t="shared" si="33"/>
        <v/>
      </c>
      <c r="AA358" s="6" t="str">
        <f t="shared" si="34"/>
        <v/>
      </c>
      <c r="AB358" s="6" t="str">
        <f t="shared" si="35"/>
        <v/>
      </c>
      <c r="AC358" s="4"/>
      <c r="AD358" s="4"/>
    </row>
    <row r="359" spans="1:30" x14ac:dyDescent="0.45">
      <c r="A359" s="3"/>
      <c r="B359" s="3"/>
      <c r="C359" s="5" t="str">
        <f>IF($E359="","",COUNT($E$2:$E359))</f>
        <v/>
      </c>
      <c r="D359" s="3"/>
      <c r="E359" s="3"/>
      <c r="F359" s="3"/>
      <c r="G359" s="3"/>
      <c r="H359" s="3"/>
      <c r="I359" s="3"/>
      <c r="J359" s="3"/>
      <c r="K359" s="3"/>
      <c r="L359" s="4"/>
      <c r="M359" s="6" t="str">
        <f>IF(OR($E359="",$F359=""),"",IF(_xlfn.SINGLE(JobState)="",IF(ROW()=2,HYPERLINK("#JobState","Set State →"),""),HYPERLINK(IF(OR(_xlfn.SINGLE(JobState)="MI",_xlfn.SINGLE(JobState)=""),"https://fema.maps.arcgis.com/apps/mapviewer/index.html?webmap=6a1702b9147243d1a5ee62cd614bc681&amp;center="&amp;$F359&amp;","&amp;$E359&amp;"&amp;level=16&amp;marker="&amp;$F359&amp;","&amp;$E359&amp;"",IF(_xlfn.SINGLE(JobState)="IN","https://fema.maps.arcgis.com/apps/mapviewer/index.html?url=https%3A%2F%2Fgis.indot.in.gov%2Fro%2Frest%2Fservices%2FRAH_GIO_Collaboration%2FLRSE_Functional_Class%2FFeatureServer%2F22&amp;find="&amp;$F359&amp;"%2C"&amp;$E359&amp;"&amp;marker="&amp;$F359&amp;","&amp;$E359&amp;",4326&amp;level=16",IF(_xlfn.SINGLE(JobState)="WI","https://fema.maps.arcgis.com/apps/mapviewer/index.html?url=https://services5.arcgis.com/0pgGLzT0Nh7FVjon/arcgis/rest/services/Functional_Class_Local_Non_Prod/FeatureServer/1&amp;find="&amp;$F359&amp;"%2C"&amp;$E359&amp;"&amp;marker="&amp;$F359&amp;","&amp;$E359&amp;",4326&amp;level=16",IF(_xlfn.SINGLE(JobState)="MN","https://fema.maps.arcgis.com/apps/mapviewer/index.html?url=https%3A%2F%2Fdotapp9.dot.state.mn.us%2Fegis12%2Frest%2Fservices%2FBASEMAP%2Fmndot_commonlayers2%2FMapServer%2F11&amp;find="&amp;$F359&amp;"%2C"&amp;$E359&amp;"&amp;marker="&amp;$F359&amp;","&amp;$E359&amp;",4326&amp;level=16",IF(_xlfn.SINGLE(JobState)="IL","https://fema.maps.arcgis.com/apps/mapviewer/index.html?url=https%3A%2F%2Fgis1.dot.illinois.gov%2Farcgis%2Frest%2Fservices%2FAdministrativeData%2FFunctionalClass%2FMapServer%2F0&amp;find="&amp;$F359&amp;"%2C"&amp;$E359&amp;"&amp;marker="&amp;$F359&amp;","&amp;$E359&amp;",4326&amp;level=16",IF(_xlfn.SINGLE(JobState)="OH","https://fema.maps.arcgis.com/apps/mapviewer/index.html?url=https%3A%2F%2Ftims.dot.state.oh.us%2Fags%2Frest%2Fservices%2FRoadway_Information%2FFunctional_Class%2FMapServer%2F0&amp;find="&amp;$F359&amp;"%2C"&amp;$E359&amp;"&amp;marker="&amp;$F359&amp;","&amp;$E359&amp;",4326&amp;level=16","https://fema.maps.arcgis.com/apps/mapviewer/index.html?find="&amp;$F359&amp;"%2C"&amp;$E359&amp;"&amp;marker="&amp;$F359&amp;","&amp;$E359&amp;",4326&amp;level=16")))))),IF(_xlfn.SINGLE(JobState)="WI","Review Local Roads Layer","Review NFC AGOL Layer"))))</f>
        <v/>
      </c>
      <c r="N359" s="6" t="str">
        <f>IF(OR($E359="",$F359=""),"",IF(_xlfn.SINGLE(JobState)="",IF(ROW()=2,HYPERLINK("#JobState","Set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359&amp;"%2C"&amp;$E359&amp;"&amp;marker="&amp;$F359&amp;","&amp;$E359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9" s="6" t="str">
        <f>IF(OR($E359="", $F359=""),"",IF(_xlfn.SINGLE(JobAgolMap)="",HYPERLINK("https://fema.maps.arcgis.com/apps/mapviewer/index.html?find="&amp;$F359&amp;"%2C"&amp;$E359&amp;"&amp;marker="&amp;$F359&amp;","&amp;$E359&amp;",4326&amp;level=16","FEMA AGOL Map Viewer"),HYPERLINK(_xlfn.SINGLE(JobAgolMap)&amp;IF(ISNUMBER(FIND("?",_xlfn.SINGLE(JobAgolMap))),"&amp;","?")&amp;"center="&amp;$F359&amp;","&amp;$E359&amp;"&amp;level=16&amp;marker="&amp;$F359&amp;","&amp;$E359,"Open")))</f>
        <v/>
      </c>
      <c r="Q359" s="4"/>
      <c r="R359" s="4"/>
      <c r="W359" s="6" t="str">
        <f t="shared" si="30"/>
        <v/>
      </c>
      <c r="X359" s="6" t="str">
        <f t="shared" si="31"/>
        <v/>
      </c>
      <c r="Y359" s="6" t="str">
        <f t="shared" si="32"/>
        <v/>
      </c>
      <c r="Z359" s="6" t="str">
        <f t="shared" si="33"/>
        <v/>
      </c>
      <c r="AA359" s="6" t="str">
        <f t="shared" si="34"/>
        <v/>
      </c>
      <c r="AB359" s="6" t="str">
        <f t="shared" si="35"/>
        <v/>
      </c>
      <c r="AC359" s="4"/>
      <c r="AD359" s="4"/>
    </row>
    <row r="360" spans="1:30" x14ac:dyDescent="0.45">
      <c r="A360" s="3"/>
      <c r="B360" s="3"/>
      <c r="C360" s="5" t="str">
        <f>IF($E360="","",COUNT($E$2:$E360))</f>
        <v/>
      </c>
      <c r="D360" s="3"/>
      <c r="E360" s="3"/>
      <c r="F360" s="3"/>
      <c r="G360" s="3"/>
      <c r="H360" s="3"/>
      <c r="I360" s="3"/>
      <c r="J360" s="3"/>
      <c r="K360" s="3"/>
      <c r="L360" s="4"/>
      <c r="M360" s="6" t="str">
        <f>IF(OR($E360="",$F360=""),"",IF(_xlfn.SINGLE(JobState)="",IF(ROW()=2,HYPERLINK("#JobState","Set State →"),""),HYPERLINK(IF(OR(_xlfn.SINGLE(JobState)="MI",_xlfn.SINGLE(JobState)=""),"https://fema.maps.arcgis.com/apps/mapviewer/index.html?webmap=6a1702b9147243d1a5ee62cd614bc681&amp;center="&amp;$F360&amp;","&amp;$E360&amp;"&amp;level=16&amp;marker="&amp;$F360&amp;","&amp;$E360&amp;"",IF(_xlfn.SINGLE(JobState)="IN","https://fema.maps.arcgis.com/apps/mapviewer/index.html?url=https%3A%2F%2Fgis.indot.in.gov%2Fro%2Frest%2Fservices%2FRAH_GIO_Collaboration%2FLRSE_Functional_Class%2FFeatureServer%2F22&amp;find="&amp;$F360&amp;"%2C"&amp;$E360&amp;"&amp;marker="&amp;$F360&amp;","&amp;$E360&amp;",4326&amp;level=16",IF(_xlfn.SINGLE(JobState)="WI","https://fema.maps.arcgis.com/apps/mapviewer/index.html?url=https://services5.arcgis.com/0pgGLzT0Nh7FVjon/arcgis/rest/services/Functional_Class_Local_Non_Prod/FeatureServer/1&amp;find="&amp;$F360&amp;"%2C"&amp;$E360&amp;"&amp;marker="&amp;$F360&amp;","&amp;$E360&amp;",4326&amp;level=16",IF(_xlfn.SINGLE(JobState)="MN","https://fema.maps.arcgis.com/apps/mapviewer/index.html?url=https%3A%2F%2Fdotapp9.dot.state.mn.us%2Fegis12%2Frest%2Fservices%2FBASEMAP%2Fmndot_commonlayers2%2FMapServer%2F11&amp;find="&amp;$F360&amp;"%2C"&amp;$E360&amp;"&amp;marker="&amp;$F360&amp;","&amp;$E360&amp;",4326&amp;level=16",IF(_xlfn.SINGLE(JobState)="IL","https://fema.maps.arcgis.com/apps/mapviewer/index.html?url=https%3A%2F%2Fgis1.dot.illinois.gov%2Farcgis%2Frest%2Fservices%2FAdministrativeData%2FFunctionalClass%2FMapServer%2F0&amp;find="&amp;$F360&amp;"%2C"&amp;$E360&amp;"&amp;marker="&amp;$F360&amp;","&amp;$E360&amp;",4326&amp;level=16",IF(_xlfn.SINGLE(JobState)="OH","https://fema.maps.arcgis.com/apps/mapviewer/index.html?url=https%3A%2F%2Ftims.dot.state.oh.us%2Fags%2Frest%2Fservices%2FRoadway_Information%2FFunctional_Class%2FMapServer%2F0&amp;find="&amp;$F360&amp;"%2C"&amp;$E360&amp;"&amp;marker="&amp;$F360&amp;","&amp;$E360&amp;",4326&amp;level=16","https://fema.maps.arcgis.com/apps/mapviewer/index.html?find="&amp;$F360&amp;"%2C"&amp;$E360&amp;"&amp;marker="&amp;$F360&amp;","&amp;$E360&amp;",4326&amp;level=16")))))),IF(_xlfn.SINGLE(JobState)="WI","Review Local Roads Layer","Review NFC AGOL Layer"))))</f>
        <v/>
      </c>
      <c r="N360" s="6" t="str">
        <f>IF(OR($E360="",$F360=""),"",IF(_xlfn.SINGLE(JobState)="",IF(ROW()=2,HYPERLINK("#JobState","Set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360&amp;"%2C"&amp;$E360&amp;"&amp;marker="&amp;$F360&amp;","&amp;$E360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0" s="6" t="str">
        <f>IF(OR($E360="", $F360=""),"",IF(_xlfn.SINGLE(JobAgolMap)="",HYPERLINK("https://fema.maps.arcgis.com/apps/mapviewer/index.html?find="&amp;$F360&amp;"%2C"&amp;$E360&amp;"&amp;marker="&amp;$F360&amp;","&amp;$E360&amp;",4326&amp;level=16","FEMA AGOL Map Viewer"),HYPERLINK(_xlfn.SINGLE(JobAgolMap)&amp;IF(ISNUMBER(FIND("?",_xlfn.SINGLE(JobAgolMap))),"&amp;","?")&amp;"center="&amp;$F360&amp;","&amp;$E360&amp;"&amp;level=16&amp;marker="&amp;$F360&amp;","&amp;$E360,"Open")))</f>
        <v/>
      </c>
      <c r="Q360" s="4"/>
      <c r="R360" s="4"/>
      <c r="W360" s="6" t="str">
        <f t="shared" si="30"/>
        <v/>
      </c>
      <c r="X360" s="6" t="str">
        <f t="shared" si="31"/>
        <v/>
      </c>
      <c r="Y360" s="6" t="str">
        <f t="shared" si="32"/>
        <v/>
      </c>
      <c r="Z360" s="6" t="str">
        <f t="shared" si="33"/>
        <v/>
      </c>
      <c r="AA360" s="6" t="str">
        <f t="shared" si="34"/>
        <v/>
      </c>
      <c r="AB360" s="6" t="str">
        <f t="shared" si="35"/>
        <v/>
      </c>
      <c r="AC360" s="4"/>
      <c r="AD360" s="4"/>
    </row>
    <row r="361" spans="1:30" x14ac:dyDescent="0.45">
      <c r="A361" s="3"/>
      <c r="B361" s="3"/>
      <c r="C361" s="5" t="str">
        <f>IF($E361="","",COUNT($E$2:$E361))</f>
        <v/>
      </c>
      <c r="D361" s="3"/>
      <c r="E361" s="3"/>
      <c r="F361" s="3"/>
      <c r="G361" s="3"/>
      <c r="H361" s="3"/>
      <c r="I361" s="3"/>
      <c r="J361" s="3"/>
      <c r="K361" s="3"/>
      <c r="L361" s="4"/>
      <c r="M361" s="6" t="str">
        <f>IF(OR($E361="",$F361=""),"",IF(_xlfn.SINGLE(JobState)="",IF(ROW()=2,HYPERLINK("#JobState","Set State →"),""),HYPERLINK(IF(OR(_xlfn.SINGLE(JobState)="MI",_xlfn.SINGLE(JobState)=""),"https://fema.maps.arcgis.com/apps/mapviewer/index.html?webmap=6a1702b9147243d1a5ee62cd614bc681&amp;center="&amp;$F361&amp;","&amp;$E361&amp;"&amp;level=16&amp;marker="&amp;$F361&amp;","&amp;$E361&amp;"",IF(_xlfn.SINGLE(JobState)="IN","https://fema.maps.arcgis.com/apps/mapviewer/index.html?url=https%3A%2F%2Fgis.indot.in.gov%2Fro%2Frest%2Fservices%2FRAH_GIO_Collaboration%2FLRSE_Functional_Class%2FFeatureServer%2F22&amp;find="&amp;$F361&amp;"%2C"&amp;$E361&amp;"&amp;marker="&amp;$F361&amp;","&amp;$E361&amp;",4326&amp;level=16",IF(_xlfn.SINGLE(JobState)="WI","https://fema.maps.arcgis.com/apps/mapviewer/index.html?url=https://services5.arcgis.com/0pgGLzT0Nh7FVjon/arcgis/rest/services/Functional_Class_Local_Non_Prod/FeatureServer/1&amp;find="&amp;$F361&amp;"%2C"&amp;$E361&amp;"&amp;marker="&amp;$F361&amp;","&amp;$E361&amp;",4326&amp;level=16",IF(_xlfn.SINGLE(JobState)="MN","https://fema.maps.arcgis.com/apps/mapviewer/index.html?url=https%3A%2F%2Fdotapp9.dot.state.mn.us%2Fegis12%2Frest%2Fservices%2FBASEMAP%2Fmndot_commonlayers2%2FMapServer%2F11&amp;find="&amp;$F361&amp;"%2C"&amp;$E361&amp;"&amp;marker="&amp;$F361&amp;","&amp;$E361&amp;",4326&amp;level=16",IF(_xlfn.SINGLE(JobState)="IL","https://fema.maps.arcgis.com/apps/mapviewer/index.html?url=https%3A%2F%2Fgis1.dot.illinois.gov%2Farcgis%2Frest%2Fservices%2FAdministrativeData%2FFunctionalClass%2FMapServer%2F0&amp;find="&amp;$F361&amp;"%2C"&amp;$E361&amp;"&amp;marker="&amp;$F361&amp;","&amp;$E361&amp;",4326&amp;level=16",IF(_xlfn.SINGLE(JobState)="OH","https://fema.maps.arcgis.com/apps/mapviewer/index.html?url=https%3A%2F%2Ftims.dot.state.oh.us%2Fags%2Frest%2Fservices%2FRoadway_Information%2FFunctional_Class%2FMapServer%2F0&amp;find="&amp;$F361&amp;"%2C"&amp;$E361&amp;"&amp;marker="&amp;$F361&amp;","&amp;$E361&amp;",4326&amp;level=16","https://fema.maps.arcgis.com/apps/mapviewer/index.html?find="&amp;$F361&amp;"%2C"&amp;$E361&amp;"&amp;marker="&amp;$F361&amp;","&amp;$E361&amp;",4326&amp;level=16")))))),IF(_xlfn.SINGLE(JobState)="WI","Review Local Roads Layer","Review NFC AGOL Layer"))))</f>
        <v/>
      </c>
      <c r="N361" s="6" t="str">
        <f>IF(OR($E361="",$F361=""),"",IF(_xlfn.SINGLE(JobState)="",IF(ROW()=2,HYPERLINK("#JobState","Set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361&amp;"%2C"&amp;$E361&amp;"&amp;marker="&amp;$F361&amp;","&amp;$E361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1" s="6" t="str">
        <f>IF(OR($E361="", $F361=""),"",IF(_xlfn.SINGLE(JobAgolMap)="",HYPERLINK("https://fema.maps.arcgis.com/apps/mapviewer/index.html?find="&amp;$F361&amp;"%2C"&amp;$E361&amp;"&amp;marker="&amp;$F361&amp;","&amp;$E361&amp;",4326&amp;level=16","FEMA AGOL Map Viewer"),HYPERLINK(_xlfn.SINGLE(JobAgolMap)&amp;IF(ISNUMBER(FIND("?",_xlfn.SINGLE(JobAgolMap))),"&amp;","?")&amp;"center="&amp;$F361&amp;","&amp;$E361&amp;"&amp;level=16&amp;marker="&amp;$F361&amp;","&amp;$E361,"Open")))</f>
        <v/>
      </c>
      <c r="Q361" s="4"/>
      <c r="R361" s="4"/>
      <c r="W361" s="6" t="str">
        <f t="shared" si="30"/>
        <v/>
      </c>
      <c r="X361" s="6" t="str">
        <f t="shared" si="31"/>
        <v/>
      </c>
      <c r="Y361" s="6" t="str">
        <f t="shared" si="32"/>
        <v/>
      </c>
      <c r="Z361" s="6" t="str">
        <f t="shared" si="33"/>
        <v/>
      </c>
      <c r="AA361" s="6" t="str">
        <f t="shared" si="34"/>
        <v/>
      </c>
      <c r="AB361" s="6" t="str">
        <f t="shared" si="35"/>
        <v/>
      </c>
      <c r="AC361" s="4"/>
      <c r="AD361" s="4"/>
    </row>
    <row r="362" spans="1:30" x14ac:dyDescent="0.45">
      <c r="A362" s="3"/>
      <c r="B362" s="3"/>
      <c r="C362" s="5" t="str">
        <f>IF($E362="","",COUNT($E$2:$E362))</f>
        <v/>
      </c>
      <c r="D362" s="3"/>
      <c r="E362" s="3"/>
      <c r="F362" s="3"/>
      <c r="G362" s="3"/>
      <c r="H362" s="3"/>
      <c r="I362" s="3"/>
      <c r="J362" s="3"/>
      <c r="K362" s="3"/>
      <c r="L362" s="4"/>
      <c r="M362" s="6" t="str">
        <f>IF(OR($E362="",$F362=""),"",IF(_xlfn.SINGLE(JobState)="",IF(ROW()=2,HYPERLINK("#JobState","Set State →"),""),HYPERLINK(IF(OR(_xlfn.SINGLE(JobState)="MI",_xlfn.SINGLE(JobState)=""),"https://fema.maps.arcgis.com/apps/mapviewer/index.html?webmap=6a1702b9147243d1a5ee62cd614bc681&amp;center="&amp;$F362&amp;","&amp;$E362&amp;"&amp;level=16&amp;marker="&amp;$F362&amp;","&amp;$E362&amp;"",IF(_xlfn.SINGLE(JobState)="IN","https://fema.maps.arcgis.com/apps/mapviewer/index.html?url=https%3A%2F%2Fgis.indot.in.gov%2Fro%2Frest%2Fservices%2FRAH_GIO_Collaboration%2FLRSE_Functional_Class%2FFeatureServer%2F22&amp;find="&amp;$F362&amp;"%2C"&amp;$E362&amp;"&amp;marker="&amp;$F362&amp;","&amp;$E362&amp;",4326&amp;level=16",IF(_xlfn.SINGLE(JobState)="WI","https://fema.maps.arcgis.com/apps/mapviewer/index.html?url=https://services5.arcgis.com/0pgGLzT0Nh7FVjon/arcgis/rest/services/Functional_Class_Local_Non_Prod/FeatureServer/1&amp;find="&amp;$F362&amp;"%2C"&amp;$E362&amp;"&amp;marker="&amp;$F362&amp;","&amp;$E362&amp;",4326&amp;level=16",IF(_xlfn.SINGLE(JobState)="MN","https://fema.maps.arcgis.com/apps/mapviewer/index.html?url=https%3A%2F%2Fdotapp9.dot.state.mn.us%2Fegis12%2Frest%2Fservices%2FBASEMAP%2Fmndot_commonlayers2%2FMapServer%2F11&amp;find="&amp;$F362&amp;"%2C"&amp;$E362&amp;"&amp;marker="&amp;$F362&amp;","&amp;$E362&amp;",4326&amp;level=16",IF(_xlfn.SINGLE(JobState)="IL","https://fema.maps.arcgis.com/apps/mapviewer/index.html?url=https%3A%2F%2Fgis1.dot.illinois.gov%2Farcgis%2Frest%2Fservices%2FAdministrativeData%2FFunctionalClass%2FMapServer%2F0&amp;find="&amp;$F362&amp;"%2C"&amp;$E362&amp;"&amp;marker="&amp;$F362&amp;","&amp;$E362&amp;",4326&amp;level=16",IF(_xlfn.SINGLE(JobState)="OH","https://fema.maps.arcgis.com/apps/mapviewer/index.html?url=https%3A%2F%2Ftims.dot.state.oh.us%2Fags%2Frest%2Fservices%2FRoadway_Information%2FFunctional_Class%2FMapServer%2F0&amp;find="&amp;$F362&amp;"%2C"&amp;$E362&amp;"&amp;marker="&amp;$F362&amp;","&amp;$E362&amp;",4326&amp;level=16","https://fema.maps.arcgis.com/apps/mapviewer/index.html?find="&amp;$F362&amp;"%2C"&amp;$E362&amp;"&amp;marker="&amp;$F362&amp;","&amp;$E362&amp;",4326&amp;level=16")))))),IF(_xlfn.SINGLE(JobState)="WI","Review Local Roads Layer","Review NFC AGOL Layer"))))</f>
        <v/>
      </c>
      <c r="N362" s="6" t="str">
        <f>IF(OR($E362="",$F362=""),"",IF(_xlfn.SINGLE(JobState)="",IF(ROW()=2,HYPERLINK("#JobState","Set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362&amp;"%2C"&amp;$E362&amp;"&amp;marker="&amp;$F362&amp;","&amp;$E362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2" s="6" t="str">
        <f>IF(OR($E362="", $F362=""),"",IF(_xlfn.SINGLE(JobAgolMap)="",HYPERLINK("https://fema.maps.arcgis.com/apps/mapviewer/index.html?find="&amp;$F362&amp;"%2C"&amp;$E362&amp;"&amp;marker="&amp;$F362&amp;","&amp;$E362&amp;",4326&amp;level=16","FEMA AGOL Map Viewer"),HYPERLINK(_xlfn.SINGLE(JobAgolMap)&amp;IF(ISNUMBER(FIND("?",_xlfn.SINGLE(JobAgolMap))),"&amp;","?")&amp;"center="&amp;$F362&amp;","&amp;$E362&amp;"&amp;level=16&amp;marker="&amp;$F362&amp;","&amp;$E362,"Open")))</f>
        <v/>
      </c>
      <c r="Q362" s="4"/>
      <c r="R362" s="4"/>
      <c r="W362" s="6" t="str">
        <f t="shared" si="30"/>
        <v/>
      </c>
      <c r="X362" s="6" t="str">
        <f t="shared" si="31"/>
        <v/>
      </c>
      <c r="Y362" s="6" t="str">
        <f t="shared" si="32"/>
        <v/>
      </c>
      <c r="Z362" s="6" t="str">
        <f t="shared" si="33"/>
        <v/>
      </c>
      <c r="AA362" s="6" t="str">
        <f t="shared" si="34"/>
        <v/>
      </c>
      <c r="AB362" s="6" t="str">
        <f t="shared" si="35"/>
        <v/>
      </c>
      <c r="AC362" s="4"/>
      <c r="AD362" s="4"/>
    </row>
    <row r="363" spans="1:30" x14ac:dyDescent="0.45">
      <c r="A363" s="3"/>
      <c r="B363" s="3"/>
      <c r="C363" s="5" t="str">
        <f>IF($E363="","",COUNT($E$2:$E363))</f>
        <v/>
      </c>
      <c r="D363" s="3"/>
      <c r="E363" s="3"/>
      <c r="F363" s="3"/>
      <c r="G363" s="3"/>
      <c r="H363" s="3"/>
      <c r="I363" s="3"/>
      <c r="J363" s="3"/>
      <c r="K363" s="3"/>
      <c r="L363" s="4"/>
      <c r="M363" s="6" t="str">
        <f>IF(OR($E363="",$F363=""),"",IF(_xlfn.SINGLE(JobState)="",IF(ROW()=2,HYPERLINK("#JobState","Set State →"),""),HYPERLINK(IF(OR(_xlfn.SINGLE(JobState)="MI",_xlfn.SINGLE(JobState)=""),"https://fema.maps.arcgis.com/apps/mapviewer/index.html?webmap=6a1702b9147243d1a5ee62cd614bc681&amp;center="&amp;$F363&amp;","&amp;$E363&amp;"&amp;level=16&amp;marker="&amp;$F363&amp;","&amp;$E363&amp;"",IF(_xlfn.SINGLE(JobState)="IN","https://fema.maps.arcgis.com/apps/mapviewer/index.html?url=https%3A%2F%2Fgis.indot.in.gov%2Fro%2Frest%2Fservices%2FRAH_GIO_Collaboration%2FLRSE_Functional_Class%2FFeatureServer%2F22&amp;find="&amp;$F363&amp;"%2C"&amp;$E363&amp;"&amp;marker="&amp;$F363&amp;","&amp;$E363&amp;",4326&amp;level=16",IF(_xlfn.SINGLE(JobState)="WI","https://fema.maps.arcgis.com/apps/mapviewer/index.html?url=https://services5.arcgis.com/0pgGLzT0Nh7FVjon/arcgis/rest/services/Functional_Class_Local_Non_Prod/FeatureServer/1&amp;find="&amp;$F363&amp;"%2C"&amp;$E363&amp;"&amp;marker="&amp;$F363&amp;","&amp;$E363&amp;",4326&amp;level=16",IF(_xlfn.SINGLE(JobState)="MN","https://fema.maps.arcgis.com/apps/mapviewer/index.html?url=https%3A%2F%2Fdotapp9.dot.state.mn.us%2Fegis12%2Frest%2Fservices%2FBASEMAP%2Fmndot_commonlayers2%2FMapServer%2F11&amp;find="&amp;$F363&amp;"%2C"&amp;$E363&amp;"&amp;marker="&amp;$F363&amp;","&amp;$E363&amp;",4326&amp;level=16",IF(_xlfn.SINGLE(JobState)="IL","https://fema.maps.arcgis.com/apps/mapviewer/index.html?url=https%3A%2F%2Fgis1.dot.illinois.gov%2Farcgis%2Frest%2Fservices%2FAdministrativeData%2FFunctionalClass%2FMapServer%2F0&amp;find="&amp;$F363&amp;"%2C"&amp;$E363&amp;"&amp;marker="&amp;$F363&amp;","&amp;$E363&amp;",4326&amp;level=16",IF(_xlfn.SINGLE(JobState)="OH","https://fema.maps.arcgis.com/apps/mapviewer/index.html?url=https%3A%2F%2Ftims.dot.state.oh.us%2Fags%2Frest%2Fservices%2FRoadway_Information%2FFunctional_Class%2FMapServer%2F0&amp;find="&amp;$F363&amp;"%2C"&amp;$E363&amp;"&amp;marker="&amp;$F363&amp;","&amp;$E363&amp;",4326&amp;level=16","https://fema.maps.arcgis.com/apps/mapviewer/index.html?find="&amp;$F363&amp;"%2C"&amp;$E363&amp;"&amp;marker="&amp;$F363&amp;","&amp;$E363&amp;",4326&amp;level=16")))))),IF(_xlfn.SINGLE(JobState)="WI","Review Local Roads Layer","Review NFC AGOL Layer"))))</f>
        <v/>
      </c>
      <c r="N363" s="6" t="str">
        <f>IF(OR($E363="",$F363=""),"",IF(_xlfn.SINGLE(JobState)="",IF(ROW()=2,HYPERLINK("#JobState","Set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363&amp;"%2C"&amp;$E363&amp;"&amp;marker="&amp;$F363&amp;","&amp;$E363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3" s="6" t="str">
        <f>IF(OR($E363="", $F363=""),"",IF(_xlfn.SINGLE(JobAgolMap)="",HYPERLINK("https://fema.maps.arcgis.com/apps/mapviewer/index.html?find="&amp;$F363&amp;"%2C"&amp;$E363&amp;"&amp;marker="&amp;$F363&amp;","&amp;$E363&amp;",4326&amp;level=16","FEMA AGOL Map Viewer"),HYPERLINK(_xlfn.SINGLE(JobAgolMap)&amp;IF(ISNUMBER(FIND("?",_xlfn.SINGLE(JobAgolMap))),"&amp;","?")&amp;"center="&amp;$F363&amp;","&amp;$E363&amp;"&amp;level=16&amp;marker="&amp;$F363&amp;","&amp;$E363,"Open")))</f>
        <v/>
      </c>
      <c r="Q363" s="4"/>
      <c r="R363" s="4"/>
      <c r="W363" s="6" t="str">
        <f t="shared" si="30"/>
        <v/>
      </c>
      <c r="X363" s="6" t="str">
        <f t="shared" si="31"/>
        <v/>
      </c>
      <c r="Y363" s="6" t="str">
        <f t="shared" si="32"/>
        <v/>
      </c>
      <c r="Z363" s="6" t="str">
        <f t="shared" si="33"/>
        <v/>
      </c>
      <c r="AA363" s="6" t="str">
        <f t="shared" si="34"/>
        <v/>
      </c>
      <c r="AB363" s="6" t="str">
        <f t="shared" si="35"/>
        <v/>
      </c>
      <c r="AC363" s="4"/>
      <c r="AD363" s="4"/>
    </row>
    <row r="364" spans="1:30" x14ac:dyDescent="0.45">
      <c r="A364" s="3"/>
      <c r="B364" s="3"/>
      <c r="C364" s="5" t="str">
        <f>IF($E364="","",COUNT($E$2:$E364))</f>
        <v/>
      </c>
      <c r="D364" s="3"/>
      <c r="E364" s="3"/>
      <c r="F364" s="3"/>
      <c r="G364" s="3"/>
      <c r="H364" s="3"/>
      <c r="I364" s="3"/>
      <c r="J364" s="3"/>
      <c r="K364" s="3"/>
      <c r="L364" s="4"/>
      <c r="M364" s="6" t="str">
        <f>IF(OR($E364="",$F364=""),"",IF(_xlfn.SINGLE(JobState)="",IF(ROW()=2,HYPERLINK("#JobState","Set State →"),""),HYPERLINK(IF(OR(_xlfn.SINGLE(JobState)="MI",_xlfn.SINGLE(JobState)=""),"https://fema.maps.arcgis.com/apps/mapviewer/index.html?webmap=6a1702b9147243d1a5ee62cd614bc681&amp;center="&amp;$F364&amp;","&amp;$E364&amp;"&amp;level=16&amp;marker="&amp;$F364&amp;","&amp;$E364&amp;"",IF(_xlfn.SINGLE(JobState)="IN","https://fema.maps.arcgis.com/apps/mapviewer/index.html?url=https%3A%2F%2Fgis.indot.in.gov%2Fro%2Frest%2Fservices%2FRAH_GIO_Collaboration%2FLRSE_Functional_Class%2FFeatureServer%2F22&amp;find="&amp;$F364&amp;"%2C"&amp;$E364&amp;"&amp;marker="&amp;$F364&amp;","&amp;$E364&amp;",4326&amp;level=16",IF(_xlfn.SINGLE(JobState)="WI","https://fema.maps.arcgis.com/apps/mapviewer/index.html?url=https://services5.arcgis.com/0pgGLzT0Nh7FVjon/arcgis/rest/services/Functional_Class_Local_Non_Prod/FeatureServer/1&amp;find="&amp;$F364&amp;"%2C"&amp;$E364&amp;"&amp;marker="&amp;$F364&amp;","&amp;$E364&amp;",4326&amp;level=16",IF(_xlfn.SINGLE(JobState)="MN","https://fema.maps.arcgis.com/apps/mapviewer/index.html?url=https%3A%2F%2Fdotapp9.dot.state.mn.us%2Fegis12%2Frest%2Fservices%2FBASEMAP%2Fmndot_commonlayers2%2FMapServer%2F11&amp;find="&amp;$F364&amp;"%2C"&amp;$E364&amp;"&amp;marker="&amp;$F364&amp;","&amp;$E364&amp;",4326&amp;level=16",IF(_xlfn.SINGLE(JobState)="IL","https://fema.maps.arcgis.com/apps/mapviewer/index.html?url=https%3A%2F%2Fgis1.dot.illinois.gov%2Farcgis%2Frest%2Fservices%2FAdministrativeData%2FFunctionalClass%2FMapServer%2F0&amp;find="&amp;$F364&amp;"%2C"&amp;$E364&amp;"&amp;marker="&amp;$F364&amp;","&amp;$E364&amp;",4326&amp;level=16",IF(_xlfn.SINGLE(JobState)="OH","https://fema.maps.arcgis.com/apps/mapviewer/index.html?url=https%3A%2F%2Ftims.dot.state.oh.us%2Fags%2Frest%2Fservices%2FRoadway_Information%2FFunctional_Class%2FMapServer%2F0&amp;find="&amp;$F364&amp;"%2C"&amp;$E364&amp;"&amp;marker="&amp;$F364&amp;","&amp;$E364&amp;",4326&amp;level=16","https://fema.maps.arcgis.com/apps/mapviewer/index.html?find="&amp;$F364&amp;"%2C"&amp;$E364&amp;"&amp;marker="&amp;$F364&amp;","&amp;$E364&amp;",4326&amp;level=16")))))),IF(_xlfn.SINGLE(JobState)="WI","Review Local Roads Layer","Review NFC AGOL Layer"))))</f>
        <v/>
      </c>
      <c r="N364" s="6" t="str">
        <f>IF(OR($E364="",$F364=""),"",IF(_xlfn.SINGLE(JobState)="",IF(ROW()=2,HYPERLINK("#JobState","Set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364&amp;"%2C"&amp;$E364&amp;"&amp;marker="&amp;$F364&amp;","&amp;$E364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4" s="6" t="str">
        <f>IF(OR($E364="", $F364=""),"",IF(_xlfn.SINGLE(JobAgolMap)="",HYPERLINK("https://fema.maps.arcgis.com/apps/mapviewer/index.html?find="&amp;$F364&amp;"%2C"&amp;$E364&amp;"&amp;marker="&amp;$F364&amp;","&amp;$E364&amp;",4326&amp;level=16","FEMA AGOL Map Viewer"),HYPERLINK(_xlfn.SINGLE(JobAgolMap)&amp;IF(ISNUMBER(FIND("?",_xlfn.SINGLE(JobAgolMap))),"&amp;","?")&amp;"center="&amp;$F364&amp;","&amp;$E364&amp;"&amp;level=16&amp;marker="&amp;$F364&amp;","&amp;$E364,"Open")))</f>
        <v/>
      </c>
      <c r="Q364" s="4"/>
      <c r="R364" s="4"/>
      <c r="W364" s="6" t="str">
        <f t="shared" si="30"/>
        <v/>
      </c>
      <c r="X364" s="6" t="str">
        <f t="shared" si="31"/>
        <v/>
      </c>
      <c r="Y364" s="6" t="str">
        <f t="shared" si="32"/>
        <v/>
      </c>
      <c r="Z364" s="6" t="str">
        <f t="shared" si="33"/>
        <v/>
      </c>
      <c r="AA364" s="6" t="str">
        <f t="shared" si="34"/>
        <v/>
      </c>
      <c r="AB364" s="6" t="str">
        <f t="shared" si="35"/>
        <v/>
      </c>
      <c r="AC364" s="4"/>
      <c r="AD364" s="4"/>
    </row>
    <row r="365" spans="1:30" x14ac:dyDescent="0.45">
      <c r="A365" s="3"/>
      <c r="B365" s="3"/>
      <c r="C365" s="5" t="str">
        <f>IF($E365="","",COUNT($E$2:$E365))</f>
        <v/>
      </c>
      <c r="D365" s="3"/>
      <c r="E365" s="3"/>
      <c r="F365" s="3"/>
      <c r="G365" s="3"/>
      <c r="H365" s="3"/>
      <c r="I365" s="3"/>
      <c r="J365" s="3"/>
      <c r="K365" s="3"/>
      <c r="L365" s="4"/>
      <c r="M365" s="6" t="str">
        <f>IF(OR($E365="",$F365=""),"",IF(_xlfn.SINGLE(JobState)="",IF(ROW()=2,HYPERLINK("#JobState","Set State →"),""),HYPERLINK(IF(OR(_xlfn.SINGLE(JobState)="MI",_xlfn.SINGLE(JobState)=""),"https://fema.maps.arcgis.com/apps/mapviewer/index.html?webmap=6a1702b9147243d1a5ee62cd614bc681&amp;center="&amp;$F365&amp;","&amp;$E365&amp;"&amp;level=16&amp;marker="&amp;$F365&amp;","&amp;$E365&amp;"",IF(_xlfn.SINGLE(JobState)="IN","https://fema.maps.arcgis.com/apps/mapviewer/index.html?url=https%3A%2F%2Fgis.indot.in.gov%2Fro%2Frest%2Fservices%2FRAH_GIO_Collaboration%2FLRSE_Functional_Class%2FFeatureServer%2F22&amp;find="&amp;$F365&amp;"%2C"&amp;$E365&amp;"&amp;marker="&amp;$F365&amp;","&amp;$E365&amp;",4326&amp;level=16",IF(_xlfn.SINGLE(JobState)="WI","https://fema.maps.arcgis.com/apps/mapviewer/index.html?url=https://services5.arcgis.com/0pgGLzT0Nh7FVjon/arcgis/rest/services/Functional_Class_Local_Non_Prod/FeatureServer/1&amp;find="&amp;$F365&amp;"%2C"&amp;$E365&amp;"&amp;marker="&amp;$F365&amp;","&amp;$E365&amp;",4326&amp;level=16",IF(_xlfn.SINGLE(JobState)="MN","https://fema.maps.arcgis.com/apps/mapviewer/index.html?url=https%3A%2F%2Fdotapp9.dot.state.mn.us%2Fegis12%2Frest%2Fservices%2FBASEMAP%2Fmndot_commonlayers2%2FMapServer%2F11&amp;find="&amp;$F365&amp;"%2C"&amp;$E365&amp;"&amp;marker="&amp;$F365&amp;","&amp;$E365&amp;",4326&amp;level=16",IF(_xlfn.SINGLE(JobState)="IL","https://fema.maps.arcgis.com/apps/mapviewer/index.html?url=https%3A%2F%2Fgis1.dot.illinois.gov%2Farcgis%2Frest%2Fservices%2FAdministrativeData%2FFunctionalClass%2FMapServer%2F0&amp;find="&amp;$F365&amp;"%2C"&amp;$E365&amp;"&amp;marker="&amp;$F365&amp;","&amp;$E365&amp;",4326&amp;level=16",IF(_xlfn.SINGLE(JobState)="OH","https://fema.maps.arcgis.com/apps/mapviewer/index.html?url=https%3A%2F%2Ftims.dot.state.oh.us%2Fags%2Frest%2Fservices%2FRoadway_Information%2FFunctional_Class%2FMapServer%2F0&amp;find="&amp;$F365&amp;"%2C"&amp;$E365&amp;"&amp;marker="&amp;$F365&amp;","&amp;$E365&amp;",4326&amp;level=16","https://fema.maps.arcgis.com/apps/mapviewer/index.html?find="&amp;$F365&amp;"%2C"&amp;$E365&amp;"&amp;marker="&amp;$F365&amp;","&amp;$E365&amp;",4326&amp;level=16")))))),IF(_xlfn.SINGLE(JobState)="WI","Review Local Roads Layer","Review NFC AGOL Layer"))))</f>
        <v/>
      </c>
      <c r="N365" s="6" t="str">
        <f>IF(OR($E365="",$F365=""),"",IF(_xlfn.SINGLE(JobState)="",IF(ROW()=2,HYPERLINK("#JobState","Set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365&amp;"%2C"&amp;$E365&amp;"&amp;marker="&amp;$F365&amp;","&amp;$E365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5" s="6" t="str">
        <f>IF(OR($E365="", $F365=""),"",IF(_xlfn.SINGLE(JobAgolMap)="",HYPERLINK("https://fema.maps.arcgis.com/apps/mapviewer/index.html?find="&amp;$F365&amp;"%2C"&amp;$E365&amp;"&amp;marker="&amp;$F365&amp;","&amp;$E365&amp;",4326&amp;level=16","FEMA AGOL Map Viewer"),HYPERLINK(_xlfn.SINGLE(JobAgolMap)&amp;IF(ISNUMBER(FIND("?",_xlfn.SINGLE(JobAgolMap))),"&amp;","?")&amp;"center="&amp;$F365&amp;","&amp;$E365&amp;"&amp;level=16&amp;marker="&amp;$F365&amp;","&amp;$E365,"Open")))</f>
        <v/>
      </c>
      <c r="Q365" s="4"/>
      <c r="R365" s="4"/>
      <c r="W365" s="6" t="str">
        <f t="shared" si="30"/>
        <v/>
      </c>
      <c r="X365" s="6" t="str">
        <f t="shared" si="31"/>
        <v/>
      </c>
      <c r="Y365" s="6" t="str">
        <f t="shared" si="32"/>
        <v/>
      </c>
      <c r="Z365" s="6" t="str">
        <f t="shared" si="33"/>
        <v/>
      </c>
      <c r="AA365" s="6" t="str">
        <f t="shared" si="34"/>
        <v/>
      </c>
      <c r="AB365" s="6" t="str">
        <f t="shared" si="35"/>
        <v/>
      </c>
      <c r="AC365" s="4"/>
      <c r="AD365" s="4"/>
    </row>
    <row r="366" spans="1:30" x14ac:dyDescent="0.45">
      <c r="A366" s="3"/>
      <c r="B366" s="3"/>
      <c r="C366" s="5" t="str">
        <f>IF($E366="","",COUNT($E$2:$E366))</f>
        <v/>
      </c>
      <c r="D366" s="3"/>
      <c r="E366" s="3"/>
      <c r="F366" s="3"/>
      <c r="G366" s="3"/>
      <c r="H366" s="3"/>
      <c r="I366" s="3"/>
      <c r="J366" s="3"/>
      <c r="K366" s="3"/>
      <c r="L366" s="4"/>
      <c r="M366" s="6" t="str">
        <f>IF(OR($E366="",$F366=""),"",IF(_xlfn.SINGLE(JobState)="",IF(ROW()=2,HYPERLINK("#JobState","Set State →"),""),HYPERLINK(IF(OR(_xlfn.SINGLE(JobState)="MI",_xlfn.SINGLE(JobState)=""),"https://fema.maps.arcgis.com/apps/mapviewer/index.html?webmap=6a1702b9147243d1a5ee62cd614bc681&amp;center="&amp;$F366&amp;","&amp;$E366&amp;"&amp;level=16&amp;marker="&amp;$F366&amp;","&amp;$E366&amp;"",IF(_xlfn.SINGLE(JobState)="IN","https://fema.maps.arcgis.com/apps/mapviewer/index.html?url=https%3A%2F%2Fgis.indot.in.gov%2Fro%2Frest%2Fservices%2FRAH_GIO_Collaboration%2FLRSE_Functional_Class%2FFeatureServer%2F22&amp;find="&amp;$F366&amp;"%2C"&amp;$E366&amp;"&amp;marker="&amp;$F366&amp;","&amp;$E366&amp;",4326&amp;level=16",IF(_xlfn.SINGLE(JobState)="WI","https://fema.maps.arcgis.com/apps/mapviewer/index.html?url=https://services5.arcgis.com/0pgGLzT0Nh7FVjon/arcgis/rest/services/Functional_Class_Local_Non_Prod/FeatureServer/1&amp;find="&amp;$F366&amp;"%2C"&amp;$E366&amp;"&amp;marker="&amp;$F366&amp;","&amp;$E366&amp;",4326&amp;level=16",IF(_xlfn.SINGLE(JobState)="MN","https://fema.maps.arcgis.com/apps/mapviewer/index.html?url=https%3A%2F%2Fdotapp9.dot.state.mn.us%2Fegis12%2Frest%2Fservices%2FBASEMAP%2Fmndot_commonlayers2%2FMapServer%2F11&amp;find="&amp;$F366&amp;"%2C"&amp;$E366&amp;"&amp;marker="&amp;$F366&amp;","&amp;$E366&amp;",4326&amp;level=16",IF(_xlfn.SINGLE(JobState)="IL","https://fema.maps.arcgis.com/apps/mapviewer/index.html?url=https%3A%2F%2Fgis1.dot.illinois.gov%2Farcgis%2Frest%2Fservices%2FAdministrativeData%2FFunctionalClass%2FMapServer%2F0&amp;find="&amp;$F366&amp;"%2C"&amp;$E366&amp;"&amp;marker="&amp;$F366&amp;","&amp;$E366&amp;",4326&amp;level=16",IF(_xlfn.SINGLE(JobState)="OH","https://fema.maps.arcgis.com/apps/mapviewer/index.html?url=https%3A%2F%2Ftims.dot.state.oh.us%2Fags%2Frest%2Fservices%2FRoadway_Information%2FFunctional_Class%2FMapServer%2F0&amp;find="&amp;$F366&amp;"%2C"&amp;$E366&amp;"&amp;marker="&amp;$F366&amp;","&amp;$E366&amp;",4326&amp;level=16","https://fema.maps.arcgis.com/apps/mapviewer/index.html?find="&amp;$F366&amp;"%2C"&amp;$E366&amp;"&amp;marker="&amp;$F366&amp;","&amp;$E366&amp;",4326&amp;level=16")))))),IF(_xlfn.SINGLE(JobState)="WI","Review Local Roads Layer","Review NFC AGOL Layer"))))</f>
        <v/>
      </c>
      <c r="N366" s="6" t="str">
        <f>IF(OR($E366="",$F366=""),"",IF(_xlfn.SINGLE(JobState)="",IF(ROW()=2,HYPERLINK("#JobState","Set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366&amp;"%2C"&amp;$E366&amp;"&amp;marker="&amp;$F366&amp;","&amp;$E366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6" s="6" t="str">
        <f>IF(OR($E366="", $F366=""),"",IF(_xlfn.SINGLE(JobAgolMap)="",HYPERLINK("https://fema.maps.arcgis.com/apps/mapviewer/index.html?find="&amp;$F366&amp;"%2C"&amp;$E366&amp;"&amp;marker="&amp;$F366&amp;","&amp;$E366&amp;",4326&amp;level=16","FEMA AGOL Map Viewer"),HYPERLINK(_xlfn.SINGLE(JobAgolMap)&amp;IF(ISNUMBER(FIND("?",_xlfn.SINGLE(JobAgolMap))),"&amp;","?")&amp;"center="&amp;$F366&amp;","&amp;$E366&amp;"&amp;level=16&amp;marker="&amp;$F366&amp;","&amp;$E366,"Open")))</f>
        <v/>
      </c>
      <c r="Q366" s="4"/>
      <c r="R366" s="4"/>
      <c r="W366" s="6" t="str">
        <f t="shared" si="30"/>
        <v/>
      </c>
      <c r="X366" s="6" t="str">
        <f t="shared" si="31"/>
        <v/>
      </c>
      <c r="Y366" s="6" t="str">
        <f t="shared" si="32"/>
        <v/>
      </c>
      <c r="Z366" s="6" t="str">
        <f t="shared" si="33"/>
        <v/>
      </c>
      <c r="AA366" s="6" t="str">
        <f t="shared" si="34"/>
        <v/>
      </c>
      <c r="AB366" s="6" t="str">
        <f t="shared" si="35"/>
        <v/>
      </c>
      <c r="AC366" s="4"/>
      <c r="AD366" s="4"/>
    </row>
    <row r="367" spans="1:30" x14ac:dyDescent="0.45">
      <c r="A367" s="3"/>
      <c r="B367" s="3"/>
      <c r="C367" s="5" t="str">
        <f>IF($E367="","",COUNT($E$2:$E367))</f>
        <v/>
      </c>
      <c r="D367" s="3"/>
      <c r="E367" s="3"/>
      <c r="F367" s="3"/>
      <c r="G367" s="3"/>
      <c r="H367" s="3"/>
      <c r="I367" s="3"/>
      <c r="J367" s="3"/>
      <c r="K367" s="3"/>
      <c r="L367" s="4"/>
      <c r="M367" s="6" t="str">
        <f>IF(OR($E367="",$F367=""),"",IF(_xlfn.SINGLE(JobState)="",IF(ROW()=2,HYPERLINK("#JobState","Set State →"),""),HYPERLINK(IF(OR(_xlfn.SINGLE(JobState)="MI",_xlfn.SINGLE(JobState)=""),"https://fema.maps.arcgis.com/apps/mapviewer/index.html?webmap=6a1702b9147243d1a5ee62cd614bc681&amp;center="&amp;$F367&amp;","&amp;$E367&amp;"&amp;level=16&amp;marker="&amp;$F367&amp;","&amp;$E367&amp;"",IF(_xlfn.SINGLE(JobState)="IN","https://fema.maps.arcgis.com/apps/mapviewer/index.html?url=https%3A%2F%2Fgis.indot.in.gov%2Fro%2Frest%2Fservices%2FRAH_GIO_Collaboration%2FLRSE_Functional_Class%2FFeatureServer%2F22&amp;find="&amp;$F367&amp;"%2C"&amp;$E367&amp;"&amp;marker="&amp;$F367&amp;","&amp;$E367&amp;",4326&amp;level=16",IF(_xlfn.SINGLE(JobState)="WI","https://fema.maps.arcgis.com/apps/mapviewer/index.html?url=https://services5.arcgis.com/0pgGLzT0Nh7FVjon/arcgis/rest/services/Functional_Class_Local_Non_Prod/FeatureServer/1&amp;find="&amp;$F367&amp;"%2C"&amp;$E367&amp;"&amp;marker="&amp;$F367&amp;","&amp;$E367&amp;",4326&amp;level=16",IF(_xlfn.SINGLE(JobState)="MN","https://fema.maps.arcgis.com/apps/mapviewer/index.html?url=https%3A%2F%2Fdotapp9.dot.state.mn.us%2Fegis12%2Frest%2Fservices%2FBASEMAP%2Fmndot_commonlayers2%2FMapServer%2F11&amp;find="&amp;$F367&amp;"%2C"&amp;$E367&amp;"&amp;marker="&amp;$F367&amp;","&amp;$E367&amp;",4326&amp;level=16",IF(_xlfn.SINGLE(JobState)="IL","https://fema.maps.arcgis.com/apps/mapviewer/index.html?url=https%3A%2F%2Fgis1.dot.illinois.gov%2Farcgis%2Frest%2Fservices%2FAdministrativeData%2FFunctionalClass%2FMapServer%2F0&amp;find="&amp;$F367&amp;"%2C"&amp;$E367&amp;"&amp;marker="&amp;$F367&amp;","&amp;$E367&amp;",4326&amp;level=16",IF(_xlfn.SINGLE(JobState)="OH","https://fema.maps.arcgis.com/apps/mapviewer/index.html?url=https%3A%2F%2Ftims.dot.state.oh.us%2Fags%2Frest%2Fservices%2FRoadway_Information%2FFunctional_Class%2FMapServer%2F0&amp;find="&amp;$F367&amp;"%2C"&amp;$E367&amp;"&amp;marker="&amp;$F367&amp;","&amp;$E367&amp;",4326&amp;level=16","https://fema.maps.arcgis.com/apps/mapviewer/index.html?find="&amp;$F367&amp;"%2C"&amp;$E367&amp;"&amp;marker="&amp;$F367&amp;","&amp;$E367&amp;",4326&amp;level=16")))))),IF(_xlfn.SINGLE(JobState)="WI","Review Local Roads Layer","Review NFC AGOL Layer"))))</f>
        <v/>
      </c>
      <c r="N367" s="6" t="str">
        <f>IF(OR($E367="",$F367=""),"",IF(_xlfn.SINGLE(JobState)="",IF(ROW()=2,HYPERLINK("#JobState","Set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367&amp;"%2C"&amp;$E367&amp;"&amp;marker="&amp;$F367&amp;","&amp;$E367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7" s="6" t="str">
        <f>IF(OR($E367="", $F367=""),"",IF(_xlfn.SINGLE(JobAgolMap)="",HYPERLINK("https://fema.maps.arcgis.com/apps/mapviewer/index.html?find="&amp;$F367&amp;"%2C"&amp;$E367&amp;"&amp;marker="&amp;$F367&amp;","&amp;$E367&amp;",4326&amp;level=16","FEMA AGOL Map Viewer"),HYPERLINK(_xlfn.SINGLE(JobAgolMap)&amp;IF(ISNUMBER(FIND("?",_xlfn.SINGLE(JobAgolMap))),"&amp;","?")&amp;"center="&amp;$F367&amp;","&amp;$E367&amp;"&amp;level=16&amp;marker="&amp;$F367&amp;","&amp;$E367,"Open")))</f>
        <v/>
      </c>
      <c r="Q367" s="4"/>
      <c r="R367" s="4"/>
      <c r="W367" s="6" t="str">
        <f t="shared" si="30"/>
        <v/>
      </c>
      <c r="X367" s="6" t="str">
        <f t="shared" si="31"/>
        <v/>
      </c>
      <c r="Y367" s="6" t="str">
        <f t="shared" si="32"/>
        <v/>
      </c>
      <c r="Z367" s="6" t="str">
        <f t="shared" si="33"/>
        <v/>
      </c>
      <c r="AA367" s="6" t="str">
        <f t="shared" si="34"/>
        <v/>
      </c>
      <c r="AB367" s="6" t="str">
        <f t="shared" si="35"/>
        <v/>
      </c>
      <c r="AC367" s="4"/>
      <c r="AD367" s="4"/>
    </row>
    <row r="368" spans="1:30" x14ac:dyDescent="0.45">
      <c r="A368" s="3"/>
      <c r="B368" s="3"/>
      <c r="C368" s="5" t="str">
        <f>IF($E368="","",COUNT($E$2:$E368))</f>
        <v/>
      </c>
      <c r="D368" s="3"/>
      <c r="E368" s="3"/>
      <c r="F368" s="3"/>
      <c r="G368" s="3"/>
      <c r="H368" s="3"/>
      <c r="I368" s="3"/>
      <c r="J368" s="3"/>
      <c r="K368" s="3"/>
      <c r="L368" s="4"/>
      <c r="M368" s="6" t="str">
        <f>IF(OR($E368="",$F368=""),"",IF(_xlfn.SINGLE(JobState)="",IF(ROW()=2,HYPERLINK("#JobState","Set State →"),""),HYPERLINK(IF(OR(_xlfn.SINGLE(JobState)="MI",_xlfn.SINGLE(JobState)=""),"https://fema.maps.arcgis.com/apps/mapviewer/index.html?webmap=6a1702b9147243d1a5ee62cd614bc681&amp;center="&amp;$F368&amp;","&amp;$E368&amp;"&amp;level=16&amp;marker="&amp;$F368&amp;","&amp;$E368&amp;"",IF(_xlfn.SINGLE(JobState)="IN","https://fema.maps.arcgis.com/apps/mapviewer/index.html?url=https%3A%2F%2Fgis.indot.in.gov%2Fro%2Frest%2Fservices%2FRAH_GIO_Collaboration%2FLRSE_Functional_Class%2FFeatureServer%2F22&amp;find="&amp;$F368&amp;"%2C"&amp;$E368&amp;"&amp;marker="&amp;$F368&amp;","&amp;$E368&amp;",4326&amp;level=16",IF(_xlfn.SINGLE(JobState)="WI","https://fema.maps.arcgis.com/apps/mapviewer/index.html?url=https://services5.arcgis.com/0pgGLzT0Nh7FVjon/arcgis/rest/services/Functional_Class_Local_Non_Prod/FeatureServer/1&amp;find="&amp;$F368&amp;"%2C"&amp;$E368&amp;"&amp;marker="&amp;$F368&amp;","&amp;$E368&amp;",4326&amp;level=16",IF(_xlfn.SINGLE(JobState)="MN","https://fema.maps.arcgis.com/apps/mapviewer/index.html?url=https%3A%2F%2Fdotapp9.dot.state.mn.us%2Fegis12%2Frest%2Fservices%2FBASEMAP%2Fmndot_commonlayers2%2FMapServer%2F11&amp;find="&amp;$F368&amp;"%2C"&amp;$E368&amp;"&amp;marker="&amp;$F368&amp;","&amp;$E368&amp;",4326&amp;level=16",IF(_xlfn.SINGLE(JobState)="IL","https://fema.maps.arcgis.com/apps/mapviewer/index.html?url=https%3A%2F%2Fgis1.dot.illinois.gov%2Farcgis%2Frest%2Fservices%2FAdministrativeData%2FFunctionalClass%2FMapServer%2F0&amp;find="&amp;$F368&amp;"%2C"&amp;$E368&amp;"&amp;marker="&amp;$F368&amp;","&amp;$E368&amp;",4326&amp;level=16",IF(_xlfn.SINGLE(JobState)="OH","https://fema.maps.arcgis.com/apps/mapviewer/index.html?url=https%3A%2F%2Ftims.dot.state.oh.us%2Fags%2Frest%2Fservices%2FRoadway_Information%2FFunctional_Class%2FMapServer%2F0&amp;find="&amp;$F368&amp;"%2C"&amp;$E368&amp;"&amp;marker="&amp;$F368&amp;","&amp;$E368&amp;",4326&amp;level=16","https://fema.maps.arcgis.com/apps/mapviewer/index.html?find="&amp;$F368&amp;"%2C"&amp;$E368&amp;"&amp;marker="&amp;$F368&amp;","&amp;$E368&amp;",4326&amp;level=16")))))),IF(_xlfn.SINGLE(JobState)="WI","Review Local Roads Layer","Review NFC AGOL Layer"))))</f>
        <v/>
      </c>
      <c r="N368" s="6" t="str">
        <f>IF(OR($E368="",$F368=""),"",IF(_xlfn.SINGLE(JobState)="",IF(ROW()=2,HYPERLINK("#JobState","Set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368&amp;"%2C"&amp;$E368&amp;"&amp;marker="&amp;$F368&amp;","&amp;$E368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8" s="6" t="str">
        <f>IF(OR($E368="", $F368=""),"",IF(_xlfn.SINGLE(JobAgolMap)="",HYPERLINK("https://fema.maps.arcgis.com/apps/mapviewer/index.html?find="&amp;$F368&amp;"%2C"&amp;$E368&amp;"&amp;marker="&amp;$F368&amp;","&amp;$E368&amp;",4326&amp;level=16","FEMA AGOL Map Viewer"),HYPERLINK(_xlfn.SINGLE(JobAgolMap)&amp;IF(ISNUMBER(FIND("?",_xlfn.SINGLE(JobAgolMap))),"&amp;","?")&amp;"center="&amp;$F368&amp;","&amp;$E368&amp;"&amp;level=16&amp;marker="&amp;$F368&amp;","&amp;$E368,"Open")))</f>
        <v/>
      </c>
      <c r="Q368" s="4"/>
      <c r="R368" s="4"/>
      <c r="W368" s="6" t="str">
        <f t="shared" si="30"/>
        <v/>
      </c>
      <c r="X368" s="6" t="str">
        <f t="shared" si="31"/>
        <v/>
      </c>
      <c r="Y368" s="6" t="str">
        <f t="shared" si="32"/>
        <v/>
      </c>
      <c r="Z368" s="6" t="str">
        <f t="shared" si="33"/>
        <v/>
      </c>
      <c r="AA368" s="6" t="str">
        <f t="shared" si="34"/>
        <v/>
      </c>
      <c r="AB368" s="6" t="str">
        <f t="shared" si="35"/>
        <v/>
      </c>
      <c r="AC368" s="4"/>
      <c r="AD368" s="4"/>
    </row>
    <row r="369" spans="1:30" x14ac:dyDescent="0.45">
      <c r="A369" s="3"/>
      <c r="B369" s="3"/>
      <c r="C369" s="5" t="str">
        <f>IF($E369="","",COUNT($E$2:$E369))</f>
        <v/>
      </c>
      <c r="D369" s="3"/>
      <c r="E369" s="3"/>
      <c r="F369" s="3"/>
      <c r="G369" s="3"/>
      <c r="H369" s="3"/>
      <c r="I369" s="3"/>
      <c r="J369" s="3"/>
      <c r="K369" s="3"/>
      <c r="L369" s="4"/>
      <c r="M369" s="6" t="str">
        <f>IF(OR($E369="",$F369=""),"",IF(_xlfn.SINGLE(JobState)="",IF(ROW()=2,HYPERLINK("#JobState","Set State →"),""),HYPERLINK(IF(OR(_xlfn.SINGLE(JobState)="MI",_xlfn.SINGLE(JobState)=""),"https://fema.maps.arcgis.com/apps/mapviewer/index.html?webmap=6a1702b9147243d1a5ee62cd614bc681&amp;center="&amp;$F369&amp;","&amp;$E369&amp;"&amp;level=16&amp;marker="&amp;$F369&amp;","&amp;$E369&amp;"",IF(_xlfn.SINGLE(JobState)="IN","https://fema.maps.arcgis.com/apps/mapviewer/index.html?url=https%3A%2F%2Fgis.indot.in.gov%2Fro%2Frest%2Fservices%2FRAH_GIO_Collaboration%2FLRSE_Functional_Class%2FFeatureServer%2F22&amp;find="&amp;$F369&amp;"%2C"&amp;$E369&amp;"&amp;marker="&amp;$F369&amp;","&amp;$E369&amp;",4326&amp;level=16",IF(_xlfn.SINGLE(JobState)="WI","https://fema.maps.arcgis.com/apps/mapviewer/index.html?url=https://services5.arcgis.com/0pgGLzT0Nh7FVjon/arcgis/rest/services/Functional_Class_Local_Non_Prod/FeatureServer/1&amp;find="&amp;$F369&amp;"%2C"&amp;$E369&amp;"&amp;marker="&amp;$F369&amp;","&amp;$E369&amp;",4326&amp;level=16",IF(_xlfn.SINGLE(JobState)="MN","https://fema.maps.arcgis.com/apps/mapviewer/index.html?url=https%3A%2F%2Fdotapp9.dot.state.mn.us%2Fegis12%2Frest%2Fservices%2FBASEMAP%2Fmndot_commonlayers2%2FMapServer%2F11&amp;find="&amp;$F369&amp;"%2C"&amp;$E369&amp;"&amp;marker="&amp;$F369&amp;","&amp;$E369&amp;",4326&amp;level=16",IF(_xlfn.SINGLE(JobState)="IL","https://fema.maps.arcgis.com/apps/mapviewer/index.html?url=https%3A%2F%2Fgis1.dot.illinois.gov%2Farcgis%2Frest%2Fservices%2FAdministrativeData%2FFunctionalClass%2FMapServer%2F0&amp;find="&amp;$F369&amp;"%2C"&amp;$E369&amp;"&amp;marker="&amp;$F369&amp;","&amp;$E369&amp;",4326&amp;level=16",IF(_xlfn.SINGLE(JobState)="OH","https://fema.maps.arcgis.com/apps/mapviewer/index.html?url=https%3A%2F%2Ftims.dot.state.oh.us%2Fags%2Frest%2Fservices%2FRoadway_Information%2FFunctional_Class%2FMapServer%2F0&amp;find="&amp;$F369&amp;"%2C"&amp;$E369&amp;"&amp;marker="&amp;$F369&amp;","&amp;$E369&amp;",4326&amp;level=16","https://fema.maps.arcgis.com/apps/mapviewer/index.html?find="&amp;$F369&amp;"%2C"&amp;$E369&amp;"&amp;marker="&amp;$F369&amp;","&amp;$E369&amp;",4326&amp;level=16")))))),IF(_xlfn.SINGLE(JobState)="WI","Review Local Roads Layer","Review NFC AGOL Layer"))))</f>
        <v/>
      </c>
      <c r="N369" s="6" t="str">
        <f>IF(OR($E369="",$F369=""),"",IF(_xlfn.SINGLE(JobState)="",IF(ROW()=2,HYPERLINK("#JobState","Set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369&amp;"%2C"&amp;$E369&amp;"&amp;marker="&amp;$F369&amp;","&amp;$E369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9" s="6" t="str">
        <f>IF(OR($E369="", $F369=""),"",IF(_xlfn.SINGLE(JobAgolMap)="",HYPERLINK("https://fema.maps.arcgis.com/apps/mapviewer/index.html?find="&amp;$F369&amp;"%2C"&amp;$E369&amp;"&amp;marker="&amp;$F369&amp;","&amp;$E369&amp;",4326&amp;level=16","FEMA AGOL Map Viewer"),HYPERLINK(_xlfn.SINGLE(JobAgolMap)&amp;IF(ISNUMBER(FIND("?",_xlfn.SINGLE(JobAgolMap))),"&amp;","?")&amp;"center="&amp;$F369&amp;","&amp;$E369&amp;"&amp;level=16&amp;marker="&amp;$F369&amp;","&amp;$E369,"Open")))</f>
        <v/>
      </c>
      <c r="Q369" s="4"/>
      <c r="R369" s="4"/>
      <c r="W369" s="6" t="str">
        <f t="shared" si="30"/>
        <v/>
      </c>
      <c r="X369" s="6" t="str">
        <f t="shared" si="31"/>
        <v/>
      </c>
      <c r="Y369" s="6" t="str">
        <f t="shared" si="32"/>
        <v/>
      </c>
      <c r="Z369" s="6" t="str">
        <f t="shared" si="33"/>
        <v/>
      </c>
      <c r="AA369" s="6" t="str">
        <f t="shared" si="34"/>
        <v/>
      </c>
      <c r="AB369" s="6" t="str">
        <f t="shared" si="35"/>
        <v/>
      </c>
      <c r="AC369" s="4"/>
      <c r="AD369" s="4"/>
    </row>
    <row r="370" spans="1:30" x14ac:dyDescent="0.45">
      <c r="A370" s="3"/>
      <c r="B370" s="3"/>
      <c r="C370" s="5" t="str">
        <f>IF($E370="","",COUNT($E$2:$E370))</f>
        <v/>
      </c>
      <c r="D370" s="3"/>
      <c r="E370" s="3"/>
      <c r="F370" s="3"/>
      <c r="G370" s="3"/>
      <c r="H370" s="3"/>
      <c r="I370" s="3"/>
      <c r="J370" s="3"/>
      <c r="K370" s="3"/>
      <c r="L370" s="4"/>
      <c r="M370" s="6" t="str">
        <f>IF(OR($E370="",$F370=""),"",IF(_xlfn.SINGLE(JobState)="",IF(ROW()=2,HYPERLINK("#JobState","Set State →"),""),HYPERLINK(IF(OR(_xlfn.SINGLE(JobState)="MI",_xlfn.SINGLE(JobState)=""),"https://fema.maps.arcgis.com/apps/mapviewer/index.html?webmap=6a1702b9147243d1a5ee62cd614bc681&amp;center="&amp;$F370&amp;","&amp;$E370&amp;"&amp;level=16&amp;marker="&amp;$F370&amp;","&amp;$E370&amp;"",IF(_xlfn.SINGLE(JobState)="IN","https://fema.maps.arcgis.com/apps/mapviewer/index.html?url=https%3A%2F%2Fgis.indot.in.gov%2Fro%2Frest%2Fservices%2FRAH_GIO_Collaboration%2FLRSE_Functional_Class%2FFeatureServer%2F22&amp;find="&amp;$F370&amp;"%2C"&amp;$E370&amp;"&amp;marker="&amp;$F370&amp;","&amp;$E370&amp;",4326&amp;level=16",IF(_xlfn.SINGLE(JobState)="WI","https://fema.maps.arcgis.com/apps/mapviewer/index.html?url=https://services5.arcgis.com/0pgGLzT0Nh7FVjon/arcgis/rest/services/Functional_Class_Local_Non_Prod/FeatureServer/1&amp;find="&amp;$F370&amp;"%2C"&amp;$E370&amp;"&amp;marker="&amp;$F370&amp;","&amp;$E370&amp;",4326&amp;level=16",IF(_xlfn.SINGLE(JobState)="MN","https://fema.maps.arcgis.com/apps/mapviewer/index.html?url=https%3A%2F%2Fdotapp9.dot.state.mn.us%2Fegis12%2Frest%2Fservices%2FBASEMAP%2Fmndot_commonlayers2%2FMapServer%2F11&amp;find="&amp;$F370&amp;"%2C"&amp;$E370&amp;"&amp;marker="&amp;$F370&amp;","&amp;$E370&amp;",4326&amp;level=16",IF(_xlfn.SINGLE(JobState)="IL","https://fema.maps.arcgis.com/apps/mapviewer/index.html?url=https%3A%2F%2Fgis1.dot.illinois.gov%2Farcgis%2Frest%2Fservices%2FAdministrativeData%2FFunctionalClass%2FMapServer%2F0&amp;find="&amp;$F370&amp;"%2C"&amp;$E370&amp;"&amp;marker="&amp;$F370&amp;","&amp;$E370&amp;",4326&amp;level=16",IF(_xlfn.SINGLE(JobState)="OH","https://fema.maps.arcgis.com/apps/mapviewer/index.html?url=https%3A%2F%2Ftims.dot.state.oh.us%2Fags%2Frest%2Fservices%2FRoadway_Information%2FFunctional_Class%2FMapServer%2F0&amp;find="&amp;$F370&amp;"%2C"&amp;$E370&amp;"&amp;marker="&amp;$F370&amp;","&amp;$E370&amp;",4326&amp;level=16","https://fema.maps.arcgis.com/apps/mapviewer/index.html?find="&amp;$F370&amp;"%2C"&amp;$E370&amp;"&amp;marker="&amp;$F370&amp;","&amp;$E370&amp;",4326&amp;level=16")))))),IF(_xlfn.SINGLE(JobState)="WI","Review Local Roads Layer","Review NFC AGOL Layer"))))</f>
        <v/>
      </c>
      <c r="N370" s="6" t="str">
        <f>IF(OR($E370="",$F370=""),"",IF(_xlfn.SINGLE(JobState)="",IF(ROW()=2,HYPERLINK("#JobState","Set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370&amp;"%2C"&amp;$E370&amp;"&amp;marker="&amp;$F370&amp;","&amp;$E370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0" s="6" t="str">
        <f>IF(OR($E370="", $F370=""),"",IF(_xlfn.SINGLE(JobAgolMap)="",HYPERLINK("https://fema.maps.arcgis.com/apps/mapviewer/index.html?find="&amp;$F370&amp;"%2C"&amp;$E370&amp;"&amp;marker="&amp;$F370&amp;","&amp;$E370&amp;",4326&amp;level=16","FEMA AGOL Map Viewer"),HYPERLINK(_xlfn.SINGLE(JobAgolMap)&amp;IF(ISNUMBER(FIND("?",_xlfn.SINGLE(JobAgolMap))),"&amp;","?")&amp;"center="&amp;$F370&amp;","&amp;$E370&amp;"&amp;level=16&amp;marker="&amp;$F370&amp;","&amp;$E370,"Open")))</f>
        <v/>
      </c>
      <c r="Q370" s="4"/>
      <c r="R370" s="4"/>
      <c r="W370" s="6" t="str">
        <f t="shared" si="30"/>
        <v/>
      </c>
      <c r="X370" s="6" t="str">
        <f t="shared" si="31"/>
        <v/>
      </c>
      <c r="Y370" s="6" t="str">
        <f t="shared" si="32"/>
        <v/>
      </c>
      <c r="Z370" s="6" t="str">
        <f t="shared" si="33"/>
        <v/>
      </c>
      <c r="AA370" s="6" t="str">
        <f t="shared" si="34"/>
        <v/>
      </c>
      <c r="AB370" s="6" t="str">
        <f t="shared" si="35"/>
        <v/>
      </c>
      <c r="AC370" s="4"/>
      <c r="AD370" s="4"/>
    </row>
    <row r="371" spans="1:30" x14ac:dyDescent="0.45">
      <c r="A371" s="3"/>
      <c r="B371" s="3"/>
      <c r="C371" s="5" t="str">
        <f>IF($E371="","",COUNT($E$2:$E371))</f>
        <v/>
      </c>
      <c r="D371" s="3"/>
      <c r="E371" s="3"/>
      <c r="F371" s="3"/>
      <c r="G371" s="3"/>
      <c r="H371" s="3"/>
      <c r="I371" s="3"/>
      <c r="J371" s="3"/>
      <c r="K371" s="3"/>
      <c r="L371" s="4"/>
      <c r="M371" s="6" t="str">
        <f>IF(OR($E371="",$F371=""),"",IF(_xlfn.SINGLE(JobState)="",IF(ROW()=2,HYPERLINK("#JobState","Set State →"),""),HYPERLINK(IF(OR(_xlfn.SINGLE(JobState)="MI",_xlfn.SINGLE(JobState)=""),"https://fema.maps.arcgis.com/apps/mapviewer/index.html?webmap=6a1702b9147243d1a5ee62cd614bc681&amp;center="&amp;$F371&amp;","&amp;$E371&amp;"&amp;level=16&amp;marker="&amp;$F371&amp;","&amp;$E371&amp;"",IF(_xlfn.SINGLE(JobState)="IN","https://fema.maps.arcgis.com/apps/mapviewer/index.html?url=https%3A%2F%2Fgis.indot.in.gov%2Fro%2Frest%2Fservices%2FRAH_GIO_Collaboration%2FLRSE_Functional_Class%2FFeatureServer%2F22&amp;find="&amp;$F371&amp;"%2C"&amp;$E371&amp;"&amp;marker="&amp;$F371&amp;","&amp;$E371&amp;",4326&amp;level=16",IF(_xlfn.SINGLE(JobState)="WI","https://fema.maps.arcgis.com/apps/mapviewer/index.html?url=https://services5.arcgis.com/0pgGLzT0Nh7FVjon/arcgis/rest/services/Functional_Class_Local_Non_Prod/FeatureServer/1&amp;find="&amp;$F371&amp;"%2C"&amp;$E371&amp;"&amp;marker="&amp;$F371&amp;","&amp;$E371&amp;",4326&amp;level=16",IF(_xlfn.SINGLE(JobState)="MN","https://fema.maps.arcgis.com/apps/mapviewer/index.html?url=https%3A%2F%2Fdotapp9.dot.state.mn.us%2Fegis12%2Frest%2Fservices%2FBASEMAP%2Fmndot_commonlayers2%2FMapServer%2F11&amp;find="&amp;$F371&amp;"%2C"&amp;$E371&amp;"&amp;marker="&amp;$F371&amp;","&amp;$E371&amp;",4326&amp;level=16",IF(_xlfn.SINGLE(JobState)="IL","https://fema.maps.arcgis.com/apps/mapviewer/index.html?url=https%3A%2F%2Fgis1.dot.illinois.gov%2Farcgis%2Frest%2Fservices%2FAdministrativeData%2FFunctionalClass%2FMapServer%2F0&amp;find="&amp;$F371&amp;"%2C"&amp;$E371&amp;"&amp;marker="&amp;$F371&amp;","&amp;$E371&amp;",4326&amp;level=16",IF(_xlfn.SINGLE(JobState)="OH","https://fema.maps.arcgis.com/apps/mapviewer/index.html?url=https%3A%2F%2Ftims.dot.state.oh.us%2Fags%2Frest%2Fservices%2FRoadway_Information%2FFunctional_Class%2FMapServer%2F0&amp;find="&amp;$F371&amp;"%2C"&amp;$E371&amp;"&amp;marker="&amp;$F371&amp;","&amp;$E371&amp;",4326&amp;level=16","https://fema.maps.arcgis.com/apps/mapviewer/index.html?find="&amp;$F371&amp;"%2C"&amp;$E371&amp;"&amp;marker="&amp;$F371&amp;","&amp;$E371&amp;",4326&amp;level=16")))))),IF(_xlfn.SINGLE(JobState)="WI","Review Local Roads Layer","Review NFC AGOL Layer"))))</f>
        <v/>
      </c>
      <c r="N371" s="6" t="str">
        <f>IF(OR($E371="",$F371=""),"",IF(_xlfn.SINGLE(JobState)="",IF(ROW()=2,HYPERLINK("#JobState","Set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371&amp;"%2C"&amp;$E371&amp;"&amp;marker="&amp;$F371&amp;","&amp;$E371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1" s="6" t="str">
        <f>IF(OR($E371="", $F371=""),"",IF(_xlfn.SINGLE(JobAgolMap)="",HYPERLINK("https://fema.maps.arcgis.com/apps/mapviewer/index.html?find="&amp;$F371&amp;"%2C"&amp;$E371&amp;"&amp;marker="&amp;$F371&amp;","&amp;$E371&amp;",4326&amp;level=16","FEMA AGOL Map Viewer"),HYPERLINK(_xlfn.SINGLE(JobAgolMap)&amp;IF(ISNUMBER(FIND("?",_xlfn.SINGLE(JobAgolMap))),"&amp;","?")&amp;"center="&amp;$F371&amp;","&amp;$E371&amp;"&amp;level=16&amp;marker="&amp;$F371&amp;","&amp;$E371,"Open")))</f>
        <v/>
      </c>
      <c r="Q371" s="4"/>
      <c r="R371" s="4"/>
      <c r="W371" s="6" t="str">
        <f t="shared" si="30"/>
        <v/>
      </c>
      <c r="X371" s="6" t="str">
        <f t="shared" si="31"/>
        <v/>
      </c>
      <c r="Y371" s="6" t="str">
        <f t="shared" si="32"/>
        <v/>
      </c>
      <c r="Z371" s="6" t="str">
        <f t="shared" si="33"/>
        <v/>
      </c>
      <c r="AA371" s="6" t="str">
        <f t="shared" si="34"/>
        <v/>
      </c>
      <c r="AB371" s="6" t="str">
        <f t="shared" si="35"/>
        <v/>
      </c>
      <c r="AC371" s="4"/>
      <c r="AD371" s="4"/>
    </row>
    <row r="372" spans="1:30" x14ac:dyDescent="0.45">
      <c r="A372" s="3"/>
      <c r="B372" s="3"/>
      <c r="C372" s="5" t="str">
        <f>IF($E372="","",COUNT($E$2:$E372))</f>
        <v/>
      </c>
      <c r="D372" s="3"/>
      <c r="E372" s="3"/>
      <c r="F372" s="3"/>
      <c r="G372" s="3"/>
      <c r="H372" s="3"/>
      <c r="I372" s="3"/>
      <c r="J372" s="3"/>
      <c r="K372" s="3"/>
      <c r="L372" s="4"/>
      <c r="M372" s="6" t="str">
        <f>IF(OR($E372="",$F372=""),"",IF(_xlfn.SINGLE(JobState)="",IF(ROW()=2,HYPERLINK("#JobState","Set State →"),""),HYPERLINK(IF(OR(_xlfn.SINGLE(JobState)="MI",_xlfn.SINGLE(JobState)=""),"https://fema.maps.arcgis.com/apps/mapviewer/index.html?webmap=6a1702b9147243d1a5ee62cd614bc681&amp;center="&amp;$F372&amp;","&amp;$E372&amp;"&amp;level=16&amp;marker="&amp;$F372&amp;","&amp;$E372&amp;"",IF(_xlfn.SINGLE(JobState)="IN","https://fema.maps.arcgis.com/apps/mapviewer/index.html?url=https%3A%2F%2Fgis.indot.in.gov%2Fro%2Frest%2Fservices%2FRAH_GIO_Collaboration%2FLRSE_Functional_Class%2FFeatureServer%2F22&amp;find="&amp;$F372&amp;"%2C"&amp;$E372&amp;"&amp;marker="&amp;$F372&amp;","&amp;$E372&amp;",4326&amp;level=16",IF(_xlfn.SINGLE(JobState)="WI","https://fema.maps.arcgis.com/apps/mapviewer/index.html?url=https://services5.arcgis.com/0pgGLzT0Nh7FVjon/arcgis/rest/services/Functional_Class_Local_Non_Prod/FeatureServer/1&amp;find="&amp;$F372&amp;"%2C"&amp;$E372&amp;"&amp;marker="&amp;$F372&amp;","&amp;$E372&amp;",4326&amp;level=16",IF(_xlfn.SINGLE(JobState)="MN","https://fema.maps.arcgis.com/apps/mapviewer/index.html?url=https%3A%2F%2Fdotapp9.dot.state.mn.us%2Fegis12%2Frest%2Fservices%2FBASEMAP%2Fmndot_commonlayers2%2FMapServer%2F11&amp;find="&amp;$F372&amp;"%2C"&amp;$E372&amp;"&amp;marker="&amp;$F372&amp;","&amp;$E372&amp;",4326&amp;level=16",IF(_xlfn.SINGLE(JobState)="IL","https://fema.maps.arcgis.com/apps/mapviewer/index.html?url=https%3A%2F%2Fgis1.dot.illinois.gov%2Farcgis%2Frest%2Fservices%2FAdministrativeData%2FFunctionalClass%2FMapServer%2F0&amp;find="&amp;$F372&amp;"%2C"&amp;$E372&amp;"&amp;marker="&amp;$F372&amp;","&amp;$E372&amp;",4326&amp;level=16",IF(_xlfn.SINGLE(JobState)="OH","https://fema.maps.arcgis.com/apps/mapviewer/index.html?url=https%3A%2F%2Ftims.dot.state.oh.us%2Fags%2Frest%2Fservices%2FRoadway_Information%2FFunctional_Class%2FMapServer%2F0&amp;find="&amp;$F372&amp;"%2C"&amp;$E372&amp;"&amp;marker="&amp;$F372&amp;","&amp;$E372&amp;",4326&amp;level=16","https://fema.maps.arcgis.com/apps/mapviewer/index.html?find="&amp;$F372&amp;"%2C"&amp;$E372&amp;"&amp;marker="&amp;$F372&amp;","&amp;$E372&amp;",4326&amp;level=16")))))),IF(_xlfn.SINGLE(JobState)="WI","Review Local Roads Layer","Review NFC AGOL Layer"))))</f>
        <v/>
      </c>
      <c r="N372" s="6" t="str">
        <f>IF(OR($E372="",$F372=""),"",IF(_xlfn.SINGLE(JobState)="",IF(ROW()=2,HYPERLINK("#JobState","Set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372&amp;"%2C"&amp;$E372&amp;"&amp;marker="&amp;$F372&amp;","&amp;$E372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2" s="6" t="str">
        <f>IF(OR($E372="", $F372=""),"",IF(_xlfn.SINGLE(JobAgolMap)="",HYPERLINK("https://fema.maps.arcgis.com/apps/mapviewer/index.html?find="&amp;$F372&amp;"%2C"&amp;$E372&amp;"&amp;marker="&amp;$F372&amp;","&amp;$E372&amp;",4326&amp;level=16","FEMA AGOL Map Viewer"),HYPERLINK(_xlfn.SINGLE(JobAgolMap)&amp;IF(ISNUMBER(FIND("?",_xlfn.SINGLE(JobAgolMap))),"&amp;","?")&amp;"center="&amp;$F372&amp;","&amp;$E372&amp;"&amp;level=16&amp;marker="&amp;$F372&amp;","&amp;$E372,"Open")))</f>
        <v/>
      </c>
      <c r="Q372" s="4"/>
      <c r="R372" s="4"/>
      <c r="W372" s="6" t="str">
        <f t="shared" si="30"/>
        <v/>
      </c>
      <c r="X372" s="6" t="str">
        <f t="shared" si="31"/>
        <v/>
      </c>
      <c r="Y372" s="6" t="str">
        <f t="shared" si="32"/>
        <v/>
      </c>
      <c r="Z372" s="6" t="str">
        <f t="shared" si="33"/>
        <v/>
      </c>
      <c r="AA372" s="6" t="str">
        <f t="shared" si="34"/>
        <v/>
      </c>
      <c r="AB372" s="6" t="str">
        <f t="shared" si="35"/>
        <v/>
      </c>
      <c r="AC372" s="4"/>
      <c r="AD372" s="4"/>
    </row>
    <row r="373" spans="1:30" x14ac:dyDescent="0.45">
      <c r="A373" s="3"/>
      <c r="B373" s="3"/>
      <c r="C373" s="5" t="str">
        <f>IF($E373="","",COUNT($E$2:$E373))</f>
        <v/>
      </c>
      <c r="D373" s="3"/>
      <c r="E373" s="3"/>
      <c r="F373" s="3"/>
      <c r="G373" s="3"/>
      <c r="H373" s="3"/>
      <c r="I373" s="3"/>
      <c r="J373" s="3"/>
      <c r="K373" s="3"/>
      <c r="L373" s="4"/>
      <c r="M373" s="6" t="str">
        <f>IF(OR($E373="",$F373=""),"",IF(_xlfn.SINGLE(JobState)="",IF(ROW()=2,HYPERLINK("#JobState","Set State →"),""),HYPERLINK(IF(OR(_xlfn.SINGLE(JobState)="MI",_xlfn.SINGLE(JobState)=""),"https://fema.maps.arcgis.com/apps/mapviewer/index.html?webmap=6a1702b9147243d1a5ee62cd614bc681&amp;center="&amp;$F373&amp;","&amp;$E373&amp;"&amp;level=16&amp;marker="&amp;$F373&amp;","&amp;$E373&amp;"",IF(_xlfn.SINGLE(JobState)="IN","https://fema.maps.arcgis.com/apps/mapviewer/index.html?url=https%3A%2F%2Fgis.indot.in.gov%2Fro%2Frest%2Fservices%2FRAH_GIO_Collaboration%2FLRSE_Functional_Class%2FFeatureServer%2F22&amp;find="&amp;$F373&amp;"%2C"&amp;$E373&amp;"&amp;marker="&amp;$F373&amp;","&amp;$E373&amp;",4326&amp;level=16",IF(_xlfn.SINGLE(JobState)="WI","https://fema.maps.arcgis.com/apps/mapviewer/index.html?url=https://services5.arcgis.com/0pgGLzT0Nh7FVjon/arcgis/rest/services/Functional_Class_Local_Non_Prod/FeatureServer/1&amp;find="&amp;$F373&amp;"%2C"&amp;$E373&amp;"&amp;marker="&amp;$F373&amp;","&amp;$E373&amp;",4326&amp;level=16",IF(_xlfn.SINGLE(JobState)="MN","https://fema.maps.arcgis.com/apps/mapviewer/index.html?url=https%3A%2F%2Fdotapp9.dot.state.mn.us%2Fegis12%2Frest%2Fservices%2FBASEMAP%2Fmndot_commonlayers2%2FMapServer%2F11&amp;find="&amp;$F373&amp;"%2C"&amp;$E373&amp;"&amp;marker="&amp;$F373&amp;","&amp;$E373&amp;",4326&amp;level=16",IF(_xlfn.SINGLE(JobState)="IL","https://fema.maps.arcgis.com/apps/mapviewer/index.html?url=https%3A%2F%2Fgis1.dot.illinois.gov%2Farcgis%2Frest%2Fservices%2FAdministrativeData%2FFunctionalClass%2FMapServer%2F0&amp;find="&amp;$F373&amp;"%2C"&amp;$E373&amp;"&amp;marker="&amp;$F373&amp;","&amp;$E373&amp;",4326&amp;level=16",IF(_xlfn.SINGLE(JobState)="OH","https://fema.maps.arcgis.com/apps/mapviewer/index.html?url=https%3A%2F%2Ftims.dot.state.oh.us%2Fags%2Frest%2Fservices%2FRoadway_Information%2FFunctional_Class%2FMapServer%2F0&amp;find="&amp;$F373&amp;"%2C"&amp;$E373&amp;"&amp;marker="&amp;$F373&amp;","&amp;$E373&amp;",4326&amp;level=16","https://fema.maps.arcgis.com/apps/mapviewer/index.html?find="&amp;$F373&amp;"%2C"&amp;$E373&amp;"&amp;marker="&amp;$F373&amp;","&amp;$E373&amp;",4326&amp;level=16")))))),IF(_xlfn.SINGLE(JobState)="WI","Review Local Roads Layer","Review NFC AGOL Layer"))))</f>
        <v/>
      </c>
      <c r="N373" s="6" t="str">
        <f>IF(OR($E373="",$F373=""),"",IF(_xlfn.SINGLE(JobState)="",IF(ROW()=2,HYPERLINK("#JobState","Set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373&amp;"%2C"&amp;$E373&amp;"&amp;marker="&amp;$F373&amp;","&amp;$E373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3" s="6" t="str">
        <f>IF(OR($E373="", $F373=""),"",IF(_xlfn.SINGLE(JobAgolMap)="",HYPERLINK("https://fema.maps.arcgis.com/apps/mapviewer/index.html?find="&amp;$F373&amp;"%2C"&amp;$E373&amp;"&amp;marker="&amp;$F373&amp;","&amp;$E373&amp;",4326&amp;level=16","FEMA AGOL Map Viewer"),HYPERLINK(_xlfn.SINGLE(JobAgolMap)&amp;IF(ISNUMBER(FIND("?",_xlfn.SINGLE(JobAgolMap))),"&amp;","?")&amp;"center="&amp;$F373&amp;","&amp;$E373&amp;"&amp;level=16&amp;marker="&amp;$F373&amp;","&amp;$E373,"Open")))</f>
        <v/>
      </c>
      <c r="Q373" s="4"/>
      <c r="R373" s="4"/>
      <c r="W373" s="6" t="str">
        <f t="shared" si="30"/>
        <v/>
      </c>
      <c r="X373" s="6" t="str">
        <f t="shared" si="31"/>
        <v/>
      </c>
      <c r="Y373" s="6" t="str">
        <f t="shared" si="32"/>
        <v/>
      </c>
      <c r="Z373" s="6" t="str">
        <f t="shared" si="33"/>
        <v/>
      </c>
      <c r="AA373" s="6" t="str">
        <f t="shared" si="34"/>
        <v/>
      </c>
      <c r="AB373" s="6" t="str">
        <f t="shared" si="35"/>
        <v/>
      </c>
      <c r="AC373" s="4"/>
      <c r="AD373" s="4"/>
    </row>
    <row r="374" spans="1:30" x14ac:dyDescent="0.45">
      <c r="A374" s="3"/>
      <c r="B374" s="3"/>
      <c r="C374" s="5" t="str">
        <f>IF($E374="","",COUNT($E$2:$E374))</f>
        <v/>
      </c>
      <c r="D374" s="3"/>
      <c r="E374" s="3"/>
      <c r="F374" s="3"/>
      <c r="G374" s="3"/>
      <c r="H374" s="3"/>
      <c r="I374" s="3"/>
      <c r="J374" s="3"/>
      <c r="K374" s="3"/>
      <c r="L374" s="4"/>
      <c r="M374" s="6" t="str">
        <f>IF(OR($E374="",$F374=""),"",IF(_xlfn.SINGLE(JobState)="",IF(ROW()=2,HYPERLINK("#JobState","Set State →"),""),HYPERLINK(IF(OR(_xlfn.SINGLE(JobState)="MI",_xlfn.SINGLE(JobState)=""),"https://fema.maps.arcgis.com/apps/mapviewer/index.html?webmap=6a1702b9147243d1a5ee62cd614bc681&amp;center="&amp;$F374&amp;","&amp;$E374&amp;"&amp;level=16&amp;marker="&amp;$F374&amp;","&amp;$E374&amp;"",IF(_xlfn.SINGLE(JobState)="IN","https://fema.maps.arcgis.com/apps/mapviewer/index.html?url=https%3A%2F%2Fgis.indot.in.gov%2Fro%2Frest%2Fservices%2FRAH_GIO_Collaboration%2FLRSE_Functional_Class%2FFeatureServer%2F22&amp;find="&amp;$F374&amp;"%2C"&amp;$E374&amp;"&amp;marker="&amp;$F374&amp;","&amp;$E374&amp;",4326&amp;level=16",IF(_xlfn.SINGLE(JobState)="WI","https://fema.maps.arcgis.com/apps/mapviewer/index.html?url=https://services5.arcgis.com/0pgGLzT0Nh7FVjon/arcgis/rest/services/Functional_Class_Local_Non_Prod/FeatureServer/1&amp;find="&amp;$F374&amp;"%2C"&amp;$E374&amp;"&amp;marker="&amp;$F374&amp;","&amp;$E374&amp;",4326&amp;level=16",IF(_xlfn.SINGLE(JobState)="MN","https://fema.maps.arcgis.com/apps/mapviewer/index.html?url=https%3A%2F%2Fdotapp9.dot.state.mn.us%2Fegis12%2Frest%2Fservices%2FBASEMAP%2Fmndot_commonlayers2%2FMapServer%2F11&amp;find="&amp;$F374&amp;"%2C"&amp;$E374&amp;"&amp;marker="&amp;$F374&amp;","&amp;$E374&amp;",4326&amp;level=16",IF(_xlfn.SINGLE(JobState)="IL","https://fema.maps.arcgis.com/apps/mapviewer/index.html?url=https%3A%2F%2Fgis1.dot.illinois.gov%2Farcgis%2Frest%2Fservices%2FAdministrativeData%2FFunctionalClass%2FMapServer%2F0&amp;find="&amp;$F374&amp;"%2C"&amp;$E374&amp;"&amp;marker="&amp;$F374&amp;","&amp;$E374&amp;",4326&amp;level=16",IF(_xlfn.SINGLE(JobState)="OH","https://fema.maps.arcgis.com/apps/mapviewer/index.html?url=https%3A%2F%2Ftims.dot.state.oh.us%2Fags%2Frest%2Fservices%2FRoadway_Information%2FFunctional_Class%2FMapServer%2F0&amp;find="&amp;$F374&amp;"%2C"&amp;$E374&amp;"&amp;marker="&amp;$F374&amp;","&amp;$E374&amp;",4326&amp;level=16","https://fema.maps.arcgis.com/apps/mapviewer/index.html?find="&amp;$F374&amp;"%2C"&amp;$E374&amp;"&amp;marker="&amp;$F374&amp;","&amp;$E374&amp;",4326&amp;level=16")))))),IF(_xlfn.SINGLE(JobState)="WI","Review Local Roads Layer","Review NFC AGOL Layer"))))</f>
        <v/>
      </c>
      <c r="N374" s="6" t="str">
        <f>IF(OR($E374="",$F374=""),"",IF(_xlfn.SINGLE(JobState)="",IF(ROW()=2,HYPERLINK("#JobState","Set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374&amp;"%2C"&amp;$E374&amp;"&amp;marker="&amp;$F374&amp;","&amp;$E374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4" s="6" t="str">
        <f>IF(OR($E374="", $F374=""),"",IF(_xlfn.SINGLE(JobAgolMap)="",HYPERLINK("https://fema.maps.arcgis.com/apps/mapviewer/index.html?find="&amp;$F374&amp;"%2C"&amp;$E374&amp;"&amp;marker="&amp;$F374&amp;","&amp;$E374&amp;",4326&amp;level=16","FEMA AGOL Map Viewer"),HYPERLINK(_xlfn.SINGLE(JobAgolMap)&amp;IF(ISNUMBER(FIND("?",_xlfn.SINGLE(JobAgolMap))),"&amp;","?")&amp;"center="&amp;$F374&amp;","&amp;$E374&amp;"&amp;level=16&amp;marker="&amp;$F374&amp;","&amp;$E374,"Open")))</f>
        <v/>
      </c>
      <c r="Q374" s="4"/>
      <c r="R374" s="4"/>
      <c r="W374" s="6" t="str">
        <f t="shared" si="30"/>
        <v/>
      </c>
      <c r="X374" s="6" t="str">
        <f t="shared" si="31"/>
        <v/>
      </c>
      <c r="Y374" s="6" t="str">
        <f t="shared" si="32"/>
        <v/>
      </c>
      <c r="Z374" s="6" t="str">
        <f t="shared" si="33"/>
        <v/>
      </c>
      <c r="AA374" s="6" t="str">
        <f t="shared" si="34"/>
        <v/>
      </c>
      <c r="AB374" s="6" t="str">
        <f t="shared" si="35"/>
        <v/>
      </c>
      <c r="AC374" s="4"/>
      <c r="AD374" s="4"/>
    </row>
    <row r="375" spans="1:30" x14ac:dyDescent="0.45">
      <c r="A375" s="3"/>
      <c r="B375" s="3"/>
      <c r="C375" s="5" t="str">
        <f>IF($E375="","",COUNT($E$2:$E375))</f>
        <v/>
      </c>
      <c r="D375" s="3"/>
      <c r="E375" s="3"/>
      <c r="F375" s="3"/>
      <c r="G375" s="3"/>
      <c r="H375" s="3"/>
      <c r="I375" s="3"/>
      <c r="J375" s="3"/>
      <c r="K375" s="3"/>
      <c r="L375" s="4"/>
      <c r="M375" s="6" t="str">
        <f>IF(OR($E375="",$F375=""),"",IF(_xlfn.SINGLE(JobState)="",IF(ROW()=2,HYPERLINK("#JobState","Set State →"),""),HYPERLINK(IF(OR(_xlfn.SINGLE(JobState)="MI",_xlfn.SINGLE(JobState)=""),"https://fema.maps.arcgis.com/apps/mapviewer/index.html?webmap=6a1702b9147243d1a5ee62cd614bc681&amp;center="&amp;$F375&amp;","&amp;$E375&amp;"&amp;level=16&amp;marker="&amp;$F375&amp;","&amp;$E375&amp;"",IF(_xlfn.SINGLE(JobState)="IN","https://fema.maps.arcgis.com/apps/mapviewer/index.html?url=https%3A%2F%2Fgis.indot.in.gov%2Fro%2Frest%2Fservices%2FRAH_GIO_Collaboration%2FLRSE_Functional_Class%2FFeatureServer%2F22&amp;find="&amp;$F375&amp;"%2C"&amp;$E375&amp;"&amp;marker="&amp;$F375&amp;","&amp;$E375&amp;",4326&amp;level=16",IF(_xlfn.SINGLE(JobState)="WI","https://fema.maps.arcgis.com/apps/mapviewer/index.html?url=https://services5.arcgis.com/0pgGLzT0Nh7FVjon/arcgis/rest/services/Functional_Class_Local_Non_Prod/FeatureServer/1&amp;find="&amp;$F375&amp;"%2C"&amp;$E375&amp;"&amp;marker="&amp;$F375&amp;","&amp;$E375&amp;",4326&amp;level=16",IF(_xlfn.SINGLE(JobState)="MN","https://fema.maps.arcgis.com/apps/mapviewer/index.html?url=https%3A%2F%2Fdotapp9.dot.state.mn.us%2Fegis12%2Frest%2Fservices%2FBASEMAP%2Fmndot_commonlayers2%2FMapServer%2F11&amp;find="&amp;$F375&amp;"%2C"&amp;$E375&amp;"&amp;marker="&amp;$F375&amp;","&amp;$E375&amp;",4326&amp;level=16",IF(_xlfn.SINGLE(JobState)="IL","https://fema.maps.arcgis.com/apps/mapviewer/index.html?url=https%3A%2F%2Fgis1.dot.illinois.gov%2Farcgis%2Frest%2Fservices%2FAdministrativeData%2FFunctionalClass%2FMapServer%2F0&amp;find="&amp;$F375&amp;"%2C"&amp;$E375&amp;"&amp;marker="&amp;$F375&amp;","&amp;$E375&amp;",4326&amp;level=16",IF(_xlfn.SINGLE(JobState)="OH","https://fema.maps.arcgis.com/apps/mapviewer/index.html?url=https%3A%2F%2Ftims.dot.state.oh.us%2Fags%2Frest%2Fservices%2FRoadway_Information%2FFunctional_Class%2FMapServer%2F0&amp;find="&amp;$F375&amp;"%2C"&amp;$E375&amp;"&amp;marker="&amp;$F375&amp;","&amp;$E375&amp;",4326&amp;level=16","https://fema.maps.arcgis.com/apps/mapviewer/index.html?find="&amp;$F375&amp;"%2C"&amp;$E375&amp;"&amp;marker="&amp;$F375&amp;","&amp;$E375&amp;",4326&amp;level=16")))))),IF(_xlfn.SINGLE(JobState)="WI","Review Local Roads Layer","Review NFC AGOL Layer"))))</f>
        <v/>
      </c>
      <c r="N375" s="6" t="str">
        <f>IF(OR($E375="",$F375=""),"",IF(_xlfn.SINGLE(JobState)="",IF(ROW()=2,HYPERLINK("#JobState","Set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375&amp;"%2C"&amp;$E375&amp;"&amp;marker="&amp;$F375&amp;","&amp;$E375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5" s="6" t="str">
        <f>IF(OR($E375="", $F375=""),"",IF(_xlfn.SINGLE(JobAgolMap)="",HYPERLINK("https://fema.maps.arcgis.com/apps/mapviewer/index.html?find="&amp;$F375&amp;"%2C"&amp;$E375&amp;"&amp;marker="&amp;$F375&amp;","&amp;$E375&amp;",4326&amp;level=16","FEMA AGOL Map Viewer"),HYPERLINK(_xlfn.SINGLE(JobAgolMap)&amp;IF(ISNUMBER(FIND("?",_xlfn.SINGLE(JobAgolMap))),"&amp;","?")&amp;"center="&amp;$F375&amp;","&amp;$E375&amp;"&amp;level=16&amp;marker="&amp;$F375&amp;","&amp;$E375,"Open")))</f>
        <v/>
      </c>
      <c r="Q375" s="4"/>
      <c r="R375" s="4"/>
      <c r="W375" s="6" t="str">
        <f t="shared" si="30"/>
        <v/>
      </c>
      <c r="X375" s="6" t="str">
        <f t="shared" si="31"/>
        <v/>
      </c>
      <c r="Y375" s="6" t="str">
        <f t="shared" si="32"/>
        <v/>
      </c>
      <c r="Z375" s="6" t="str">
        <f t="shared" si="33"/>
        <v/>
      </c>
      <c r="AA375" s="6" t="str">
        <f t="shared" si="34"/>
        <v/>
      </c>
      <c r="AB375" s="6" t="str">
        <f t="shared" si="35"/>
        <v/>
      </c>
      <c r="AC375" s="4"/>
      <c r="AD375" s="4"/>
    </row>
    <row r="376" spans="1:30" x14ac:dyDescent="0.45">
      <c r="A376" s="3"/>
      <c r="B376" s="3"/>
      <c r="C376" s="5" t="str">
        <f>IF($E376="","",COUNT($E$2:$E376))</f>
        <v/>
      </c>
      <c r="D376" s="3"/>
      <c r="E376" s="3"/>
      <c r="F376" s="3"/>
      <c r="G376" s="3"/>
      <c r="H376" s="3"/>
      <c r="I376" s="3"/>
      <c r="J376" s="3"/>
      <c r="K376" s="3"/>
      <c r="L376" s="4"/>
      <c r="M376" s="6" t="str">
        <f>IF(OR($E376="",$F376=""),"",IF(_xlfn.SINGLE(JobState)="",IF(ROW()=2,HYPERLINK("#JobState","Set State →"),""),HYPERLINK(IF(OR(_xlfn.SINGLE(JobState)="MI",_xlfn.SINGLE(JobState)=""),"https://fema.maps.arcgis.com/apps/mapviewer/index.html?webmap=6a1702b9147243d1a5ee62cd614bc681&amp;center="&amp;$F376&amp;","&amp;$E376&amp;"&amp;level=16&amp;marker="&amp;$F376&amp;","&amp;$E376&amp;"",IF(_xlfn.SINGLE(JobState)="IN","https://fema.maps.arcgis.com/apps/mapviewer/index.html?url=https%3A%2F%2Fgis.indot.in.gov%2Fro%2Frest%2Fservices%2FRAH_GIO_Collaboration%2FLRSE_Functional_Class%2FFeatureServer%2F22&amp;find="&amp;$F376&amp;"%2C"&amp;$E376&amp;"&amp;marker="&amp;$F376&amp;","&amp;$E376&amp;",4326&amp;level=16",IF(_xlfn.SINGLE(JobState)="WI","https://fema.maps.arcgis.com/apps/mapviewer/index.html?url=https://services5.arcgis.com/0pgGLzT0Nh7FVjon/arcgis/rest/services/Functional_Class_Local_Non_Prod/FeatureServer/1&amp;find="&amp;$F376&amp;"%2C"&amp;$E376&amp;"&amp;marker="&amp;$F376&amp;","&amp;$E376&amp;",4326&amp;level=16",IF(_xlfn.SINGLE(JobState)="MN","https://fema.maps.arcgis.com/apps/mapviewer/index.html?url=https%3A%2F%2Fdotapp9.dot.state.mn.us%2Fegis12%2Frest%2Fservices%2FBASEMAP%2Fmndot_commonlayers2%2FMapServer%2F11&amp;find="&amp;$F376&amp;"%2C"&amp;$E376&amp;"&amp;marker="&amp;$F376&amp;","&amp;$E376&amp;",4326&amp;level=16",IF(_xlfn.SINGLE(JobState)="IL","https://fema.maps.arcgis.com/apps/mapviewer/index.html?url=https%3A%2F%2Fgis1.dot.illinois.gov%2Farcgis%2Frest%2Fservices%2FAdministrativeData%2FFunctionalClass%2FMapServer%2F0&amp;find="&amp;$F376&amp;"%2C"&amp;$E376&amp;"&amp;marker="&amp;$F376&amp;","&amp;$E376&amp;",4326&amp;level=16",IF(_xlfn.SINGLE(JobState)="OH","https://fema.maps.arcgis.com/apps/mapviewer/index.html?url=https%3A%2F%2Ftims.dot.state.oh.us%2Fags%2Frest%2Fservices%2FRoadway_Information%2FFunctional_Class%2FMapServer%2F0&amp;find="&amp;$F376&amp;"%2C"&amp;$E376&amp;"&amp;marker="&amp;$F376&amp;","&amp;$E376&amp;",4326&amp;level=16","https://fema.maps.arcgis.com/apps/mapviewer/index.html?find="&amp;$F376&amp;"%2C"&amp;$E376&amp;"&amp;marker="&amp;$F376&amp;","&amp;$E376&amp;",4326&amp;level=16")))))),IF(_xlfn.SINGLE(JobState)="WI","Review Local Roads Layer","Review NFC AGOL Layer"))))</f>
        <v/>
      </c>
      <c r="N376" s="6" t="str">
        <f>IF(OR($E376="",$F376=""),"",IF(_xlfn.SINGLE(JobState)="",IF(ROW()=2,HYPERLINK("#JobState","Set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376&amp;"%2C"&amp;$E376&amp;"&amp;marker="&amp;$F376&amp;","&amp;$E376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6" s="6" t="str">
        <f>IF(OR($E376="", $F376=""),"",IF(_xlfn.SINGLE(JobAgolMap)="",HYPERLINK("https://fema.maps.arcgis.com/apps/mapviewer/index.html?find="&amp;$F376&amp;"%2C"&amp;$E376&amp;"&amp;marker="&amp;$F376&amp;","&amp;$E376&amp;",4326&amp;level=16","FEMA AGOL Map Viewer"),HYPERLINK(_xlfn.SINGLE(JobAgolMap)&amp;IF(ISNUMBER(FIND("?",_xlfn.SINGLE(JobAgolMap))),"&amp;","?")&amp;"center="&amp;$F376&amp;","&amp;$E376&amp;"&amp;level=16&amp;marker="&amp;$F376&amp;","&amp;$E376,"Open")))</f>
        <v/>
      </c>
      <c r="Q376" s="4"/>
      <c r="R376" s="4"/>
      <c r="W376" s="6" t="str">
        <f t="shared" si="30"/>
        <v/>
      </c>
      <c r="X376" s="6" t="str">
        <f t="shared" si="31"/>
        <v/>
      </c>
      <c r="Y376" s="6" t="str">
        <f t="shared" si="32"/>
        <v/>
      </c>
      <c r="Z376" s="6" t="str">
        <f t="shared" si="33"/>
        <v/>
      </c>
      <c r="AA376" s="6" t="str">
        <f t="shared" si="34"/>
        <v/>
      </c>
      <c r="AB376" s="6" t="str">
        <f t="shared" si="35"/>
        <v/>
      </c>
      <c r="AC376" s="4"/>
      <c r="AD376" s="4"/>
    </row>
    <row r="377" spans="1:30" x14ac:dyDescent="0.45">
      <c r="A377" s="3"/>
      <c r="B377" s="3"/>
      <c r="C377" s="5" t="str">
        <f>IF($E377="","",COUNT($E$2:$E377))</f>
        <v/>
      </c>
      <c r="D377" s="3"/>
      <c r="E377" s="3"/>
      <c r="F377" s="3"/>
      <c r="G377" s="3"/>
      <c r="H377" s="3"/>
      <c r="I377" s="3"/>
      <c r="J377" s="3"/>
      <c r="K377" s="3"/>
      <c r="L377" s="4"/>
      <c r="M377" s="6" t="str">
        <f>IF(OR($E377="",$F377=""),"",IF(_xlfn.SINGLE(JobState)="",IF(ROW()=2,HYPERLINK("#JobState","Set State →"),""),HYPERLINK(IF(OR(_xlfn.SINGLE(JobState)="MI",_xlfn.SINGLE(JobState)=""),"https://fema.maps.arcgis.com/apps/mapviewer/index.html?webmap=6a1702b9147243d1a5ee62cd614bc681&amp;center="&amp;$F377&amp;","&amp;$E377&amp;"&amp;level=16&amp;marker="&amp;$F377&amp;","&amp;$E377&amp;"",IF(_xlfn.SINGLE(JobState)="IN","https://fema.maps.arcgis.com/apps/mapviewer/index.html?url=https%3A%2F%2Fgis.indot.in.gov%2Fro%2Frest%2Fservices%2FRAH_GIO_Collaboration%2FLRSE_Functional_Class%2FFeatureServer%2F22&amp;find="&amp;$F377&amp;"%2C"&amp;$E377&amp;"&amp;marker="&amp;$F377&amp;","&amp;$E377&amp;",4326&amp;level=16",IF(_xlfn.SINGLE(JobState)="WI","https://fema.maps.arcgis.com/apps/mapviewer/index.html?url=https://services5.arcgis.com/0pgGLzT0Nh7FVjon/arcgis/rest/services/Functional_Class_Local_Non_Prod/FeatureServer/1&amp;find="&amp;$F377&amp;"%2C"&amp;$E377&amp;"&amp;marker="&amp;$F377&amp;","&amp;$E377&amp;",4326&amp;level=16",IF(_xlfn.SINGLE(JobState)="MN","https://fema.maps.arcgis.com/apps/mapviewer/index.html?url=https%3A%2F%2Fdotapp9.dot.state.mn.us%2Fegis12%2Frest%2Fservices%2FBASEMAP%2Fmndot_commonlayers2%2FMapServer%2F11&amp;find="&amp;$F377&amp;"%2C"&amp;$E377&amp;"&amp;marker="&amp;$F377&amp;","&amp;$E377&amp;",4326&amp;level=16",IF(_xlfn.SINGLE(JobState)="IL","https://fema.maps.arcgis.com/apps/mapviewer/index.html?url=https%3A%2F%2Fgis1.dot.illinois.gov%2Farcgis%2Frest%2Fservices%2FAdministrativeData%2FFunctionalClass%2FMapServer%2F0&amp;find="&amp;$F377&amp;"%2C"&amp;$E377&amp;"&amp;marker="&amp;$F377&amp;","&amp;$E377&amp;",4326&amp;level=16",IF(_xlfn.SINGLE(JobState)="OH","https://fema.maps.arcgis.com/apps/mapviewer/index.html?url=https%3A%2F%2Ftims.dot.state.oh.us%2Fags%2Frest%2Fservices%2FRoadway_Information%2FFunctional_Class%2FMapServer%2F0&amp;find="&amp;$F377&amp;"%2C"&amp;$E377&amp;"&amp;marker="&amp;$F377&amp;","&amp;$E377&amp;",4326&amp;level=16","https://fema.maps.arcgis.com/apps/mapviewer/index.html?find="&amp;$F377&amp;"%2C"&amp;$E377&amp;"&amp;marker="&amp;$F377&amp;","&amp;$E377&amp;",4326&amp;level=16")))))),IF(_xlfn.SINGLE(JobState)="WI","Review Local Roads Layer","Review NFC AGOL Layer"))))</f>
        <v/>
      </c>
      <c r="N377" s="6" t="str">
        <f>IF(OR($E377="",$F377=""),"",IF(_xlfn.SINGLE(JobState)="",IF(ROW()=2,HYPERLINK("#JobState","Set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377&amp;"%2C"&amp;$E377&amp;"&amp;marker="&amp;$F377&amp;","&amp;$E377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7" s="6" t="str">
        <f>IF(OR($E377="", $F377=""),"",IF(_xlfn.SINGLE(JobAgolMap)="",HYPERLINK("https://fema.maps.arcgis.com/apps/mapviewer/index.html?find="&amp;$F377&amp;"%2C"&amp;$E377&amp;"&amp;marker="&amp;$F377&amp;","&amp;$E377&amp;",4326&amp;level=16","FEMA AGOL Map Viewer"),HYPERLINK(_xlfn.SINGLE(JobAgolMap)&amp;IF(ISNUMBER(FIND("?",_xlfn.SINGLE(JobAgolMap))),"&amp;","?")&amp;"center="&amp;$F377&amp;","&amp;$E377&amp;"&amp;level=16&amp;marker="&amp;$F377&amp;","&amp;$E377,"Open")))</f>
        <v/>
      </c>
      <c r="Q377" s="4"/>
      <c r="R377" s="4"/>
      <c r="W377" s="6" t="str">
        <f t="shared" si="30"/>
        <v/>
      </c>
      <c r="X377" s="6" t="str">
        <f t="shared" si="31"/>
        <v/>
      </c>
      <c r="Y377" s="6" t="str">
        <f t="shared" si="32"/>
        <v/>
      </c>
      <c r="Z377" s="6" t="str">
        <f t="shared" si="33"/>
        <v/>
      </c>
      <c r="AA377" s="6" t="str">
        <f t="shared" si="34"/>
        <v/>
      </c>
      <c r="AB377" s="6" t="str">
        <f t="shared" si="35"/>
        <v/>
      </c>
      <c r="AC377" s="4"/>
      <c r="AD377" s="4"/>
    </row>
    <row r="378" spans="1:30" x14ac:dyDescent="0.45">
      <c r="A378" s="3"/>
      <c r="B378" s="3"/>
      <c r="C378" s="5" t="str">
        <f>IF($E378="","",COUNT($E$2:$E378))</f>
        <v/>
      </c>
      <c r="D378" s="3"/>
      <c r="E378" s="3"/>
      <c r="F378" s="3"/>
      <c r="G378" s="3"/>
      <c r="H378" s="3"/>
      <c r="I378" s="3"/>
      <c r="J378" s="3"/>
      <c r="K378" s="3"/>
      <c r="L378" s="4"/>
      <c r="M378" s="6" t="str">
        <f>IF(OR($E378="",$F378=""),"",IF(_xlfn.SINGLE(JobState)="",IF(ROW()=2,HYPERLINK("#JobState","Set State →"),""),HYPERLINK(IF(OR(_xlfn.SINGLE(JobState)="MI",_xlfn.SINGLE(JobState)=""),"https://fema.maps.arcgis.com/apps/mapviewer/index.html?webmap=6a1702b9147243d1a5ee62cd614bc681&amp;center="&amp;$F378&amp;","&amp;$E378&amp;"&amp;level=16&amp;marker="&amp;$F378&amp;","&amp;$E378&amp;"",IF(_xlfn.SINGLE(JobState)="IN","https://fema.maps.arcgis.com/apps/mapviewer/index.html?url=https%3A%2F%2Fgis.indot.in.gov%2Fro%2Frest%2Fservices%2FRAH_GIO_Collaboration%2FLRSE_Functional_Class%2FFeatureServer%2F22&amp;find="&amp;$F378&amp;"%2C"&amp;$E378&amp;"&amp;marker="&amp;$F378&amp;","&amp;$E378&amp;",4326&amp;level=16",IF(_xlfn.SINGLE(JobState)="WI","https://fema.maps.arcgis.com/apps/mapviewer/index.html?url=https://services5.arcgis.com/0pgGLzT0Nh7FVjon/arcgis/rest/services/Functional_Class_Local_Non_Prod/FeatureServer/1&amp;find="&amp;$F378&amp;"%2C"&amp;$E378&amp;"&amp;marker="&amp;$F378&amp;","&amp;$E378&amp;",4326&amp;level=16",IF(_xlfn.SINGLE(JobState)="MN","https://fema.maps.arcgis.com/apps/mapviewer/index.html?url=https%3A%2F%2Fdotapp9.dot.state.mn.us%2Fegis12%2Frest%2Fservices%2FBASEMAP%2Fmndot_commonlayers2%2FMapServer%2F11&amp;find="&amp;$F378&amp;"%2C"&amp;$E378&amp;"&amp;marker="&amp;$F378&amp;","&amp;$E378&amp;",4326&amp;level=16",IF(_xlfn.SINGLE(JobState)="IL","https://fema.maps.arcgis.com/apps/mapviewer/index.html?url=https%3A%2F%2Fgis1.dot.illinois.gov%2Farcgis%2Frest%2Fservices%2FAdministrativeData%2FFunctionalClass%2FMapServer%2F0&amp;find="&amp;$F378&amp;"%2C"&amp;$E378&amp;"&amp;marker="&amp;$F378&amp;","&amp;$E378&amp;",4326&amp;level=16",IF(_xlfn.SINGLE(JobState)="OH","https://fema.maps.arcgis.com/apps/mapviewer/index.html?url=https%3A%2F%2Ftims.dot.state.oh.us%2Fags%2Frest%2Fservices%2FRoadway_Information%2FFunctional_Class%2FMapServer%2F0&amp;find="&amp;$F378&amp;"%2C"&amp;$E378&amp;"&amp;marker="&amp;$F378&amp;","&amp;$E378&amp;",4326&amp;level=16","https://fema.maps.arcgis.com/apps/mapviewer/index.html?find="&amp;$F378&amp;"%2C"&amp;$E378&amp;"&amp;marker="&amp;$F378&amp;","&amp;$E378&amp;",4326&amp;level=16")))))),IF(_xlfn.SINGLE(JobState)="WI","Review Local Roads Layer","Review NFC AGOL Layer"))))</f>
        <v/>
      </c>
      <c r="N378" s="6" t="str">
        <f>IF(OR($E378="",$F378=""),"",IF(_xlfn.SINGLE(JobState)="",IF(ROW()=2,HYPERLINK("#JobState","Set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378&amp;"%2C"&amp;$E378&amp;"&amp;marker="&amp;$F378&amp;","&amp;$E378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8" s="6" t="str">
        <f>IF(OR($E378="", $F378=""),"",IF(_xlfn.SINGLE(JobAgolMap)="",HYPERLINK("https://fema.maps.arcgis.com/apps/mapviewer/index.html?find="&amp;$F378&amp;"%2C"&amp;$E378&amp;"&amp;marker="&amp;$F378&amp;","&amp;$E378&amp;",4326&amp;level=16","FEMA AGOL Map Viewer"),HYPERLINK(_xlfn.SINGLE(JobAgolMap)&amp;IF(ISNUMBER(FIND("?",_xlfn.SINGLE(JobAgolMap))),"&amp;","?")&amp;"center="&amp;$F378&amp;","&amp;$E378&amp;"&amp;level=16&amp;marker="&amp;$F378&amp;","&amp;$E378,"Open")))</f>
        <v/>
      </c>
      <c r="Q378" s="4"/>
      <c r="R378" s="4"/>
      <c r="W378" s="6" t="str">
        <f t="shared" si="30"/>
        <v/>
      </c>
      <c r="X378" s="6" t="str">
        <f t="shared" si="31"/>
        <v/>
      </c>
      <c r="Y378" s="6" t="str">
        <f t="shared" si="32"/>
        <v/>
      </c>
      <c r="Z378" s="6" t="str">
        <f t="shared" si="33"/>
        <v/>
      </c>
      <c r="AA378" s="6" t="str">
        <f t="shared" si="34"/>
        <v/>
      </c>
      <c r="AB378" s="6" t="str">
        <f t="shared" si="35"/>
        <v/>
      </c>
      <c r="AC378" s="4"/>
      <c r="AD378" s="4"/>
    </row>
    <row r="379" spans="1:30" x14ac:dyDescent="0.45">
      <c r="A379" s="3"/>
      <c r="B379" s="3"/>
      <c r="C379" s="5" t="str">
        <f>IF($E379="","",COUNT($E$2:$E379))</f>
        <v/>
      </c>
      <c r="D379" s="3"/>
      <c r="E379" s="3"/>
      <c r="F379" s="3"/>
      <c r="G379" s="3"/>
      <c r="H379" s="3"/>
      <c r="I379" s="3"/>
      <c r="J379" s="3"/>
      <c r="K379" s="3"/>
      <c r="L379" s="4"/>
      <c r="M379" s="6" t="str">
        <f>IF(OR($E379="",$F379=""),"",IF(_xlfn.SINGLE(JobState)="",IF(ROW()=2,HYPERLINK("#JobState","Set State →"),""),HYPERLINK(IF(OR(_xlfn.SINGLE(JobState)="MI",_xlfn.SINGLE(JobState)=""),"https://fema.maps.arcgis.com/apps/mapviewer/index.html?webmap=6a1702b9147243d1a5ee62cd614bc681&amp;center="&amp;$F379&amp;","&amp;$E379&amp;"&amp;level=16&amp;marker="&amp;$F379&amp;","&amp;$E379&amp;"",IF(_xlfn.SINGLE(JobState)="IN","https://fema.maps.arcgis.com/apps/mapviewer/index.html?url=https%3A%2F%2Fgis.indot.in.gov%2Fro%2Frest%2Fservices%2FRAH_GIO_Collaboration%2FLRSE_Functional_Class%2FFeatureServer%2F22&amp;find="&amp;$F379&amp;"%2C"&amp;$E379&amp;"&amp;marker="&amp;$F379&amp;","&amp;$E379&amp;",4326&amp;level=16",IF(_xlfn.SINGLE(JobState)="WI","https://fema.maps.arcgis.com/apps/mapviewer/index.html?url=https://services5.arcgis.com/0pgGLzT0Nh7FVjon/arcgis/rest/services/Functional_Class_Local_Non_Prod/FeatureServer/1&amp;find="&amp;$F379&amp;"%2C"&amp;$E379&amp;"&amp;marker="&amp;$F379&amp;","&amp;$E379&amp;",4326&amp;level=16",IF(_xlfn.SINGLE(JobState)="MN","https://fema.maps.arcgis.com/apps/mapviewer/index.html?url=https%3A%2F%2Fdotapp9.dot.state.mn.us%2Fegis12%2Frest%2Fservices%2FBASEMAP%2Fmndot_commonlayers2%2FMapServer%2F11&amp;find="&amp;$F379&amp;"%2C"&amp;$E379&amp;"&amp;marker="&amp;$F379&amp;","&amp;$E379&amp;",4326&amp;level=16",IF(_xlfn.SINGLE(JobState)="IL","https://fema.maps.arcgis.com/apps/mapviewer/index.html?url=https%3A%2F%2Fgis1.dot.illinois.gov%2Farcgis%2Frest%2Fservices%2FAdministrativeData%2FFunctionalClass%2FMapServer%2F0&amp;find="&amp;$F379&amp;"%2C"&amp;$E379&amp;"&amp;marker="&amp;$F379&amp;","&amp;$E379&amp;",4326&amp;level=16",IF(_xlfn.SINGLE(JobState)="OH","https://fema.maps.arcgis.com/apps/mapviewer/index.html?url=https%3A%2F%2Ftims.dot.state.oh.us%2Fags%2Frest%2Fservices%2FRoadway_Information%2FFunctional_Class%2FMapServer%2F0&amp;find="&amp;$F379&amp;"%2C"&amp;$E379&amp;"&amp;marker="&amp;$F379&amp;","&amp;$E379&amp;",4326&amp;level=16","https://fema.maps.arcgis.com/apps/mapviewer/index.html?find="&amp;$F379&amp;"%2C"&amp;$E379&amp;"&amp;marker="&amp;$F379&amp;","&amp;$E379&amp;",4326&amp;level=16")))))),IF(_xlfn.SINGLE(JobState)="WI","Review Local Roads Layer","Review NFC AGOL Layer"))))</f>
        <v/>
      </c>
      <c r="N379" s="6" t="str">
        <f>IF(OR($E379="",$F379=""),"",IF(_xlfn.SINGLE(JobState)="",IF(ROW()=2,HYPERLINK("#JobState","Set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379&amp;"%2C"&amp;$E379&amp;"&amp;marker="&amp;$F379&amp;","&amp;$E379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9" s="6" t="str">
        <f>IF(OR($E379="", $F379=""),"",IF(_xlfn.SINGLE(JobAgolMap)="",HYPERLINK("https://fema.maps.arcgis.com/apps/mapviewer/index.html?find="&amp;$F379&amp;"%2C"&amp;$E379&amp;"&amp;marker="&amp;$F379&amp;","&amp;$E379&amp;",4326&amp;level=16","FEMA AGOL Map Viewer"),HYPERLINK(_xlfn.SINGLE(JobAgolMap)&amp;IF(ISNUMBER(FIND("?",_xlfn.SINGLE(JobAgolMap))),"&amp;","?")&amp;"center="&amp;$F379&amp;","&amp;$E379&amp;"&amp;level=16&amp;marker="&amp;$F379&amp;","&amp;$E379,"Open")))</f>
        <v/>
      </c>
      <c r="Q379" s="4"/>
      <c r="R379" s="4"/>
      <c r="W379" s="6" t="str">
        <f t="shared" si="30"/>
        <v/>
      </c>
      <c r="X379" s="6" t="str">
        <f t="shared" si="31"/>
        <v/>
      </c>
      <c r="Y379" s="6" t="str">
        <f t="shared" si="32"/>
        <v/>
      </c>
      <c r="Z379" s="6" t="str">
        <f t="shared" si="33"/>
        <v/>
      </c>
      <c r="AA379" s="6" t="str">
        <f t="shared" si="34"/>
        <v/>
      </c>
      <c r="AB379" s="6" t="str">
        <f t="shared" si="35"/>
        <v/>
      </c>
      <c r="AC379" s="4"/>
      <c r="AD379" s="4"/>
    </row>
    <row r="380" spans="1:30" x14ac:dyDescent="0.45">
      <c r="A380" s="3"/>
      <c r="B380" s="3"/>
      <c r="C380" s="5" t="str">
        <f>IF($E380="","",COUNT($E$2:$E380))</f>
        <v/>
      </c>
      <c r="D380" s="3"/>
      <c r="E380" s="3"/>
      <c r="F380" s="3"/>
      <c r="G380" s="3"/>
      <c r="H380" s="3"/>
      <c r="I380" s="3"/>
      <c r="J380" s="3"/>
      <c r="K380" s="3"/>
      <c r="L380" s="4"/>
      <c r="M380" s="6" t="str">
        <f>IF(OR($E380="",$F380=""),"",IF(_xlfn.SINGLE(JobState)="",IF(ROW()=2,HYPERLINK("#JobState","Set State →"),""),HYPERLINK(IF(OR(_xlfn.SINGLE(JobState)="MI",_xlfn.SINGLE(JobState)=""),"https://fema.maps.arcgis.com/apps/mapviewer/index.html?webmap=6a1702b9147243d1a5ee62cd614bc681&amp;center="&amp;$F380&amp;","&amp;$E380&amp;"&amp;level=16&amp;marker="&amp;$F380&amp;","&amp;$E380&amp;"",IF(_xlfn.SINGLE(JobState)="IN","https://fema.maps.arcgis.com/apps/mapviewer/index.html?url=https%3A%2F%2Fgis.indot.in.gov%2Fro%2Frest%2Fservices%2FRAH_GIO_Collaboration%2FLRSE_Functional_Class%2FFeatureServer%2F22&amp;find="&amp;$F380&amp;"%2C"&amp;$E380&amp;"&amp;marker="&amp;$F380&amp;","&amp;$E380&amp;",4326&amp;level=16",IF(_xlfn.SINGLE(JobState)="WI","https://fema.maps.arcgis.com/apps/mapviewer/index.html?url=https://services5.arcgis.com/0pgGLzT0Nh7FVjon/arcgis/rest/services/Functional_Class_Local_Non_Prod/FeatureServer/1&amp;find="&amp;$F380&amp;"%2C"&amp;$E380&amp;"&amp;marker="&amp;$F380&amp;","&amp;$E380&amp;",4326&amp;level=16",IF(_xlfn.SINGLE(JobState)="MN","https://fema.maps.arcgis.com/apps/mapviewer/index.html?url=https%3A%2F%2Fdotapp9.dot.state.mn.us%2Fegis12%2Frest%2Fservices%2FBASEMAP%2Fmndot_commonlayers2%2FMapServer%2F11&amp;find="&amp;$F380&amp;"%2C"&amp;$E380&amp;"&amp;marker="&amp;$F380&amp;","&amp;$E380&amp;",4326&amp;level=16",IF(_xlfn.SINGLE(JobState)="IL","https://fema.maps.arcgis.com/apps/mapviewer/index.html?url=https%3A%2F%2Fgis1.dot.illinois.gov%2Farcgis%2Frest%2Fservices%2FAdministrativeData%2FFunctionalClass%2FMapServer%2F0&amp;find="&amp;$F380&amp;"%2C"&amp;$E380&amp;"&amp;marker="&amp;$F380&amp;","&amp;$E380&amp;",4326&amp;level=16",IF(_xlfn.SINGLE(JobState)="OH","https://fema.maps.arcgis.com/apps/mapviewer/index.html?url=https%3A%2F%2Ftims.dot.state.oh.us%2Fags%2Frest%2Fservices%2FRoadway_Information%2FFunctional_Class%2FMapServer%2F0&amp;find="&amp;$F380&amp;"%2C"&amp;$E380&amp;"&amp;marker="&amp;$F380&amp;","&amp;$E380&amp;",4326&amp;level=16","https://fema.maps.arcgis.com/apps/mapviewer/index.html?find="&amp;$F380&amp;"%2C"&amp;$E380&amp;"&amp;marker="&amp;$F380&amp;","&amp;$E380&amp;",4326&amp;level=16")))))),IF(_xlfn.SINGLE(JobState)="WI","Review Local Roads Layer","Review NFC AGOL Layer"))))</f>
        <v/>
      </c>
      <c r="N380" s="6" t="str">
        <f>IF(OR($E380="",$F380=""),"",IF(_xlfn.SINGLE(JobState)="",IF(ROW()=2,HYPERLINK("#JobState","Set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380&amp;"%2C"&amp;$E380&amp;"&amp;marker="&amp;$F380&amp;","&amp;$E380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0" s="6" t="str">
        <f>IF(OR($E380="", $F380=""),"",IF(_xlfn.SINGLE(JobAgolMap)="",HYPERLINK("https://fema.maps.arcgis.com/apps/mapviewer/index.html?find="&amp;$F380&amp;"%2C"&amp;$E380&amp;"&amp;marker="&amp;$F380&amp;","&amp;$E380&amp;",4326&amp;level=16","FEMA AGOL Map Viewer"),HYPERLINK(_xlfn.SINGLE(JobAgolMap)&amp;IF(ISNUMBER(FIND("?",_xlfn.SINGLE(JobAgolMap))),"&amp;","?")&amp;"center="&amp;$F380&amp;","&amp;$E380&amp;"&amp;level=16&amp;marker="&amp;$F380&amp;","&amp;$E380,"Open")))</f>
        <v/>
      </c>
      <c r="Q380" s="4"/>
      <c r="R380" s="4"/>
      <c r="W380" s="6" t="str">
        <f t="shared" si="30"/>
        <v/>
      </c>
      <c r="X380" s="6" t="str">
        <f t="shared" si="31"/>
        <v/>
      </c>
      <c r="Y380" s="6" t="str">
        <f t="shared" si="32"/>
        <v/>
      </c>
      <c r="Z380" s="6" t="str">
        <f t="shared" si="33"/>
        <v/>
      </c>
      <c r="AA380" s="6" t="str">
        <f t="shared" si="34"/>
        <v/>
      </c>
      <c r="AB380" s="6" t="str">
        <f t="shared" si="35"/>
        <v/>
      </c>
      <c r="AC380" s="4"/>
      <c r="AD380" s="4"/>
    </row>
    <row r="381" spans="1:30" x14ac:dyDescent="0.45">
      <c r="A381" s="3"/>
      <c r="B381" s="3"/>
      <c r="C381" s="5" t="str">
        <f>IF($E381="","",COUNT($E$2:$E381))</f>
        <v/>
      </c>
      <c r="D381" s="3"/>
      <c r="E381" s="3"/>
      <c r="F381" s="3"/>
      <c r="G381" s="3"/>
      <c r="H381" s="3"/>
      <c r="I381" s="3"/>
      <c r="J381" s="3"/>
      <c r="K381" s="3"/>
      <c r="L381" s="4"/>
      <c r="M381" s="6" t="str">
        <f>IF(OR($E381="",$F381=""),"",IF(_xlfn.SINGLE(JobState)="",IF(ROW()=2,HYPERLINK("#JobState","Set State →"),""),HYPERLINK(IF(OR(_xlfn.SINGLE(JobState)="MI",_xlfn.SINGLE(JobState)=""),"https://fema.maps.arcgis.com/apps/mapviewer/index.html?webmap=6a1702b9147243d1a5ee62cd614bc681&amp;center="&amp;$F381&amp;","&amp;$E381&amp;"&amp;level=16&amp;marker="&amp;$F381&amp;","&amp;$E381&amp;"",IF(_xlfn.SINGLE(JobState)="IN","https://fema.maps.arcgis.com/apps/mapviewer/index.html?url=https%3A%2F%2Fgis.indot.in.gov%2Fro%2Frest%2Fservices%2FRAH_GIO_Collaboration%2FLRSE_Functional_Class%2FFeatureServer%2F22&amp;find="&amp;$F381&amp;"%2C"&amp;$E381&amp;"&amp;marker="&amp;$F381&amp;","&amp;$E381&amp;",4326&amp;level=16",IF(_xlfn.SINGLE(JobState)="WI","https://fema.maps.arcgis.com/apps/mapviewer/index.html?url=https://services5.arcgis.com/0pgGLzT0Nh7FVjon/arcgis/rest/services/Functional_Class_Local_Non_Prod/FeatureServer/1&amp;find="&amp;$F381&amp;"%2C"&amp;$E381&amp;"&amp;marker="&amp;$F381&amp;","&amp;$E381&amp;",4326&amp;level=16",IF(_xlfn.SINGLE(JobState)="MN","https://fema.maps.arcgis.com/apps/mapviewer/index.html?url=https%3A%2F%2Fdotapp9.dot.state.mn.us%2Fegis12%2Frest%2Fservices%2FBASEMAP%2Fmndot_commonlayers2%2FMapServer%2F11&amp;find="&amp;$F381&amp;"%2C"&amp;$E381&amp;"&amp;marker="&amp;$F381&amp;","&amp;$E381&amp;",4326&amp;level=16",IF(_xlfn.SINGLE(JobState)="IL","https://fema.maps.arcgis.com/apps/mapviewer/index.html?url=https%3A%2F%2Fgis1.dot.illinois.gov%2Farcgis%2Frest%2Fservices%2FAdministrativeData%2FFunctionalClass%2FMapServer%2F0&amp;find="&amp;$F381&amp;"%2C"&amp;$E381&amp;"&amp;marker="&amp;$F381&amp;","&amp;$E381&amp;",4326&amp;level=16",IF(_xlfn.SINGLE(JobState)="OH","https://fema.maps.arcgis.com/apps/mapviewer/index.html?url=https%3A%2F%2Ftims.dot.state.oh.us%2Fags%2Frest%2Fservices%2FRoadway_Information%2FFunctional_Class%2FMapServer%2F0&amp;find="&amp;$F381&amp;"%2C"&amp;$E381&amp;"&amp;marker="&amp;$F381&amp;","&amp;$E381&amp;",4326&amp;level=16","https://fema.maps.arcgis.com/apps/mapviewer/index.html?find="&amp;$F381&amp;"%2C"&amp;$E381&amp;"&amp;marker="&amp;$F381&amp;","&amp;$E381&amp;",4326&amp;level=16")))))),IF(_xlfn.SINGLE(JobState)="WI","Review Local Roads Layer","Review NFC AGOL Layer"))))</f>
        <v/>
      </c>
      <c r="N381" s="6" t="str">
        <f>IF(OR($E381="",$F381=""),"",IF(_xlfn.SINGLE(JobState)="",IF(ROW()=2,HYPERLINK("#JobState","Set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381&amp;"%2C"&amp;$E381&amp;"&amp;marker="&amp;$F381&amp;","&amp;$E381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1" s="6" t="str">
        <f>IF(OR($E381="", $F381=""),"",IF(_xlfn.SINGLE(JobAgolMap)="",HYPERLINK("https://fema.maps.arcgis.com/apps/mapviewer/index.html?find="&amp;$F381&amp;"%2C"&amp;$E381&amp;"&amp;marker="&amp;$F381&amp;","&amp;$E381&amp;",4326&amp;level=16","FEMA AGOL Map Viewer"),HYPERLINK(_xlfn.SINGLE(JobAgolMap)&amp;IF(ISNUMBER(FIND("?",_xlfn.SINGLE(JobAgolMap))),"&amp;","?")&amp;"center="&amp;$F381&amp;","&amp;$E381&amp;"&amp;level=16&amp;marker="&amp;$F381&amp;","&amp;$E381,"Open")))</f>
        <v/>
      </c>
      <c r="Q381" s="4"/>
      <c r="R381" s="4"/>
      <c r="W381" s="6" t="str">
        <f t="shared" si="30"/>
        <v/>
      </c>
      <c r="X381" s="6" t="str">
        <f t="shared" si="31"/>
        <v/>
      </c>
      <c r="Y381" s="6" t="str">
        <f t="shared" si="32"/>
        <v/>
      </c>
      <c r="Z381" s="6" t="str">
        <f t="shared" si="33"/>
        <v/>
      </c>
      <c r="AA381" s="6" t="str">
        <f t="shared" si="34"/>
        <v/>
      </c>
      <c r="AB381" s="6" t="str">
        <f t="shared" si="35"/>
        <v/>
      </c>
      <c r="AC381" s="4"/>
      <c r="AD381" s="4"/>
    </row>
    <row r="382" spans="1:30" x14ac:dyDescent="0.45">
      <c r="A382" s="3"/>
      <c r="B382" s="3"/>
      <c r="C382" s="5" t="str">
        <f>IF($E382="","",COUNT($E$2:$E382))</f>
        <v/>
      </c>
      <c r="D382" s="3"/>
      <c r="E382" s="3"/>
      <c r="F382" s="3"/>
      <c r="G382" s="3"/>
      <c r="H382" s="3"/>
      <c r="I382" s="3"/>
      <c r="J382" s="3"/>
      <c r="K382" s="3"/>
      <c r="L382" s="4"/>
      <c r="M382" s="6" t="str">
        <f>IF(OR($E382="",$F382=""),"",IF(_xlfn.SINGLE(JobState)="",IF(ROW()=2,HYPERLINK("#JobState","Set State →"),""),HYPERLINK(IF(OR(_xlfn.SINGLE(JobState)="MI",_xlfn.SINGLE(JobState)=""),"https://fema.maps.arcgis.com/apps/mapviewer/index.html?webmap=6a1702b9147243d1a5ee62cd614bc681&amp;center="&amp;$F382&amp;","&amp;$E382&amp;"&amp;level=16&amp;marker="&amp;$F382&amp;","&amp;$E382&amp;"",IF(_xlfn.SINGLE(JobState)="IN","https://fema.maps.arcgis.com/apps/mapviewer/index.html?url=https%3A%2F%2Fgis.indot.in.gov%2Fro%2Frest%2Fservices%2FRAH_GIO_Collaboration%2FLRSE_Functional_Class%2FFeatureServer%2F22&amp;find="&amp;$F382&amp;"%2C"&amp;$E382&amp;"&amp;marker="&amp;$F382&amp;","&amp;$E382&amp;",4326&amp;level=16",IF(_xlfn.SINGLE(JobState)="WI","https://fema.maps.arcgis.com/apps/mapviewer/index.html?url=https://services5.arcgis.com/0pgGLzT0Nh7FVjon/arcgis/rest/services/Functional_Class_Local_Non_Prod/FeatureServer/1&amp;find="&amp;$F382&amp;"%2C"&amp;$E382&amp;"&amp;marker="&amp;$F382&amp;","&amp;$E382&amp;",4326&amp;level=16",IF(_xlfn.SINGLE(JobState)="MN","https://fema.maps.arcgis.com/apps/mapviewer/index.html?url=https%3A%2F%2Fdotapp9.dot.state.mn.us%2Fegis12%2Frest%2Fservices%2FBASEMAP%2Fmndot_commonlayers2%2FMapServer%2F11&amp;find="&amp;$F382&amp;"%2C"&amp;$E382&amp;"&amp;marker="&amp;$F382&amp;","&amp;$E382&amp;",4326&amp;level=16",IF(_xlfn.SINGLE(JobState)="IL","https://fema.maps.arcgis.com/apps/mapviewer/index.html?url=https%3A%2F%2Fgis1.dot.illinois.gov%2Farcgis%2Frest%2Fservices%2FAdministrativeData%2FFunctionalClass%2FMapServer%2F0&amp;find="&amp;$F382&amp;"%2C"&amp;$E382&amp;"&amp;marker="&amp;$F382&amp;","&amp;$E382&amp;",4326&amp;level=16",IF(_xlfn.SINGLE(JobState)="OH","https://fema.maps.arcgis.com/apps/mapviewer/index.html?url=https%3A%2F%2Ftims.dot.state.oh.us%2Fags%2Frest%2Fservices%2FRoadway_Information%2FFunctional_Class%2FMapServer%2F0&amp;find="&amp;$F382&amp;"%2C"&amp;$E382&amp;"&amp;marker="&amp;$F382&amp;","&amp;$E382&amp;",4326&amp;level=16","https://fema.maps.arcgis.com/apps/mapviewer/index.html?find="&amp;$F382&amp;"%2C"&amp;$E382&amp;"&amp;marker="&amp;$F382&amp;","&amp;$E382&amp;",4326&amp;level=16")))))),IF(_xlfn.SINGLE(JobState)="WI","Review Local Roads Layer","Review NFC AGOL Layer"))))</f>
        <v/>
      </c>
      <c r="N382" s="6" t="str">
        <f>IF(OR($E382="",$F382=""),"",IF(_xlfn.SINGLE(JobState)="",IF(ROW()=2,HYPERLINK("#JobState","Set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382&amp;"%2C"&amp;$E382&amp;"&amp;marker="&amp;$F382&amp;","&amp;$E382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2" s="6" t="str">
        <f>IF(OR($E382="", $F382=""),"",IF(_xlfn.SINGLE(JobAgolMap)="",HYPERLINK("https://fema.maps.arcgis.com/apps/mapviewer/index.html?find="&amp;$F382&amp;"%2C"&amp;$E382&amp;"&amp;marker="&amp;$F382&amp;","&amp;$E382&amp;",4326&amp;level=16","FEMA AGOL Map Viewer"),HYPERLINK(_xlfn.SINGLE(JobAgolMap)&amp;IF(ISNUMBER(FIND("?",_xlfn.SINGLE(JobAgolMap))),"&amp;","?")&amp;"center="&amp;$F382&amp;","&amp;$E382&amp;"&amp;level=16&amp;marker="&amp;$F382&amp;","&amp;$E382,"Open")))</f>
        <v/>
      </c>
      <c r="Q382" s="4"/>
      <c r="R382" s="4"/>
      <c r="W382" s="6" t="str">
        <f t="shared" si="30"/>
        <v/>
      </c>
      <c r="X382" s="6" t="str">
        <f t="shared" si="31"/>
        <v/>
      </c>
      <c r="Y382" s="6" t="str">
        <f t="shared" si="32"/>
        <v/>
      </c>
      <c r="Z382" s="6" t="str">
        <f t="shared" si="33"/>
        <v/>
      </c>
      <c r="AA382" s="6" t="str">
        <f t="shared" si="34"/>
        <v/>
      </c>
      <c r="AB382" s="6" t="str">
        <f t="shared" si="35"/>
        <v/>
      </c>
      <c r="AC382" s="4"/>
      <c r="AD382" s="4"/>
    </row>
    <row r="383" spans="1:30" x14ac:dyDescent="0.45">
      <c r="A383" s="3"/>
      <c r="B383" s="3"/>
      <c r="C383" s="5" t="str">
        <f>IF($E383="","",COUNT($E$2:$E383))</f>
        <v/>
      </c>
      <c r="D383" s="3"/>
      <c r="E383" s="3"/>
      <c r="F383" s="3"/>
      <c r="G383" s="3"/>
      <c r="H383" s="3"/>
      <c r="I383" s="3"/>
      <c r="J383" s="3"/>
      <c r="K383" s="3"/>
      <c r="L383" s="4"/>
      <c r="M383" s="6" t="str">
        <f>IF(OR($E383="",$F383=""),"",IF(_xlfn.SINGLE(JobState)="",IF(ROW()=2,HYPERLINK("#JobState","Set State →"),""),HYPERLINK(IF(OR(_xlfn.SINGLE(JobState)="MI",_xlfn.SINGLE(JobState)=""),"https://fema.maps.arcgis.com/apps/mapviewer/index.html?webmap=6a1702b9147243d1a5ee62cd614bc681&amp;center="&amp;$F383&amp;","&amp;$E383&amp;"&amp;level=16&amp;marker="&amp;$F383&amp;","&amp;$E383&amp;"",IF(_xlfn.SINGLE(JobState)="IN","https://fema.maps.arcgis.com/apps/mapviewer/index.html?url=https%3A%2F%2Fgis.indot.in.gov%2Fro%2Frest%2Fservices%2FRAH_GIO_Collaboration%2FLRSE_Functional_Class%2FFeatureServer%2F22&amp;find="&amp;$F383&amp;"%2C"&amp;$E383&amp;"&amp;marker="&amp;$F383&amp;","&amp;$E383&amp;",4326&amp;level=16",IF(_xlfn.SINGLE(JobState)="WI","https://fema.maps.arcgis.com/apps/mapviewer/index.html?url=https://services5.arcgis.com/0pgGLzT0Nh7FVjon/arcgis/rest/services/Functional_Class_Local_Non_Prod/FeatureServer/1&amp;find="&amp;$F383&amp;"%2C"&amp;$E383&amp;"&amp;marker="&amp;$F383&amp;","&amp;$E383&amp;",4326&amp;level=16",IF(_xlfn.SINGLE(JobState)="MN","https://fema.maps.arcgis.com/apps/mapviewer/index.html?url=https%3A%2F%2Fdotapp9.dot.state.mn.us%2Fegis12%2Frest%2Fservices%2FBASEMAP%2Fmndot_commonlayers2%2FMapServer%2F11&amp;find="&amp;$F383&amp;"%2C"&amp;$E383&amp;"&amp;marker="&amp;$F383&amp;","&amp;$E383&amp;",4326&amp;level=16",IF(_xlfn.SINGLE(JobState)="IL","https://fema.maps.arcgis.com/apps/mapviewer/index.html?url=https%3A%2F%2Fgis1.dot.illinois.gov%2Farcgis%2Frest%2Fservices%2FAdministrativeData%2FFunctionalClass%2FMapServer%2F0&amp;find="&amp;$F383&amp;"%2C"&amp;$E383&amp;"&amp;marker="&amp;$F383&amp;","&amp;$E383&amp;",4326&amp;level=16",IF(_xlfn.SINGLE(JobState)="OH","https://fema.maps.arcgis.com/apps/mapviewer/index.html?url=https%3A%2F%2Ftims.dot.state.oh.us%2Fags%2Frest%2Fservices%2FRoadway_Information%2FFunctional_Class%2FMapServer%2F0&amp;find="&amp;$F383&amp;"%2C"&amp;$E383&amp;"&amp;marker="&amp;$F383&amp;","&amp;$E383&amp;",4326&amp;level=16","https://fema.maps.arcgis.com/apps/mapviewer/index.html?find="&amp;$F383&amp;"%2C"&amp;$E383&amp;"&amp;marker="&amp;$F383&amp;","&amp;$E383&amp;",4326&amp;level=16")))))),IF(_xlfn.SINGLE(JobState)="WI","Review Local Roads Layer","Review NFC AGOL Layer"))))</f>
        <v/>
      </c>
      <c r="N383" s="6" t="str">
        <f>IF(OR($E383="",$F383=""),"",IF(_xlfn.SINGLE(JobState)="",IF(ROW()=2,HYPERLINK("#JobState","Set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383&amp;"%2C"&amp;$E383&amp;"&amp;marker="&amp;$F383&amp;","&amp;$E383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3" s="6" t="str">
        <f>IF(OR($E383="", $F383=""),"",IF(_xlfn.SINGLE(JobAgolMap)="",HYPERLINK("https://fema.maps.arcgis.com/apps/mapviewer/index.html?find="&amp;$F383&amp;"%2C"&amp;$E383&amp;"&amp;marker="&amp;$F383&amp;","&amp;$E383&amp;",4326&amp;level=16","FEMA AGOL Map Viewer"),HYPERLINK(_xlfn.SINGLE(JobAgolMap)&amp;IF(ISNUMBER(FIND("?",_xlfn.SINGLE(JobAgolMap))),"&amp;","?")&amp;"center="&amp;$F383&amp;","&amp;$E383&amp;"&amp;level=16&amp;marker="&amp;$F383&amp;","&amp;$E383,"Open")))</f>
        <v/>
      </c>
      <c r="Q383" s="4"/>
      <c r="R383" s="4"/>
      <c r="W383" s="6" t="str">
        <f t="shared" si="30"/>
        <v/>
      </c>
      <c r="X383" s="6" t="str">
        <f t="shared" si="31"/>
        <v/>
      </c>
      <c r="Y383" s="6" t="str">
        <f t="shared" si="32"/>
        <v/>
      </c>
      <c r="Z383" s="6" t="str">
        <f t="shared" si="33"/>
        <v/>
      </c>
      <c r="AA383" s="6" t="str">
        <f t="shared" si="34"/>
        <v/>
      </c>
      <c r="AB383" s="6" t="str">
        <f t="shared" si="35"/>
        <v/>
      </c>
      <c r="AC383" s="4"/>
      <c r="AD383" s="4"/>
    </row>
    <row r="384" spans="1:30" x14ac:dyDescent="0.45">
      <c r="A384" s="3"/>
      <c r="B384" s="3"/>
      <c r="C384" s="5" t="str">
        <f>IF($E384="","",COUNT($E$2:$E384))</f>
        <v/>
      </c>
      <c r="D384" s="3"/>
      <c r="E384" s="3"/>
      <c r="F384" s="3"/>
      <c r="G384" s="3"/>
      <c r="H384" s="3"/>
      <c r="I384" s="3"/>
      <c r="J384" s="3"/>
      <c r="K384" s="3"/>
      <c r="L384" s="4"/>
      <c r="M384" s="6" t="str">
        <f>IF(OR($E384="",$F384=""),"",IF(_xlfn.SINGLE(JobState)="",IF(ROW()=2,HYPERLINK("#JobState","Set State →"),""),HYPERLINK(IF(OR(_xlfn.SINGLE(JobState)="MI",_xlfn.SINGLE(JobState)=""),"https://fema.maps.arcgis.com/apps/mapviewer/index.html?webmap=6a1702b9147243d1a5ee62cd614bc681&amp;center="&amp;$F384&amp;","&amp;$E384&amp;"&amp;level=16&amp;marker="&amp;$F384&amp;","&amp;$E384&amp;"",IF(_xlfn.SINGLE(JobState)="IN","https://fema.maps.arcgis.com/apps/mapviewer/index.html?url=https%3A%2F%2Fgis.indot.in.gov%2Fro%2Frest%2Fservices%2FRAH_GIO_Collaboration%2FLRSE_Functional_Class%2FFeatureServer%2F22&amp;find="&amp;$F384&amp;"%2C"&amp;$E384&amp;"&amp;marker="&amp;$F384&amp;","&amp;$E384&amp;",4326&amp;level=16",IF(_xlfn.SINGLE(JobState)="WI","https://fema.maps.arcgis.com/apps/mapviewer/index.html?url=https://services5.arcgis.com/0pgGLzT0Nh7FVjon/arcgis/rest/services/Functional_Class_Local_Non_Prod/FeatureServer/1&amp;find="&amp;$F384&amp;"%2C"&amp;$E384&amp;"&amp;marker="&amp;$F384&amp;","&amp;$E384&amp;",4326&amp;level=16",IF(_xlfn.SINGLE(JobState)="MN","https://fema.maps.arcgis.com/apps/mapviewer/index.html?url=https%3A%2F%2Fdotapp9.dot.state.mn.us%2Fegis12%2Frest%2Fservices%2FBASEMAP%2Fmndot_commonlayers2%2FMapServer%2F11&amp;find="&amp;$F384&amp;"%2C"&amp;$E384&amp;"&amp;marker="&amp;$F384&amp;","&amp;$E384&amp;",4326&amp;level=16",IF(_xlfn.SINGLE(JobState)="IL","https://fema.maps.arcgis.com/apps/mapviewer/index.html?url=https%3A%2F%2Fgis1.dot.illinois.gov%2Farcgis%2Frest%2Fservices%2FAdministrativeData%2FFunctionalClass%2FMapServer%2F0&amp;find="&amp;$F384&amp;"%2C"&amp;$E384&amp;"&amp;marker="&amp;$F384&amp;","&amp;$E384&amp;",4326&amp;level=16",IF(_xlfn.SINGLE(JobState)="OH","https://fema.maps.arcgis.com/apps/mapviewer/index.html?url=https%3A%2F%2Ftims.dot.state.oh.us%2Fags%2Frest%2Fservices%2FRoadway_Information%2FFunctional_Class%2FMapServer%2F0&amp;find="&amp;$F384&amp;"%2C"&amp;$E384&amp;"&amp;marker="&amp;$F384&amp;","&amp;$E384&amp;",4326&amp;level=16","https://fema.maps.arcgis.com/apps/mapviewer/index.html?find="&amp;$F384&amp;"%2C"&amp;$E384&amp;"&amp;marker="&amp;$F384&amp;","&amp;$E384&amp;",4326&amp;level=16")))))),IF(_xlfn.SINGLE(JobState)="WI","Review Local Roads Layer","Review NFC AGOL Layer"))))</f>
        <v/>
      </c>
      <c r="N384" s="6" t="str">
        <f>IF(OR($E384="",$F384=""),"",IF(_xlfn.SINGLE(JobState)="",IF(ROW()=2,HYPERLINK("#JobState","Set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384&amp;"%2C"&amp;$E384&amp;"&amp;marker="&amp;$F384&amp;","&amp;$E384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4" s="6" t="str">
        <f>IF(OR($E384="", $F384=""),"",IF(_xlfn.SINGLE(JobAgolMap)="",HYPERLINK("https://fema.maps.arcgis.com/apps/mapviewer/index.html?find="&amp;$F384&amp;"%2C"&amp;$E384&amp;"&amp;marker="&amp;$F384&amp;","&amp;$E384&amp;",4326&amp;level=16","FEMA AGOL Map Viewer"),HYPERLINK(_xlfn.SINGLE(JobAgolMap)&amp;IF(ISNUMBER(FIND("?",_xlfn.SINGLE(JobAgolMap))),"&amp;","?")&amp;"center="&amp;$F384&amp;","&amp;$E384&amp;"&amp;level=16&amp;marker="&amp;$F384&amp;","&amp;$E384,"Open")))</f>
        <v/>
      </c>
      <c r="Q384" s="4"/>
      <c r="R384" s="4"/>
      <c r="W384" s="6" t="str">
        <f t="shared" si="30"/>
        <v/>
      </c>
      <c r="X384" s="6" t="str">
        <f t="shared" si="31"/>
        <v/>
      </c>
      <c r="Y384" s="6" t="str">
        <f t="shared" si="32"/>
        <v/>
      </c>
      <c r="Z384" s="6" t="str">
        <f t="shared" si="33"/>
        <v/>
      </c>
      <c r="AA384" s="6" t="str">
        <f t="shared" si="34"/>
        <v/>
      </c>
      <c r="AB384" s="6" t="str">
        <f t="shared" si="35"/>
        <v/>
      </c>
      <c r="AC384" s="4"/>
      <c r="AD384" s="4"/>
    </row>
    <row r="385" spans="1:30" x14ac:dyDescent="0.45">
      <c r="A385" s="3"/>
      <c r="B385" s="3"/>
      <c r="C385" s="5" t="str">
        <f>IF($E385="","",COUNT($E$2:$E385))</f>
        <v/>
      </c>
      <c r="D385" s="3"/>
      <c r="E385" s="3"/>
      <c r="F385" s="3"/>
      <c r="G385" s="3"/>
      <c r="H385" s="3"/>
      <c r="I385" s="3"/>
      <c r="J385" s="3"/>
      <c r="K385" s="3"/>
      <c r="L385" s="4"/>
      <c r="M385" s="6" t="str">
        <f>IF(OR($E385="",$F385=""),"",IF(_xlfn.SINGLE(JobState)="",IF(ROW()=2,HYPERLINK("#JobState","Set State →"),""),HYPERLINK(IF(OR(_xlfn.SINGLE(JobState)="MI",_xlfn.SINGLE(JobState)=""),"https://fema.maps.arcgis.com/apps/mapviewer/index.html?webmap=6a1702b9147243d1a5ee62cd614bc681&amp;center="&amp;$F385&amp;","&amp;$E385&amp;"&amp;level=16&amp;marker="&amp;$F385&amp;","&amp;$E385&amp;"",IF(_xlfn.SINGLE(JobState)="IN","https://fema.maps.arcgis.com/apps/mapviewer/index.html?url=https%3A%2F%2Fgis.indot.in.gov%2Fro%2Frest%2Fservices%2FRAH_GIO_Collaboration%2FLRSE_Functional_Class%2FFeatureServer%2F22&amp;find="&amp;$F385&amp;"%2C"&amp;$E385&amp;"&amp;marker="&amp;$F385&amp;","&amp;$E385&amp;",4326&amp;level=16",IF(_xlfn.SINGLE(JobState)="WI","https://fema.maps.arcgis.com/apps/mapviewer/index.html?url=https://services5.arcgis.com/0pgGLzT0Nh7FVjon/arcgis/rest/services/Functional_Class_Local_Non_Prod/FeatureServer/1&amp;find="&amp;$F385&amp;"%2C"&amp;$E385&amp;"&amp;marker="&amp;$F385&amp;","&amp;$E385&amp;",4326&amp;level=16",IF(_xlfn.SINGLE(JobState)="MN","https://fema.maps.arcgis.com/apps/mapviewer/index.html?url=https%3A%2F%2Fdotapp9.dot.state.mn.us%2Fegis12%2Frest%2Fservices%2FBASEMAP%2Fmndot_commonlayers2%2FMapServer%2F11&amp;find="&amp;$F385&amp;"%2C"&amp;$E385&amp;"&amp;marker="&amp;$F385&amp;","&amp;$E385&amp;",4326&amp;level=16",IF(_xlfn.SINGLE(JobState)="IL","https://fema.maps.arcgis.com/apps/mapviewer/index.html?url=https%3A%2F%2Fgis1.dot.illinois.gov%2Farcgis%2Frest%2Fservices%2FAdministrativeData%2FFunctionalClass%2FMapServer%2F0&amp;find="&amp;$F385&amp;"%2C"&amp;$E385&amp;"&amp;marker="&amp;$F385&amp;","&amp;$E385&amp;",4326&amp;level=16",IF(_xlfn.SINGLE(JobState)="OH","https://fema.maps.arcgis.com/apps/mapviewer/index.html?url=https%3A%2F%2Ftims.dot.state.oh.us%2Fags%2Frest%2Fservices%2FRoadway_Information%2FFunctional_Class%2FMapServer%2F0&amp;find="&amp;$F385&amp;"%2C"&amp;$E385&amp;"&amp;marker="&amp;$F385&amp;","&amp;$E385&amp;",4326&amp;level=16","https://fema.maps.arcgis.com/apps/mapviewer/index.html?find="&amp;$F385&amp;"%2C"&amp;$E385&amp;"&amp;marker="&amp;$F385&amp;","&amp;$E385&amp;",4326&amp;level=16")))))),IF(_xlfn.SINGLE(JobState)="WI","Review Local Roads Layer","Review NFC AGOL Layer"))))</f>
        <v/>
      </c>
      <c r="N385" s="6" t="str">
        <f>IF(OR($E385="",$F385=""),"",IF(_xlfn.SINGLE(JobState)="",IF(ROW()=2,HYPERLINK("#JobState","Set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385&amp;"%2C"&amp;$E385&amp;"&amp;marker="&amp;$F385&amp;","&amp;$E385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5" s="6" t="str">
        <f>IF(OR($E385="", $F385=""),"",IF(_xlfn.SINGLE(JobAgolMap)="",HYPERLINK("https://fema.maps.arcgis.com/apps/mapviewer/index.html?find="&amp;$F385&amp;"%2C"&amp;$E385&amp;"&amp;marker="&amp;$F385&amp;","&amp;$E385&amp;",4326&amp;level=16","FEMA AGOL Map Viewer"),HYPERLINK(_xlfn.SINGLE(JobAgolMap)&amp;IF(ISNUMBER(FIND("?",_xlfn.SINGLE(JobAgolMap))),"&amp;","?")&amp;"center="&amp;$F385&amp;","&amp;$E385&amp;"&amp;level=16&amp;marker="&amp;$F385&amp;","&amp;$E385,"Open")))</f>
        <v/>
      </c>
      <c r="Q385" s="4"/>
      <c r="R385" s="4"/>
      <c r="W385" s="6" t="str">
        <f t="shared" si="30"/>
        <v/>
      </c>
      <c r="X385" s="6" t="str">
        <f t="shared" si="31"/>
        <v/>
      </c>
      <c r="Y385" s="6" t="str">
        <f t="shared" si="32"/>
        <v/>
      </c>
      <c r="Z385" s="6" t="str">
        <f t="shared" si="33"/>
        <v/>
      </c>
      <c r="AA385" s="6" t="str">
        <f t="shared" si="34"/>
        <v/>
      </c>
      <c r="AB385" s="6" t="str">
        <f t="shared" si="35"/>
        <v/>
      </c>
      <c r="AC385" s="4"/>
      <c r="AD385" s="4"/>
    </row>
    <row r="386" spans="1:30" x14ac:dyDescent="0.45">
      <c r="A386" s="3"/>
      <c r="B386" s="3"/>
      <c r="C386" s="5" t="str">
        <f>IF($E386="","",COUNT($E$2:$E386))</f>
        <v/>
      </c>
      <c r="D386" s="3"/>
      <c r="E386" s="3"/>
      <c r="F386" s="3"/>
      <c r="G386" s="3"/>
      <c r="H386" s="3"/>
      <c r="I386" s="3"/>
      <c r="J386" s="3"/>
      <c r="K386" s="3"/>
      <c r="L386" s="4"/>
      <c r="M386" s="6" t="str">
        <f>IF(OR($E386="",$F386=""),"",IF(_xlfn.SINGLE(JobState)="",IF(ROW()=2,HYPERLINK("#JobState","Set State →"),""),HYPERLINK(IF(OR(_xlfn.SINGLE(JobState)="MI",_xlfn.SINGLE(JobState)=""),"https://fema.maps.arcgis.com/apps/mapviewer/index.html?webmap=6a1702b9147243d1a5ee62cd614bc681&amp;center="&amp;$F386&amp;","&amp;$E386&amp;"&amp;level=16&amp;marker="&amp;$F386&amp;","&amp;$E386&amp;"",IF(_xlfn.SINGLE(JobState)="IN","https://fema.maps.arcgis.com/apps/mapviewer/index.html?url=https%3A%2F%2Fgis.indot.in.gov%2Fro%2Frest%2Fservices%2FRAH_GIO_Collaboration%2FLRSE_Functional_Class%2FFeatureServer%2F22&amp;find="&amp;$F386&amp;"%2C"&amp;$E386&amp;"&amp;marker="&amp;$F386&amp;","&amp;$E386&amp;",4326&amp;level=16",IF(_xlfn.SINGLE(JobState)="WI","https://fema.maps.arcgis.com/apps/mapviewer/index.html?url=https://services5.arcgis.com/0pgGLzT0Nh7FVjon/arcgis/rest/services/Functional_Class_Local_Non_Prod/FeatureServer/1&amp;find="&amp;$F386&amp;"%2C"&amp;$E386&amp;"&amp;marker="&amp;$F386&amp;","&amp;$E386&amp;",4326&amp;level=16",IF(_xlfn.SINGLE(JobState)="MN","https://fema.maps.arcgis.com/apps/mapviewer/index.html?url=https%3A%2F%2Fdotapp9.dot.state.mn.us%2Fegis12%2Frest%2Fservices%2FBASEMAP%2Fmndot_commonlayers2%2FMapServer%2F11&amp;find="&amp;$F386&amp;"%2C"&amp;$E386&amp;"&amp;marker="&amp;$F386&amp;","&amp;$E386&amp;",4326&amp;level=16",IF(_xlfn.SINGLE(JobState)="IL","https://fema.maps.arcgis.com/apps/mapviewer/index.html?url=https%3A%2F%2Fgis1.dot.illinois.gov%2Farcgis%2Frest%2Fservices%2FAdministrativeData%2FFunctionalClass%2FMapServer%2F0&amp;find="&amp;$F386&amp;"%2C"&amp;$E386&amp;"&amp;marker="&amp;$F386&amp;","&amp;$E386&amp;",4326&amp;level=16",IF(_xlfn.SINGLE(JobState)="OH","https://fema.maps.arcgis.com/apps/mapviewer/index.html?url=https%3A%2F%2Ftims.dot.state.oh.us%2Fags%2Frest%2Fservices%2FRoadway_Information%2FFunctional_Class%2FMapServer%2F0&amp;find="&amp;$F386&amp;"%2C"&amp;$E386&amp;"&amp;marker="&amp;$F386&amp;","&amp;$E386&amp;",4326&amp;level=16","https://fema.maps.arcgis.com/apps/mapviewer/index.html?find="&amp;$F386&amp;"%2C"&amp;$E386&amp;"&amp;marker="&amp;$F386&amp;","&amp;$E386&amp;",4326&amp;level=16")))))),IF(_xlfn.SINGLE(JobState)="WI","Review Local Roads Layer","Review NFC AGOL Layer"))))</f>
        <v/>
      </c>
      <c r="N386" s="6" t="str">
        <f>IF(OR($E386="",$F386=""),"",IF(_xlfn.SINGLE(JobState)="",IF(ROW()=2,HYPERLINK("#JobState","Set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386&amp;"%2C"&amp;$E386&amp;"&amp;marker="&amp;$F386&amp;","&amp;$E386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6" s="6" t="str">
        <f>IF(OR($E386="", $F386=""),"",IF(_xlfn.SINGLE(JobAgolMap)="",HYPERLINK("https://fema.maps.arcgis.com/apps/mapviewer/index.html?find="&amp;$F386&amp;"%2C"&amp;$E386&amp;"&amp;marker="&amp;$F386&amp;","&amp;$E386&amp;",4326&amp;level=16","FEMA AGOL Map Viewer"),HYPERLINK(_xlfn.SINGLE(JobAgolMap)&amp;IF(ISNUMBER(FIND("?",_xlfn.SINGLE(JobAgolMap))),"&amp;","?")&amp;"center="&amp;$F386&amp;","&amp;$E386&amp;"&amp;level=16&amp;marker="&amp;$F386&amp;","&amp;$E386,"Open")))</f>
        <v/>
      </c>
      <c r="Q386" s="4"/>
      <c r="R386" s="4"/>
      <c r="W386" s="6" t="str">
        <f t="shared" ref="W386:W449" si="36">IF(OR($E386="",$F386=""),"",HYPERLINK("https://www.google.com/maps?q="&amp;$E386&amp;","&amp;$F386&amp;"","Map"))</f>
        <v/>
      </c>
      <c r="X386" s="6" t="str">
        <f t="shared" ref="X386:X449" si="37">IF(OR($E386="",$F386=""),"",HYPERLINK("https://www.google.com/maps?q&amp;layer=c&amp;cbll="&amp;$E386&amp;","&amp;$F386&amp;"","Street"))</f>
        <v/>
      </c>
      <c r="Y386" s="6" t="str">
        <f t="shared" ref="Y386:Y449" si="38">IF(OR($E386="",$F386=""),"",HYPERLINK("https://www.bing.com/maps?cp="&amp;$E386&amp;"~"&amp;$F386&amp;"&amp;lvl=18&amp;style=h","Bing"))</f>
        <v/>
      </c>
      <c r="Z386" s="6" t="str">
        <f t="shared" ref="Z386:Z449" si="39">IF(OR($E386="",$F386=""),"",HYPERLINK("https://earth.google.com/web/search/"&amp;$E386&amp;","&amp;$F386&amp;"","Earth"))</f>
        <v/>
      </c>
      <c r="AA386" s="6" t="str">
        <f t="shared" ref="AA386:AA449" si="40">IF(OR($E386="",$F386=""),"",HYPERLINK("https://fema.maps.arcgis.com/apps/mapviewer/index.html?find="&amp;$F386&amp;"%2C"&amp;$E386&amp;"&amp;marker="&amp;$F386&amp;","&amp;$E386&amp;",4326&amp;level=16","FEMA"))</f>
        <v/>
      </c>
      <c r="AB386" s="6" t="str">
        <f t="shared" ref="AB386:AB449" si="41">IF(OR($E386="",$F386=""),"",HYPERLINK("https://msc.fema.gov/portal/firmette?latitude="&amp;$E386&amp;"&amp;longitude="&amp;$F386&amp;"","FIRMette"))</f>
        <v/>
      </c>
      <c r="AC386" s="4"/>
      <c r="AD386" s="4"/>
    </row>
    <row r="387" spans="1:30" x14ac:dyDescent="0.45">
      <c r="A387" s="3"/>
      <c r="B387" s="3"/>
      <c r="C387" s="5" t="str">
        <f>IF($E387="","",COUNT($E$2:$E387))</f>
        <v/>
      </c>
      <c r="D387" s="3"/>
      <c r="E387" s="3"/>
      <c r="F387" s="3"/>
      <c r="G387" s="3"/>
      <c r="H387" s="3"/>
      <c r="I387" s="3"/>
      <c r="J387" s="3"/>
      <c r="K387" s="3"/>
      <c r="L387" s="4"/>
      <c r="M387" s="6" t="str">
        <f>IF(OR($E387="",$F387=""),"",IF(_xlfn.SINGLE(JobState)="",IF(ROW()=2,HYPERLINK("#JobState","Set State →"),""),HYPERLINK(IF(OR(_xlfn.SINGLE(JobState)="MI",_xlfn.SINGLE(JobState)=""),"https://fema.maps.arcgis.com/apps/mapviewer/index.html?webmap=6a1702b9147243d1a5ee62cd614bc681&amp;center="&amp;$F387&amp;","&amp;$E387&amp;"&amp;level=16&amp;marker="&amp;$F387&amp;","&amp;$E387&amp;"",IF(_xlfn.SINGLE(JobState)="IN","https://fema.maps.arcgis.com/apps/mapviewer/index.html?url=https%3A%2F%2Fgis.indot.in.gov%2Fro%2Frest%2Fservices%2FRAH_GIO_Collaboration%2FLRSE_Functional_Class%2FFeatureServer%2F22&amp;find="&amp;$F387&amp;"%2C"&amp;$E387&amp;"&amp;marker="&amp;$F387&amp;","&amp;$E387&amp;",4326&amp;level=16",IF(_xlfn.SINGLE(JobState)="WI","https://fema.maps.arcgis.com/apps/mapviewer/index.html?url=https://services5.arcgis.com/0pgGLzT0Nh7FVjon/arcgis/rest/services/Functional_Class_Local_Non_Prod/FeatureServer/1&amp;find="&amp;$F387&amp;"%2C"&amp;$E387&amp;"&amp;marker="&amp;$F387&amp;","&amp;$E387&amp;",4326&amp;level=16",IF(_xlfn.SINGLE(JobState)="MN","https://fema.maps.arcgis.com/apps/mapviewer/index.html?url=https%3A%2F%2Fdotapp9.dot.state.mn.us%2Fegis12%2Frest%2Fservices%2FBASEMAP%2Fmndot_commonlayers2%2FMapServer%2F11&amp;find="&amp;$F387&amp;"%2C"&amp;$E387&amp;"&amp;marker="&amp;$F387&amp;","&amp;$E387&amp;",4326&amp;level=16",IF(_xlfn.SINGLE(JobState)="IL","https://fema.maps.arcgis.com/apps/mapviewer/index.html?url=https%3A%2F%2Fgis1.dot.illinois.gov%2Farcgis%2Frest%2Fservices%2FAdministrativeData%2FFunctionalClass%2FMapServer%2F0&amp;find="&amp;$F387&amp;"%2C"&amp;$E387&amp;"&amp;marker="&amp;$F387&amp;","&amp;$E387&amp;",4326&amp;level=16",IF(_xlfn.SINGLE(JobState)="OH","https://fema.maps.arcgis.com/apps/mapviewer/index.html?url=https%3A%2F%2Ftims.dot.state.oh.us%2Fags%2Frest%2Fservices%2FRoadway_Information%2FFunctional_Class%2FMapServer%2F0&amp;find="&amp;$F387&amp;"%2C"&amp;$E387&amp;"&amp;marker="&amp;$F387&amp;","&amp;$E387&amp;",4326&amp;level=16","https://fema.maps.arcgis.com/apps/mapviewer/index.html?find="&amp;$F387&amp;"%2C"&amp;$E387&amp;"&amp;marker="&amp;$F387&amp;","&amp;$E387&amp;",4326&amp;level=16")))))),IF(_xlfn.SINGLE(JobState)="WI","Review Local Roads Layer","Review NFC AGOL Layer"))))</f>
        <v/>
      </c>
      <c r="N387" s="6" t="str">
        <f>IF(OR($E387="",$F387=""),"",IF(_xlfn.SINGLE(JobState)="",IF(ROW()=2,HYPERLINK("#JobState","Set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387&amp;"%2C"&amp;$E387&amp;"&amp;marker="&amp;$F387&amp;","&amp;$E387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7" s="6" t="str">
        <f>IF(OR($E387="", $F387=""),"",IF(_xlfn.SINGLE(JobAgolMap)="",HYPERLINK("https://fema.maps.arcgis.com/apps/mapviewer/index.html?find="&amp;$F387&amp;"%2C"&amp;$E387&amp;"&amp;marker="&amp;$F387&amp;","&amp;$E387&amp;",4326&amp;level=16","FEMA AGOL Map Viewer"),HYPERLINK(_xlfn.SINGLE(JobAgolMap)&amp;IF(ISNUMBER(FIND("?",_xlfn.SINGLE(JobAgolMap))),"&amp;","?")&amp;"center="&amp;$F387&amp;","&amp;$E387&amp;"&amp;level=16&amp;marker="&amp;$F387&amp;","&amp;$E387,"Open")))</f>
        <v/>
      </c>
      <c r="Q387" s="4"/>
      <c r="R387" s="4"/>
      <c r="W387" s="6" t="str">
        <f t="shared" si="36"/>
        <v/>
      </c>
      <c r="X387" s="6" t="str">
        <f t="shared" si="37"/>
        <v/>
      </c>
      <c r="Y387" s="6" t="str">
        <f t="shared" si="38"/>
        <v/>
      </c>
      <c r="Z387" s="6" t="str">
        <f t="shared" si="39"/>
        <v/>
      </c>
      <c r="AA387" s="6" t="str">
        <f t="shared" si="40"/>
        <v/>
      </c>
      <c r="AB387" s="6" t="str">
        <f t="shared" si="41"/>
        <v/>
      </c>
      <c r="AC387" s="4"/>
      <c r="AD387" s="4"/>
    </row>
    <row r="388" spans="1:30" x14ac:dyDescent="0.45">
      <c r="A388" s="3"/>
      <c r="B388" s="3"/>
      <c r="C388" s="5" t="str">
        <f>IF($E388="","",COUNT($E$2:$E388))</f>
        <v/>
      </c>
      <c r="D388" s="3"/>
      <c r="E388" s="3"/>
      <c r="F388" s="3"/>
      <c r="G388" s="3"/>
      <c r="H388" s="3"/>
      <c r="I388" s="3"/>
      <c r="J388" s="3"/>
      <c r="K388" s="3"/>
      <c r="L388" s="4"/>
      <c r="M388" s="6" t="str">
        <f>IF(OR($E388="",$F388=""),"",IF(_xlfn.SINGLE(JobState)="",IF(ROW()=2,HYPERLINK("#JobState","Set State →"),""),HYPERLINK(IF(OR(_xlfn.SINGLE(JobState)="MI",_xlfn.SINGLE(JobState)=""),"https://fema.maps.arcgis.com/apps/mapviewer/index.html?webmap=6a1702b9147243d1a5ee62cd614bc681&amp;center="&amp;$F388&amp;","&amp;$E388&amp;"&amp;level=16&amp;marker="&amp;$F388&amp;","&amp;$E388&amp;"",IF(_xlfn.SINGLE(JobState)="IN","https://fema.maps.arcgis.com/apps/mapviewer/index.html?url=https%3A%2F%2Fgis.indot.in.gov%2Fro%2Frest%2Fservices%2FRAH_GIO_Collaboration%2FLRSE_Functional_Class%2FFeatureServer%2F22&amp;find="&amp;$F388&amp;"%2C"&amp;$E388&amp;"&amp;marker="&amp;$F388&amp;","&amp;$E388&amp;",4326&amp;level=16",IF(_xlfn.SINGLE(JobState)="WI","https://fema.maps.arcgis.com/apps/mapviewer/index.html?url=https://services5.arcgis.com/0pgGLzT0Nh7FVjon/arcgis/rest/services/Functional_Class_Local_Non_Prod/FeatureServer/1&amp;find="&amp;$F388&amp;"%2C"&amp;$E388&amp;"&amp;marker="&amp;$F388&amp;","&amp;$E388&amp;",4326&amp;level=16",IF(_xlfn.SINGLE(JobState)="MN","https://fema.maps.arcgis.com/apps/mapviewer/index.html?url=https%3A%2F%2Fdotapp9.dot.state.mn.us%2Fegis12%2Frest%2Fservices%2FBASEMAP%2Fmndot_commonlayers2%2FMapServer%2F11&amp;find="&amp;$F388&amp;"%2C"&amp;$E388&amp;"&amp;marker="&amp;$F388&amp;","&amp;$E388&amp;",4326&amp;level=16",IF(_xlfn.SINGLE(JobState)="IL","https://fema.maps.arcgis.com/apps/mapviewer/index.html?url=https%3A%2F%2Fgis1.dot.illinois.gov%2Farcgis%2Frest%2Fservices%2FAdministrativeData%2FFunctionalClass%2FMapServer%2F0&amp;find="&amp;$F388&amp;"%2C"&amp;$E388&amp;"&amp;marker="&amp;$F388&amp;","&amp;$E388&amp;",4326&amp;level=16",IF(_xlfn.SINGLE(JobState)="OH","https://fema.maps.arcgis.com/apps/mapviewer/index.html?url=https%3A%2F%2Ftims.dot.state.oh.us%2Fags%2Frest%2Fservices%2FRoadway_Information%2FFunctional_Class%2FMapServer%2F0&amp;find="&amp;$F388&amp;"%2C"&amp;$E388&amp;"&amp;marker="&amp;$F388&amp;","&amp;$E388&amp;",4326&amp;level=16","https://fema.maps.arcgis.com/apps/mapviewer/index.html?find="&amp;$F388&amp;"%2C"&amp;$E388&amp;"&amp;marker="&amp;$F388&amp;","&amp;$E388&amp;",4326&amp;level=16")))))),IF(_xlfn.SINGLE(JobState)="WI","Review Local Roads Layer","Review NFC AGOL Layer"))))</f>
        <v/>
      </c>
      <c r="N388" s="6" t="str">
        <f>IF(OR($E388="",$F388=""),"",IF(_xlfn.SINGLE(JobState)="",IF(ROW()=2,HYPERLINK("#JobState","Set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388&amp;"%2C"&amp;$E388&amp;"&amp;marker="&amp;$F388&amp;","&amp;$E388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8" s="6" t="str">
        <f>IF(OR($E388="", $F388=""),"",IF(_xlfn.SINGLE(JobAgolMap)="",HYPERLINK("https://fema.maps.arcgis.com/apps/mapviewer/index.html?find="&amp;$F388&amp;"%2C"&amp;$E388&amp;"&amp;marker="&amp;$F388&amp;","&amp;$E388&amp;",4326&amp;level=16","FEMA AGOL Map Viewer"),HYPERLINK(_xlfn.SINGLE(JobAgolMap)&amp;IF(ISNUMBER(FIND("?",_xlfn.SINGLE(JobAgolMap))),"&amp;","?")&amp;"center="&amp;$F388&amp;","&amp;$E388&amp;"&amp;level=16&amp;marker="&amp;$F388&amp;","&amp;$E388,"Open")))</f>
        <v/>
      </c>
      <c r="Q388" s="4"/>
      <c r="R388" s="4"/>
      <c r="W388" s="6" t="str">
        <f t="shared" si="36"/>
        <v/>
      </c>
      <c r="X388" s="6" t="str">
        <f t="shared" si="37"/>
        <v/>
      </c>
      <c r="Y388" s="6" t="str">
        <f t="shared" si="38"/>
        <v/>
      </c>
      <c r="Z388" s="6" t="str">
        <f t="shared" si="39"/>
        <v/>
      </c>
      <c r="AA388" s="6" t="str">
        <f t="shared" si="40"/>
        <v/>
      </c>
      <c r="AB388" s="6" t="str">
        <f t="shared" si="41"/>
        <v/>
      </c>
      <c r="AC388" s="4"/>
      <c r="AD388" s="4"/>
    </row>
    <row r="389" spans="1:30" x14ac:dyDescent="0.45">
      <c r="A389" s="3"/>
      <c r="B389" s="3"/>
      <c r="C389" s="5" t="str">
        <f>IF($E389="","",COUNT($E$2:$E389))</f>
        <v/>
      </c>
      <c r="D389" s="3"/>
      <c r="E389" s="3"/>
      <c r="F389" s="3"/>
      <c r="G389" s="3"/>
      <c r="H389" s="3"/>
      <c r="I389" s="3"/>
      <c r="J389" s="3"/>
      <c r="K389" s="3"/>
      <c r="L389" s="4"/>
      <c r="M389" s="6" t="str">
        <f>IF(OR($E389="",$F389=""),"",IF(_xlfn.SINGLE(JobState)="",IF(ROW()=2,HYPERLINK("#JobState","Set State →"),""),HYPERLINK(IF(OR(_xlfn.SINGLE(JobState)="MI",_xlfn.SINGLE(JobState)=""),"https://fema.maps.arcgis.com/apps/mapviewer/index.html?webmap=6a1702b9147243d1a5ee62cd614bc681&amp;center="&amp;$F389&amp;","&amp;$E389&amp;"&amp;level=16&amp;marker="&amp;$F389&amp;","&amp;$E389&amp;"",IF(_xlfn.SINGLE(JobState)="IN","https://fema.maps.arcgis.com/apps/mapviewer/index.html?url=https%3A%2F%2Fgis.indot.in.gov%2Fro%2Frest%2Fservices%2FRAH_GIO_Collaboration%2FLRSE_Functional_Class%2FFeatureServer%2F22&amp;find="&amp;$F389&amp;"%2C"&amp;$E389&amp;"&amp;marker="&amp;$F389&amp;","&amp;$E389&amp;",4326&amp;level=16",IF(_xlfn.SINGLE(JobState)="WI","https://fema.maps.arcgis.com/apps/mapviewer/index.html?url=https://services5.arcgis.com/0pgGLzT0Nh7FVjon/arcgis/rest/services/Functional_Class_Local_Non_Prod/FeatureServer/1&amp;find="&amp;$F389&amp;"%2C"&amp;$E389&amp;"&amp;marker="&amp;$F389&amp;","&amp;$E389&amp;",4326&amp;level=16",IF(_xlfn.SINGLE(JobState)="MN","https://fema.maps.arcgis.com/apps/mapviewer/index.html?url=https%3A%2F%2Fdotapp9.dot.state.mn.us%2Fegis12%2Frest%2Fservices%2FBASEMAP%2Fmndot_commonlayers2%2FMapServer%2F11&amp;find="&amp;$F389&amp;"%2C"&amp;$E389&amp;"&amp;marker="&amp;$F389&amp;","&amp;$E389&amp;",4326&amp;level=16",IF(_xlfn.SINGLE(JobState)="IL","https://fema.maps.arcgis.com/apps/mapviewer/index.html?url=https%3A%2F%2Fgis1.dot.illinois.gov%2Farcgis%2Frest%2Fservices%2FAdministrativeData%2FFunctionalClass%2FMapServer%2F0&amp;find="&amp;$F389&amp;"%2C"&amp;$E389&amp;"&amp;marker="&amp;$F389&amp;","&amp;$E389&amp;",4326&amp;level=16",IF(_xlfn.SINGLE(JobState)="OH","https://fema.maps.arcgis.com/apps/mapviewer/index.html?url=https%3A%2F%2Ftims.dot.state.oh.us%2Fags%2Frest%2Fservices%2FRoadway_Information%2FFunctional_Class%2FMapServer%2F0&amp;find="&amp;$F389&amp;"%2C"&amp;$E389&amp;"&amp;marker="&amp;$F389&amp;","&amp;$E389&amp;",4326&amp;level=16","https://fema.maps.arcgis.com/apps/mapviewer/index.html?find="&amp;$F389&amp;"%2C"&amp;$E389&amp;"&amp;marker="&amp;$F389&amp;","&amp;$E389&amp;",4326&amp;level=16")))))),IF(_xlfn.SINGLE(JobState)="WI","Review Local Roads Layer","Review NFC AGOL Layer"))))</f>
        <v/>
      </c>
      <c r="N389" s="6" t="str">
        <f>IF(OR($E389="",$F389=""),"",IF(_xlfn.SINGLE(JobState)="",IF(ROW()=2,HYPERLINK("#JobState","Set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389&amp;"%2C"&amp;$E389&amp;"&amp;marker="&amp;$F389&amp;","&amp;$E389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9" s="6" t="str">
        <f>IF(OR($E389="", $F389=""),"",IF(_xlfn.SINGLE(JobAgolMap)="",HYPERLINK("https://fema.maps.arcgis.com/apps/mapviewer/index.html?find="&amp;$F389&amp;"%2C"&amp;$E389&amp;"&amp;marker="&amp;$F389&amp;","&amp;$E389&amp;",4326&amp;level=16","FEMA AGOL Map Viewer"),HYPERLINK(_xlfn.SINGLE(JobAgolMap)&amp;IF(ISNUMBER(FIND("?",_xlfn.SINGLE(JobAgolMap))),"&amp;","?")&amp;"center="&amp;$F389&amp;","&amp;$E389&amp;"&amp;level=16&amp;marker="&amp;$F389&amp;","&amp;$E389,"Open")))</f>
        <v/>
      </c>
      <c r="Q389" s="4"/>
      <c r="R389" s="4"/>
      <c r="W389" s="6" t="str">
        <f t="shared" si="36"/>
        <v/>
      </c>
      <c r="X389" s="6" t="str">
        <f t="shared" si="37"/>
        <v/>
      </c>
      <c r="Y389" s="6" t="str">
        <f t="shared" si="38"/>
        <v/>
      </c>
      <c r="Z389" s="6" t="str">
        <f t="shared" si="39"/>
        <v/>
      </c>
      <c r="AA389" s="6" t="str">
        <f t="shared" si="40"/>
        <v/>
      </c>
      <c r="AB389" s="6" t="str">
        <f t="shared" si="41"/>
        <v/>
      </c>
      <c r="AC389" s="4"/>
      <c r="AD389" s="4"/>
    </row>
    <row r="390" spans="1:30" x14ac:dyDescent="0.45">
      <c r="A390" s="3"/>
      <c r="B390" s="3"/>
      <c r="C390" s="5" t="str">
        <f>IF($E390="","",COUNT($E$2:$E390))</f>
        <v/>
      </c>
      <c r="D390" s="3"/>
      <c r="E390" s="3"/>
      <c r="F390" s="3"/>
      <c r="G390" s="3"/>
      <c r="H390" s="3"/>
      <c r="I390" s="3"/>
      <c r="J390" s="3"/>
      <c r="K390" s="3"/>
      <c r="L390" s="4"/>
      <c r="M390" s="6" t="str">
        <f>IF(OR($E390="",$F390=""),"",IF(_xlfn.SINGLE(JobState)="",IF(ROW()=2,HYPERLINK("#JobState","Set State →"),""),HYPERLINK(IF(OR(_xlfn.SINGLE(JobState)="MI",_xlfn.SINGLE(JobState)=""),"https://fema.maps.arcgis.com/apps/mapviewer/index.html?webmap=6a1702b9147243d1a5ee62cd614bc681&amp;center="&amp;$F390&amp;","&amp;$E390&amp;"&amp;level=16&amp;marker="&amp;$F390&amp;","&amp;$E390&amp;"",IF(_xlfn.SINGLE(JobState)="IN","https://fema.maps.arcgis.com/apps/mapviewer/index.html?url=https%3A%2F%2Fgis.indot.in.gov%2Fro%2Frest%2Fservices%2FRAH_GIO_Collaboration%2FLRSE_Functional_Class%2FFeatureServer%2F22&amp;find="&amp;$F390&amp;"%2C"&amp;$E390&amp;"&amp;marker="&amp;$F390&amp;","&amp;$E390&amp;",4326&amp;level=16",IF(_xlfn.SINGLE(JobState)="WI","https://fema.maps.arcgis.com/apps/mapviewer/index.html?url=https://services5.arcgis.com/0pgGLzT0Nh7FVjon/arcgis/rest/services/Functional_Class_Local_Non_Prod/FeatureServer/1&amp;find="&amp;$F390&amp;"%2C"&amp;$E390&amp;"&amp;marker="&amp;$F390&amp;","&amp;$E390&amp;",4326&amp;level=16",IF(_xlfn.SINGLE(JobState)="MN","https://fema.maps.arcgis.com/apps/mapviewer/index.html?url=https%3A%2F%2Fdotapp9.dot.state.mn.us%2Fegis12%2Frest%2Fservices%2FBASEMAP%2Fmndot_commonlayers2%2FMapServer%2F11&amp;find="&amp;$F390&amp;"%2C"&amp;$E390&amp;"&amp;marker="&amp;$F390&amp;","&amp;$E390&amp;",4326&amp;level=16",IF(_xlfn.SINGLE(JobState)="IL","https://fema.maps.arcgis.com/apps/mapviewer/index.html?url=https%3A%2F%2Fgis1.dot.illinois.gov%2Farcgis%2Frest%2Fservices%2FAdministrativeData%2FFunctionalClass%2FMapServer%2F0&amp;find="&amp;$F390&amp;"%2C"&amp;$E390&amp;"&amp;marker="&amp;$F390&amp;","&amp;$E390&amp;",4326&amp;level=16",IF(_xlfn.SINGLE(JobState)="OH","https://fema.maps.arcgis.com/apps/mapviewer/index.html?url=https%3A%2F%2Ftims.dot.state.oh.us%2Fags%2Frest%2Fservices%2FRoadway_Information%2FFunctional_Class%2FMapServer%2F0&amp;find="&amp;$F390&amp;"%2C"&amp;$E390&amp;"&amp;marker="&amp;$F390&amp;","&amp;$E390&amp;",4326&amp;level=16","https://fema.maps.arcgis.com/apps/mapviewer/index.html?find="&amp;$F390&amp;"%2C"&amp;$E390&amp;"&amp;marker="&amp;$F390&amp;","&amp;$E390&amp;",4326&amp;level=16")))))),IF(_xlfn.SINGLE(JobState)="WI","Review Local Roads Layer","Review NFC AGOL Layer"))))</f>
        <v/>
      </c>
      <c r="N390" s="6" t="str">
        <f>IF(OR($E390="",$F390=""),"",IF(_xlfn.SINGLE(JobState)="",IF(ROW()=2,HYPERLINK("#JobState","Set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390&amp;"%2C"&amp;$E390&amp;"&amp;marker="&amp;$F390&amp;","&amp;$E390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0" s="6" t="str">
        <f>IF(OR($E390="", $F390=""),"",IF(_xlfn.SINGLE(JobAgolMap)="",HYPERLINK("https://fema.maps.arcgis.com/apps/mapviewer/index.html?find="&amp;$F390&amp;"%2C"&amp;$E390&amp;"&amp;marker="&amp;$F390&amp;","&amp;$E390&amp;",4326&amp;level=16","FEMA AGOL Map Viewer"),HYPERLINK(_xlfn.SINGLE(JobAgolMap)&amp;IF(ISNUMBER(FIND("?",_xlfn.SINGLE(JobAgolMap))),"&amp;","?")&amp;"center="&amp;$F390&amp;","&amp;$E390&amp;"&amp;level=16&amp;marker="&amp;$F390&amp;","&amp;$E390,"Open")))</f>
        <v/>
      </c>
      <c r="Q390" s="4"/>
      <c r="R390" s="4"/>
      <c r="W390" s="6" t="str">
        <f t="shared" si="36"/>
        <v/>
      </c>
      <c r="X390" s="6" t="str">
        <f t="shared" si="37"/>
        <v/>
      </c>
      <c r="Y390" s="6" t="str">
        <f t="shared" si="38"/>
        <v/>
      </c>
      <c r="Z390" s="6" t="str">
        <f t="shared" si="39"/>
        <v/>
      </c>
      <c r="AA390" s="6" t="str">
        <f t="shared" si="40"/>
        <v/>
      </c>
      <c r="AB390" s="6" t="str">
        <f t="shared" si="41"/>
        <v/>
      </c>
      <c r="AC390" s="4"/>
      <c r="AD390" s="4"/>
    </row>
    <row r="391" spans="1:30" x14ac:dyDescent="0.45">
      <c r="A391" s="3"/>
      <c r="B391" s="3"/>
      <c r="C391" s="5" t="str">
        <f>IF($E391="","",COUNT($E$2:$E391))</f>
        <v/>
      </c>
      <c r="D391" s="3"/>
      <c r="E391" s="3"/>
      <c r="F391" s="3"/>
      <c r="G391" s="3"/>
      <c r="H391" s="3"/>
      <c r="I391" s="3"/>
      <c r="J391" s="3"/>
      <c r="K391" s="3"/>
      <c r="L391" s="4"/>
      <c r="M391" s="6" t="str">
        <f>IF(OR($E391="",$F391=""),"",IF(_xlfn.SINGLE(JobState)="",IF(ROW()=2,HYPERLINK("#JobState","Set State →"),""),HYPERLINK(IF(OR(_xlfn.SINGLE(JobState)="MI",_xlfn.SINGLE(JobState)=""),"https://fema.maps.arcgis.com/apps/mapviewer/index.html?webmap=6a1702b9147243d1a5ee62cd614bc681&amp;center="&amp;$F391&amp;","&amp;$E391&amp;"&amp;level=16&amp;marker="&amp;$F391&amp;","&amp;$E391&amp;"",IF(_xlfn.SINGLE(JobState)="IN","https://fema.maps.arcgis.com/apps/mapviewer/index.html?url=https%3A%2F%2Fgis.indot.in.gov%2Fro%2Frest%2Fservices%2FRAH_GIO_Collaboration%2FLRSE_Functional_Class%2FFeatureServer%2F22&amp;find="&amp;$F391&amp;"%2C"&amp;$E391&amp;"&amp;marker="&amp;$F391&amp;","&amp;$E391&amp;",4326&amp;level=16",IF(_xlfn.SINGLE(JobState)="WI","https://fema.maps.arcgis.com/apps/mapviewer/index.html?url=https://services5.arcgis.com/0pgGLzT0Nh7FVjon/arcgis/rest/services/Functional_Class_Local_Non_Prod/FeatureServer/1&amp;find="&amp;$F391&amp;"%2C"&amp;$E391&amp;"&amp;marker="&amp;$F391&amp;","&amp;$E391&amp;",4326&amp;level=16",IF(_xlfn.SINGLE(JobState)="MN","https://fema.maps.arcgis.com/apps/mapviewer/index.html?url=https%3A%2F%2Fdotapp9.dot.state.mn.us%2Fegis12%2Frest%2Fservices%2FBASEMAP%2Fmndot_commonlayers2%2FMapServer%2F11&amp;find="&amp;$F391&amp;"%2C"&amp;$E391&amp;"&amp;marker="&amp;$F391&amp;","&amp;$E391&amp;",4326&amp;level=16",IF(_xlfn.SINGLE(JobState)="IL","https://fema.maps.arcgis.com/apps/mapviewer/index.html?url=https%3A%2F%2Fgis1.dot.illinois.gov%2Farcgis%2Frest%2Fservices%2FAdministrativeData%2FFunctionalClass%2FMapServer%2F0&amp;find="&amp;$F391&amp;"%2C"&amp;$E391&amp;"&amp;marker="&amp;$F391&amp;","&amp;$E391&amp;",4326&amp;level=16",IF(_xlfn.SINGLE(JobState)="OH","https://fema.maps.arcgis.com/apps/mapviewer/index.html?url=https%3A%2F%2Ftims.dot.state.oh.us%2Fags%2Frest%2Fservices%2FRoadway_Information%2FFunctional_Class%2FMapServer%2F0&amp;find="&amp;$F391&amp;"%2C"&amp;$E391&amp;"&amp;marker="&amp;$F391&amp;","&amp;$E391&amp;",4326&amp;level=16","https://fema.maps.arcgis.com/apps/mapviewer/index.html?find="&amp;$F391&amp;"%2C"&amp;$E391&amp;"&amp;marker="&amp;$F391&amp;","&amp;$E391&amp;",4326&amp;level=16")))))),IF(_xlfn.SINGLE(JobState)="WI","Review Local Roads Layer","Review NFC AGOL Layer"))))</f>
        <v/>
      </c>
      <c r="N391" s="6" t="str">
        <f>IF(OR($E391="",$F391=""),"",IF(_xlfn.SINGLE(JobState)="",IF(ROW()=2,HYPERLINK("#JobState","Set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391&amp;"%2C"&amp;$E391&amp;"&amp;marker="&amp;$F391&amp;","&amp;$E391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1" s="6" t="str">
        <f>IF(OR($E391="", $F391=""),"",IF(_xlfn.SINGLE(JobAgolMap)="",HYPERLINK("https://fema.maps.arcgis.com/apps/mapviewer/index.html?find="&amp;$F391&amp;"%2C"&amp;$E391&amp;"&amp;marker="&amp;$F391&amp;","&amp;$E391&amp;",4326&amp;level=16","FEMA AGOL Map Viewer"),HYPERLINK(_xlfn.SINGLE(JobAgolMap)&amp;IF(ISNUMBER(FIND("?",_xlfn.SINGLE(JobAgolMap))),"&amp;","?")&amp;"center="&amp;$F391&amp;","&amp;$E391&amp;"&amp;level=16&amp;marker="&amp;$F391&amp;","&amp;$E391,"Open")))</f>
        <v/>
      </c>
      <c r="Q391" s="4"/>
      <c r="R391" s="4"/>
      <c r="W391" s="6" t="str">
        <f t="shared" si="36"/>
        <v/>
      </c>
      <c r="X391" s="6" t="str">
        <f t="shared" si="37"/>
        <v/>
      </c>
      <c r="Y391" s="6" t="str">
        <f t="shared" si="38"/>
        <v/>
      </c>
      <c r="Z391" s="6" t="str">
        <f t="shared" si="39"/>
        <v/>
      </c>
      <c r="AA391" s="6" t="str">
        <f t="shared" si="40"/>
        <v/>
      </c>
      <c r="AB391" s="6" t="str">
        <f t="shared" si="41"/>
        <v/>
      </c>
      <c r="AC391" s="4"/>
      <c r="AD391" s="4"/>
    </row>
    <row r="392" spans="1:30" x14ac:dyDescent="0.45">
      <c r="A392" s="3"/>
      <c r="B392" s="3"/>
      <c r="C392" s="5" t="str">
        <f>IF($E392="","",COUNT($E$2:$E392))</f>
        <v/>
      </c>
      <c r="D392" s="3"/>
      <c r="E392" s="3"/>
      <c r="F392" s="3"/>
      <c r="G392" s="3"/>
      <c r="H392" s="3"/>
      <c r="I392" s="3"/>
      <c r="J392" s="3"/>
      <c r="K392" s="3"/>
      <c r="L392" s="4"/>
      <c r="M392" s="6" t="str">
        <f>IF(OR($E392="",$F392=""),"",IF(_xlfn.SINGLE(JobState)="",IF(ROW()=2,HYPERLINK("#JobState","Set State →"),""),HYPERLINK(IF(OR(_xlfn.SINGLE(JobState)="MI",_xlfn.SINGLE(JobState)=""),"https://fema.maps.arcgis.com/apps/mapviewer/index.html?webmap=6a1702b9147243d1a5ee62cd614bc681&amp;center="&amp;$F392&amp;","&amp;$E392&amp;"&amp;level=16&amp;marker="&amp;$F392&amp;","&amp;$E392&amp;"",IF(_xlfn.SINGLE(JobState)="IN","https://fema.maps.arcgis.com/apps/mapviewer/index.html?url=https%3A%2F%2Fgis.indot.in.gov%2Fro%2Frest%2Fservices%2FRAH_GIO_Collaboration%2FLRSE_Functional_Class%2FFeatureServer%2F22&amp;find="&amp;$F392&amp;"%2C"&amp;$E392&amp;"&amp;marker="&amp;$F392&amp;","&amp;$E392&amp;",4326&amp;level=16",IF(_xlfn.SINGLE(JobState)="WI","https://fema.maps.arcgis.com/apps/mapviewer/index.html?url=https://services5.arcgis.com/0pgGLzT0Nh7FVjon/arcgis/rest/services/Functional_Class_Local_Non_Prod/FeatureServer/1&amp;find="&amp;$F392&amp;"%2C"&amp;$E392&amp;"&amp;marker="&amp;$F392&amp;","&amp;$E392&amp;",4326&amp;level=16",IF(_xlfn.SINGLE(JobState)="MN","https://fema.maps.arcgis.com/apps/mapviewer/index.html?url=https%3A%2F%2Fdotapp9.dot.state.mn.us%2Fegis12%2Frest%2Fservices%2FBASEMAP%2Fmndot_commonlayers2%2FMapServer%2F11&amp;find="&amp;$F392&amp;"%2C"&amp;$E392&amp;"&amp;marker="&amp;$F392&amp;","&amp;$E392&amp;",4326&amp;level=16",IF(_xlfn.SINGLE(JobState)="IL","https://fema.maps.arcgis.com/apps/mapviewer/index.html?url=https%3A%2F%2Fgis1.dot.illinois.gov%2Farcgis%2Frest%2Fservices%2FAdministrativeData%2FFunctionalClass%2FMapServer%2F0&amp;find="&amp;$F392&amp;"%2C"&amp;$E392&amp;"&amp;marker="&amp;$F392&amp;","&amp;$E392&amp;",4326&amp;level=16",IF(_xlfn.SINGLE(JobState)="OH","https://fema.maps.arcgis.com/apps/mapviewer/index.html?url=https%3A%2F%2Ftims.dot.state.oh.us%2Fags%2Frest%2Fservices%2FRoadway_Information%2FFunctional_Class%2FMapServer%2F0&amp;find="&amp;$F392&amp;"%2C"&amp;$E392&amp;"&amp;marker="&amp;$F392&amp;","&amp;$E392&amp;",4326&amp;level=16","https://fema.maps.arcgis.com/apps/mapviewer/index.html?find="&amp;$F392&amp;"%2C"&amp;$E392&amp;"&amp;marker="&amp;$F392&amp;","&amp;$E392&amp;",4326&amp;level=16")))))),IF(_xlfn.SINGLE(JobState)="WI","Review Local Roads Layer","Review NFC AGOL Layer"))))</f>
        <v/>
      </c>
      <c r="N392" s="6" t="str">
        <f>IF(OR($E392="",$F392=""),"",IF(_xlfn.SINGLE(JobState)="",IF(ROW()=2,HYPERLINK("#JobState","Set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392&amp;"%2C"&amp;$E392&amp;"&amp;marker="&amp;$F392&amp;","&amp;$E392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2" s="6" t="str">
        <f>IF(OR($E392="", $F392=""),"",IF(_xlfn.SINGLE(JobAgolMap)="",HYPERLINK("https://fema.maps.arcgis.com/apps/mapviewer/index.html?find="&amp;$F392&amp;"%2C"&amp;$E392&amp;"&amp;marker="&amp;$F392&amp;","&amp;$E392&amp;",4326&amp;level=16","FEMA AGOL Map Viewer"),HYPERLINK(_xlfn.SINGLE(JobAgolMap)&amp;IF(ISNUMBER(FIND("?",_xlfn.SINGLE(JobAgolMap))),"&amp;","?")&amp;"center="&amp;$F392&amp;","&amp;$E392&amp;"&amp;level=16&amp;marker="&amp;$F392&amp;","&amp;$E392,"Open")))</f>
        <v/>
      </c>
      <c r="Q392" s="4"/>
      <c r="R392" s="4"/>
      <c r="W392" s="6" t="str">
        <f t="shared" si="36"/>
        <v/>
      </c>
      <c r="X392" s="6" t="str">
        <f t="shared" si="37"/>
        <v/>
      </c>
      <c r="Y392" s="6" t="str">
        <f t="shared" si="38"/>
        <v/>
      </c>
      <c r="Z392" s="6" t="str">
        <f t="shared" si="39"/>
        <v/>
      </c>
      <c r="AA392" s="6" t="str">
        <f t="shared" si="40"/>
        <v/>
      </c>
      <c r="AB392" s="6" t="str">
        <f t="shared" si="41"/>
        <v/>
      </c>
      <c r="AC392" s="4"/>
      <c r="AD392" s="4"/>
    </row>
    <row r="393" spans="1:30" x14ac:dyDescent="0.45">
      <c r="A393" s="3"/>
      <c r="B393" s="3"/>
      <c r="C393" s="5" t="str">
        <f>IF($E393="","",COUNT($E$2:$E393))</f>
        <v/>
      </c>
      <c r="D393" s="3"/>
      <c r="E393" s="3"/>
      <c r="F393" s="3"/>
      <c r="G393" s="3"/>
      <c r="H393" s="3"/>
      <c r="I393" s="3"/>
      <c r="J393" s="3"/>
      <c r="K393" s="3"/>
      <c r="L393" s="4"/>
      <c r="M393" s="6" t="str">
        <f>IF(OR($E393="",$F393=""),"",IF(_xlfn.SINGLE(JobState)="",IF(ROW()=2,HYPERLINK("#JobState","Set State →"),""),HYPERLINK(IF(OR(_xlfn.SINGLE(JobState)="MI",_xlfn.SINGLE(JobState)=""),"https://fema.maps.arcgis.com/apps/mapviewer/index.html?webmap=6a1702b9147243d1a5ee62cd614bc681&amp;center="&amp;$F393&amp;","&amp;$E393&amp;"&amp;level=16&amp;marker="&amp;$F393&amp;","&amp;$E393&amp;"",IF(_xlfn.SINGLE(JobState)="IN","https://fema.maps.arcgis.com/apps/mapviewer/index.html?url=https%3A%2F%2Fgis.indot.in.gov%2Fro%2Frest%2Fservices%2FRAH_GIO_Collaboration%2FLRSE_Functional_Class%2FFeatureServer%2F22&amp;find="&amp;$F393&amp;"%2C"&amp;$E393&amp;"&amp;marker="&amp;$F393&amp;","&amp;$E393&amp;",4326&amp;level=16",IF(_xlfn.SINGLE(JobState)="WI","https://fema.maps.arcgis.com/apps/mapviewer/index.html?url=https://services5.arcgis.com/0pgGLzT0Nh7FVjon/arcgis/rest/services/Functional_Class_Local_Non_Prod/FeatureServer/1&amp;find="&amp;$F393&amp;"%2C"&amp;$E393&amp;"&amp;marker="&amp;$F393&amp;","&amp;$E393&amp;",4326&amp;level=16",IF(_xlfn.SINGLE(JobState)="MN","https://fema.maps.arcgis.com/apps/mapviewer/index.html?url=https%3A%2F%2Fdotapp9.dot.state.mn.us%2Fegis12%2Frest%2Fservices%2FBASEMAP%2Fmndot_commonlayers2%2FMapServer%2F11&amp;find="&amp;$F393&amp;"%2C"&amp;$E393&amp;"&amp;marker="&amp;$F393&amp;","&amp;$E393&amp;",4326&amp;level=16",IF(_xlfn.SINGLE(JobState)="IL","https://fema.maps.arcgis.com/apps/mapviewer/index.html?url=https%3A%2F%2Fgis1.dot.illinois.gov%2Farcgis%2Frest%2Fservices%2FAdministrativeData%2FFunctionalClass%2FMapServer%2F0&amp;find="&amp;$F393&amp;"%2C"&amp;$E393&amp;"&amp;marker="&amp;$F393&amp;","&amp;$E393&amp;",4326&amp;level=16",IF(_xlfn.SINGLE(JobState)="OH","https://fema.maps.arcgis.com/apps/mapviewer/index.html?url=https%3A%2F%2Ftims.dot.state.oh.us%2Fags%2Frest%2Fservices%2FRoadway_Information%2FFunctional_Class%2FMapServer%2F0&amp;find="&amp;$F393&amp;"%2C"&amp;$E393&amp;"&amp;marker="&amp;$F393&amp;","&amp;$E393&amp;",4326&amp;level=16","https://fema.maps.arcgis.com/apps/mapviewer/index.html?find="&amp;$F393&amp;"%2C"&amp;$E393&amp;"&amp;marker="&amp;$F393&amp;","&amp;$E393&amp;",4326&amp;level=16")))))),IF(_xlfn.SINGLE(JobState)="WI","Review Local Roads Layer","Review NFC AGOL Layer"))))</f>
        <v/>
      </c>
      <c r="N393" s="6" t="str">
        <f>IF(OR($E393="",$F393=""),"",IF(_xlfn.SINGLE(JobState)="",IF(ROW()=2,HYPERLINK("#JobState","Set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393&amp;"%2C"&amp;$E393&amp;"&amp;marker="&amp;$F393&amp;","&amp;$E393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3" s="6" t="str">
        <f>IF(OR($E393="", $F393=""),"",IF(_xlfn.SINGLE(JobAgolMap)="",HYPERLINK("https://fema.maps.arcgis.com/apps/mapviewer/index.html?find="&amp;$F393&amp;"%2C"&amp;$E393&amp;"&amp;marker="&amp;$F393&amp;","&amp;$E393&amp;",4326&amp;level=16","FEMA AGOL Map Viewer"),HYPERLINK(_xlfn.SINGLE(JobAgolMap)&amp;IF(ISNUMBER(FIND("?",_xlfn.SINGLE(JobAgolMap))),"&amp;","?")&amp;"center="&amp;$F393&amp;","&amp;$E393&amp;"&amp;level=16&amp;marker="&amp;$F393&amp;","&amp;$E393,"Open")))</f>
        <v/>
      </c>
      <c r="Q393" s="4"/>
      <c r="R393" s="4"/>
      <c r="W393" s="6" t="str">
        <f t="shared" si="36"/>
        <v/>
      </c>
      <c r="X393" s="6" t="str">
        <f t="shared" si="37"/>
        <v/>
      </c>
      <c r="Y393" s="6" t="str">
        <f t="shared" si="38"/>
        <v/>
      </c>
      <c r="Z393" s="6" t="str">
        <f t="shared" si="39"/>
        <v/>
      </c>
      <c r="AA393" s="6" t="str">
        <f t="shared" si="40"/>
        <v/>
      </c>
      <c r="AB393" s="6" t="str">
        <f t="shared" si="41"/>
        <v/>
      </c>
      <c r="AC393" s="4"/>
      <c r="AD393" s="4"/>
    </row>
    <row r="394" spans="1:30" x14ac:dyDescent="0.45">
      <c r="A394" s="3"/>
      <c r="B394" s="3"/>
      <c r="C394" s="5" t="str">
        <f>IF($E394="","",COUNT($E$2:$E394))</f>
        <v/>
      </c>
      <c r="D394" s="3"/>
      <c r="E394" s="3"/>
      <c r="F394" s="3"/>
      <c r="G394" s="3"/>
      <c r="H394" s="3"/>
      <c r="I394" s="3"/>
      <c r="J394" s="3"/>
      <c r="K394" s="3"/>
      <c r="L394" s="4"/>
      <c r="M394" s="6" t="str">
        <f>IF(OR($E394="",$F394=""),"",IF(_xlfn.SINGLE(JobState)="",IF(ROW()=2,HYPERLINK("#JobState","Set State →"),""),HYPERLINK(IF(OR(_xlfn.SINGLE(JobState)="MI",_xlfn.SINGLE(JobState)=""),"https://fema.maps.arcgis.com/apps/mapviewer/index.html?webmap=6a1702b9147243d1a5ee62cd614bc681&amp;center="&amp;$F394&amp;","&amp;$E394&amp;"&amp;level=16&amp;marker="&amp;$F394&amp;","&amp;$E394&amp;"",IF(_xlfn.SINGLE(JobState)="IN","https://fema.maps.arcgis.com/apps/mapviewer/index.html?url=https%3A%2F%2Fgis.indot.in.gov%2Fro%2Frest%2Fservices%2FRAH_GIO_Collaboration%2FLRSE_Functional_Class%2FFeatureServer%2F22&amp;find="&amp;$F394&amp;"%2C"&amp;$E394&amp;"&amp;marker="&amp;$F394&amp;","&amp;$E394&amp;",4326&amp;level=16",IF(_xlfn.SINGLE(JobState)="WI","https://fema.maps.arcgis.com/apps/mapviewer/index.html?url=https://services5.arcgis.com/0pgGLzT0Nh7FVjon/arcgis/rest/services/Functional_Class_Local_Non_Prod/FeatureServer/1&amp;find="&amp;$F394&amp;"%2C"&amp;$E394&amp;"&amp;marker="&amp;$F394&amp;","&amp;$E394&amp;",4326&amp;level=16",IF(_xlfn.SINGLE(JobState)="MN","https://fema.maps.arcgis.com/apps/mapviewer/index.html?url=https%3A%2F%2Fdotapp9.dot.state.mn.us%2Fegis12%2Frest%2Fservices%2FBASEMAP%2Fmndot_commonlayers2%2FMapServer%2F11&amp;find="&amp;$F394&amp;"%2C"&amp;$E394&amp;"&amp;marker="&amp;$F394&amp;","&amp;$E394&amp;",4326&amp;level=16",IF(_xlfn.SINGLE(JobState)="IL","https://fema.maps.arcgis.com/apps/mapviewer/index.html?url=https%3A%2F%2Fgis1.dot.illinois.gov%2Farcgis%2Frest%2Fservices%2FAdministrativeData%2FFunctionalClass%2FMapServer%2F0&amp;find="&amp;$F394&amp;"%2C"&amp;$E394&amp;"&amp;marker="&amp;$F394&amp;","&amp;$E394&amp;",4326&amp;level=16",IF(_xlfn.SINGLE(JobState)="OH","https://fema.maps.arcgis.com/apps/mapviewer/index.html?url=https%3A%2F%2Ftims.dot.state.oh.us%2Fags%2Frest%2Fservices%2FRoadway_Information%2FFunctional_Class%2FMapServer%2F0&amp;find="&amp;$F394&amp;"%2C"&amp;$E394&amp;"&amp;marker="&amp;$F394&amp;","&amp;$E394&amp;",4326&amp;level=16","https://fema.maps.arcgis.com/apps/mapviewer/index.html?find="&amp;$F394&amp;"%2C"&amp;$E394&amp;"&amp;marker="&amp;$F394&amp;","&amp;$E394&amp;",4326&amp;level=16")))))),IF(_xlfn.SINGLE(JobState)="WI","Review Local Roads Layer","Review NFC AGOL Layer"))))</f>
        <v/>
      </c>
      <c r="N394" s="6" t="str">
        <f>IF(OR($E394="",$F394=""),"",IF(_xlfn.SINGLE(JobState)="",IF(ROW()=2,HYPERLINK("#JobState","Set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394&amp;"%2C"&amp;$E394&amp;"&amp;marker="&amp;$F394&amp;","&amp;$E394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4" s="6" t="str">
        <f>IF(OR($E394="", $F394=""),"",IF(_xlfn.SINGLE(JobAgolMap)="",HYPERLINK("https://fema.maps.arcgis.com/apps/mapviewer/index.html?find="&amp;$F394&amp;"%2C"&amp;$E394&amp;"&amp;marker="&amp;$F394&amp;","&amp;$E394&amp;",4326&amp;level=16","FEMA AGOL Map Viewer"),HYPERLINK(_xlfn.SINGLE(JobAgolMap)&amp;IF(ISNUMBER(FIND("?",_xlfn.SINGLE(JobAgolMap))),"&amp;","?")&amp;"center="&amp;$F394&amp;","&amp;$E394&amp;"&amp;level=16&amp;marker="&amp;$F394&amp;","&amp;$E394,"Open")))</f>
        <v/>
      </c>
      <c r="Q394" s="4"/>
      <c r="R394" s="4"/>
      <c r="W394" s="6" t="str">
        <f t="shared" si="36"/>
        <v/>
      </c>
      <c r="X394" s="6" t="str">
        <f t="shared" si="37"/>
        <v/>
      </c>
      <c r="Y394" s="6" t="str">
        <f t="shared" si="38"/>
        <v/>
      </c>
      <c r="Z394" s="6" t="str">
        <f t="shared" si="39"/>
        <v/>
      </c>
      <c r="AA394" s="6" t="str">
        <f t="shared" si="40"/>
        <v/>
      </c>
      <c r="AB394" s="6" t="str">
        <f t="shared" si="41"/>
        <v/>
      </c>
      <c r="AC394" s="4"/>
      <c r="AD394" s="4"/>
    </row>
    <row r="395" spans="1:30" x14ac:dyDescent="0.45">
      <c r="A395" s="3"/>
      <c r="B395" s="3"/>
      <c r="C395" s="5" t="str">
        <f>IF($E395="","",COUNT($E$2:$E395))</f>
        <v/>
      </c>
      <c r="D395" s="3"/>
      <c r="E395" s="3"/>
      <c r="F395" s="3"/>
      <c r="G395" s="3"/>
      <c r="H395" s="3"/>
      <c r="I395" s="3"/>
      <c r="J395" s="3"/>
      <c r="K395" s="3"/>
      <c r="L395" s="4"/>
      <c r="M395" s="6" t="str">
        <f>IF(OR($E395="",$F395=""),"",IF(_xlfn.SINGLE(JobState)="",IF(ROW()=2,HYPERLINK("#JobState","Set State →"),""),HYPERLINK(IF(OR(_xlfn.SINGLE(JobState)="MI",_xlfn.SINGLE(JobState)=""),"https://fema.maps.arcgis.com/apps/mapviewer/index.html?webmap=6a1702b9147243d1a5ee62cd614bc681&amp;center="&amp;$F395&amp;","&amp;$E395&amp;"&amp;level=16&amp;marker="&amp;$F395&amp;","&amp;$E395&amp;"",IF(_xlfn.SINGLE(JobState)="IN","https://fema.maps.arcgis.com/apps/mapviewer/index.html?url=https%3A%2F%2Fgis.indot.in.gov%2Fro%2Frest%2Fservices%2FRAH_GIO_Collaboration%2FLRSE_Functional_Class%2FFeatureServer%2F22&amp;find="&amp;$F395&amp;"%2C"&amp;$E395&amp;"&amp;marker="&amp;$F395&amp;","&amp;$E395&amp;",4326&amp;level=16",IF(_xlfn.SINGLE(JobState)="WI","https://fema.maps.arcgis.com/apps/mapviewer/index.html?url=https://services5.arcgis.com/0pgGLzT0Nh7FVjon/arcgis/rest/services/Functional_Class_Local_Non_Prod/FeatureServer/1&amp;find="&amp;$F395&amp;"%2C"&amp;$E395&amp;"&amp;marker="&amp;$F395&amp;","&amp;$E395&amp;",4326&amp;level=16",IF(_xlfn.SINGLE(JobState)="MN","https://fema.maps.arcgis.com/apps/mapviewer/index.html?url=https%3A%2F%2Fdotapp9.dot.state.mn.us%2Fegis12%2Frest%2Fservices%2FBASEMAP%2Fmndot_commonlayers2%2FMapServer%2F11&amp;find="&amp;$F395&amp;"%2C"&amp;$E395&amp;"&amp;marker="&amp;$F395&amp;","&amp;$E395&amp;",4326&amp;level=16",IF(_xlfn.SINGLE(JobState)="IL","https://fema.maps.arcgis.com/apps/mapviewer/index.html?url=https%3A%2F%2Fgis1.dot.illinois.gov%2Farcgis%2Frest%2Fservices%2FAdministrativeData%2FFunctionalClass%2FMapServer%2F0&amp;find="&amp;$F395&amp;"%2C"&amp;$E395&amp;"&amp;marker="&amp;$F395&amp;","&amp;$E395&amp;",4326&amp;level=16",IF(_xlfn.SINGLE(JobState)="OH","https://fema.maps.arcgis.com/apps/mapviewer/index.html?url=https%3A%2F%2Ftims.dot.state.oh.us%2Fags%2Frest%2Fservices%2FRoadway_Information%2FFunctional_Class%2FMapServer%2F0&amp;find="&amp;$F395&amp;"%2C"&amp;$E395&amp;"&amp;marker="&amp;$F395&amp;","&amp;$E395&amp;",4326&amp;level=16","https://fema.maps.arcgis.com/apps/mapviewer/index.html?find="&amp;$F395&amp;"%2C"&amp;$E395&amp;"&amp;marker="&amp;$F395&amp;","&amp;$E395&amp;",4326&amp;level=16")))))),IF(_xlfn.SINGLE(JobState)="WI","Review Local Roads Layer","Review NFC AGOL Layer"))))</f>
        <v/>
      </c>
      <c r="N395" s="6" t="str">
        <f>IF(OR($E395="",$F395=""),"",IF(_xlfn.SINGLE(JobState)="",IF(ROW()=2,HYPERLINK("#JobState","Set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395&amp;"%2C"&amp;$E395&amp;"&amp;marker="&amp;$F395&amp;","&amp;$E395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5" s="6" t="str">
        <f>IF(OR($E395="", $F395=""),"",IF(_xlfn.SINGLE(JobAgolMap)="",HYPERLINK("https://fema.maps.arcgis.com/apps/mapviewer/index.html?find="&amp;$F395&amp;"%2C"&amp;$E395&amp;"&amp;marker="&amp;$F395&amp;","&amp;$E395&amp;",4326&amp;level=16","FEMA AGOL Map Viewer"),HYPERLINK(_xlfn.SINGLE(JobAgolMap)&amp;IF(ISNUMBER(FIND("?",_xlfn.SINGLE(JobAgolMap))),"&amp;","?")&amp;"center="&amp;$F395&amp;","&amp;$E395&amp;"&amp;level=16&amp;marker="&amp;$F395&amp;","&amp;$E395,"Open")))</f>
        <v/>
      </c>
      <c r="Q395" s="4"/>
      <c r="R395" s="4"/>
      <c r="W395" s="6" t="str">
        <f t="shared" si="36"/>
        <v/>
      </c>
      <c r="X395" s="6" t="str">
        <f t="shared" si="37"/>
        <v/>
      </c>
      <c r="Y395" s="6" t="str">
        <f t="shared" si="38"/>
        <v/>
      </c>
      <c r="Z395" s="6" t="str">
        <f t="shared" si="39"/>
        <v/>
      </c>
      <c r="AA395" s="6" t="str">
        <f t="shared" si="40"/>
        <v/>
      </c>
      <c r="AB395" s="6" t="str">
        <f t="shared" si="41"/>
        <v/>
      </c>
      <c r="AC395" s="4"/>
      <c r="AD395" s="4"/>
    </row>
    <row r="396" spans="1:30" x14ac:dyDescent="0.45">
      <c r="A396" s="3"/>
      <c r="B396" s="3"/>
      <c r="C396" s="5" t="str">
        <f>IF($E396="","",COUNT($E$2:$E396))</f>
        <v/>
      </c>
      <c r="D396" s="3"/>
      <c r="E396" s="3"/>
      <c r="F396" s="3"/>
      <c r="G396" s="3"/>
      <c r="H396" s="3"/>
      <c r="I396" s="3"/>
      <c r="J396" s="3"/>
      <c r="K396" s="3"/>
      <c r="L396" s="4"/>
      <c r="M396" s="6" t="str">
        <f>IF(OR($E396="",$F396=""),"",IF(_xlfn.SINGLE(JobState)="",IF(ROW()=2,HYPERLINK("#JobState","Set State →"),""),HYPERLINK(IF(OR(_xlfn.SINGLE(JobState)="MI",_xlfn.SINGLE(JobState)=""),"https://fema.maps.arcgis.com/apps/mapviewer/index.html?webmap=6a1702b9147243d1a5ee62cd614bc681&amp;center="&amp;$F396&amp;","&amp;$E396&amp;"&amp;level=16&amp;marker="&amp;$F396&amp;","&amp;$E396&amp;"",IF(_xlfn.SINGLE(JobState)="IN","https://fema.maps.arcgis.com/apps/mapviewer/index.html?url=https%3A%2F%2Fgis.indot.in.gov%2Fro%2Frest%2Fservices%2FRAH_GIO_Collaboration%2FLRSE_Functional_Class%2FFeatureServer%2F22&amp;find="&amp;$F396&amp;"%2C"&amp;$E396&amp;"&amp;marker="&amp;$F396&amp;","&amp;$E396&amp;",4326&amp;level=16",IF(_xlfn.SINGLE(JobState)="WI","https://fema.maps.arcgis.com/apps/mapviewer/index.html?url=https://services5.arcgis.com/0pgGLzT0Nh7FVjon/arcgis/rest/services/Functional_Class_Local_Non_Prod/FeatureServer/1&amp;find="&amp;$F396&amp;"%2C"&amp;$E396&amp;"&amp;marker="&amp;$F396&amp;","&amp;$E396&amp;",4326&amp;level=16",IF(_xlfn.SINGLE(JobState)="MN","https://fema.maps.arcgis.com/apps/mapviewer/index.html?url=https%3A%2F%2Fdotapp9.dot.state.mn.us%2Fegis12%2Frest%2Fservices%2FBASEMAP%2Fmndot_commonlayers2%2FMapServer%2F11&amp;find="&amp;$F396&amp;"%2C"&amp;$E396&amp;"&amp;marker="&amp;$F396&amp;","&amp;$E396&amp;",4326&amp;level=16",IF(_xlfn.SINGLE(JobState)="IL","https://fema.maps.arcgis.com/apps/mapviewer/index.html?url=https%3A%2F%2Fgis1.dot.illinois.gov%2Farcgis%2Frest%2Fservices%2FAdministrativeData%2FFunctionalClass%2FMapServer%2F0&amp;find="&amp;$F396&amp;"%2C"&amp;$E396&amp;"&amp;marker="&amp;$F396&amp;","&amp;$E396&amp;",4326&amp;level=16",IF(_xlfn.SINGLE(JobState)="OH","https://fema.maps.arcgis.com/apps/mapviewer/index.html?url=https%3A%2F%2Ftims.dot.state.oh.us%2Fags%2Frest%2Fservices%2FRoadway_Information%2FFunctional_Class%2FMapServer%2F0&amp;find="&amp;$F396&amp;"%2C"&amp;$E396&amp;"&amp;marker="&amp;$F396&amp;","&amp;$E396&amp;",4326&amp;level=16","https://fema.maps.arcgis.com/apps/mapviewer/index.html?find="&amp;$F396&amp;"%2C"&amp;$E396&amp;"&amp;marker="&amp;$F396&amp;","&amp;$E396&amp;",4326&amp;level=16")))))),IF(_xlfn.SINGLE(JobState)="WI","Review Local Roads Layer","Review NFC AGOL Layer"))))</f>
        <v/>
      </c>
      <c r="N396" s="6" t="str">
        <f>IF(OR($E396="",$F396=""),"",IF(_xlfn.SINGLE(JobState)="",IF(ROW()=2,HYPERLINK("#JobState","Set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396&amp;"%2C"&amp;$E396&amp;"&amp;marker="&amp;$F396&amp;","&amp;$E396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6" s="6" t="str">
        <f>IF(OR($E396="", $F396=""),"",IF(_xlfn.SINGLE(JobAgolMap)="",HYPERLINK("https://fema.maps.arcgis.com/apps/mapviewer/index.html?find="&amp;$F396&amp;"%2C"&amp;$E396&amp;"&amp;marker="&amp;$F396&amp;","&amp;$E396&amp;",4326&amp;level=16","FEMA AGOL Map Viewer"),HYPERLINK(_xlfn.SINGLE(JobAgolMap)&amp;IF(ISNUMBER(FIND("?",_xlfn.SINGLE(JobAgolMap))),"&amp;","?")&amp;"center="&amp;$F396&amp;","&amp;$E396&amp;"&amp;level=16&amp;marker="&amp;$F396&amp;","&amp;$E396,"Open")))</f>
        <v/>
      </c>
      <c r="Q396" s="4"/>
      <c r="R396" s="4"/>
      <c r="W396" s="6" t="str">
        <f t="shared" si="36"/>
        <v/>
      </c>
      <c r="X396" s="6" t="str">
        <f t="shared" si="37"/>
        <v/>
      </c>
      <c r="Y396" s="6" t="str">
        <f t="shared" si="38"/>
        <v/>
      </c>
      <c r="Z396" s="6" t="str">
        <f t="shared" si="39"/>
        <v/>
      </c>
      <c r="AA396" s="6" t="str">
        <f t="shared" si="40"/>
        <v/>
      </c>
      <c r="AB396" s="6" t="str">
        <f t="shared" si="41"/>
        <v/>
      </c>
      <c r="AC396" s="4"/>
      <c r="AD396" s="4"/>
    </row>
    <row r="397" spans="1:30" x14ac:dyDescent="0.45">
      <c r="A397" s="3"/>
      <c r="B397" s="3"/>
      <c r="C397" s="5" t="str">
        <f>IF($E397="","",COUNT($E$2:$E397))</f>
        <v/>
      </c>
      <c r="D397" s="3"/>
      <c r="E397" s="3"/>
      <c r="F397" s="3"/>
      <c r="G397" s="3"/>
      <c r="H397" s="3"/>
      <c r="I397" s="3"/>
      <c r="J397" s="3"/>
      <c r="K397" s="3"/>
      <c r="L397" s="4"/>
      <c r="M397" s="6" t="str">
        <f>IF(OR($E397="",$F397=""),"",IF(_xlfn.SINGLE(JobState)="",IF(ROW()=2,HYPERLINK("#JobState","Set State →"),""),HYPERLINK(IF(OR(_xlfn.SINGLE(JobState)="MI",_xlfn.SINGLE(JobState)=""),"https://fema.maps.arcgis.com/apps/mapviewer/index.html?webmap=6a1702b9147243d1a5ee62cd614bc681&amp;center="&amp;$F397&amp;","&amp;$E397&amp;"&amp;level=16&amp;marker="&amp;$F397&amp;","&amp;$E397&amp;"",IF(_xlfn.SINGLE(JobState)="IN","https://fema.maps.arcgis.com/apps/mapviewer/index.html?url=https%3A%2F%2Fgis.indot.in.gov%2Fro%2Frest%2Fservices%2FRAH_GIO_Collaboration%2FLRSE_Functional_Class%2FFeatureServer%2F22&amp;find="&amp;$F397&amp;"%2C"&amp;$E397&amp;"&amp;marker="&amp;$F397&amp;","&amp;$E397&amp;",4326&amp;level=16",IF(_xlfn.SINGLE(JobState)="WI","https://fema.maps.arcgis.com/apps/mapviewer/index.html?url=https://services5.arcgis.com/0pgGLzT0Nh7FVjon/arcgis/rest/services/Functional_Class_Local_Non_Prod/FeatureServer/1&amp;find="&amp;$F397&amp;"%2C"&amp;$E397&amp;"&amp;marker="&amp;$F397&amp;","&amp;$E397&amp;",4326&amp;level=16",IF(_xlfn.SINGLE(JobState)="MN","https://fema.maps.arcgis.com/apps/mapviewer/index.html?url=https%3A%2F%2Fdotapp9.dot.state.mn.us%2Fegis12%2Frest%2Fservices%2FBASEMAP%2Fmndot_commonlayers2%2FMapServer%2F11&amp;find="&amp;$F397&amp;"%2C"&amp;$E397&amp;"&amp;marker="&amp;$F397&amp;","&amp;$E397&amp;",4326&amp;level=16",IF(_xlfn.SINGLE(JobState)="IL","https://fema.maps.arcgis.com/apps/mapviewer/index.html?url=https%3A%2F%2Fgis1.dot.illinois.gov%2Farcgis%2Frest%2Fservices%2FAdministrativeData%2FFunctionalClass%2FMapServer%2F0&amp;find="&amp;$F397&amp;"%2C"&amp;$E397&amp;"&amp;marker="&amp;$F397&amp;","&amp;$E397&amp;",4326&amp;level=16",IF(_xlfn.SINGLE(JobState)="OH","https://fema.maps.arcgis.com/apps/mapviewer/index.html?url=https%3A%2F%2Ftims.dot.state.oh.us%2Fags%2Frest%2Fservices%2FRoadway_Information%2FFunctional_Class%2FMapServer%2F0&amp;find="&amp;$F397&amp;"%2C"&amp;$E397&amp;"&amp;marker="&amp;$F397&amp;","&amp;$E397&amp;",4326&amp;level=16","https://fema.maps.arcgis.com/apps/mapviewer/index.html?find="&amp;$F397&amp;"%2C"&amp;$E397&amp;"&amp;marker="&amp;$F397&amp;","&amp;$E397&amp;",4326&amp;level=16")))))),IF(_xlfn.SINGLE(JobState)="WI","Review Local Roads Layer","Review NFC AGOL Layer"))))</f>
        <v/>
      </c>
      <c r="N397" s="6" t="str">
        <f>IF(OR($E397="",$F397=""),"",IF(_xlfn.SINGLE(JobState)="",IF(ROW()=2,HYPERLINK("#JobState","Set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397&amp;"%2C"&amp;$E397&amp;"&amp;marker="&amp;$F397&amp;","&amp;$E397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7" s="6" t="str">
        <f>IF(OR($E397="", $F397=""),"",IF(_xlfn.SINGLE(JobAgolMap)="",HYPERLINK("https://fema.maps.arcgis.com/apps/mapviewer/index.html?find="&amp;$F397&amp;"%2C"&amp;$E397&amp;"&amp;marker="&amp;$F397&amp;","&amp;$E397&amp;",4326&amp;level=16","FEMA AGOL Map Viewer"),HYPERLINK(_xlfn.SINGLE(JobAgolMap)&amp;IF(ISNUMBER(FIND("?",_xlfn.SINGLE(JobAgolMap))),"&amp;","?")&amp;"center="&amp;$F397&amp;","&amp;$E397&amp;"&amp;level=16&amp;marker="&amp;$F397&amp;","&amp;$E397,"Open")))</f>
        <v/>
      </c>
      <c r="Q397" s="4"/>
      <c r="R397" s="4"/>
      <c r="W397" s="6" t="str">
        <f t="shared" si="36"/>
        <v/>
      </c>
      <c r="X397" s="6" t="str">
        <f t="shared" si="37"/>
        <v/>
      </c>
      <c r="Y397" s="6" t="str">
        <f t="shared" si="38"/>
        <v/>
      </c>
      <c r="Z397" s="6" t="str">
        <f t="shared" si="39"/>
        <v/>
      </c>
      <c r="AA397" s="6" t="str">
        <f t="shared" si="40"/>
        <v/>
      </c>
      <c r="AB397" s="6" t="str">
        <f t="shared" si="41"/>
        <v/>
      </c>
      <c r="AC397" s="4"/>
      <c r="AD397" s="4"/>
    </row>
    <row r="398" spans="1:30" x14ac:dyDescent="0.45">
      <c r="A398" s="3"/>
      <c r="B398" s="3"/>
      <c r="C398" s="5" t="str">
        <f>IF($E398="","",COUNT($E$2:$E398))</f>
        <v/>
      </c>
      <c r="D398" s="3"/>
      <c r="E398" s="3"/>
      <c r="F398" s="3"/>
      <c r="G398" s="3"/>
      <c r="H398" s="3"/>
      <c r="I398" s="3"/>
      <c r="J398" s="3"/>
      <c r="K398" s="3"/>
      <c r="L398" s="4"/>
      <c r="M398" s="6" t="str">
        <f>IF(OR($E398="",$F398=""),"",IF(_xlfn.SINGLE(JobState)="",IF(ROW()=2,HYPERLINK("#JobState","Set State →"),""),HYPERLINK(IF(OR(_xlfn.SINGLE(JobState)="MI",_xlfn.SINGLE(JobState)=""),"https://fema.maps.arcgis.com/apps/mapviewer/index.html?webmap=6a1702b9147243d1a5ee62cd614bc681&amp;center="&amp;$F398&amp;","&amp;$E398&amp;"&amp;level=16&amp;marker="&amp;$F398&amp;","&amp;$E398&amp;"",IF(_xlfn.SINGLE(JobState)="IN","https://fema.maps.arcgis.com/apps/mapviewer/index.html?url=https%3A%2F%2Fgis.indot.in.gov%2Fro%2Frest%2Fservices%2FRAH_GIO_Collaboration%2FLRSE_Functional_Class%2FFeatureServer%2F22&amp;find="&amp;$F398&amp;"%2C"&amp;$E398&amp;"&amp;marker="&amp;$F398&amp;","&amp;$E398&amp;",4326&amp;level=16",IF(_xlfn.SINGLE(JobState)="WI","https://fema.maps.arcgis.com/apps/mapviewer/index.html?url=https://services5.arcgis.com/0pgGLzT0Nh7FVjon/arcgis/rest/services/Functional_Class_Local_Non_Prod/FeatureServer/1&amp;find="&amp;$F398&amp;"%2C"&amp;$E398&amp;"&amp;marker="&amp;$F398&amp;","&amp;$E398&amp;",4326&amp;level=16",IF(_xlfn.SINGLE(JobState)="MN","https://fema.maps.arcgis.com/apps/mapviewer/index.html?url=https%3A%2F%2Fdotapp9.dot.state.mn.us%2Fegis12%2Frest%2Fservices%2FBASEMAP%2Fmndot_commonlayers2%2FMapServer%2F11&amp;find="&amp;$F398&amp;"%2C"&amp;$E398&amp;"&amp;marker="&amp;$F398&amp;","&amp;$E398&amp;",4326&amp;level=16",IF(_xlfn.SINGLE(JobState)="IL","https://fema.maps.arcgis.com/apps/mapviewer/index.html?url=https%3A%2F%2Fgis1.dot.illinois.gov%2Farcgis%2Frest%2Fservices%2FAdministrativeData%2FFunctionalClass%2FMapServer%2F0&amp;find="&amp;$F398&amp;"%2C"&amp;$E398&amp;"&amp;marker="&amp;$F398&amp;","&amp;$E398&amp;",4326&amp;level=16",IF(_xlfn.SINGLE(JobState)="OH","https://fema.maps.arcgis.com/apps/mapviewer/index.html?url=https%3A%2F%2Ftims.dot.state.oh.us%2Fags%2Frest%2Fservices%2FRoadway_Information%2FFunctional_Class%2FMapServer%2F0&amp;find="&amp;$F398&amp;"%2C"&amp;$E398&amp;"&amp;marker="&amp;$F398&amp;","&amp;$E398&amp;",4326&amp;level=16","https://fema.maps.arcgis.com/apps/mapviewer/index.html?find="&amp;$F398&amp;"%2C"&amp;$E398&amp;"&amp;marker="&amp;$F398&amp;","&amp;$E398&amp;",4326&amp;level=16")))))),IF(_xlfn.SINGLE(JobState)="WI","Review Local Roads Layer","Review NFC AGOL Layer"))))</f>
        <v/>
      </c>
      <c r="N398" s="6" t="str">
        <f>IF(OR($E398="",$F398=""),"",IF(_xlfn.SINGLE(JobState)="",IF(ROW()=2,HYPERLINK("#JobState","Set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398&amp;"%2C"&amp;$E398&amp;"&amp;marker="&amp;$F398&amp;","&amp;$E398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8" s="6" t="str">
        <f>IF(OR($E398="", $F398=""),"",IF(_xlfn.SINGLE(JobAgolMap)="",HYPERLINK("https://fema.maps.arcgis.com/apps/mapviewer/index.html?find="&amp;$F398&amp;"%2C"&amp;$E398&amp;"&amp;marker="&amp;$F398&amp;","&amp;$E398&amp;",4326&amp;level=16","FEMA AGOL Map Viewer"),HYPERLINK(_xlfn.SINGLE(JobAgolMap)&amp;IF(ISNUMBER(FIND("?",_xlfn.SINGLE(JobAgolMap))),"&amp;","?")&amp;"center="&amp;$F398&amp;","&amp;$E398&amp;"&amp;level=16&amp;marker="&amp;$F398&amp;","&amp;$E398,"Open")))</f>
        <v/>
      </c>
      <c r="Q398" s="4"/>
      <c r="R398" s="4"/>
      <c r="W398" s="6" t="str">
        <f t="shared" si="36"/>
        <v/>
      </c>
      <c r="X398" s="6" t="str">
        <f t="shared" si="37"/>
        <v/>
      </c>
      <c r="Y398" s="6" t="str">
        <f t="shared" si="38"/>
        <v/>
      </c>
      <c r="Z398" s="6" t="str">
        <f t="shared" si="39"/>
        <v/>
      </c>
      <c r="AA398" s="6" t="str">
        <f t="shared" si="40"/>
        <v/>
      </c>
      <c r="AB398" s="6" t="str">
        <f t="shared" si="41"/>
        <v/>
      </c>
      <c r="AC398" s="4"/>
      <c r="AD398" s="4"/>
    </row>
    <row r="399" spans="1:30" x14ac:dyDescent="0.45">
      <c r="A399" s="3"/>
      <c r="B399" s="3"/>
      <c r="C399" s="5" t="str">
        <f>IF($E399="","",COUNT($E$2:$E399))</f>
        <v/>
      </c>
      <c r="D399" s="3"/>
      <c r="E399" s="3"/>
      <c r="F399" s="3"/>
      <c r="G399" s="3"/>
      <c r="H399" s="3"/>
      <c r="I399" s="3"/>
      <c r="J399" s="3"/>
      <c r="K399" s="3"/>
      <c r="L399" s="4"/>
      <c r="M399" s="6" t="str">
        <f>IF(OR($E399="",$F399=""),"",IF(_xlfn.SINGLE(JobState)="",IF(ROW()=2,HYPERLINK("#JobState","Set State →"),""),HYPERLINK(IF(OR(_xlfn.SINGLE(JobState)="MI",_xlfn.SINGLE(JobState)=""),"https://fema.maps.arcgis.com/apps/mapviewer/index.html?webmap=6a1702b9147243d1a5ee62cd614bc681&amp;center="&amp;$F399&amp;","&amp;$E399&amp;"&amp;level=16&amp;marker="&amp;$F399&amp;","&amp;$E399&amp;"",IF(_xlfn.SINGLE(JobState)="IN","https://fema.maps.arcgis.com/apps/mapviewer/index.html?url=https%3A%2F%2Fgis.indot.in.gov%2Fro%2Frest%2Fservices%2FRAH_GIO_Collaboration%2FLRSE_Functional_Class%2FFeatureServer%2F22&amp;find="&amp;$F399&amp;"%2C"&amp;$E399&amp;"&amp;marker="&amp;$F399&amp;","&amp;$E399&amp;",4326&amp;level=16",IF(_xlfn.SINGLE(JobState)="WI","https://fema.maps.arcgis.com/apps/mapviewer/index.html?url=https://services5.arcgis.com/0pgGLzT0Nh7FVjon/arcgis/rest/services/Functional_Class_Local_Non_Prod/FeatureServer/1&amp;find="&amp;$F399&amp;"%2C"&amp;$E399&amp;"&amp;marker="&amp;$F399&amp;","&amp;$E399&amp;",4326&amp;level=16",IF(_xlfn.SINGLE(JobState)="MN","https://fema.maps.arcgis.com/apps/mapviewer/index.html?url=https%3A%2F%2Fdotapp9.dot.state.mn.us%2Fegis12%2Frest%2Fservices%2FBASEMAP%2Fmndot_commonlayers2%2FMapServer%2F11&amp;find="&amp;$F399&amp;"%2C"&amp;$E399&amp;"&amp;marker="&amp;$F399&amp;","&amp;$E399&amp;",4326&amp;level=16",IF(_xlfn.SINGLE(JobState)="IL","https://fema.maps.arcgis.com/apps/mapviewer/index.html?url=https%3A%2F%2Fgis1.dot.illinois.gov%2Farcgis%2Frest%2Fservices%2FAdministrativeData%2FFunctionalClass%2FMapServer%2F0&amp;find="&amp;$F399&amp;"%2C"&amp;$E399&amp;"&amp;marker="&amp;$F399&amp;","&amp;$E399&amp;",4326&amp;level=16",IF(_xlfn.SINGLE(JobState)="OH","https://fema.maps.arcgis.com/apps/mapviewer/index.html?url=https%3A%2F%2Ftims.dot.state.oh.us%2Fags%2Frest%2Fservices%2FRoadway_Information%2FFunctional_Class%2FMapServer%2F0&amp;find="&amp;$F399&amp;"%2C"&amp;$E399&amp;"&amp;marker="&amp;$F399&amp;","&amp;$E399&amp;",4326&amp;level=16","https://fema.maps.arcgis.com/apps/mapviewer/index.html?find="&amp;$F399&amp;"%2C"&amp;$E399&amp;"&amp;marker="&amp;$F399&amp;","&amp;$E399&amp;",4326&amp;level=16")))))),IF(_xlfn.SINGLE(JobState)="WI","Review Local Roads Layer","Review NFC AGOL Layer"))))</f>
        <v/>
      </c>
      <c r="N399" s="6" t="str">
        <f>IF(OR($E399="",$F399=""),"",IF(_xlfn.SINGLE(JobState)="",IF(ROW()=2,HYPERLINK("#JobState","Set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399&amp;"%2C"&amp;$E399&amp;"&amp;marker="&amp;$F399&amp;","&amp;$E399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9" s="6" t="str">
        <f>IF(OR($E399="", $F399=""),"",IF(_xlfn.SINGLE(JobAgolMap)="",HYPERLINK("https://fema.maps.arcgis.com/apps/mapviewer/index.html?find="&amp;$F399&amp;"%2C"&amp;$E399&amp;"&amp;marker="&amp;$F399&amp;","&amp;$E399&amp;",4326&amp;level=16","FEMA AGOL Map Viewer"),HYPERLINK(_xlfn.SINGLE(JobAgolMap)&amp;IF(ISNUMBER(FIND("?",_xlfn.SINGLE(JobAgolMap))),"&amp;","?")&amp;"center="&amp;$F399&amp;","&amp;$E399&amp;"&amp;level=16&amp;marker="&amp;$F399&amp;","&amp;$E399,"Open")))</f>
        <v/>
      </c>
      <c r="Q399" s="4"/>
      <c r="R399" s="4"/>
      <c r="W399" s="6" t="str">
        <f t="shared" si="36"/>
        <v/>
      </c>
      <c r="X399" s="6" t="str">
        <f t="shared" si="37"/>
        <v/>
      </c>
      <c r="Y399" s="6" t="str">
        <f t="shared" si="38"/>
        <v/>
      </c>
      <c r="Z399" s="6" t="str">
        <f t="shared" si="39"/>
        <v/>
      </c>
      <c r="AA399" s="6" t="str">
        <f t="shared" si="40"/>
        <v/>
      </c>
      <c r="AB399" s="6" t="str">
        <f t="shared" si="41"/>
        <v/>
      </c>
      <c r="AC399" s="4"/>
      <c r="AD399" s="4"/>
    </row>
    <row r="400" spans="1:30" x14ac:dyDescent="0.45">
      <c r="A400" s="3"/>
      <c r="B400" s="3"/>
      <c r="C400" s="5" t="str">
        <f>IF($E400="","",COUNT($E$2:$E400))</f>
        <v/>
      </c>
      <c r="D400" s="3"/>
      <c r="E400" s="3"/>
      <c r="F400" s="3"/>
      <c r="G400" s="3"/>
      <c r="H400" s="3"/>
      <c r="I400" s="3"/>
      <c r="J400" s="3"/>
      <c r="K400" s="3"/>
      <c r="L400" s="4"/>
      <c r="M400" s="6" t="str">
        <f>IF(OR($E400="",$F400=""),"",IF(_xlfn.SINGLE(JobState)="",IF(ROW()=2,HYPERLINK("#JobState","Set State →"),""),HYPERLINK(IF(OR(_xlfn.SINGLE(JobState)="MI",_xlfn.SINGLE(JobState)=""),"https://fema.maps.arcgis.com/apps/mapviewer/index.html?webmap=6a1702b9147243d1a5ee62cd614bc681&amp;center="&amp;$F400&amp;","&amp;$E400&amp;"&amp;level=16&amp;marker="&amp;$F400&amp;","&amp;$E400&amp;"",IF(_xlfn.SINGLE(JobState)="IN","https://fema.maps.arcgis.com/apps/mapviewer/index.html?url=https%3A%2F%2Fgis.indot.in.gov%2Fro%2Frest%2Fservices%2FRAH_GIO_Collaboration%2FLRSE_Functional_Class%2FFeatureServer%2F22&amp;find="&amp;$F400&amp;"%2C"&amp;$E400&amp;"&amp;marker="&amp;$F400&amp;","&amp;$E400&amp;",4326&amp;level=16",IF(_xlfn.SINGLE(JobState)="WI","https://fema.maps.arcgis.com/apps/mapviewer/index.html?url=https://services5.arcgis.com/0pgGLzT0Nh7FVjon/arcgis/rest/services/Functional_Class_Local_Non_Prod/FeatureServer/1&amp;find="&amp;$F400&amp;"%2C"&amp;$E400&amp;"&amp;marker="&amp;$F400&amp;","&amp;$E400&amp;",4326&amp;level=16",IF(_xlfn.SINGLE(JobState)="MN","https://fema.maps.arcgis.com/apps/mapviewer/index.html?url=https%3A%2F%2Fdotapp9.dot.state.mn.us%2Fegis12%2Frest%2Fservices%2FBASEMAP%2Fmndot_commonlayers2%2FMapServer%2F11&amp;find="&amp;$F400&amp;"%2C"&amp;$E400&amp;"&amp;marker="&amp;$F400&amp;","&amp;$E400&amp;",4326&amp;level=16",IF(_xlfn.SINGLE(JobState)="IL","https://fema.maps.arcgis.com/apps/mapviewer/index.html?url=https%3A%2F%2Fgis1.dot.illinois.gov%2Farcgis%2Frest%2Fservices%2FAdministrativeData%2FFunctionalClass%2FMapServer%2F0&amp;find="&amp;$F400&amp;"%2C"&amp;$E400&amp;"&amp;marker="&amp;$F400&amp;","&amp;$E400&amp;",4326&amp;level=16",IF(_xlfn.SINGLE(JobState)="OH","https://fema.maps.arcgis.com/apps/mapviewer/index.html?url=https%3A%2F%2Ftims.dot.state.oh.us%2Fags%2Frest%2Fservices%2FRoadway_Information%2FFunctional_Class%2FMapServer%2F0&amp;find="&amp;$F400&amp;"%2C"&amp;$E400&amp;"&amp;marker="&amp;$F400&amp;","&amp;$E400&amp;",4326&amp;level=16","https://fema.maps.arcgis.com/apps/mapviewer/index.html?find="&amp;$F400&amp;"%2C"&amp;$E400&amp;"&amp;marker="&amp;$F400&amp;","&amp;$E400&amp;",4326&amp;level=16")))))),IF(_xlfn.SINGLE(JobState)="WI","Review Local Roads Layer","Review NFC AGOL Layer"))))</f>
        <v/>
      </c>
      <c r="N400" s="6" t="str">
        <f>IF(OR($E400="",$F400=""),"",IF(_xlfn.SINGLE(JobState)="",IF(ROW()=2,HYPERLINK("#JobState","Set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400&amp;"%2C"&amp;$E400&amp;"&amp;marker="&amp;$F400&amp;","&amp;$E400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0" s="6" t="str">
        <f>IF(OR($E400="", $F400=""),"",IF(_xlfn.SINGLE(JobAgolMap)="",HYPERLINK("https://fema.maps.arcgis.com/apps/mapviewer/index.html?find="&amp;$F400&amp;"%2C"&amp;$E400&amp;"&amp;marker="&amp;$F400&amp;","&amp;$E400&amp;",4326&amp;level=16","FEMA AGOL Map Viewer"),HYPERLINK(_xlfn.SINGLE(JobAgolMap)&amp;IF(ISNUMBER(FIND("?",_xlfn.SINGLE(JobAgolMap))),"&amp;","?")&amp;"center="&amp;$F400&amp;","&amp;$E400&amp;"&amp;level=16&amp;marker="&amp;$F400&amp;","&amp;$E400,"Open")))</f>
        <v/>
      </c>
      <c r="Q400" s="4"/>
      <c r="R400" s="4"/>
      <c r="W400" s="6" t="str">
        <f t="shared" si="36"/>
        <v/>
      </c>
      <c r="X400" s="6" t="str">
        <f t="shared" si="37"/>
        <v/>
      </c>
      <c r="Y400" s="6" t="str">
        <f t="shared" si="38"/>
        <v/>
      </c>
      <c r="Z400" s="6" t="str">
        <f t="shared" si="39"/>
        <v/>
      </c>
      <c r="AA400" s="6" t="str">
        <f t="shared" si="40"/>
        <v/>
      </c>
      <c r="AB400" s="6" t="str">
        <f t="shared" si="41"/>
        <v/>
      </c>
      <c r="AC400" s="4"/>
      <c r="AD400" s="4"/>
    </row>
    <row r="401" spans="1:30" x14ac:dyDescent="0.45">
      <c r="A401" s="3"/>
      <c r="B401" s="3"/>
      <c r="C401" s="5" t="str">
        <f>IF($E401="","",COUNT($E$2:$E401))</f>
        <v/>
      </c>
      <c r="D401" s="3"/>
      <c r="E401" s="3"/>
      <c r="F401" s="3"/>
      <c r="G401" s="3"/>
      <c r="H401" s="3"/>
      <c r="I401" s="3"/>
      <c r="J401" s="3"/>
      <c r="K401" s="3"/>
      <c r="L401" s="4"/>
      <c r="M401" s="6" t="str">
        <f>IF(OR($E401="",$F401=""),"",IF(_xlfn.SINGLE(JobState)="",IF(ROW()=2,HYPERLINK("#JobState","Set State →"),""),HYPERLINK(IF(OR(_xlfn.SINGLE(JobState)="MI",_xlfn.SINGLE(JobState)=""),"https://fema.maps.arcgis.com/apps/mapviewer/index.html?webmap=6a1702b9147243d1a5ee62cd614bc681&amp;center="&amp;$F401&amp;","&amp;$E401&amp;"&amp;level=16&amp;marker="&amp;$F401&amp;","&amp;$E401&amp;"",IF(_xlfn.SINGLE(JobState)="IN","https://fema.maps.arcgis.com/apps/mapviewer/index.html?url=https%3A%2F%2Fgis.indot.in.gov%2Fro%2Frest%2Fservices%2FRAH_GIO_Collaboration%2FLRSE_Functional_Class%2FFeatureServer%2F22&amp;find="&amp;$F401&amp;"%2C"&amp;$E401&amp;"&amp;marker="&amp;$F401&amp;","&amp;$E401&amp;",4326&amp;level=16",IF(_xlfn.SINGLE(JobState)="WI","https://fema.maps.arcgis.com/apps/mapviewer/index.html?url=https://services5.arcgis.com/0pgGLzT0Nh7FVjon/arcgis/rest/services/Functional_Class_Local_Non_Prod/FeatureServer/1&amp;find="&amp;$F401&amp;"%2C"&amp;$E401&amp;"&amp;marker="&amp;$F401&amp;","&amp;$E401&amp;",4326&amp;level=16",IF(_xlfn.SINGLE(JobState)="MN","https://fema.maps.arcgis.com/apps/mapviewer/index.html?url=https%3A%2F%2Fdotapp9.dot.state.mn.us%2Fegis12%2Frest%2Fservices%2FBASEMAP%2Fmndot_commonlayers2%2FMapServer%2F11&amp;find="&amp;$F401&amp;"%2C"&amp;$E401&amp;"&amp;marker="&amp;$F401&amp;","&amp;$E401&amp;",4326&amp;level=16",IF(_xlfn.SINGLE(JobState)="IL","https://fema.maps.arcgis.com/apps/mapviewer/index.html?url=https%3A%2F%2Fgis1.dot.illinois.gov%2Farcgis%2Frest%2Fservices%2FAdministrativeData%2FFunctionalClass%2FMapServer%2F0&amp;find="&amp;$F401&amp;"%2C"&amp;$E401&amp;"&amp;marker="&amp;$F401&amp;","&amp;$E401&amp;",4326&amp;level=16",IF(_xlfn.SINGLE(JobState)="OH","https://fema.maps.arcgis.com/apps/mapviewer/index.html?url=https%3A%2F%2Ftims.dot.state.oh.us%2Fags%2Frest%2Fservices%2FRoadway_Information%2FFunctional_Class%2FMapServer%2F0&amp;find="&amp;$F401&amp;"%2C"&amp;$E401&amp;"&amp;marker="&amp;$F401&amp;","&amp;$E401&amp;",4326&amp;level=16","https://fema.maps.arcgis.com/apps/mapviewer/index.html?find="&amp;$F401&amp;"%2C"&amp;$E401&amp;"&amp;marker="&amp;$F401&amp;","&amp;$E401&amp;",4326&amp;level=16")))))),IF(_xlfn.SINGLE(JobState)="WI","Review Local Roads Layer","Review NFC AGOL Layer"))))</f>
        <v/>
      </c>
      <c r="N401" s="6" t="str">
        <f>IF(OR($E401="",$F401=""),"",IF(_xlfn.SINGLE(JobState)="",IF(ROW()=2,HYPERLINK("#JobState","Set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401&amp;"%2C"&amp;$E401&amp;"&amp;marker="&amp;$F401&amp;","&amp;$E401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1" s="6" t="str">
        <f>IF(OR($E401="", $F401=""),"",IF(_xlfn.SINGLE(JobAgolMap)="",HYPERLINK("https://fema.maps.arcgis.com/apps/mapviewer/index.html?find="&amp;$F401&amp;"%2C"&amp;$E401&amp;"&amp;marker="&amp;$F401&amp;","&amp;$E401&amp;",4326&amp;level=16","FEMA AGOL Map Viewer"),HYPERLINK(_xlfn.SINGLE(JobAgolMap)&amp;IF(ISNUMBER(FIND("?",_xlfn.SINGLE(JobAgolMap))),"&amp;","?")&amp;"center="&amp;$F401&amp;","&amp;$E401&amp;"&amp;level=16&amp;marker="&amp;$F401&amp;","&amp;$E401,"Open")))</f>
        <v/>
      </c>
      <c r="Q401" s="4"/>
      <c r="R401" s="4"/>
      <c r="W401" s="6" t="str">
        <f t="shared" si="36"/>
        <v/>
      </c>
      <c r="X401" s="6" t="str">
        <f t="shared" si="37"/>
        <v/>
      </c>
      <c r="Y401" s="6" t="str">
        <f t="shared" si="38"/>
        <v/>
      </c>
      <c r="Z401" s="6" t="str">
        <f t="shared" si="39"/>
        <v/>
      </c>
      <c r="AA401" s="6" t="str">
        <f t="shared" si="40"/>
        <v/>
      </c>
      <c r="AB401" s="6" t="str">
        <f t="shared" si="41"/>
        <v/>
      </c>
      <c r="AC401" s="4"/>
      <c r="AD401" s="4"/>
    </row>
    <row r="402" spans="1:30" x14ac:dyDescent="0.45">
      <c r="A402" s="3"/>
      <c r="B402" s="3"/>
      <c r="C402" s="5" t="str">
        <f>IF($E402="","",COUNT($E$2:$E402))</f>
        <v/>
      </c>
      <c r="D402" s="3"/>
      <c r="E402" s="3"/>
      <c r="F402" s="3"/>
      <c r="G402" s="3"/>
      <c r="H402" s="3"/>
      <c r="I402" s="3"/>
      <c r="J402" s="3"/>
      <c r="K402" s="3"/>
      <c r="L402" s="4"/>
      <c r="M402" s="6" t="str">
        <f>IF(OR($E402="",$F402=""),"",IF(_xlfn.SINGLE(JobState)="",IF(ROW()=2,HYPERLINK("#JobState","Set State →"),""),HYPERLINK(IF(OR(_xlfn.SINGLE(JobState)="MI",_xlfn.SINGLE(JobState)=""),"https://fema.maps.arcgis.com/apps/mapviewer/index.html?webmap=6a1702b9147243d1a5ee62cd614bc681&amp;center="&amp;$F402&amp;","&amp;$E402&amp;"&amp;level=16&amp;marker="&amp;$F402&amp;","&amp;$E402&amp;"",IF(_xlfn.SINGLE(JobState)="IN","https://fema.maps.arcgis.com/apps/mapviewer/index.html?url=https%3A%2F%2Fgis.indot.in.gov%2Fro%2Frest%2Fservices%2FRAH_GIO_Collaboration%2FLRSE_Functional_Class%2FFeatureServer%2F22&amp;find="&amp;$F402&amp;"%2C"&amp;$E402&amp;"&amp;marker="&amp;$F402&amp;","&amp;$E402&amp;",4326&amp;level=16",IF(_xlfn.SINGLE(JobState)="WI","https://fema.maps.arcgis.com/apps/mapviewer/index.html?url=https://services5.arcgis.com/0pgGLzT0Nh7FVjon/arcgis/rest/services/Functional_Class_Local_Non_Prod/FeatureServer/1&amp;find="&amp;$F402&amp;"%2C"&amp;$E402&amp;"&amp;marker="&amp;$F402&amp;","&amp;$E402&amp;",4326&amp;level=16",IF(_xlfn.SINGLE(JobState)="MN","https://fema.maps.arcgis.com/apps/mapviewer/index.html?url=https%3A%2F%2Fdotapp9.dot.state.mn.us%2Fegis12%2Frest%2Fservices%2FBASEMAP%2Fmndot_commonlayers2%2FMapServer%2F11&amp;find="&amp;$F402&amp;"%2C"&amp;$E402&amp;"&amp;marker="&amp;$F402&amp;","&amp;$E402&amp;",4326&amp;level=16",IF(_xlfn.SINGLE(JobState)="IL","https://fema.maps.arcgis.com/apps/mapviewer/index.html?url=https%3A%2F%2Fgis1.dot.illinois.gov%2Farcgis%2Frest%2Fservices%2FAdministrativeData%2FFunctionalClass%2FMapServer%2F0&amp;find="&amp;$F402&amp;"%2C"&amp;$E402&amp;"&amp;marker="&amp;$F402&amp;","&amp;$E402&amp;",4326&amp;level=16",IF(_xlfn.SINGLE(JobState)="OH","https://fema.maps.arcgis.com/apps/mapviewer/index.html?url=https%3A%2F%2Ftims.dot.state.oh.us%2Fags%2Frest%2Fservices%2FRoadway_Information%2FFunctional_Class%2FMapServer%2F0&amp;find="&amp;$F402&amp;"%2C"&amp;$E402&amp;"&amp;marker="&amp;$F402&amp;","&amp;$E402&amp;",4326&amp;level=16","https://fema.maps.arcgis.com/apps/mapviewer/index.html?find="&amp;$F402&amp;"%2C"&amp;$E402&amp;"&amp;marker="&amp;$F402&amp;","&amp;$E402&amp;",4326&amp;level=16")))))),IF(_xlfn.SINGLE(JobState)="WI","Review Local Roads Layer","Review NFC AGOL Layer"))))</f>
        <v/>
      </c>
      <c r="N402" s="6" t="str">
        <f>IF(OR($E402="",$F402=""),"",IF(_xlfn.SINGLE(JobState)="",IF(ROW()=2,HYPERLINK("#JobState","Set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402&amp;"%2C"&amp;$E402&amp;"&amp;marker="&amp;$F402&amp;","&amp;$E402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2" s="6" t="str">
        <f>IF(OR($E402="", $F402=""),"",IF(_xlfn.SINGLE(JobAgolMap)="",HYPERLINK("https://fema.maps.arcgis.com/apps/mapviewer/index.html?find="&amp;$F402&amp;"%2C"&amp;$E402&amp;"&amp;marker="&amp;$F402&amp;","&amp;$E402&amp;",4326&amp;level=16","FEMA AGOL Map Viewer"),HYPERLINK(_xlfn.SINGLE(JobAgolMap)&amp;IF(ISNUMBER(FIND("?",_xlfn.SINGLE(JobAgolMap))),"&amp;","?")&amp;"center="&amp;$F402&amp;","&amp;$E402&amp;"&amp;level=16&amp;marker="&amp;$F402&amp;","&amp;$E402,"Open")))</f>
        <v/>
      </c>
      <c r="Q402" s="4"/>
      <c r="R402" s="4"/>
      <c r="W402" s="6" t="str">
        <f t="shared" si="36"/>
        <v/>
      </c>
      <c r="X402" s="6" t="str">
        <f t="shared" si="37"/>
        <v/>
      </c>
      <c r="Y402" s="6" t="str">
        <f t="shared" si="38"/>
        <v/>
      </c>
      <c r="Z402" s="6" t="str">
        <f t="shared" si="39"/>
        <v/>
      </c>
      <c r="AA402" s="6" t="str">
        <f t="shared" si="40"/>
        <v/>
      </c>
      <c r="AB402" s="6" t="str">
        <f t="shared" si="41"/>
        <v/>
      </c>
      <c r="AC402" s="4"/>
      <c r="AD402" s="4"/>
    </row>
    <row r="403" spans="1:30" x14ac:dyDescent="0.45">
      <c r="A403" s="3"/>
      <c r="B403" s="3"/>
      <c r="C403" s="5" t="str">
        <f>IF($E403="","",COUNT($E$2:$E403))</f>
        <v/>
      </c>
      <c r="D403" s="3"/>
      <c r="E403" s="3"/>
      <c r="F403" s="3"/>
      <c r="G403" s="3"/>
      <c r="H403" s="3"/>
      <c r="I403" s="3"/>
      <c r="J403" s="3"/>
      <c r="K403" s="3"/>
      <c r="L403" s="4"/>
      <c r="M403" s="6" t="str">
        <f>IF(OR($E403="",$F403=""),"",IF(_xlfn.SINGLE(JobState)="",IF(ROW()=2,HYPERLINK("#JobState","Set State →"),""),HYPERLINK(IF(OR(_xlfn.SINGLE(JobState)="MI",_xlfn.SINGLE(JobState)=""),"https://fema.maps.arcgis.com/apps/mapviewer/index.html?webmap=6a1702b9147243d1a5ee62cd614bc681&amp;center="&amp;$F403&amp;","&amp;$E403&amp;"&amp;level=16&amp;marker="&amp;$F403&amp;","&amp;$E403&amp;"",IF(_xlfn.SINGLE(JobState)="IN","https://fema.maps.arcgis.com/apps/mapviewer/index.html?url=https%3A%2F%2Fgis.indot.in.gov%2Fro%2Frest%2Fservices%2FRAH_GIO_Collaboration%2FLRSE_Functional_Class%2FFeatureServer%2F22&amp;find="&amp;$F403&amp;"%2C"&amp;$E403&amp;"&amp;marker="&amp;$F403&amp;","&amp;$E403&amp;",4326&amp;level=16",IF(_xlfn.SINGLE(JobState)="WI","https://fema.maps.arcgis.com/apps/mapviewer/index.html?url=https://services5.arcgis.com/0pgGLzT0Nh7FVjon/arcgis/rest/services/Functional_Class_Local_Non_Prod/FeatureServer/1&amp;find="&amp;$F403&amp;"%2C"&amp;$E403&amp;"&amp;marker="&amp;$F403&amp;","&amp;$E403&amp;",4326&amp;level=16",IF(_xlfn.SINGLE(JobState)="MN","https://fema.maps.arcgis.com/apps/mapviewer/index.html?url=https%3A%2F%2Fdotapp9.dot.state.mn.us%2Fegis12%2Frest%2Fservices%2FBASEMAP%2Fmndot_commonlayers2%2FMapServer%2F11&amp;find="&amp;$F403&amp;"%2C"&amp;$E403&amp;"&amp;marker="&amp;$F403&amp;","&amp;$E403&amp;",4326&amp;level=16",IF(_xlfn.SINGLE(JobState)="IL","https://fema.maps.arcgis.com/apps/mapviewer/index.html?url=https%3A%2F%2Fgis1.dot.illinois.gov%2Farcgis%2Frest%2Fservices%2FAdministrativeData%2FFunctionalClass%2FMapServer%2F0&amp;find="&amp;$F403&amp;"%2C"&amp;$E403&amp;"&amp;marker="&amp;$F403&amp;","&amp;$E403&amp;",4326&amp;level=16",IF(_xlfn.SINGLE(JobState)="OH","https://fema.maps.arcgis.com/apps/mapviewer/index.html?url=https%3A%2F%2Ftims.dot.state.oh.us%2Fags%2Frest%2Fservices%2FRoadway_Information%2FFunctional_Class%2FMapServer%2F0&amp;find="&amp;$F403&amp;"%2C"&amp;$E403&amp;"&amp;marker="&amp;$F403&amp;","&amp;$E403&amp;",4326&amp;level=16","https://fema.maps.arcgis.com/apps/mapviewer/index.html?find="&amp;$F403&amp;"%2C"&amp;$E403&amp;"&amp;marker="&amp;$F403&amp;","&amp;$E403&amp;",4326&amp;level=16")))))),IF(_xlfn.SINGLE(JobState)="WI","Review Local Roads Layer","Review NFC AGOL Layer"))))</f>
        <v/>
      </c>
      <c r="N403" s="6" t="str">
        <f>IF(OR($E403="",$F403=""),"",IF(_xlfn.SINGLE(JobState)="",IF(ROW()=2,HYPERLINK("#JobState","Set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403&amp;"%2C"&amp;$E403&amp;"&amp;marker="&amp;$F403&amp;","&amp;$E403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3" s="6" t="str">
        <f>IF(OR($E403="", $F403=""),"",IF(_xlfn.SINGLE(JobAgolMap)="",HYPERLINK("https://fema.maps.arcgis.com/apps/mapviewer/index.html?find="&amp;$F403&amp;"%2C"&amp;$E403&amp;"&amp;marker="&amp;$F403&amp;","&amp;$E403&amp;",4326&amp;level=16","FEMA AGOL Map Viewer"),HYPERLINK(_xlfn.SINGLE(JobAgolMap)&amp;IF(ISNUMBER(FIND("?",_xlfn.SINGLE(JobAgolMap))),"&amp;","?")&amp;"center="&amp;$F403&amp;","&amp;$E403&amp;"&amp;level=16&amp;marker="&amp;$F403&amp;","&amp;$E403,"Open")))</f>
        <v/>
      </c>
      <c r="Q403" s="4"/>
      <c r="R403" s="4"/>
      <c r="W403" s="6" t="str">
        <f t="shared" si="36"/>
        <v/>
      </c>
      <c r="X403" s="6" t="str">
        <f t="shared" si="37"/>
        <v/>
      </c>
      <c r="Y403" s="6" t="str">
        <f t="shared" si="38"/>
        <v/>
      </c>
      <c r="Z403" s="6" t="str">
        <f t="shared" si="39"/>
        <v/>
      </c>
      <c r="AA403" s="6" t="str">
        <f t="shared" si="40"/>
        <v/>
      </c>
      <c r="AB403" s="6" t="str">
        <f t="shared" si="41"/>
        <v/>
      </c>
      <c r="AC403" s="4"/>
      <c r="AD403" s="4"/>
    </row>
    <row r="404" spans="1:30" x14ac:dyDescent="0.45">
      <c r="A404" s="3"/>
      <c r="B404" s="3"/>
      <c r="C404" s="5" t="str">
        <f>IF($E404="","",COUNT($E$2:$E404))</f>
        <v/>
      </c>
      <c r="D404" s="3"/>
      <c r="E404" s="3"/>
      <c r="F404" s="3"/>
      <c r="G404" s="3"/>
      <c r="H404" s="3"/>
      <c r="I404" s="3"/>
      <c r="J404" s="3"/>
      <c r="K404" s="3"/>
      <c r="L404" s="4"/>
      <c r="M404" s="6" t="str">
        <f>IF(OR($E404="",$F404=""),"",IF(_xlfn.SINGLE(JobState)="",IF(ROW()=2,HYPERLINK("#JobState","Set State →"),""),HYPERLINK(IF(OR(_xlfn.SINGLE(JobState)="MI",_xlfn.SINGLE(JobState)=""),"https://fema.maps.arcgis.com/apps/mapviewer/index.html?webmap=6a1702b9147243d1a5ee62cd614bc681&amp;center="&amp;$F404&amp;","&amp;$E404&amp;"&amp;level=16&amp;marker="&amp;$F404&amp;","&amp;$E404&amp;"",IF(_xlfn.SINGLE(JobState)="IN","https://fema.maps.arcgis.com/apps/mapviewer/index.html?url=https%3A%2F%2Fgis.indot.in.gov%2Fro%2Frest%2Fservices%2FRAH_GIO_Collaboration%2FLRSE_Functional_Class%2FFeatureServer%2F22&amp;find="&amp;$F404&amp;"%2C"&amp;$E404&amp;"&amp;marker="&amp;$F404&amp;","&amp;$E404&amp;",4326&amp;level=16",IF(_xlfn.SINGLE(JobState)="WI","https://fema.maps.arcgis.com/apps/mapviewer/index.html?url=https://services5.arcgis.com/0pgGLzT0Nh7FVjon/arcgis/rest/services/Functional_Class_Local_Non_Prod/FeatureServer/1&amp;find="&amp;$F404&amp;"%2C"&amp;$E404&amp;"&amp;marker="&amp;$F404&amp;","&amp;$E404&amp;",4326&amp;level=16",IF(_xlfn.SINGLE(JobState)="MN","https://fema.maps.arcgis.com/apps/mapviewer/index.html?url=https%3A%2F%2Fdotapp9.dot.state.mn.us%2Fegis12%2Frest%2Fservices%2FBASEMAP%2Fmndot_commonlayers2%2FMapServer%2F11&amp;find="&amp;$F404&amp;"%2C"&amp;$E404&amp;"&amp;marker="&amp;$F404&amp;","&amp;$E404&amp;",4326&amp;level=16",IF(_xlfn.SINGLE(JobState)="IL","https://fema.maps.arcgis.com/apps/mapviewer/index.html?url=https%3A%2F%2Fgis1.dot.illinois.gov%2Farcgis%2Frest%2Fservices%2FAdministrativeData%2FFunctionalClass%2FMapServer%2F0&amp;find="&amp;$F404&amp;"%2C"&amp;$E404&amp;"&amp;marker="&amp;$F404&amp;","&amp;$E404&amp;",4326&amp;level=16",IF(_xlfn.SINGLE(JobState)="OH","https://fema.maps.arcgis.com/apps/mapviewer/index.html?url=https%3A%2F%2Ftims.dot.state.oh.us%2Fags%2Frest%2Fservices%2FRoadway_Information%2FFunctional_Class%2FMapServer%2F0&amp;find="&amp;$F404&amp;"%2C"&amp;$E404&amp;"&amp;marker="&amp;$F404&amp;","&amp;$E404&amp;",4326&amp;level=16","https://fema.maps.arcgis.com/apps/mapviewer/index.html?find="&amp;$F404&amp;"%2C"&amp;$E404&amp;"&amp;marker="&amp;$F404&amp;","&amp;$E404&amp;",4326&amp;level=16")))))),IF(_xlfn.SINGLE(JobState)="WI","Review Local Roads Layer","Review NFC AGOL Layer"))))</f>
        <v/>
      </c>
      <c r="N404" s="6" t="str">
        <f>IF(OR($E404="",$F404=""),"",IF(_xlfn.SINGLE(JobState)="",IF(ROW()=2,HYPERLINK("#JobState","Set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404&amp;"%2C"&amp;$E404&amp;"&amp;marker="&amp;$F404&amp;","&amp;$E404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4" s="6" t="str">
        <f>IF(OR($E404="", $F404=""),"",IF(_xlfn.SINGLE(JobAgolMap)="",HYPERLINK("https://fema.maps.arcgis.com/apps/mapviewer/index.html?find="&amp;$F404&amp;"%2C"&amp;$E404&amp;"&amp;marker="&amp;$F404&amp;","&amp;$E404&amp;",4326&amp;level=16","FEMA AGOL Map Viewer"),HYPERLINK(_xlfn.SINGLE(JobAgolMap)&amp;IF(ISNUMBER(FIND("?",_xlfn.SINGLE(JobAgolMap))),"&amp;","?")&amp;"center="&amp;$F404&amp;","&amp;$E404&amp;"&amp;level=16&amp;marker="&amp;$F404&amp;","&amp;$E404,"Open")))</f>
        <v/>
      </c>
      <c r="Q404" s="4"/>
      <c r="R404" s="4"/>
      <c r="W404" s="6" t="str">
        <f t="shared" si="36"/>
        <v/>
      </c>
      <c r="X404" s="6" t="str">
        <f t="shared" si="37"/>
        <v/>
      </c>
      <c r="Y404" s="6" t="str">
        <f t="shared" si="38"/>
        <v/>
      </c>
      <c r="Z404" s="6" t="str">
        <f t="shared" si="39"/>
        <v/>
      </c>
      <c r="AA404" s="6" t="str">
        <f t="shared" si="40"/>
        <v/>
      </c>
      <c r="AB404" s="6" t="str">
        <f t="shared" si="41"/>
        <v/>
      </c>
      <c r="AC404" s="4"/>
      <c r="AD404" s="4"/>
    </row>
    <row r="405" spans="1:30" x14ac:dyDescent="0.45">
      <c r="A405" s="3"/>
      <c r="B405" s="3"/>
      <c r="C405" s="5" t="str">
        <f>IF($E405="","",COUNT($E$2:$E405))</f>
        <v/>
      </c>
      <c r="D405" s="3"/>
      <c r="E405" s="3"/>
      <c r="F405" s="3"/>
      <c r="G405" s="3"/>
      <c r="H405" s="3"/>
      <c r="I405" s="3"/>
      <c r="J405" s="3"/>
      <c r="K405" s="3"/>
      <c r="L405" s="4"/>
      <c r="M405" s="6" t="str">
        <f>IF(OR($E405="",$F405=""),"",IF(_xlfn.SINGLE(JobState)="",IF(ROW()=2,HYPERLINK("#JobState","Set State →"),""),HYPERLINK(IF(OR(_xlfn.SINGLE(JobState)="MI",_xlfn.SINGLE(JobState)=""),"https://fema.maps.arcgis.com/apps/mapviewer/index.html?webmap=6a1702b9147243d1a5ee62cd614bc681&amp;center="&amp;$F405&amp;","&amp;$E405&amp;"&amp;level=16&amp;marker="&amp;$F405&amp;","&amp;$E405&amp;"",IF(_xlfn.SINGLE(JobState)="IN","https://fema.maps.arcgis.com/apps/mapviewer/index.html?url=https%3A%2F%2Fgis.indot.in.gov%2Fro%2Frest%2Fservices%2FRAH_GIO_Collaboration%2FLRSE_Functional_Class%2FFeatureServer%2F22&amp;find="&amp;$F405&amp;"%2C"&amp;$E405&amp;"&amp;marker="&amp;$F405&amp;","&amp;$E405&amp;",4326&amp;level=16",IF(_xlfn.SINGLE(JobState)="WI","https://fema.maps.arcgis.com/apps/mapviewer/index.html?url=https://services5.arcgis.com/0pgGLzT0Nh7FVjon/arcgis/rest/services/Functional_Class_Local_Non_Prod/FeatureServer/1&amp;find="&amp;$F405&amp;"%2C"&amp;$E405&amp;"&amp;marker="&amp;$F405&amp;","&amp;$E405&amp;",4326&amp;level=16",IF(_xlfn.SINGLE(JobState)="MN","https://fema.maps.arcgis.com/apps/mapviewer/index.html?url=https%3A%2F%2Fdotapp9.dot.state.mn.us%2Fegis12%2Frest%2Fservices%2FBASEMAP%2Fmndot_commonlayers2%2FMapServer%2F11&amp;find="&amp;$F405&amp;"%2C"&amp;$E405&amp;"&amp;marker="&amp;$F405&amp;","&amp;$E405&amp;",4326&amp;level=16",IF(_xlfn.SINGLE(JobState)="IL","https://fema.maps.arcgis.com/apps/mapviewer/index.html?url=https%3A%2F%2Fgis1.dot.illinois.gov%2Farcgis%2Frest%2Fservices%2FAdministrativeData%2FFunctionalClass%2FMapServer%2F0&amp;find="&amp;$F405&amp;"%2C"&amp;$E405&amp;"&amp;marker="&amp;$F405&amp;","&amp;$E405&amp;",4326&amp;level=16",IF(_xlfn.SINGLE(JobState)="OH","https://fema.maps.arcgis.com/apps/mapviewer/index.html?url=https%3A%2F%2Ftims.dot.state.oh.us%2Fags%2Frest%2Fservices%2FRoadway_Information%2FFunctional_Class%2FMapServer%2F0&amp;find="&amp;$F405&amp;"%2C"&amp;$E405&amp;"&amp;marker="&amp;$F405&amp;","&amp;$E405&amp;",4326&amp;level=16","https://fema.maps.arcgis.com/apps/mapviewer/index.html?find="&amp;$F405&amp;"%2C"&amp;$E405&amp;"&amp;marker="&amp;$F405&amp;","&amp;$E405&amp;",4326&amp;level=16")))))),IF(_xlfn.SINGLE(JobState)="WI","Review Local Roads Layer","Review NFC AGOL Layer"))))</f>
        <v/>
      </c>
      <c r="N405" s="6" t="str">
        <f>IF(OR($E405="",$F405=""),"",IF(_xlfn.SINGLE(JobState)="",IF(ROW()=2,HYPERLINK("#JobState","Set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405&amp;"%2C"&amp;$E405&amp;"&amp;marker="&amp;$F405&amp;","&amp;$E405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5" s="6" t="str">
        <f>IF(OR($E405="", $F405=""),"",IF(_xlfn.SINGLE(JobAgolMap)="",HYPERLINK("https://fema.maps.arcgis.com/apps/mapviewer/index.html?find="&amp;$F405&amp;"%2C"&amp;$E405&amp;"&amp;marker="&amp;$F405&amp;","&amp;$E405&amp;",4326&amp;level=16","FEMA AGOL Map Viewer"),HYPERLINK(_xlfn.SINGLE(JobAgolMap)&amp;IF(ISNUMBER(FIND("?",_xlfn.SINGLE(JobAgolMap))),"&amp;","?")&amp;"center="&amp;$F405&amp;","&amp;$E405&amp;"&amp;level=16&amp;marker="&amp;$F405&amp;","&amp;$E405,"Open")))</f>
        <v/>
      </c>
      <c r="Q405" s="4"/>
      <c r="R405" s="4"/>
      <c r="W405" s="6" t="str">
        <f t="shared" si="36"/>
        <v/>
      </c>
      <c r="X405" s="6" t="str">
        <f t="shared" si="37"/>
        <v/>
      </c>
      <c r="Y405" s="6" t="str">
        <f t="shared" si="38"/>
        <v/>
      </c>
      <c r="Z405" s="6" t="str">
        <f t="shared" si="39"/>
        <v/>
      </c>
      <c r="AA405" s="6" t="str">
        <f t="shared" si="40"/>
        <v/>
      </c>
      <c r="AB405" s="6" t="str">
        <f t="shared" si="41"/>
        <v/>
      </c>
      <c r="AC405" s="4"/>
      <c r="AD405" s="4"/>
    </row>
    <row r="406" spans="1:30" x14ac:dyDescent="0.45">
      <c r="A406" s="3"/>
      <c r="B406" s="3"/>
      <c r="C406" s="5" t="str">
        <f>IF($E406="","",COUNT($E$2:$E406))</f>
        <v/>
      </c>
      <c r="D406" s="3"/>
      <c r="E406" s="3"/>
      <c r="F406" s="3"/>
      <c r="G406" s="3"/>
      <c r="H406" s="3"/>
      <c r="I406" s="3"/>
      <c r="J406" s="3"/>
      <c r="K406" s="3"/>
      <c r="L406" s="4"/>
      <c r="M406" s="6" t="str">
        <f>IF(OR($E406="",$F406=""),"",IF(_xlfn.SINGLE(JobState)="",IF(ROW()=2,HYPERLINK("#JobState","Set State →"),""),HYPERLINK(IF(OR(_xlfn.SINGLE(JobState)="MI",_xlfn.SINGLE(JobState)=""),"https://fema.maps.arcgis.com/apps/mapviewer/index.html?webmap=6a1702b9147243d1a5ee62cd614bc681&amp;center="&amp;$F406&amp;","&amp;$E406&amp;"&amp;level=16&amp;marker="&amp;$F406&amp;","&amp;$E406&amp;"",IF(_xlfn.SINGLE(JobState)="IN","https://fema.maps.arcgis.com/apps/mapviewer/index.html?url=https%3A%2F%2Fgis.indot.in.gov%2Fro%2Frest%2Fservices%2FRAH_GIO_Collaboration%2FLRSE_Functional_Class%2FFeatureServer%2F22&amp;find="&amp;$F406&amp;"%2C"&amp;$E406&amp;"&amp;marker="&amp;$F406&amp;","&amp;$E406&amp;",4326&amp;level=16",IF(_xlfn.SINGLE(JobState)="WI","https://fema.maps.arcgis.com/apps/mapviewer/index.html?url=https://services5.arcgis.com/0pgGLzT0Nh7FVjon/arcgis/rest/services/Functional_Class_Local_Non_Prod/FeatureServer/1&amp;find="&amp;$F406&amp;"%2C"&amp;$E406&amp;"&amp;marker="&amp;$F406&amp;","&amp;$E406&amp;",4326&amp;level=16",IF(_xlfn.SINGLE(JobState)="MN","https://fema.maps.arcgis.com/apps/mapviewer/index.html?url=https%3A%2F%2Fdotapp9.dot.state.mn.us%2Fegis12%2Frest%2Fservices%2FBASEMAP%2Fmndot_commonlayers2%2FMapServer%2F11&amp;find="&amp;$F406&amp;"%2C"&amp;$E406&amp;"&amp;marker="&amp;$F406&amp;","&amp;$E406&amp;",4326&amp;level=16",IF(_xlfn.SINGLE(JobState)="IL","https://fema.maps.arcgis.com/apps/mapviewer/index.html?url=https%3A%2F%2Fgis1.dot.illinois.gov%2Farcgis%2Frest%2Fservices%2FAdministrativeData%2FFunctionalClass%2FMapServer%2F0&amp;find="&amp;$F406&amp;"%2C"&amp;$E406&amp;"&amp;marker="&amp;$F406&amp;","&amp;$E406&amp;",4326&amp;level=16",IF(_xlfn.SINGLE(JobState)="OH","https://fema.maps.arcgis.com/apps/mapviewer/index.html?url=https%3A%2F%2Ftims.dot.state.oh.us%2Fags%2Frest%2Fservices%2FRoadway_Information%2FFunctional_Class%2FMapServer%2F0&amp;find="&amp;$F406&amp;"%2C"&amp;$E406&amp;"&amp;marker="&amp;$F406&amp;","&amp;$E406&amp;",4326&amp;level=16","https://fema.maps.arcgis.com/apps/mapviewer/index.html?find="&amp;$F406&amp;"%2C"&amp;$E406&amp;"&amp;marker="&amp;$F406&amp;","&amp;$E406&amp;",4326&amp;level=16")))))),IF(_xlfn.SINGLE(JobState)="WI","Review Local Roads Layer","Review NFC AGOL Layer"))))</f>
        <v/>
      </c>
      <c r="N406" s="6" t="str">
        <f>IF(OR($E406="",$F406=""),"",IF(_xlfn.SINGLE(JobState)="",IF(ROW()=2,HYPERLINK("#JobState","Set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406&amp;"%2C"&amp;$E406&amp;"&amp;marker="&amp;$F406&amp;","&amp;$E406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6" s="6" t="str">
        <f>IF(OR($E406="", $F406=""),"",IF(_xlfn.SINGLE(JobAgolMap)="",HYPERLINK("https://fema.maps.arcgis.com/apps/mapviewer/index.html?find="&amp;$F406&amp;"%2C"&amp;$E406&amp;"&amp;marker="&amp;$F406&amp;","&amp;$E406&amp;",4326&amp;level=16","FEMA AGOL Map Viewer"),HYPERLINK(_xlfn.SINGLE(JobAgolMap)&amp;IF(ISNUMBER(FIND("?",_xlfn.SINGLE(JobAgolMap))),"&amp;","?")&amp;"center="&amp;$F406&amp;","&amp;$E406&amp;"&amp;level=16&amp;marker="&amp;$F406&amp;","&amp;$E406,"Open")))</f>
        <v/>
      </c>
      <c r="Q406" s="4"/>
      <c r="R406" s="4"/>
      <c r="W406" s="6" t="str">
        <f t="shared" si="36"/>
        <v/>
      </c>
      <c r="X406" s="6" t="str">
        <f t="shared" si="37"/>
        <v/>
      </c>
      <c r="Y406" s="6" t="str">
        <f t="shared" si="38"/>
        <v/>
      </c>
      <c r="Z406" s="6" t="str">
        <f t="shared" si="39"/>
        <v/>
      </c>
      <c r="AA406" s="6" t="str">
        <f t="shared" si="40"/>
        <v/>
      </c>
      <c r="AB406" s="6" t="str">
        <f t="shared" si="41"/>
        <v/>
      </c>
      <c r="AC406" s="4"/>
      <c r="AD406" s="4"/>
    </row>
    <row r="407" spans="1:30" x14ac:dyDescent="0.45">
      <c r="A407" s="3"/>
      <c r="B407" s="3"/>
      <c r="C407" s="5" t="str">
        <f>IF($E407="","",COUNT($E$2:$E407))</f>
        <v/>
      </c>
      <c r="D407" s="3"/>
      <c r="E407" s="3"/>
      <c r="F407" s="3"/>
      <c r="G407" s="3"/>
      <c r="H407" s="3"/>
      <c r="I407" s="3"/>
      <c r="J407" s="3"/>
      <c r="K407" s="3"/>
      <c r="L407" s="4"/>
      <c r="M407" s="6" t="str">
        <f>IF(OR($E407="",$F407=""),"",IF(_xlfn.SINGLE(JobState)="",IF(ROW()=2,HYPERLINK("#JobState","Set State →"),""),HYPERLINK(IF(OR(_xlfn.SINGLE(JobState)="MI",_xlfn.SINGLE(JobState)=""),"https://fema.maps.arcgis.com/apps/mapviewer/index.html?webmap=6a1702b9147243d1a5ee62cd614bc681&amp;center="&amp;$F407&amp;","&amp;$E407&amp;"&amp;level=16&amp;marker="&amp;$F407&amp;","&amp;$E407&amp;"",IF(_xlfn.SINGLE(JobState)="IN","https://fema.maps.arcgis.com/apps/mapviewer/index.html?url=https%3A%2F%2Fgis.indot.in.gov%2Fro%2Frest%2Fservices%2FRAH_GIO_Collaboration%2FLRSE_Functional_Class%2FFeatureServer%2F22&amp;find="&amp;$F407&amp;"%2C"&amp;$E407&amp;"&amp;marker="&amp;$F407&amp;","&amp;$E407&amp;",4326&amp;level=16",IF(_xlfn.SINGLE(JobState)="WI","https://fema.maps.arcgis.com/apps/mapviewer/index.html?url=https://services5.arcgis.com/0pgGLzT0Nh7FVjon/arcgis/rest/services/Functional_Class_Local_Non_Prod/FeatureServer/1&amp;find="&amp;$F407&amp;"%2C"&amp;$E407&amp;"&amp;marker="&amp;$F407&amp;","&amp;$E407&amp;",4326&amp;level=16",IF(_xlfn.SINGLE(JobState)="MN","https://fema.maps.arcgis.com/apps/mapviewer/index.html?url=https%3A%2F%2Fdotapp9.dot.state.mn.us%2Fegis12%2Frest%2Fservices%2FBASEMAP%2Fmndot_commonlayers2%2FMapServer%2F11&amp;find="&amp;$F407&amp;"%2C"&amp;$E407&amp;"&amp;marker="&amp;$F407&amp;","&amp;$E407&amp;",4326&amp;level=16",IF(_xlfn.SINGLE(JobState)="IL","https://fema.maps.arcgis.com/apps/mapviewer/index.html?url=https%3A%2F%2Fgis1.dot.illinois.gov%2Farcgis%2Frest%2Fservices%2FAdministrativeData%2FFunctionalClass%2FMapServer%2F0&amp;find="&amp;$F407&amp;"%2C"&amp;$E407&amp;"&amp;marker="&amp;$F407&amp;","&amp;$E407&amp;",4326&amp;level=16",IF(_xlfn.SINGLE(JobState)="OH","https://fema.maps.arcgis.com/apps/mapviewer/index.html?url=https%3A%2F%2Ftims.dot.state.oh.us%2Fags%2Frest%2Fservices%2FRoadway_Information%2FFunctional_Class%2FMapServer%2F0&amp;find="&amp;$F407&amp;"%2C"&amp;$E407&amp;"&amp;marker="&amp;$F407&amp;","&amp;$E407&amp;",4326&amp;level=16","https://fema.maps.arcgis.com/apps/mapviewer/index.html?find="&amp;$F407&amp;"%2C"&amp;$E407&amp;"&amp;marker="&amp;$F407&amp;","&amp;$E407&amp;",4326&amp;level=16")))))),IF(_xlfn.SINGLE(JobState)="WI","Review Local Roads Layer","Review NFC AGOL Layer"))))</f>
        <v/>
      </c>
      <c r="N407" s="6" t="str">
        <f>IF(OR($E407="",$F407=""),"",IF(_xlfn.SINGLE(JobState)="",IF(ROW()=2,HYPERLINK("#JobState","Set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407&amp;"%2C"&amp;$E407&amp;"&amp;marker="&amp;$F407&amp;","&amp;$E407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7" s="6" t="str">
        <f>IF(OR($E407="", $F407=""),"",IF(_xlfn.SINGLE(JobAgolMap)="",HYPERLINK("https://fema.maps.arcgis.com/apps/mapviewer/index.html?find="&amp;$F407&amp;"%2C"&amp;$E407&amp;"&amp;marker="&amp;$F407&amp;","&amp;$E407&amp;",4326&amp;level=16","FEMA AGOL Map Viewer"),HYPERLINK(_xlfn.SINGLE(JobAgolMap)&amp;IF(ISNUMBER(FIND("?",_xlfn.SINGLE(JobAgolMap))),"&amp;","?")&amp;"center="&amp;$F407&amp;","&amp;$E407&amp;"&amp;level=16&amp;marker="&amp;$F407&amp;","&amp;$E407,"Open")))</f>
        <v/>
      </c>
      <c r="Q407" s="4"/>
      <c r="R407" s="4"/>
      <c r="W407" s="6" t="str">
        <f t="shared" si="36"/>
        <v/>
      </c>
      <c r="X407" s="6" t="str">
        <f t="shared" si="37"/>
        <v/>
      </c>
      <c r="Y407" s="6" t="str">
        <f t="shared" si="38"/>
        <v/>
      </c>
      <c r="Z407" s="6" t="str">
        <f t="shared" si="39"/>
        <v/>
      </c>
      <c r="AA407" s="6" t="str">
        <f t="shared" si="40"/>
        <v/>
      </c>
      <c r="AB407" s="6" t="str">
        <f t="shared" si="41"/>
        <v/>
      </c>
      <c r="AC407" s="4"/>
      <c r="AD407" s="4"/>
    </row>
    <row r="408" spans="1:30" x14ac:dyDescent="0.45">
      <c r="A408" s="3"/>
      <c r="B408" s="3"/>
      <c r="C408" s="5" t="str">
        <f>IF($E408="","",COUNT($E$2:$E408))</f>
        <v/>
      </c>
      <c r="D408" s="3"/>
      <c r="E408" s="3"/>
      <c r="F408" s="3"/>
      <c r="G408" s="3"/>
      <c r="H408" s="3"/>
      <c r="I408" s="3"/>
      <c r="J408" s="3"/>
      <c r="K408" s="3"/>
      <c r="L408" s="4"/>
      <c r="M408" s="6" t="str">
        <f>IF(OR($E408="",$F408=""),"",IF(_xlfn.SINGLE(JobState)="",IF(ROW()=2,HYPERLINK("#JobState","Set State →"),""),HYPERLINK(IF(OR(_xlfn.SINGLE(JobState)="MI",_xlfn.SINGLE(JobState)=""),"https://fema.maps.arcgis.com/apps/mapviewer/index.html?webmap=6a1702b9147243d1a5ee62cd614bc681&amp;center="&amp;$F408&amp;","&amp;$E408&amp;"&amp;level=16&amp;marker="&amp;$F408&amp;","&amp;$E408&amp;"",IF(_xlfn.SINGLE(JobState)="IN","https://fema.maps.arcgis.com/apps/mapviewer/index.html?url=https%3A%2F%2Fgis.indot.in.gov%2Fro%2Frest%2Fservices%2FRAH_GIO_Collaboration%2FLRSE_Functional_Class%2FFeatureServer%2F22&amp;find="&amp;$F408&amp;"%2C"&amp;$E408&amp;"&amp;marker="&amp;$F408&amp;","&amp;$E408&amp;",4326&amp;level=16",IF(_xlfn.SINGLE(JobState)="WI","https://fema.maps.arcgis.com/apps/mapviewer/index.html?url=https://services5.arcgis.com/0pgGLzT0Nh7FVjon/arcgis/rest/services/Functional_Class_Local_Non_Prod/FeatureServer/1&amp;find="&amp;$F408&amp;"%2C"&amp;$E408&amp;"&amp;marker="&amp;$F408&amp;","&amp;$E408&amp;",4326&amp;level=16",IF(_xlfn.SINGLE(JobState)="MN","https://fema.maps.arcgis.com/apps/mapviewer/index.html?url=https%3A%2F%2Fdotapp9.dot.state.mn.us%2Fegis12%2Frest%2Fservices%2FBASEMAP%2Fmndot_commonlayers2%2FMapServer%2F11&amp;find="&amp;$F408&amp;"%2C"&amp;$E408&amp;"&amp;marker="&amp;$F408&amp;","&amp;$E408&amp;",4326&amp;level=16",IF(_xlfn.SINGLE(JobState)="IL","https://fema.maps.arcgis.com/apps/mapviewer/index.html?url=https%3A%2F%2Fgis1.dot.illinois.gov%2Farcgis%2Frest%2Fservices%2FAdministrativeData%2FFunctionalClass%2FMapServer%2F0&amp;find="&amp;$F408&amp;"%2C"&amp;$E408&amp;"&amp;marker="&amp;$F408&amp;","&amp;$E408&amp;",4326&amp;level=16",IF(_xlfn.SINGLE(JobState)="OH","https://fema.maps.arcgis.com/apps/mapviewer/index.html?url=https%3A%2F%2Ftims.dot.state.oh.us%2Fags%2Frest%2Fservices%2FRoadway_Information%2FFunctional_Class%2FMapServer%2F0&amp;find="&amp;$F408&amp;"%2C"&amp;$E408&amp;"&amp;marker="&amp;$F408&amp;","&amp;$E408&amp;",4326&amp;level=16","https://fema.maps.arcgis.com/apps/mapviewer/index.html?find="&amp;$F408&amp;"%2C"&amp;$E408&amp;"&amp;marker="&amp;$F408&amp;","&amp;$E408&amp;",4326&amp;level=16")))))),IF(_xlfn.SINGLE(JobState)="WI","Review Local Roads Layer","Review NFC AGOL Layer"))))</f>
        <v/>
      </c>
      <c r="N408" s="6" t="str">
        <f>IF(OR($E408="",$F408=""),"",IF(_xlfn.SINGLE(JobState)="",IF(ROW()=2,HYPERLINK("#JobState","Set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408&amp;"%2C"&amp;$E408&amp;"&amp;marker="&amp;$F408&amp;","&amp;$E408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8" s="6" t="str">
        <f>IF(OR($E408="", $F408=""),"",IF(_xlfn.SINGLE(JobAgolMap)="",HYPERLINK("https://fema.maps.arcgis.com/apps/mapviewer/index.html?find="&amp;$F408&amp;"%2C"&amp;$E408&amp;"&amp;marker="&amp;$F408&amp;","&amp;$E408&amp;",4326&amp;level=16","FEMA AGOL Map Viewer"),HYPERLINK(_xlfn.SINGLE(JobAgolMap)&amp;IF(ISNUMBER(FIND("?",_xlfn.SINGLE(JobAgolMap))),"&amp;","?")&amp;"center="&amp;$F408&amp;","&amp;$E408&amp;"&amp;level=16&amp;marker="&amp;$F408&amp;","&amp;$E408,"Open")))</f>
        <v/>
      </c>
      <c r="Q408" s="4"/>
      <c r="R408" s="4"/>
      <c r="W408" s="6" t="str">
        <f t="shared" si="36"/>
        <v/>
      </c>
      <c r="X408" s="6" t="str">
        <f t="shared" si="37"/>
        <v/>
      </c>
      <c r="Y408" s="6" t="str">
        <f t="shared" si="38"/>
        <v/>
      </c>
      <c r="Z408" s="6" t="str">
        <f t="shared" si="39"/>
        <v/>
      </c>
      <c r="AA408" s="6" t="str">
        <f t="shared" si="40"/>
        <v/>
      </c>
      <c r="AB408" s="6" t="str">
        <f t="shared" si="41"/>
        <v/>
      </c>
      <c r="AC408" s="4"/>
      <c r="AD408" s="4"/>
    </row>
    <row r="409" spans="1:30" x14ac:dyDescent="0.45">
      <c r="A409" s="3"/>
      <c r="B409" s="3"/>
      <c r="C409" s="5" t="str">
        <f>IF($E409="","",COUNT($E$2:$E409))</f>
        <v/>
      </c>
      <c r="D409" s="3"/>
      <c r="E409" s="3"/>
      <c r="F409" s="3"/>
      <c r="G409" s="3"/>
      <c r="H409" s="3"/>
      <c r="I409" s="3"/>
      <c r="J409" s="3"/>
      <c r="K409" s="3"/>
      <c r="L409" s="4"/>
      <c r="M409" s="6" t="str">
        <f>IF(OR($E409="",$F409=""),"",IF(_xlfn.SINGLE(JobState)="",IF(ROW()=2,HYPERLINK("#JobState","Set State →"),""),HYPERLINK(IF(OR(_xlfn.SINGLE(JobState)="MI",_xlfn.SINGLE(JobState)=""),"https://fema.maps.arcgis.com/apps/mapviewer/index.html?webmap=6a1702b9147243d1a5ee62cd614bc681&amp;center="&amp;$F409&amp;","&amp;$E409&amp;"&amp;level=16&amp;marker="&amp;$F409&amp;","&amp;$E409&amp;"",IF(_xlfn.SINGLE(JobState)="IN","https://fema.maps.arcgis.com/apps/mapviewer/index.html?url=https%3A%2F%2Fgis.indot.in.gov%2Fro%2Frest%2Fservices%2FRAH_GIO_Collaboration%2FLRSE_Functional_Class%2FFeatureServer%2F22&amp;find="&amp;$F409&amp;"%2C"&amp;$E409&amp;"&amp;marker="&amp;$F409&amp;","&amp;$E409&amp;",4326&amp;level=16",IF(_xlfn.SINGLE(JobState)="WI","https://fema.maps.arcgis.com/apps/mapviewer/index.html?url=https://services5.arcgis.com/0pgGLzT0Nh7FVjon/arcgis/rest/services/Functional_Class_Local_Non_Prod/FeatureServer/1&amp;find="&amp;$F409&amp;"%2C"&amp;$E409&amp;"&amp;marker="&amp;$F409&amp;","&amp;$E409&amp;",4326&amp;level=16",IF(_xlfn.SINGLE(JobState)="MN","https://fema.maps.arcgis.com/apps/mapviewer/index.html?url=https%3A%2F%2Fdotapp9.dot.state.mn.us%2Fegis12%2Frest%2Fservices%2FBASEMAP%2Fmndot_commonlayers2%2FMapServer%2F11&amp;find="&amp;$F409&amp;"%2C"&amp;$E409&amp;"&amp;marker="&amp;$F409&amp;","&amp;$E409&amp;",4326&amp;level=16",IF(_xlfn.SINGLE(JobState)="IL","https://fema.maps.arcgis.com/apps/mapviewer/index.html?url=https%3A%2F%2Fgis1.dot.illinois.gov%2Farcgis%2Frest%2Fservices%2FAdministrativeData%2FFunctionalClass%2FMapServer%2F0&amp;find="&amp;$F409&amp;"%2C"&amp;$E409&amp;"&amp;marker="&amp;$F409&amp;","&amp;$E409&amp;",4326&amp;level=16",IF(_xlfn.SINGLE(JobState)="OH","https://fema.maps.arcgis.com/apps/mapviewer/index.html?url=https%3A%2F%2Ftims.dot.state.oh.us%2Fags%2Frest%2Fservices%2FRoadway_Information%2FFunctional_Class%2FMapServer%2F0&amp;find="&amp;$F409&amp;"%2C"&amp;$E409&amp;"&amp;marker="&amp;$F409&amp;","&amp;$E409&amp;",4326&amp;level=16","https://fema.maps.arcgis.com/apps/mapviewer/index.html?find="&amp;$F409&amp;"%2C"&amp;$E409&amp;"&amp;marker="&amp;$F409&amp;","&amp;$E409&amp;",4326&amp;level=16")))))),IF(_xlfn.SINGLE(JobState)="WI","Review Local Roads Layer","Review NFC AGOL Layer"))))</f>
        <v/>
      </c>
      <c r="N409" s="6" t="str">
        <f>IF(OR($E409="",$F409=""),"",IF(_xlfn.SINGLE(JobState)="",IF(ROW()=2,HYPERLINK("#JobState","Set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409&amp;"%2C"&amp;$E409&amp;"&amp;marker="&amp;$F409&amp;","&amp;$E409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9" s="6" t="str">
        <f>IF(OR($E409="", $F409=""),"",IF(_xlfn.SINGLE(JobAgolMap)="",HYPERLINK("https://fema.maps.arcgis.com/apps/mapviewer/index.html?find="&amp;$F409&amp;"%2C"&amp;$E409&amp;"&amp;marker="&amp;$F409&amp;","&amp;$E409&amp;",4326&amp;level=16","FEMA AGOL Map Viewer"),HYPERLINK(_xlfn.SINGLE(JobAgolMap)&amp;IF(ISNUMBER(FIND("?",_xlfn.SINGLE(JobAgolMap))),"&amp;","?")&amp;"center="&amp;$F409&amp;","&amp;$E409&amp;"&amp;level=16&amp;marker="&amp;$F409&amp;","&amp;$E409,"Open")))</f>
        <v/>
      </c>
      <c r="Q409" s="4"/>
      <c r="R409" s="4"/>
      <c r="W409" s="6" t="str">
        <f t="shared" si="36"/>
        <v/>
      </c>
      <c r="X409" s="6" t="str">
        <f t="shared" si="37"/>
        <v/>
      </c>
      <c r="Y409" s="6" t="str">
        <f t="shared" si="38"/>
        <v/>
      </c>
      <c r="Z409" s="6" t="str">
        <f t="shared" si="39"/>
        <v/>
      </c>
      <c r="AA409" s="6" t="str">
        <f t="shared" si="40"/>
        <v/>
      </c>
      <c r="AB409" s="6" t="str">
        <f t="shared" si="41"/>
        <v/>
      </c>
      <c r="AC409" s="4"/>
      <c r="AD409" s="4"/>
    </row>
    <row r="410" spans="1:30" x14ac:dyDescent="0.45">
      <c r="A410" s="3"/>
      <c r="B410" s="3"/>
      <c r="C410" s="5" t="str">
        <f>IF($E410="","",COUNT($E$2:$E410))</f>
        <v/>
      </c>
      <c r="D410" s="3"/>
      <c r="E410" s="3"/>
      <c r="F410" s="3"/>
      <c r="G410" s="3"/>
      <c r="H410" s="3"/>
      <c r="I410" s="3"/>
      <c r="J410" s="3"/>
      <c r="K410" s="3"/>
      <c r="L410" s="4"/>
      <c r="M410" s="6" t="str">
        <f>IF(OR($E410="",$F410=""),"",IF(_xlfn.SINGLE(JobState)="",IF(ROW()=2,HYPERLINK("#JobState","Set State →"),""),HYPERLINK(IF(OR(_xlfn.SINGLE(JobState)="MI",_xlfn.SINGLE(JobState)=""),"https://fema.maps.arcgis.com/apps/mapviewer/index.html?webmap=6a1702b9147243d1a5ee62cd614bc681&amp;center="&amp;$F410&amp;","&amp;$E410&amp;"&amp;level=16&amp;marker="&amp;$F410&amp;","&amp;$E410&amp;"",IF(_xlfn.SINGLE(JobState)="IN","https://fema.maps.arcgis.com/apps/mapviewer/index.html?url=https%3A%2F%2Fgis.indot.in.gov%2Fro%2Frest%2Fservices%2FRAH_GIO_Collaboration%2FLRSE_Functional_Class%2FFeatureServer%2F22&amp;find="&amp;$F410&amp;"%2C"&amp;$E410&amp;"&amp;marker="&amp;$F410&amp;","&amp;$E410&amp;",4326&amp;level=16",IF(_xlfn.SINGLE(JobState)="WI","https://fema.maps.arcgis.com/apps/mapviewer/index.html?url=https://services5.arcgis.com/0pgGLzT0Nh7FVjon/arcgis/rest/services/Functional_Class_Local_Non_Prod/FeatureServer/1&amp;find="&amp;$F410&amp;"%2C"&amp;$E410&amp;"&amp;marker="&amp;$F410&amp;","&amp;$E410&amp;",4326&amp;level=16",IF(_xlfn.SINGLE(JobState)="MN","https://fema.maps.arcgis.com/apps/mapviewer/index.html?url=https%3A%2F%2Fdotapp9.dot.state.mn.us%2Fegis12%2Frest%2Fservices%2FBASEMAP%2Fmndot_commonlayers2%2FMapServer%2F11&amp;find="&amp;$F410&amp;"%2C"&amp;$E410&amp;"&amp;marker="&amp;$F410&amp;","&amp;$E410&amp;",4326&amp;level=16",IF(_xlfn.SINGLE(JobState)="IL","https://fema.maps.arcgis.com/apps/mapviewer/index.html?url=https%3A%2F%2Fgis1.dot.illinois.gov%2Farcgis%2Frest%2Fservices%2FAdministrativeData%2FFunctionalClass%2FMapServer%2F0&amp;find="&amp;$F410&amp;"%2C"&amp;$E410&amp;"&amp;marker="&amp;$F410&amp;","&amp;$E410&amp;",4326&amp;level=16",IF(_xlfn.SINGLE(JobState)="OH","https://fema.maps.arcgis.com/apps/mapviewer/index.html?url=https%3A%2F%2Ftims.dot.state.oh.us%2Fags%2Frest%2Fservices%2FRoadway_Information%2FFunctional_Class%2FMapServer%2F0&amp;find="&amp;$F410&amp;"%2C"&amp;$E410&amp;"&amp;marker="&amp;$F410&amp;","&amp;$E410&amp;",4326&amp;level=16","https://fema.maps.arcgis.com/apps/mapviewer/index.html?find="&amp;$F410&amp;"%2C"&amp;$E410&amp;"&amp;marker="&amp;$F410&amp;","&amp;$E410&amp;",4326&amp;level=16")))))),IF(_xlfn.SINGLE(JobState)="WI","Review Local Roads Layer","Review NFC AGOL Layer"))))</f>
        <v/>
      </c>
      <c r="N410" s="6" t="str">
        <f>IF(OR($E410="",$F410=""),"",IF(_xlfn.SINGLE(JobState)="",IF(ROW()=2,HYPERLINK("#JobState","Set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410&amp;"%2C"&amp;$E410&amp;"&amp;marker="&amp;$F410&amp;","&amp;$E410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0" s="6" t="str">
        <f>IF(OR($E410="", $F410=""),"",IF(_xlfn.SINGLE(JobAgolMap)="",HYPERLINK("https://fema.maps.arcgis.com/apps/mapviewer/index.html?find="&amp;$F410&amp;"%2C"&amp;$E410&amp;"&amp;marker="&amp;$F410&amp;","&amp;$E410&amp;",4326&amp;level=16","FEMA AGOL Map Viewer"),HYPERLINK(_xlfn.SINGLE(JobAgolMap)&amp;IF(ISNUMBER(FIND("?",_xlfn.SINGLE(JobAgolMap))),"&amp;","?")&amp;"center="&amp;$F410&amp;","&amp;$E410&amp;"&amp;level=16&amp;marker="&amp;$F410&amp;","&amp;$E410,"Open")))</f>
        <v/>
      </c>
      <c r="Q410" s="4"/>
      <c r="R410" s="4"/>
      <c r="W410" s="6" t="str">
        <f t="shared" si="36"/>
        <v/>
      </c>
      <c r="X410" s="6" t="str">
        <f t="shared" si="37"/>
        <v/>
      </c>
      <c r="Y410" s="6" t="str">
        <f t="shared" si="38"/>
        <v/>
      </c>
      <c r="Z410" s="6" t="str">
        <f t="shared" si="39"/>
        <v/>
      </c>
      <c r="AA410" s="6" t="str">
        <f t="shared" si="40"/>
        <v/>
      </c>
      <c r="AB410" s="6" t="str">
        <f t="shared" si="41"/>
        <v/>
      </c>
      <c r="AC410" s="4"/>
      <c r="AD410" s="4"/>
    </row>
    <row r="411" spans="1:30" x14ac:dyDescent="0.45">
      <c r="A411" s="3"/>
      <c r="B411" s="3"/>
      <c r="C411" s="5" t="str">
        <f>IF($E411="","",COUNT($E$2:$E411))</f>
        <v/>
      </c>
      <c r="D411" s="3"/>
      <c r="E411" s="3"/>
      <c r="F411" s="3"/>
      <c r="G411" s="3"/>
      <c r="H411" s="3"/>
      <c r="I411" s="3"/>
      <c r="J411" s="3"/>
      <c r="K411" s="3"/>
      <c r="L411" s="4"/>
      <c r="M411" s="6" t="str">
        <f>IF(OR($E411="",$F411=""),"",IF(_xlfn.SINGLE(JobState)="",IF(ROW()=2,HYPERLINK("#JobState","Set State →"),""),HYPERLINK(IF(OR(_xlfn.SINGLE(JobState)="MI",_xlfn.SINGLE(JobState)=""),"https://fema.maps.arcgis.com/apps/mapviewer/index.html?webmap=6a1702b9147243d1a5ee62cd614bc681&amp;center="&amp;$F411&amp;","&amp;$E411&amp;"&amp;level=16&amp;marker="&amp;$F411&amp;","&amp;$E411&amp;"",IF(_xlfn.SINGLE(JobState)="IN","https://fema.maps.arcgis.com/apps/mapviewer/index.html?url=https%3A%2F%2Fgis.indot.in.gov%2Fro%2Frest%2Fservices%2FRAH_GIO_Collaboration%2FLRSE_Functional_Class%2FFeatureServer%2F22&amp;find="&amp;$F411&amp;"%2C"&amp;$E411&amp;"&amp;marker="&amp;$F411&amp;","&amp;$E411&amp;",4326&amp;level=16",IF(_xlfn.SINGLE(JobState)="WI","https://fema.maps.arcgis.com/apps/mapviewer/index.html?url=https://services5.arcgis.com/0pgGLzT0Nh7FVjon/arcgis/rest/services/Functional_Class_Local_Non_Prod/FeatureServer/1&amp;find="&amp;$F411&amp;"%2C"&amp;$E411&amp;"&amp;marker="&amp;$F411&amp;","&amp;$E411&amp;",4326&amp;level=16",IF(_xlfn.SINGLE(JobState)="MN","https://fema.maps.arcgis.com/apps/mapviewer/index.html?url=https%3A%2F%2Fdotapp9.dot.state.mn.us%2Fegis12%2Frest%2Fservices%2FBASEMAP%2Fmndot_commonlayers2%2FMapServer%2F11&amp;find="&amp;$F411&amp;"%2C"&amp;$E411&amp;"&amp;marker="&amp;$F411&amp;","&amp;$E411&amp;",4326&amp;level=16",IF(_xlfn.SINGLE(JobState)="IL","https://fema.maps.arcgis.com/apps/mapviewer/index.html?url=https%3A%2F%2Fgis1.dot.illinois.gov%2Farcgis%2Frest%2Fservices%2FAdministrativeData%2FFunctionalClass%2FMapServer%2F0&amp;find="&amp;$F411&amp;"%2C"&amp;$E411&amp;"&amp;marker="&amp;$F411&amp;","&amp;$E411&amp;",4326&amp;level=16",IF(_xlfn.SINGLE(JobState)="OH","https://fema.maps.arcgis.com/apps/mapviewer/index.html?url=https%3A%2F%2Ftims.dot.state.oh.us%2Fags%2Frest%2Fservices%2FRoadway_Information%2FFunctional_Class%2FMapServer%2F0&amp;find="&amp;$F411&amp;"%2C"&amp;$E411&amp;"&amp;marker="&amp;$F411&amp;","&amp;$E411&amp;",4326&amp;level=16","https://fema.maps.arcgis.com/apps/mapviewer/index.html?find="&amp;$F411&amp;"%2C"&amp;$E411&amp;"&amp;marker="&amp;$F411&amp;","&amp;$E411&amp;",4326&amp;level=16")))))),IF(_xlfn.SINGLE(JobState)="WI","Review Local Roads Layer","Review NFC AGOL Layer"))))</f>
        <v/>
      </c>
      <c r="N411" s="6" t="str">
        <f>IF(OR($E411="",$F411=""),"",IF(_xlfn.SINGLE(JobState)="",IF(ROW()=2,HYPERLINK("#JobState","Set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411&amp;"%2C"&amp;$E411&amp;"&amp;marker="&amp;$F411&amp;","&amp;$E411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1" s="6" t="str">
        <f>IF(OR($E411="", $F411=""),"",IF(_xlfn.SINGLE(JobAgolMap)="",HYPERLINK("https://fema.maps.arcgis.com/apps/mapviewer/index.html?find="&amp;$F411&amp;"%2C"&amp;$E411&amp;"&amp;marker="&amp;$F411&amp;","&amp;$E411&amp;",4326&amp;level=16","FEMA AGOL Map Viewer"),HYPERLINK(_xlfn.SINGLE(JobAgolMap)&amp;IF(ISNUMBER(FIND("?",_xlfn.SINGLE(JobAgolMap))),"&amp;","?")&amp;"center="&amp;$F411&amp;","&amp;$E411&amp;"&amp;level=16&amp;marker="&amp;$F411&amp;","&amp;$E411,"Open")))</f>
        <v/>
      </c>
      <c r="Q411" s="4"/>
      <c r="R411" s="4"/>
      <c r="W411" s="6" t="str">
        <f t="shared" si="36"/>
        <v/>
      </c>
      <c r="X411" s="6" t="str">
        <f t="shared" si="37"/>
        <v/>
      </c>
      <c r="Y411" s="6" t="str">
        <f t="shared" si="38"/>
        <v/>
      </c>
      <c r="Z411" s="6" t="str">
        <f t="shared" si="39"/>
        <v/>
      </c>
      <c r="AA411" s="6" t="str">
        <f t="shared" si="40"/>
        <v/>
      </c>
      <c r="AB411" s="6" t="str">
        <f t="shared" si="41"/>
        <v/>
      </c>
      <c r="AC411" s="4"/>
      <c r="AD411" s="4"/>
    </row>
    <row r="412" spans="1:30" x14ac:dyDescent="0.45">
      <c r="A412" s="3"/>
      <c r="B412" s="3"/>
      <c r="C412" s="5" t="str">
        <f>IF($E412="","",COUNT($E$2:$E412))</f>
        <v/>
      </c>
      <c r="D412" s="3"/>
      <c r="E412" s="3"/>
      <c r="F412" s="3"/>
      <c r="G412" s="3"/>
      <c r="H412" s="3"/>
      <c r="I412" s="3"/>
      <c r="J412" s="3"/>
      <c r="K412" s="3"/>
      <c r="L412" s="4"/>
      <c r="M412" s="6" t="str">
        <f>IF(OR($E412="",$F412=""),"",IF(_xlfn.SINGLE(JobState)="",IF(ROW()=2,HYPERLINK("#JobState","Set State →"),""),HYPERLINK(IF(OR(_xlfn.SINGLE(JobState)="MI",_xlfn.SINGLE(JobState)=""),"https://fema.maps.arcgis.com/apps/mapviewer/index.html?webmap=6a1702b9147243d1a5ee62cd614bc681&amp;center="&amp;$F412&amp;","&amp;$E412&amp;"&amp;level=16&amp;marker="&amp;$F412&amp;","&amp;$E412&amp;"",IF(_xlfn.SINGLE(JobState)="IN","https://fema.maps.arcgis.com/apps/mapviewer/index.html?url=https%3A%2F%2Fgis.indot.in.gov%2Fro%2Frest%2Fservices%2FRAH_GIO_Collaboration%2FLRSE_Functional_Class%2FFeatureServer%2F22&amp;find="&amp;$F412&amp;"%2C"&amp;$E412&amp;"&amp;marker="&amp;$F412&amp;","&amp;$E412&amp;",4326&amp;level=16",IF(_xlfn.SINGLE(JobState)="WI","https://fema.maps.arcgis.com/apps/mapviewer/index.html?url=https://services5.arcgis.com/0pgGLzT0Nh7FVjon/arcgis/rest/services/Functional_Class_Local_Non_Prod/FeatureServer/1&amp;find="&amp;$F412&amp;"%2C"&amp;$E412&amp;"&amp;marker="&amp;$F412&amp;","&amp;$E412&amp;",4326&amp;level=16",IF(_xlfn.SINGLE(JobState)="MN","https://fema.maps.arcgis.com/apps/mapviewer/index.html?url=https%3A%2F%2Fdotapp9.dot.state.mn.us%2Fegis12%2Frest%2Fservices%2FBASEMAP%2Fmndot_commonlayers2%2FMapServer%2F11&amp;find="&amp;$F412&amp;"%2C"&amp;$E412&amp;"&amp;marker="&amp;$F412&amp;","&amp;$E412&amp;",4326&amp;level=16",IF(_xlfn.SINGLE(JobState)="IL","https://fema.maps.arcgis.com/apps/mapviewer/index.html?url=https%3A%2F%2Fgis1.dot.illinois.gov%2Farcgis%2Frest%2Fservices%2FAdministrativeData%2FFunctionalClass%2FMapServer%2F0&amp;find="&amp;$F412&amp;"%2C"&amp;$E412&amp;"&amp;marker="&amp;$F412&amp;","&amp;$E412&amp;",4326&amp;level=16",IF(_xlfn.SINGLE(JobState)="OH","https://fema.maps.arcgis.com/apps/mapviewer/index.html?url=https%3A%2F%2Ftims.dot.state.oh.us%2Fags%2Frest%2Fservices%2FRoadway_Information%2FFunctional_Class%2FMapServer%2F0&amp;find="&amp;$F412&amp;"%2C"&amp;$E412&amp;"&amp;marker="&amp;$F412&amp;","&amp;$E412&amp;",4326&amp;level=16","https://fema.maps.arcgis.com/apps/mapviewer/index.html?find="&amp;$F412&amp;"%2C"&amp;$E412&amp;"&amp;marker="&amp;$F412&amp;","&amp;$E412&amp;",4326&amp;level=16")))))),IF(_xlfn.SINGLE(JobState)="WI","Review Local Roads Layer","Review NFC AGOL Layer"))))</f>
        <v/>
      </c>
      <c r="N412" s="6" t="str">
        <f>IF(OR($E412="",$F412=""),"",IF(_xlfn.SINGLE(JobState)="",IF(ROW()=2,HYPERLINK("#JobState","Set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412&amp;"%2C"&amp;$E412&amp;"&amp;marker="&amp;$F412&amp;","&amp;$E412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2" s="6" t="str">
        <f>IF(OR($E412="", $F412=""),"",IF(_xlfn.SINGLE(JobAgolMap)="",HYPERLINK("https://fema.maps.arcgis.com/apps/mapviewer/index.html?find="&amp;$F412&amp;"%2C"&amp;$E412&amp;"&amp;marker="&amp;$F412&amp;","&amp;$E412&amp;",4326&amp;level=16","FEMA AGOL Map Viewer"),HYPERLINK(_xlfn.SINGLE(JobAgolMap)&amp;IF(ISNUMBER(FIND("?",_xlfn.SINGLE(JobAgolMap))),"&amp;","?")&amp;"center="&amp;$F412&amp;","&amp;$E412&amp;"&amp;level=16&amp;marker="&amp;$F412&amp;","&amp;$E412,"Open")))</f>
        <v/>
      </c>
      <c r="Q412" s="4"/>
      <c r="R412" s="4"/>
      <c r="W412" s="6" t="str">
        <f t="shared" si="36"/>
        <v/>
      </c>
      <c r="X412" s="6" t="str">
        <f t="shared" si="37"/>
        <v/>
      </c>
      <c r="Y412" s="6" t="str">
        <f t="shared" si="38"/>
        <v/>
      </c>
      <c r="Z412" s="6" t="str">
        <f t="shared" si="39"/>
        <v/>
      </c>
      <c r="AA412" s="6" t="str">
        <f t="shared" si="40"/>
        <v/>
      </c>
      <c r="AB412" s="6" t="str">
        <f t="shared" si="41"/>
        <v/>
      </c>
      <c r="AC412" s="4"/>
      <c r="AD412" s="4"/>
    </row>
    <row r="413" spans="1:30" x14ac:dyDescent="0.45">
      <c r="A413" s="3"/>
      <c r="B413" s="3"/>
      <c r="C413" s="5" t="str">
        <f>IF($E413="","",COUNT($E$2:$E413))</f>
        <v/>
      </c>
      <c r="D413" s="3"/>
      <c r="E413" s="3"/>
      <c r="F413" s="3"/>
      <c r="G413" s="3"/>
      <c r="H413" s="3"/>
      <c r="I413" s="3"/>
      <c r="J413" s="3"/>
      <c r="K413" s="3"/>
      <c r="L413" s="4"/>
      <c r="M413" s="6" t="str">
        <f>IF(OR($E413="",$F413=""),"",IF(_xlfn.SINGLE(JobState)="",IF(ROW()=2,HYPERLINK("#JobState","Set State →"),""),HYPERLINK(IF(OR(_xlfn.SINGLE(JobState)="MI",_xlfn.SINGLE(JobState)=""),"https://fema.maps.arcgis.com/apps/mapviewer/index.html?webmap=6a1702b9147243d1a5ee62cd614bc681&amp;center="&amp;$F413&amp;","&amp;$E413&amp;"&amp;level=16&amp;marker="&amp;$F413&amp;","&amp;$E413&amp;"",IF(_xlfn.SINGLE(JobState)="IN","https://fema.maps.arcgis.com/apps/mapviewer/index.html?url=https%3A%2F%2Fgis.indot.in.gov%2Fro%2Frest%2Fservices%2FRAH_GIO_Collaboration%2FLRSE_Functional_Class%2FFeatureServer%2F22&amp;find="&amp;$F413&amp;"%2C"&amp;$E413&amp;"&amp;marker="&amp;$F413&amp;","&amp;$E413&amp;",4326&amp;level=16",IF(_xlfn.SINGLE(JobState)="WI","https://fema.maps.arcgis.com/apps/mapviewer/index.html?url=https://services5.arcgis.com/0pgGLzT0Nh7FVjon/arcgis/rest/services/Functional_Class_Local_Non_Prod/FeatureServer/1&amp;find="&amp;$F413&amp;"%2C"&amp;$E413&amp;"&amp;marker="&amp;$F413&amp;","&amp;$E413&amp;",4326&amp;level=16",IF(_xlfn.SINGLE(JobState)="MN","https://fema.maps.arcgis.com/apps/mapviewer/index.html?url=https%3A%2F%2Fdotapp9.dot.state.mn.us%2Fegis12%2Frest%2Fservices%2FBASEMAP%2Fmndot_commonlayers2%2FMapServer%2F11&amp;find="&amp;$F413&amp;"%2C"&amp;$E413&amp;"&amp;marker="&amp;$F413&amp;","&amp;$E413&amp;",4326&amp;level=16",IF(_xlfn.SINGLE(JobState)="IL","https://fema.maps.arcgis.com/apps/mapviewer/index.html?url=https%3A%2F%2Fgis1.dot.illinois.gov%2Farcgis%2Frest%2Fservices%2FAdministrativeData%2FFunctionalClass%2FMapServer%2F0&amp;find="&amp;$F413&amp;"%2C"&amp;$E413&amp;"&amp;marker="&amp;$F413&amp;","&amp;$E413&amp;",4326&amp;level=16",IF(_xlfn.SINGLE(JobState)="OH","https://fema.maps.arcgis.com/apps/mapviewer/index.html?url=https%3A%2F%2Ftims.dot.state.oh.us%2Fags%2Frest%2Fservices%2FRoadway_Information%2FFunctional_Class%2FMapServer%2F0&amp;find="&amp;$F413&amp;"%2C"&amp;$E413&amp;"&amp;marker="&amp;$F413&amp;","&amp;$E413&amp;",4326&amp;level=16","https://fema.maps.arcgis.com/apps/mapviewer/index.html?find="&amp;$F413&amp;"%2C"&amp;$E413&amp;"&amp;marker="&amp;$F413&amp;","&amp;$E413&amp;",4326&amp;level=16")))))),IF(_xlfn.SINGLE(JobState)="WI","Review Local Roads Layer","Review NFC AGOL Layer"))))</f>
        <v/>
      </c>
      <c r="N413" s="6" t="str">
        <f>IF(OR($E413="",$F413=""),"",IF(_xlfn.SINGLE(JobState)="",IF(ROW()=2,HYPERLINK("#JobState","Set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413&amp;"%2C"&amp;$E413&amp;"&amp;marker="&amp;$F413&amp;","&amp;$E413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3" s="6" t="str">
        <f>IF(OR($E413="", $F413=""),"",IF(_xlfn.SINGLE(JobAgolMap)="",HYPERLINK("https://fema.maps.arcgis.com/apps/mapviewer/index.html?find="&amp;$F413&amp;"%2C"&amp;$E413&amp;"&amp;marker="&amp;$F413&amp;","&amp;$E413&amp;",4326&amp;level=16","FEMA AGOL Map Viewer"),HYPERLINK(_xlfn.SINGLE(JobAgolMap)&amp;IF(ISNUMBER(FIND("?",_xlfn.SINGLE(JobAgolMap))),"&amp;","?")&amp;"center="&amp;$F413&amp;","&amp;$E413&amp;"&amp;level=16&amp;marker="&amp;$F413&amp;","&amp;$E413,"Open")))</f>
        <v/>
      </c>
      <c r="Q413" s="4"/>
      <c r="R413" s="4"/>
      <c r="W413" s="6" t="str">
        <f t="shared" si="36"/>
        <v/>
      </c>
      <c r="X413" s="6" t="str">
        <f t="shared" si="37"/>
        <v/>
      </c>
      <c r="Y413" s="6" t="str">
        <f t="shared" si="38"/>
        <v/>
      </c>
      <c r="Z413" s="6" t="str">
        <f t="shared" si="39"/>
        <v/>
      </c>
      <c r="AA413" s="6" t="str">
        <f t="shared" si="40"/>
        <v/>
      </c>
      <c r="AB413" s="6" t="str">
        <f t="shared" si="41"/>
        <v/>
      </c>
      <c r="AC413" s="4"/>
      <c r="AD413" s="4"/>
    </row>
    <row r="414" spans="1:30" x14ac:dyDescent="0.45">
      <c r="A414" s="3"/>
      <c r="B414" s="3"/>
      <c r="C414" s="5" t="str">
        <f>IF($E414="","",COUNT($E$2:$E414))</f>
        <v/>
      </c>
      <c r="D414" s="3"/>
      <c r="E414" s="3"/>
      <c r="F414" s="3"/>
      <c r="G414" s="3"/>
      <c r="H414" s="3"/>
      <c r="I414" s="3"/>
      <c r="J414" s="3"/>
      <c r="K414" s="3"/>
      <c r="L414" s="4"/>
      <c r="M414" s="6" t="str">
        <f>IF(OR($E414="",$F414=""),"",IF(_xlfn.SINGLE(JobState)="",IF(ROW()=2,HYPERLINK("#JobState","Set State →"),""),HYPERLINK(IF(OR(_xlfn.SINGLE(JobState)="MI",_xlfn.SINGLE(JobState)=""),"https://fema.maps.arcgis.com/apps/mapviewer/index.html?webmap=6a1702b9147243d1a5ee62cd614bc681&amp;center="&amp;$F414&amp;","&amp;$E414&amp;"&amp;level=16&amp;marker="&amp;$F414&amp;","&amp;$E414&amp;"",IF(_xlfn.SINGLE(JobState)="IN","https://fema.maps.arcgis.com/apps/mapviewer/index.html?url=https%3A%2F%2Fgis.indot.in.gov%2Fro%2Frest%2Fservices%2FRAH_GIO_Collaboration%2FLRSE_Functional_Class%2FFeatureServer%2F22&amp;find="&amp;$F414&amp;"%2C"&amp;$E414&amp;"&amp;marker="&amp;$F414&amp;","&amp;$E414&amp;",4326&amp;level=16",IF(_xlfn.SINGLE(JobState)="WI","https://fema.maps.arcgis.com/apps/mapviewer/index.html?url=https://services5.arcgis.com/0pgGLzT0Nh7FVjon/arcgis/rest/services/Functional_Class_Local_Non_Prod/FeatureServer/1&amp;find="&amp;$F414&amp;"%2C"&amp;$E414&amp;"&amp;marker="&amp;$F414&amp;","&amp;$E414&amp;",4326&amp;level=16",IF(_xlfn.SINGLE(JobState)="MN","https://fema.maps.arcgis.com/apps/mapviewer/index.html?url=https%3A%2F%2Fdotapp9.dot.state.mn.us%2Fegis12%2Frest%2Fservices%2FBASEMAP%2Fmndot_commonlayers2%2FMapServer%2F11&amp;find="&amp;$F414&amp;"%2C"&amp;$E414&amp;"&amp;marker="&amp;$F414&amp;","&amp;$E414&amp;",4326&amp;level=16",IF(_xlfn.SINGLE(JobState)="IL","https://fema.maps.arcgis.com/apps/mapviewer/index.html?url=https%3A%2F%2Fgis1.dot.illinois.gov%2Farcgis%2Frest%2Fservices%2FAdministrativeData%2FFunctionalClass%2FMapServer%2F0&amp;find="&amp;$F414&amp;"%2C"&amp;$E414&amp;"&amp;marker="&amp;$F414&amp;","&amp;$E414&amp;",4326&amp;level=16",IF(_xlfn.SINGLE(JobState)="OH","https://fema.maps.arcgis.com/apps/mapviewer/index.html?url=https%3A%2F%2Ftims.dot.state.oh.us%2Fags%2Frest%2Fservices%2FRoadway_Information%2FFunctional_Class%2FMapServer%2F0&amp;find="&amp;$F414&amp;"%2C"&amp;$E414&amp;"&amp;marker="&amp;$F414&amp;","&amp;$E414&amp;",4326&amp;level=16","https://fema.maps.arcgis.com/apps/mapviewer/index.html?find="&amp;$F414&amp;"%2C"&amp;$E414&amp;"&amp;marker="&amp;$F414&amp;","&amp;$E414&amp;",4326&amp;level=16")))))),IF(_xlfn.SINGLE(JobState)="WI","Review Local Roads Layer","Review NFC AGOL Layer"))))</f>
        <v/>
      </c>
      <c r="N414" s="6" t="str">
        <f>IF(OR($E414="",$F414=""),"",IF(_xlfn.SINGLE(JobState)="",IF(ROW()=2,HYPERLINK("#JobState","Set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414&amp;"%2C"&amp;$E414&amp;"&amp;marker="&amp;$F414&amp;","&amp;$E414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4" s="6" t="str">
        <f>IF(OR($E414="", $F414=""),"",IF(_xlfn.SINGLE(JobAgolMap)="",HYPERLINK("https://fema.maps.arcgis.com/apps/mapviewer/index.html?find="&amp;$F414&amp;"%2C"&amp;$E414&amp;"&amp;marker="&amp;$F414&amp;","&amp;$E414&amp;",4326&amp;level=16","FEMA AGOL Map Viewer"),HYPERLINK(_xlfn.SINGLE(JobAgolMap)&amp;IF(ISNUMBER(FIND("?",_xlfn.SINGLE(JobAgolMap))),"&amp;","?")&amp;"center="&amp;$F414&amp;","&amp;$E414&amp;"&amp;level=16&amp;marker="&amp;$F414&amp;","&amp;$E414,"Open")))</f>
        <v/>
      </c>
      <c r="Q414" s="4"/>
      <c r="R414" s="4"/>
      <c r="W414" s="6" t="str">
        <f t="shared" si="36"/>
        <v/>
      </c>
      <c r="X414" s="6" t="str">
        <f t="shared" si="37"/>
        <v/>
      </c>
      <c r="Y414" s="6" t="str">
        <f t="shared" si="38"/>
        <v/>
      </c>
      <c r="Z414" s="6" t="str">
        <f t="shared" si="39"/>
        <v/>
      </c>
      <c r="AA414" s="6" t="str">
        <f t="shared" si="40"/>
        <v/>
      </c>
      <c r="AB414" s="6" t="str">
        <f t="shared" si="41"/>
        <v/>
      </c>
      <c r="AC414" s="4"/>
      <c r="AD414" s="4"/>
    </row>
    <row r="415" spans="1:30" x14ac:dyDescent="0.45">
      <c r="A415" s="3"/>
      <c r="B415" s="3"/>
      <c r="C415" s="5" t="str">
        <f>IF($E415="","",COUNT($E$2:$E415))</f>
        <v/>
      </c>
      <c r="D415" s="3"/>
      <c r="E415" s="3"/>
      <c r="F415" s="3"/>
      <c r="G415" s="3"/>
      <c r="H415" s="3"/>
      <c r="I415" s="3"/>
      <c r="J415" s="3"/>
      <c r="K415" s="3"/>
      <c r="L415" s="4"/>
      <c r="M415" s="6" t="str">
        <f>IF(OR($E415="",$F415=""),"",IF(_xlfn.SINGLE(JobState)="",IF(ROW()=2,HYPERLINK("#JobState","Set State →"),""),HYPERLINK(IF(OR(_xlfn.SINGLE(JobState)="MI",_xlfn.SINGLE(JobState)=""),"https://fema.maps.arcgis.com/apps/mapviewer/index.html?webmap=6a1702b9147243d1a5ee62cd614bc681&amp;center="&amp;$F415&amp;","&amp;$E415&amp;"&amp;level=16&amp;marker="&amp;$F415&amp;","&amp;$E415&amp;"",IF(_xlfn.SINGLE(JobState)="IN","https://fema.maps.arcgis.com/apps/mapviewer/index.html?url=https%3A%2F%2Fgis.indot.in.gov%2Fro%2Frest%2Fservices%2FRAH_GIO_Collaboration%2FLRSE_Functional_Class%2FFeatureServer%2F22&amp;find="&amp;$F415&amp;"%2C"&amp;$E415&amp;"&amp;marker="&amp;$F415&amp;","&amp;$E415&amp;",4326&amp;level=16",IF(_xlfn.SINGLE(JobState)="WI","https://fema.maps.arcgis.com/apps/mapviewer/index.html?url=https://services5.arcgis.com/0pgGLzT0Nh7FVjon/arcgis/rest/services/Functional_Class_Local_Non_Prod/FeatureServer/1&amp;find="&amp;$F415&amp;"%2C"&amp;$E415&amp;"&amp;marker="&amp;$F415&amp;","&amp;$E415&amp;",4326&amp;level=16",IF(_xlfn.SINGLE(JobState)="MN","https://fema.maps.arcgis.com/apps/mapviewer/index.html?url=https%3A%2F%2Fdotapp9.dot.state.mn.us%2Fegis12%2Frest%2Fservices%2FBASEMAP%2Fmndot_commonlayers2%2FMapServer%2F11&amp;find="&amp;$F415&amp;"%2C"&amp;$E415&amp;"&amp;marker="&amp;$F415&amp;","&amp;$E415&amp;",4326&amp;level=16",IF(_xlfn.SINGLE(JobState)="IL","https://fema.maps.arcgis.com/apps/mapviewer/index.html?url=https%3A%2F%2Fgis1.dot.illinois.gov%2Farcgis%2Frest%2Fservices%2FAdministrativeData%2FFunctionalClass%2FMapServer%2F0&amp;find="&amp;$F415&amp;"%2C"&amp;$E415&amp;"&amp;marker="&amp;$F415&amp;","&amp;$E415&amp;",4326&amp;level=16",IF(_xlfn.SINGLE(JobState)="OH","https://fema.maps.arcgis.com/apps/mapviewer/index.html?url=https%3A%2F%2Ftims.dot.state.oh.us%2Fags%2Frest%2Fservices%2FRoadway_Information%2FFunctional_Class%2FMapServer%2F0&amp;find="&amp;$F415&amp;"%2C"&amp;$E415&amp;"&amp;marker="&amp;$F415&amp;","&amp;$E415&amp;",4326&amp;level=16","https://fema.maps.arcgis.com/apps/mapviewer/index.html?find="&amp;$F415&amp;"%2C"&amp;$E415&amp;"&amp;marker="&amp;$F415&amp;","&amp;$E415&amp;",4326&amp;level=16")))))),IF(_xlfn.SINGLE(JobState)="WI","Review Local Roads Layer","Review NFC AGOL Layer"))))</f>
        <v/>
      </c>
      <c r="N415" s="6" t="str">
        <f>IF(OR($E415="",$F415=""),"",IF(_xlfn.SINGLE(JobState)="",IF(ROW()=2,HYPERLINK("#JobState","Set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415&amp;"%2C"&amp;$E415&amp;"&amp;marker="&amp;$F415&amp;","&amp;$E415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5" s="6" t="str">
        <f>IF(OR($E415="", $F415=""),"",IF(_xlfn.SINGLE(JobAgolMap)="",HYPERLINK("https://fema.maps.arcgis.com/apps/mapviewer/index.html?find="&amp;$F415&amp;"%2C"&amp;$E415&amp;"&amp;marker="&amp;$F415&amp;","&amp;$E415&amp;",4326&amp;level=16","FEMA AGOL Map Viewer"),HYPERLINK(_xlfn.SINGLE(JobAgolMap)&amp;IF(ISNUMBER(FIND("?",_xlfn.SINGLE(JobAgolMap))),"&amp;","?")&amp;"center="&amp;$F415&amp;","&amp;$E415&amp;"&amp;level=16&amp;marker="&amp;$F415&amp;","&amp;$E415,"Open")))</f>
        <v/>
      </c>
      <c r="Q415" s="4"/>
      <c r="R415" s="4"/>
      <c r="W415" s="6" t="str">
        <f t="shared" si="36"/>
        <v/>
      </c>
      <c r="X415" s="6" t="str">
        <f t="shared" si="37"/>
        <v/>
      </c>
      <c r="Y415" s="6" t="str">
        <f t="shared" si="38"/>
        <v/>
      </c>
      <c r="Z415" s="6" t="str">
        <f t="shared" si="39"/>
        <v/>
      </c>
      <c r="AA415" s="6" t="str">
        <f t="shared" si="40"/>
        <v/>
      </c>
      <c r="AB415" s="6" t="str">
        <f t="shared" si="41"/>
        <v/>
      </c>
      <c r="AC415" s="4"/>
      <c r="AD415" s="4"/>
    </row>
    <row r="416" spans="1:30" x14ac:dyDescent="0.45">
      <c r="A416" s="3"/>
      <c r="B416" s="3"/>
      <c r="C416" s="5" t="str">
        <f>IF($E416="","",COUNT($E$2:$E416))</f>
        <v/>
      </c>
      <c r="D416" s="3"/>
      <c r="E416" s="3"/>
      <c r="F416" s="3"/>
      <c r="G416" s="3"/>
      <c r="H416" s="3"/>
      <c r="I416" s="3"/>
      <c r="J416" s="3"/>
      <c r="K416" s="3"/>
      <c r="L416" s="4"/>
      <c r="M416" s="6" t="str">
        <f>IF(OR($E416="",$F416=""),"",IF(_xlfn.SINGLE(JobState)="",IF(ROW()=2,HYPERLINK("#JobState","Set State →"),""),HYPERLINK(IF(OR(_xlfn.SINGLE(JobState)="MI",_xlfn.SINGLE(JobState)=""),"https://fema.maps.arcgis.com/apps/mapviewer/index.html?webmap=6a1702b9147243d1a5ee62cd614bc681&amp;center="&amp;$F416&amp;","&amp;$E416&amp;"&amp;level=16&amp;marker="&amp;$F416&amp;","&amp;$E416&amp;"",IF(_xlfn.SINGLE(JobState)="IN","https://fema.maps.arcgis.com/apps/mapviewer/index.html?url=https%3A%2F%2Fgis.indot.in.gov%2Fro%2Frest%2Fservices%2FRAH_GIO_Collaboration%2FLRSE_Functional_Class%2FFeatureServer%2F22&amp;find="&amp;$F416&amp;"%2C"&amp;$E416&amp;"&amp;marker="&amp;$F416&amp;","&amp;$E416&amp;",4326&amp;level=16",IF(_xlfn.SINGLE(JobState)="WI","https://fema.maps.arcgis.com/apps/mapviewer/index.html?url=https://services5.arcgis.com/0pgGLzT0Nh7FVjon/arcgis/rest/services/Functional_Class_Local_Non_Prod/FeatureServer/1&amp;find="&amp;$F416&amp;"%2C"&amp;$E416&amp;"&amp;marker="&amp;$F416&amp;","&amp;$E416&amp;",4326&amp;level=16",IF(_xlfn.SINGLE(JobState)="MN","https://fema.maps.arcgis.com/apps/mapviewer/index.html?url=https%3A%2F%2Fdotapp9.dot.state.mn.us%2Fegis12%2Frest%2Fservices%2FBASEMAP%2Fmndot_commonlayers2%2FMapServer%2F11&amp;find="&amp;$F416&amp;"%2C"&amp;$E416&amp;"&amp;marker="&amp;$F416&amp;","&amp;$E416&amp;",4326&amp;level=16",IF(_xlfn.SINGLE(JobState)="IL","https://fema.maps.arcgis.com/apps/mapviewer/index.html?url=https%3A%2F%2Fgis1.dot.illinois.gov%2Farcgis%2Frest%2Fservices%2FAdministrativeData%2FFunctionalClass%2FMapServer%2F0&amp;find="&amp;$F416&amp;"%2C"&amp;$E416&amp;"&amp;marker="&amp;$F416&amp;","&amp;$E416&amp;",4326&amp;level=16",IF(_xlfn.SINGLE(JobState)="OH","https://fema.maps.arcgis.com/apps/mapviewer/index.html?url=https%3A%2F%2Ftims.dot.state.oh.us%2Fags%2Frest%2Fservices%2FRoadway_Information%2FFunctional_Class%2FMapServer%2F0&amp;find="&amp;$F416&amp;"%2C"&amp;$E416&amp;"&amp;marker="&amp;$F416&amp;","&amp;$E416&amp;",4326&amp;level=16","https://fema.maps.arcgis.com/apps/mapviewer/index.html?find="&amp;$F416&amp;"%2C"&amp;$E416&amp;"&amp;marker="&amp;$F416&amp;","&amp;$E416&amp;",4326&amp;level=16")))))),IF(_xlfn.SINGLE(JobState)="WI","Review Local Roads Layer","Review NFC AGOL Layer"))))</f>
        <v/>
      </c>
      <c r="N416" s="6" t="str">
        <f>IF(OR($E416="",$F416=""),"",IF(_xlfn.SINGLE(JobState)="",IF(ROW()=2,HYPERLINK("#JobState","Set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416&amp;"%2C"&amp;$E416&amp;"&amp;marker="&amp;$F416&amp;","&amp;$E416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6" s="6" t="str">
        <f>IF(OR($E416="", $F416=""),"",IF(_xlfn.SINGLE(JobAgolMap)="",HYPERLINK("https://fema.maps.arcgis.com/apps/mapviewer/index.html?find="&amp;$F416&amp;"%2C"&amp;$E416&amp;"&amp;marker="&amp;$F416&amp;","&amp;$E416&amp;",4326&amp;level=16","FEMA AGOL Map Viewer"),HYPERLINK(_xlfn.SINGLE(JobAgolMap)&amp;IF(ISNUMBER(FIND("?",_xlfn.SINGLE(JobAgolMap))),"&amp;","?")&amp;"center="&amp;$F416&amp;","&amp;$E416&amp;"&amp;level=16&amp;marker="&amp;$F416&amp;","&amp;$E416,"Open")))</f>
        <v/>
      </c>
      <c r="Q416" s="4"/>
      <c r="R416" s="4"/>
      <c r="W416" s="6" t="str">
        <f t="shared" si="36"/>
        <v/>
      </c>
      <c r="X416" s="6" t="str">
        <f t="shared" si="37"/>
        <v/>
      </c>
      <c r="Y416" s="6" t="str">
        <f t="shared" si="38"/>
        <v/>
      </c>
      <c r="Z416" s="6" t="str">
        <f t="shared" si="39"/>
        <v/>
      </c>
      <c r="AA416" s="6" t="str">
        <f t="shared" si="40"/>
        <v/>
      </c>
      <c r="AB416" s="6" t="str">
        <f t="shared" si="41"/>
        <v/>
      </c>
      <c r="AC416" s="4"/>
      <c r="AD416" s="4"/>
    </row>
    <row r="417" spans="1:30" x14ac:dyDescent="0.45">
      <c r="A417" s="3"/>
      <c r="B417" s="3"/>
      <c r="C417" s="5" t="str">
        <f>IF($E417="","",COUNT($E$2:$E417))</f>
        <v/>
      </c>
      <c r="D417" s="3"/>
      <c r="E417" s="3"/>
      <c r="F417" s="3"/>
      <c r="G417" s="3"/>
      <c r="H417" s="3"/>
      <c r="I417" s="3"/>
      <c r="J417" s="3"/>
      <c r="K417" s="3"/>
      <c r="L417" s="4"/>
      <c r="M417" s="6" t="str">
        <f>IF(OR($E417="",$F417=""),"",IF(_xlfn.SINGLE(JobState)="",IF(ROW()=2,HYPERLINK("#JobState","Set State →"),""),HYPERLINK(IF(OR(_xlfn.SINGLE(JobState)="MI",_xlfn.SINGLE(JobState)=""),"https://fema.maps.arcgis.com/apps/mapviewer/index.html?webmap=6a1702b9147243d1a5ee62cd614bc681&amp;center="&amp;$F417&amp;","&amp;$E417&amp;"&amp;level=16&amp;marker="&amp;$F417&amp;","&amp;$E417&amp;"",IF(_xlfn.SINGLE(JobState)="IN","https://fema.maps.arcgis.com/apps/mapviewer/index.html?url=https%3A%2F%2Fgis.indot.in.gov%2Fro%2Frest%2Fservices%2FRAH_GIO_Collaboration%2FLRSE_Functional_Class%2FFeatureServer%2F22&amp;find="&amp;$F417&amp;"%2C"&amp;$E417&amp;"&amp;marker="&amp;$F417&amp;","&amp;$E417&amp;",4326&amp;level=16",IF(_xlfn.SINGLE(JobState)="WI","https://fema.maps.arcgis.com/apps/mapviewer/index.html?url=https://services5.arcgis.com/0pgGLzT0Nh7FVjon/arcgis/rest/services/Functional_Class_Local_Non_Prod/FeatureServer/1&amp;find="&amp;$F417&amp;"%2C"&amp;$E417&amp;"&amp;marker="&amp;$F417&amp;","&amp;$E417&amp;",4326&amp;level=16",IF(_xlfn.SINGLE(JobState)="MN","https://fema.maps.arcgis.com/apps/mapviewer/index.html?url=https%3A%2F%2Fdotapp9.dot.state.mn.us%2Fegis12%2Frest%2Fservices%2FBASEMAP%2Fmndot_commonlayers2%2FMapServer%2F11&amp;find="&amp;$F417&amp;"%2C"&amp;$E417&amp;"&amp;marker="&amp;$F417&amp;","&amp;$E417&amp;",4326&amp;level=16",IF(_xlfn.SINGLE(JobState)="IL","https://fema.maps.arcgis.com/apps/mapviewer/index.html?url=https%3A%2F%2Fgis1.dot.illinois.gov%2Farcgis%2Frest%2Fservices%2FAdministrativeData%2FFunctionalClass%2FMapServer%2F0&amp;find="&amp;$F417&amp;"%2C"&amp;$E417&amp;"&amp;marker="&amp;$F417&amp;","&amp;$E417&amp;",4326&amp;level=16",IF(_xlfn.SINGLE(JobState)="OH","https://fema.maps.arcgis.com/apps/mapviewer/index.html?url=https%3A%2F%2Ftims.dot.state.oh.us%2Fags%2Frest%2Fservices%2FRoadway_Information%2FFunctional_Class%2FMapServer%2F0&amp;find="&amp;$F417&amp;"%2C"&amp;$E417&amp;"&amp;marker="&amp;$F417&amp;","&amp;$E417&amp;",4326&amp;level=16","https://fema.maps.arcgis.com/apps/mapviewer/index.html?find="&amp;$F417&amp;"%2C"&amp;$E417&amp;"&amp;marker="&amp;$F417&amp;","&amp;$E417&amp;",4326&amp;level=16")))))),IF(_xlfn.SINGLE(JobState)="WI","Review Local Roads Layer","Review NFC AGOL Layer"))))</f>
        <v/>
      </c>
      <c r="N417" s="6" t="str">
        <f>IF(OR($E417="",$F417=""),"",IF(_xlfn.SINGLE(JobState)="",IF(ROW()=2,HYPERLINK("#JobState","Set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417&amp;"%2C"&amp;$E417&amp;"&amp;marker="&amp;$F417&amp;","&amp;$E417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7" s="6" t="str">
        <f>IF(OR($E417="", $F417=""),"",IF(_xlfn.SINGLE(JobAgolMap)="",HYPERLINK("https://fema.maps.arcgis.com/apps/mapviewer/index.html?find="&amp;$F417&amp;"%2C"&amp;$E417&amp;"&amp;marker="&amp;$F417&amp;","&amp;$E417&amp;",4326&amp;level=16","FEMA AGOL Map Viewer"),HYPERLINK(_xlfn.SINGLE(JobAgolMap)&amp;IF(ISNUMBER(FIND("?",_xlfn.SINGLE(JobAgolMap))),"&amp;","?")&amp;"center="&amp;$F417&amp;","&amp;$E417&amp;"&amp;level=16&amp;marker="&amp;$F417&amp;","&amp;$E417,"Open")))</f>
        <v/>
      </c>
      <c r="Q417" s="4"/>
      <c r="R417" s="4"/>
      <c r="W417" s="6" t="str">
        <f t="shared" si="36"/>
        <v/>
      </c>
      <c r="X417" s="6" t="str">
        <f t="shared" si="37"/>
        <v/>
      </c>
      <c r="Y417" s="6" t="str">
        <f t="shared" si="38"/>
        <v/>
      </c>
      <c r="Z417" s="6" t="str">
        <f t="shared" si="39"/>
        <v/>
      </c>
      <c r="AA417" s="6" t="str">
        <f t="shared" si="40"/>
        <v/>
      </c>
      <c r="AB417" s="6" t="str">
        <f t="shared" si="41"/>
        <v/>
      </c>
      <c r="AC417" s="4"/>
      <c r="AD417" s="4"/>
    </row>
    <row r="418" spans="1:30" x14ac:dyDescent="0.45">
      <c r="A418" s="3"/>
      <c r="B418" s="3"/>
      <c r="C418" s="5" t="str">
        <f>IF($E418="","",COUNT($E$2:$E418))</f>
        <v/>
      </c>
      <c r="D418" s="3"/>
      <c r="E418" s="3"/>
      <c r="F418" s="3"/>
      <c r="G418" s="3"/>
      <c r="H418" s="3"/>
      <c r="I418" s="3"/>
      <c r="J418" s="3"/>
      <c r="K418" s="3"/>
      <c r="L418" s="4"/>
      <c r="M418" s="6" t="str">
        <f>IF(OR($E418="",$F418=""),"",IF(_xlfn.SINGLE(JobState)="",IF(ROW()=2,HYPERLINK("#JobState","Set State →"),""),HYPERLINK(IF(OR(_xlfn.SINGLE(JobState)="MI",_xlfn.SINGLE(JobState)=""),"https://fema.maps.arcgis.com/apps/mapviewer/index.html?webmap=6a1702b9147243d1a5ee62cd614bc681&amp;center="&amp;$F418&amp;","&amp;$E418&amp;"&amp;level=16&amp;marker="&amp;$F418&amp;","&amp;$E418&amp;"",IF(_xlfn.SINGLE(JobState)="IN","https://fema.maps.arcgis.com/apps/mapviewer/index.html?url=https%3A%2F%2Fgis.indot.in.gov%2Fro%2Frest%2Fservices%2FRAH_GIO_Collaboration%2FLRSE_Functional_Class%2FFeatureServer%2F22&amp;find="&amp;$F418&amp;"%2C"&amp;$E418&amp;"&amp;marker="&amp;$F418&amp;","&amp;$E418&amp;",4326&amp;level=16",IF(_xlfn.SINGLE(JobState)="WI","https://fema.maps.arcgis.com/apps/mapviewer/index.html?url=https://services5.arcgis.com/0pgGLzT0Nh7FVjon/arcgis/rest/services/Functional_Class_Local_Non_Prod/FeatureServer/1&amp;find="&amp;$F418&amp;"%2C"&amp;$E418&amp;"&amp;marker="&amp;$F418&amp;","&amp;$E418&amp;",4326&amp;level=16",IF(_xlfn.SINGLE(JobState)="MN","https://fema.maps.arcgis.com/apps/mapviewer/index.html?url=https%3A%2F%2Fdotapp9.dot.state.mn.us%2Fegis12%2Frest%2Fservices%2FBASEMAP%2Fmndot_commonlayers2%2FMapServer%2F11&amp;find="&amp;$F418&amp;"%2C"&amp;$E418&amp;"&amp;marker="&amp;$F418&amp;","&amp;$E418&amp;",4326&amp;level=16",IF(_xlfn.SINGLE(JobState)="IL","https://fema.maps.arcgis.com/apps/mapviewer/index.html?url=https%3A%2F%2Fgis1.dot.illinois.gov%2Farcgis%2Frest%2Fservices%2FAdministrativeData%2FFunctionalClass%2FMapServer%2F0&amp;find="&amp;$F418&amp;"%2C"&amp;$E418&amp;"&amp;marker="&amp;$F418&amp;","&amp;$E418&amp;",4326&amp;level=16",IF(_xlfn.SINGLE(JobState)="OH","https://fema.maps.arcgis.com/apps/mapviewer/index.html?url=https%3A%2F%2Ftims.dot.state.oh.us%2Fags%2Frest%2Fservices%2FRoadway_Information%2FFunctional_Class%2FMapServer%2F0&amp;find="&amp;$F418&amp;"%2C"&amp;$E418&amp;"&amp;marker="&amp;$F418&amp;","&amp;$E418&amp;",4326&amp;level=16","https://fema.maps.arcgis.com/apps/mapviewer/index.html?find="&amp;$F418&amp;"%2C"&amp;$E418&amp;"&amp;marker="&amp;$F418&amp;","&amp;$E418&amp;",4326&amp;level=16")))))),IF(_xlfn.SINGLE(JobState)="WI","Review Local Roads Layer","Review NFC AGOL Layer"))))</f>
        <v/>
      </c>
      <c r="N418" s="6" t="str">
        <f>IF(OR($E418="",$F418=""),"",IF(_xlfn.SINGLE(JobState)="",IF(ROW()=2,HYPERLINK("#JobState","Set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418&amp;"%2C"&amp;$E418&amp;"&amp;marker="&amp;$F418&amp;","&amp;$E418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8" s="6" t="str">
        <f>IF(OR($E418="", $F418=""),"",IF(_xlfn.SINGLE(JobAgolMap)="",HYPERLINK("https://fema.maps.arcgis.com/apps/mapviewer/index.html?find="&amp;$F418&amp;"%2C"&amp;$E418&amp;"&amp;marker="&amp;$F418&amp;","&amp;$E418&amp;",4326&amp;level=16","FEMA AGOL Map Viewer"),HYPERLINK(_xlfn.SINGLE(JobAgolMap)&amp;IF(ISNUMBER(FIND("?",_xlfn.SINGLE(JobAgolMap))),"&amp;","?")&amp;"center="&amp;$F418&amp;","&amp;$E418&amp;"&amp;level=16&amp;marker="&amp;$F418&amp;","&amp;$E418,"Open")))</f>
        <v/>
      </c>
      <c r="Q418" s="4"/>
      <c r="R418" s="4"/>
      <c r="W418" s="6" t="str">
        <f t="shared" si="36"/>
        <v/>
      </c>
      <c r="X418" s="6" t="str">
        <f t="shared" si="37"/>
        <v/>
      </c>
      <c r="Y418" s="6" t="str">
        <f t="shared" si="38"/>
        <v/>
      </c>
      <c r="Z418" s="6" t="str">
        <f t="shared" si="39"/>
        <v/>
      </c>
      <c r="AA418" s="6" t="str">
        <f t="shared" si="40"/>
        <v/>
      </c>
      <c r="AB418" s="6" t="str">
        <f t="shared" si="41"/>
        <v/>
      </c>
      <c r="AC418" s="4"/>
      <c r="AD418" s="4"/>
    </row>
    <row r="419" spans="1:30" x14ac:dyDescent="0.45">
      <c r="A419" s="3"/>
      <c r="B419" s="3"/>
      <c r="C419" s="5" t="str">
        <f>IF($E419="","",COUNT($E$2:$E419))</f>
        <v/>
      </c>
      <c r="D419" s="3"/>
      <c r="E419" s="3"/>
      <c r="F419" s="3"/>
      <c r="G419" s="3"/>
      <c r="H419" s="3"/>
      <c r="I419" s="3"/>
      <c r="J419" s="3"/>
      <c r="K419" s="3"/>
      <c r="L419" s="4"/>
      <c r="M419" s="6" t="str">
        <f>IF(OR($E419="",$F419=""),"",IF(_xlfn.SINGLE(JobState)="",IF(ROW()=2,HYPERLINK("#JobState","Set State →"),""),HYPERLINK(IF(OR(_xlfn.SINGLE(JobState)="MI",_xlfn.SINGLE(JobState)=""),"https://fema.maps.arcgis.com/apps/mapviewer/index.html?webmap=6a1702b9147243d1a5ee62cd614bc681&amp;center="&amp;$F419&amp;","&amp;$E419&amp;"&amp;level=16&amp;marker="&amp;$F419&amp;","&amp;$E419&amp;"",IF(_xlfn.SINGLE(JobState)="IN","https://fema.maps.arcgis.com/apps/mapviewer/index.html?url=https%3A%2F%2Fgis.indot.in.gov%2Fro%2Frest%2Fservices%2FRAH_GIO_Collaboration%2FLRSE_Functional_Class%2FFeatureServer%2F22&amp;find="&amp;$F419&amp;"%2C"&amp;$E419&amp;"&amp;marker="&amp;$F419&amp;","&amp;$E419&amp;",4326&amp;level=16",IF(_xlfn.SINGLE(JobState)="WI","https://fema.maps.arcgis.com/apps/mapviewer/index.html?url=https://services5.arcgis.com/0pgGLzT0Nh7FVjon/arcgis/rest/services/Functional_Class_Local_Non_Prod/FeatureServer/1&amp;find="&amp;$F419&amp;"%2C"&amp;$E419&amp;"&amp;marker="&amp;$F419&amp;","&amp;$E419&amp;",4326&amp;level=16",IF(_xlfn.SINGLE(JobState)="MN","https://fema.maps.arcgis.com/apps/mapviewer/index.html?url=https%3A%2F%2Fdotapp9.dot.state.mn.us%2Fegis12%2Frest%2Fservices%2FBASEMAP%2Fmndot_commonlayers2%2FMapServer%2F11&amp;find="&amp;$F419&amp;"%2C"&amp;$E419&amp;"&amp;marker="&amp;$F419&amp;","&amp;$E419&amp;",4326&amp;level=16",IF(_xlfn.SINGLE(JobState)="IL","https://fema.maps.arcgis.com/apps/mapviewer/index.html?url=https%3A%2F%2Fgis1.dot.illinois.gov%2Farcgis%2Frest%2Fservices%2FAdministrativeData%2FFunctionalClass%2FMapServer%2F0&amp;find="&amp;$F419&amp;"%2C"&amp;$E419&amp;"&amp;marker="&amp;$F419&amp;","&amp;$E419&amp;",4326&amp;level=16",IF(_xlfn.SINGLE(JobState)="OH","https://fema.maps.arcgis.com/apps/mapviewer/index.html?url=https%3A%2F%2Ftims.dot.state.oh.us%2Fags%2Frest%2Fservices%2FRoadway_Information%2FFunctional_Class%2FMapServer%2F0&amp;find="&amp;$F419&amp;"%2C"&amp;$E419&amp;"&amp;marker="&amp;$F419&amp;","&amp;$E419&amp;",4326&amp;level=16","https://fema.maps.arcgis.com/apps/mapviewer/index.html?find="&amp;$F419&amp;"%2C"&amp;$E419&amp;"&amp;marker="&amp;$F419&amp;","&amp;$E419&amp;",4326&amp;level=16")))))),IF(_xlfn.SINGLE(JobState)="WI","Review Local Roads Layer","Review NFC AGOL Layer"))))</f>
        <v/>
      </c>
      <c r="N419" s="6" t="str">
        <f>IF(OR($E419="",$F419=""),"",IF(_xlfn.SINGLE(JobState)="",IF(ROW()=2,HYPERLINK("#JobState","Set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419&amp;"%2C"&amp;$E419&amp;"&amp;marker="&amp;$F419&amp;","&amp;$E419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9" s="6" t="str">
        <f>IF(OR($E419="", $F419=""),"",IF(_xlfn.SINGLE(JobAgolMap)="",HYPERLINK("https://fema.maps.arcgis.com/apps/mapviewer/index.html?find="&amp;$F419&amp;"%2C"&amp;$E419&amp;"&amp;marker="&amp;$F419&amp;","&amp;$E419&amp;",4326&amp;level=16","FEMA AGOL Map Viewer"),HYPERLINK(_xlfn.SINGLE(JobAgolMap)&amp;IF(ISNUMBER(FIND("?",_xlfn.SINGLE(JobAgolMap))),"&amp;","?")&amp;"center="&amp;$F419&amp;","&amp;$E419&amp;"&amp;level=16&amp;marker="&amp;$F419&amp;","&amp;$E419,"Open")))</f>
        <v/>
      </c>
      <c r="Q419" s="4"/>
      <c r="R419" s="4"/>
      <c r="W419" s="6" t="str">
        <f t="shared" si="36"/>
        <v/>
      </c>
      <c r="X419" s="6" t="str">
        <f t="shared" si="37"/>
        <v/>
      </c>
      <c r="Y419" s="6" t="str">
        <f t="shared" si="38"/>
        <v/>
      </c>
      <c r="Z419" s="6" t="str">
        <f t="shared" si="39"/>
        <v/>
      </c>
      <c r="AA419" s="6" t="str">
        <f t="shared" si="40"/>
        <v/>
      </c>
      <c r="AB419" s="6" t="str">
        <f t="shared" si="41"/>
        <v/>
      </c>
      <c r="AC419" s="4"/>
      <c r="AD419" s="4"/>
    </row>
    <row r="420" spans="1:30" x14ac:dyDescent="0.45">
      <c r="A420" s="3"/>
      <c r="B420" s="3"/>
      <c r="C420" s="5" t="str">
        <f>IF($E420="","",COUNT($E$2:$E420))</f>
        <v/>
      </c>
      <c r="D420" s="3"/>
      <c r="E420" s="3"/>
      <c r="F420" s="3"/>
      <c r="G420" s="3"/>
      <c r="H420" s="3"/>
      <c r="I420" s="3"/>
      <c r="J420" s="3"/>
      <c r="K420" s="3"/>
      <c r="L420" s="4"/>
      <c r="M420" s="6" t="str">
        <f>IF(OR($E420="",$F420=""),"",IF(_xlfn.SINGLE(JobState)="",IF(ROW()=2,HYPERLINK("#JobState","Set State →"),""),HYPERLINK(IF(OR(_xlfn.SINGLE(JobState)="MI",_xlfn.SINGLE(JobState)=""),"https://fema.maps.arcgis.com/apps/mapviewer/index.html?webmap=6a1702b9147243d1a5ee62cd614bc681&amp;center="&amp;$F420&amp;","&amp;$E420&amp;"&amp;level=16&amp;marker="&amp;$F420&amp;","&amp;$E420&amp;"",IF(_xlfn.SINGLE(JobState)="IN","https://fema.maps.arcgis.com/apps/mapviewer/index.html?url=https%3A%2F%2Fgis.indot.in.gov%2Fro%2Frest%2Fservices%2FRAH_GIO_Collaboration%2FLRSE_Functional_Class%2FFeatureServer%2F22&amp;find="&amp;$F420&amp;"%2C"&amp;$E420&amp;"&amp;marker="&amp;$F420&amp;","&amp;$E420&amp;",4326&amp;level=16",IF(_xlfn.SINGLE(JobState)="WI","https://fema.maps.arcgis.com/apps/mapviewer/index.html?url=https://services5.arcgis.com/0pgGLzT0Nh7FVjon/arcgis/rest/services/Functional_Class_Local_Non_Prod/FeatureServer/1&amp;find="&amp;$F420&amp;"%2C"&amp;$E420&amp;"&amp;marker="&amp;$F420&amp;","&amp;$E420&amp;",4326&amp;level=16",IF(_xlfn.SINGLE(JobState)="MN","https://fema.maps.arcgis.com/apps/mapviewer/index.html?url=https%3A%2F%2Fdotapp9.dot.state.mn.us%2Fegis12%2Frest%2Fservices%2FBASEMAP%2Fmndot_commonlayers2%2FMapServer%2F11&amp;find="&amp;$F420&amp;"%2C"&amp;$E420&amp;"&amp;marker="&amp;$F420&amp;","&amp;$E420&amp;",4326&amp;level=16",IF(_xlfn.SINGLE(JobState)="IL","https://fema.maps.arcgis.com/apps/mapviewer/index.html?url=https%3A%2F%2Fgis1.dot.illinois.gov%2Farcgis%2Frest%2Fservices%2FAdministrativeData%2FFunctionalClass%2FMapServer%2F0&amp;find="&amp;$F420&amp;"%2C"&amp;$E420&amp;"&amp;marker="&amp;$F420&amp;","&amp;$E420&amp;",4326&amp;level=16",IF(_xlfn.SINGLE(JobState)="OH","https://fema.maps.arcgis.com/apps/mapviewer/index.html?url=https%3A%2F%2Ftims.dot.state.oh.us%2Fags%2Frest%2Fservices%2FRoadway_Information%2FFunctional_Class%2FMapServer%2F0&amp;find="&amp;$F420&amp;"%2C"&amp;$E420&amp;"&amp;marker="&amp;$F420&amp;","&amp;$E420&amp;",4326&amp;level=16","https://fema.maps.arcgis.com/apps/mapviewer/index.html?find="&amp;$F420&amp;"%2C"&amp;$E420&amp;"&amp;marker="&amp;$F420&amp;","&amp;$E420&amp;",4326&amp;level=16")))))),IF(_xlfn.SINGLE(JobState)="WI","Review Local Roads Layer","Review NFC AGOL Layer"))))</f>
        <v/>
      </c>
      <c r="N420" s="6" t="str">
        <f>IF(OR($E420="",$F420=""),"",IF(_xlfn.SINGLE(JobState)="",IF(ROW()=2,HYPERLINK("#JobState","Set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420&amp;"%2C"&amp;$E420&amp;"&amp;marker="&amp;$F420&amp;","&amp;$E420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0" s="6" t="str">
        <f>IF(OR($E420="", $F420=""),"",IF(_xlfn.SINGLE(JobAgolMap)="",HYPERLINK("https://fema.maps.arcgis.com/apps/mapviewer/index.html?find="&amp;$F420&amp;"%2C"&amp;$E420&amp;"&amp;marker="&amp;$F420&amp;","&amp;$E420&amp;",4326&amp;level=16","FEMA AGOL Map Viewer"),HYPERLINK(_xlfn.SINGLE(JobAgolMap)&amp;IF(ISNUMBER(FIND("?",_xlfn.SINGLE(JobAgolMap))),"&amp;","?")&amp;"center="&amp;$F420&amp;","&amp;$E420&amp;"&amp;level=16&amp;marker="&amp;$F420&amp;","&amp;$E420,"Open")))</f>
        <v/>
      </c>
      <c r="Q420" s="4"/>
      <c r="R420" s="4"/>
      <c r="W420" s="6" t="str">
        <f t="shared" si="36"/>
        <v/>
      </c>
      <c r="X420" s="6" t="str">
        <f t="shared" si="37"/>
        <v/>
      </c>
      <c r="Y420" s="6" t="str">
        <f t="shared" si="38"/>
        <v/>
      </c>
      <c r="Z420" s="6" t="str">
        <f t="shared" si="39"/>
        <v/>
      </c>
      <c r="AA420" s="6" t="str">
        <f t="shared" si="40"/>
        <v/>
      </c>
      <c r="AB420" s="6" t="str">
        <f t="shared" si="41"/>
        <v/>
      </c>
      <c r="AC420" s="4"/>
      <c r="AD420" s="4"/>
    </row>
    <row r="421" spans="1:30" x14ac:dyDescent="0.45">
      <c r="A421" s="3"/>
      <c r="B421" s="3"/>
      <c r="C421" s="5" t="str">
        <f>IF($E421="","",COUNT($E$2:$E421))</f>
        <v/>
      </c>
      <c r="D421" s="3"/>
      <c r="E421" s="3"/>
      <c r="F421" s="3"/>
      <c r="G421" s="3"/>
      <c r="H421" s="3"/>
      <c r="I421" s="3"/>
      <c r="J421" s="3"/>
      <c r="K421" s="3"/>
      <c r="L421" s="4"/>
      <c r="M421" s="6" t="str">
        <f>IF(OR($E421="",$F421=""),"",IF(_xlfn.SINGLE(JobState)="",IF(ROW()=2,HYPERLINK("#JobState","Set State →"),""),HYPERLINK(IF(OR(_xlfn.SINGLE(JobState)="MI",_xlfn.SINGLE(JobState)=""),"https://fema.maps.arcgis.com/apps/mapviewer/index.html?webmap=6a1702b9147243d1a5ee62cd614bc681&amp;center="&amp;$F421&amp;","&amp;$E421&amp;"&amp;level=16&amp;marker="&amp;$F421&amp;","&amp;$E421&amp;"",IF(_xlfn.SINGLE(JobState)="IN","https://fema.maps.arcgis.com/apps/mapviewer/index.html?url=https%3A%2F%2Fgis.indot.in.gov%2Fro%2Frest%2Fservices%2FRAH_GIO_Collaboration%2FLRSE_Functional_Class%2FFeatureServer%2F22&amp;find="&amp;$F421&amp;"%2C"&amp;$E421&amp;"&amp;marker="&amp;$F421&amp;","&amp;$E421&amp;",4326&amp;level=16",IF(_xlfn.SINGLE(JobState)="WI","https://fema.maps.arcgis.com/apps/mapviewer/index.html?url=https://services5.arcgis.com/0pgGLzT0Nh7FVjon/arcgis/rest/services/Functional_Class_Local_Non_Prod/FeatureServer/1&amp;find="&amp;$F421&amp;"%2C"&amp;$E421&amp;"&amp;marker="&amp;$F421&amp;","&amp;$E421&amp;",4326&amp;level=16",IF(_xlfn.SINGLE(JobState)="MN","https://fema.maps.arcgis.com/apps/mapviewer/index.html?url=https%3A%2F%2Fdotapp9.dot.state.mn.us%2Fegis12%2Frest%2Fservices%2FBASEMAP%2Fmndot_commonlayers2%2FMapServer%2F11&amp;find="&amp;$F421&amp;"%2C"&amp;$E421&amp;"&amp;marker="&amp;$F421&amp;","&amp;$E421&amp;",4326&amp;level=16",IF(_xlfn.SINGLE(JobState)="IL","https://fema.maps.arcgis.com/apps/mapviewer/index.html?url=https%3A%2F%2Fgis1.dot.illinois.gov%2Farcgis%2Frest%2Fservices%2FAdministrativeData%2FFunctionalClass%2FMapServer%2F0&amp;find="&amp;$F421&amp;"%2C"&amp;$E421&amp;"&amp;marker="&amp;$F421&amp;","&amp;$E421&amp;",4326&amp;level=16",IF(_xlfn.SINGLE(JobState)="OH","https://fema.maps.arcgis.com/apps/mapviewer/index.html?url=https%3A%2F%2Ftims.dot.state.oh.us%2Fags%2Frest%2Fservices%2FRoadway_Information%2FFunctional_Class%2FMapServer%2F0&amp;find="&amp;$F421&amp;"%2C"&amp;$E421&amp;"&amp;marker="&amp;$F421&amp;","&amp;$E421&amp;",4326&amp;level=16","https://fema.maps.arcgis.com/apps/mapviewer/index.html?find="&amp;$F421&amp;"%2C"&amp;$E421&amp;"&amp;marker="&amp;$F421&amp;","&amp;$E421&amp;",4326&amp;level=16")))))),IF(_xlfn.SINGLE(JobState)="WI","Review Local Roads Layer","Review NFC AGOL Layer"))))</f>
        <v/>
      </c>
      <c r="N421" s="6" t="str">
        <f>IF(OR($E421="",$F421=""),"",IF(_xlfn.SINGLE(JobState)="",IF(ROW()=2,HYPERLINK("#JobState","Set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421&amp;"%2C"&amp;$E421&amp;"&amp;marker="&amp;$F421&amp;","&amp;$E421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1" s="6" t="str">
        <f>IF(OR($E421="", $F421=""),"",IF(_xlfn.SINGLE(JobAgolMap)="",HYPERLINK("https://fema.maps.arcgis.com/apps/mapviewer/index.html?find="&amp;$F421&amp;"%2C"&amp;$E421&amp;"&amp;marker="&amp;$F421&amp;","&amp;$E421&amp;",4326&amp;level=16","FEMA AGOL Map Viewer"),HYPERLINK(_xlfn.SINGLE(JobAgolMap)&amp;IF(ISNUMBER(FIND("?",_xlfn.SINGLE(JobAgolMap))),"&amp;","?")&amp;"center="&amp;$F421&amp;","&amp;$E421&amp;"&amp;level=16&amp;marker="&amp;$F421&amp;","&amp;$E421,"Open")))</f>
        <v/>
      </c>
      <c r="Q421" s="4"/>
      <c r="R421" s="4"/>
      <c r="W421" s="6" t="str">
        <f t="shared" si="36"/>
        <v/>
      </c>
      <c r="X421" s="6" t="str">
        <f t="shared" si="37"/>
        <v/>
      </c>
      <c r="Y421" s="6" t="str">
        <f t="shared" si="38"/>
        <v/>
      </c>
      <c r="Z421" s="6" t="str">
        <f t="shared" si="39"/>
        <v/>
      </c>
      <c r="AA421" s="6" t="str">
        <f t="shared" si="40"/>
        <v/>
      </c>
      <c r="AB421" s="6" t="str">
        <f t="shared" si="41"/>
        <v/>
      </c>
      <c r="AC421" s="4"/>
      <c r="AD421" s="4"/>
    </row>
    <row r="422" spans="1:30" x14ac:dyDescent="0.45">
      <c r="A422" s="3"/>
      <c r="B422" s="3"/>
      <c r="C422" s="5" t="str">
        <f>IF($E422="","",COUNT($E$2:$E422))</f>
        <v/>
      </c>
      <c r="D422" s="3"/>
      <c r="E422" s="3"/>
      <c r="F422" s="3"/>
      <c r="G422" s="3"/>
      <c r="H422" s="3"/>
      <c r="I422" s="3"/>
      <c r="J422" s="3"/>
      <c r="K422" s="3"/>
      <c r="L422" s="4"/>
      <c r="M422" s="6" t="str">
        <f>IF(OR($E422="",$F422=""),"",IF(_xlfn.SINGLE(JobState)="",IF(ROW()=2,HYPERLINK("#JobState","Set State →"),""),HYPERLINK(IF(OR(_xlfn.SINGLE(JobState)="MI",_xlfn.SINGLE(JobState)=""),"https://fema.maps.arcgis.com/apps/mapviewer/index.html?webmap=6a1702b9147243d1a5ee62cd614bc681&amp;center="&amp;$F422&amp;","&amp;$E422&amp;"&amp;level=16&amp;marker="&amp;$F422&amp;","&amp;$E422&amp;"",IF(_xlfn.SINGLE(JobState)="IN","https://fema.maps.arcgis.com/apps/mapviewer/index.html?url=https%3A%2F%2Fgis.indot.in.gov%2Fro%2Frest%2Fservices%2FRAH_GIO_Collaboration%2FLRSE_Functional_Class%2FFeatureServer%2F22&amp;find="&amp;$F422&amp;"%2C"&amp;$E422&amp;"&amp;marker="&amp;$F422&amp;","&amp;$E422&amp;",4326&amp;level=16",IF(_xlfn.SINGLE(JobState)="WI","https://fema.maps.arcgis.com/apps/mapviewer/index.html?url=https://services5.arcgis.com/0pgGLzT0Nh7FVjon/arcgis/rest/services/Functional_Class_Local_Non_Prod/FeatureServer/1&amp;find="&amp;$F422&amp;"%2C"&amp;$E422&amp;"&amp;marker="&amp;$F422&amp;","&amp;$E422&amp;",4326&amp;level=16",IF(_xlfn.SINGLE(JobState)="MN","https://fema.maps.arcgis.com/apps/mapviewer/index.html?url=https%3A%2F%2Fdotapp9.dot.state.mn.us%2Fegis12%2Frest%2Fservices%2FBASEMAP%2Fmndot_commonlayers2%2FMapServer%2F11&amp;find="&amp;$F422&amp;"%2C"&amp;$E422&amp;"&amp;marker="&amp;$F422&amp;","&amp;$E422&amp;",4326&amp;level=16",IF(_xlfn.SINGLE(JobState)="IL","https://fema.maps.arcgis.com/apps/mapviewer/index.html?url=https%3A%2F%2Fgis1.dot.illinois.gov%2Farcgis%2Frest%2Fservices%2FAdministrativeData%2FFunctionalClass%2FMapServer%2F0&amp;find="&amp;$F422&amp;"%2C"&amp;$E422&amp;"&amp;marker="&amp;$F422&amp;","&amp;$E422&amp;",4326&amp;level=16",IF(_xlfn.SINGLE(JobState)="OH","https://fema.maps.arcgis.com/apps/mapviewer/index.html?url=https%3A%2F%2Ftims.dot.state.oh.us%2Fags%2Frest%2Fservices%2FRoadway_Information%2FFunctional_Class%2FMapServer%2F0&amp;find="&amp;$F422&amp;"%2C"&amp;$E422&amp;"&amp;marker="&amp;$F422&amp;","&amp;$E422&amp;",4326&amp;level=16","https://fema.maps.arcgis.com/apps/mapviewer/index.html?find="&amp;$F422&amp;"%2C"&amp;$E422&amp;"&amp;marker="&amp;$F422&amp;","&amp;$E422&amp;",4326&amp;level=16")))))),IF(_xlfn.SINGLE(JobState)="WI","Review Local Roads Layer","Review NFC AGOL Layer"))))</f>
        <v/>
      </c>
      <c r="N422" s="6" t="str">
        <f>IF(OR($E422="",$F422=""),"",IF(_xlfn.SINGLE(JobState)="",IF(ROW()=2,HYPERLINK("#JobState","Set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422&amp;"%2C"&amp;$E422&amp;"&amp;marker="&amp;$F422&amp;","&amp;$E422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2" s="6" t="str">
        <f>IF(OR($E422="", $F422=""),"",IF(_xlfn.SINGLE(JobAgolMap)="",HYPERLINK("https://fema.maps.arcgis.com/apps/mapviewer/index.html?find="&amp;$F422&amp;"%2C"&amp;$E422&amp;"&amp;marker="&amp;$F422&amp;","&amp;$E422&amp;",4326&amp;level=16","FEMA AGOL Map Viewer"),HYPERLINK(_xlfn.SINGLE(JobAgolMap)&amp;IF(ISNUMBER(FIND("?",_xlfn.SINGLE(JobAgolMap))),"&amp;","?")&amp;"center="&amp;$F422&amp;","&amp;$E422&amp;"&amp;level=16&amp;marker="&amp;$F422&amp;","&amp;$E422,"Open")))</f>
        <v/>
      </c>
      <c r="Q422" s="4"/>
      <c r="R422" s="4"/>
      <c r="W422" s="6" t="str">
        <f t="shared" si="36"/>
        <v/>
      </c>
      <c r="X422" s="6" t="str">
        <f t="shared" si="37"/>
        <v/>
      </c>
      <c r="Y422" s="6" t="str">
        <f t="shared" si="38"/>
        <v/>
      </c>
      <c r="Z422" s="6" t="str">
        <f t="shared" si="39"/>
        <v/>
      </c>
      <c r="AA422" s="6" t="str">
        <f t="shared" si="40"/>
        <v/>
      </c>
      <c r="AB422" s="6" t="str">
        <f t="shared" si="41"/>
        <v/>
      </c>
      <c r="AC422" s="4"/>
      <c r="AD422" s="4"/>
    </row>
    <row r="423" spans="1:30" x14ac:dyDescent="0.45">
      <c r="A423" s="3"/>
      <c r="B423" s="3"/>
      <c r="C423" s="5" t="str">
        <f>IF($E423="","",COUNT($E$2:$E423))</f>
        <v/>
      </c>
      <c r="D423" s="3"/>
      <c r="E423" s="3"/>
      <c r="F423" s="3"/>
      <c r="G423" s="3"/>
      <c r="H423" s="3"/>
      <c r="I423" s="3"/>
      <c r="J423" s="3"/>
      <c r="K423" s="3"/>
      <c r="L423" s="4"/>
      <c r="M423" s="6" t="str">
        <f>IF(OR($E423="",$F423=""),"",IF(_xlfn.SINGLE(JobState)="",IF(ROW()=2,HYPERLINK("#JobState","Set State →"),""),HYPERLINK(IF(OR(_xlfn.SINGLE(JobState)="MI",_xlfn.SINGLE(JobState)=""),"https://fema.maps.arcgis.com/apps/mapviewer/index.html?webmap=6a1702b9147243d1a5ee62cd614bc681&amp;center="&amp;$F423&amp;","&amp;$E423&amp;"&amp;level=16&amp;marker="&amp;$F423&amp;","&amp;$E423&amp;"",IF(_xlfn.SINGLE(JobState)="IN","https://fema.maps.arcgis.com/apps/mapviewer/index.html?url=https%3A%2F%2Fgis.indot.in.gov%2Fro%2Frest%2Fservices%2FRAH_GIO_Collaboration%2FLRSE_Functional_Class%2FFeatureServer%2F22&amp;find="&amp;$F423&amp;"%2C"&amp;$E423&amp;"&amp;marker="&amp;$F423&amp;","&amp;$E423&amp;",4326&amp;level=16",IF(_xlfn.SINGLE(JobState)="WI","https://fema.maps.arcgis.com/apps/mapviewer/index.html?url=https://services5.arcgis.com/0pgGLzT0Nh7FVjon/arcgis/rest/services/Functional_Class_Local_Non_Prod/FeatureServer/1&amp;find="&amp;$F423&amp;"%2C"&amp;$E423&amp;"&amp;marker="&amp;$F423&amp;","&amp;$E423&amp;",4326&amp;level=16",IF(_xlfn.SINGLE(JobState)="MN","https://fema.maps.arcgis.com/apps/mapviewer/index.html?url=https%3A%2F%2Fdotapp9.dot.state.mn.us%2Fegis12%2Frest%2Fservices%2FBASEMAP%2Fmndot_commonlayers2%2FMapServer%2F11&amp;find="&amp;$F423&amp;"%2C"&amp;$E423&amp;"&amp;marker="&amp;$F423&amp;","&amp;$E423&amp;",4326&amp;level=16",IF(_xlfn.SINGLE(JobState)="IL","https://fema.maps.arcgis.com/apps/mapviewer/index.html?url=https%3A%2F%2Fgis1.dot.illinois.gov%2Farcgis%2Frest%2Fservices%2FAdministrativeData%2FFunctionalClass%2FMapServer%2F0&amp;find="&amp;$F423&amp;"%2C"&amp;$E423&amp;"&amp;marker="&amp;$F423&amp;","&amp;$E423&amp;",4326&amp;level=16",IF(_xlfn.SINGLE(JobState)="OH","https://fema.maps.arcgis.com/apps/mapviewer/index.html?url=https%3A%2F%2Ftims.dot.state.oh.us%2Fags%2Frest%2Fservices%2FRoadway_Information%2FFunctional_Class%2FMapServer%2F0&amp;find="&amp;$F423&amp;"%2C"&amp;$E423&amp;"&amp;marker="&amp;$F423&amp;","&amp;$E423&amp;",4326&amp;level=16","https://fema.maps.arcgis.com/apps/mapviewer/index.html?find="&amp;$F423&amp;"%2C"&amp;$E423&amp;"&amp;marker="&amp;$F423&amp;","&amp;$E423&amp;",4326&amp;level=16")))))),IF(_xlfn.SINGLE(JobState)="WI","Review Local Roads Layer","Review NFC AGOL Layer"))))</f>
        <v/>
      </c>
      <c r="N423" s="6" t="str">
        <f>IF(OR($E423="",$F423=""),"",IF(_xlfn.SINGLE(JobState)="",IF(ROW()=2,HYPERLINK("#JobState","Set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423&amp;"%2C"&amp;$E423&amp;"&amp;marker="&amp;$F423&amp;","&amp;$E423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3" s="6" t="str">
        <f>IF(OR($E423="", $F423=""),"",IF(_xlfn.SINGLE(JobAgolMap)="",HYPERLINK("https://fema.maps.arcgis.com/apps/mapviewer/index.html?find="&amp;$F423&amp;"%2C"&amp;$E423&amp;"&amp;marker="&amp;$F423&amp;","&amp;$E423&amp;",4326&amp;level=16","FEMA AGOL Map Viewer"),HYPERLINK(_xlfn.SINGLE(JobAgolMap)&amp;IF(ISNUMBER(FIND("?",_xlfn.SINGLE(JobAgolMap))),"&amp;","?")&amp;"center="&amp;$F423&amp;","&amp;$E423&amp;"&amp;level=16&amp;marker="&amp;$F423&amp;","&amp;$E423,"Open")))</f>
        <v/>
      </c>
      <c r="Q423" s="4"/>
      <c r="R423" s="4"/>
      <c r="W423" s="6" t="str">
        <f t="shared" si="36"/>
        <v/>
      </c>
      <c r="X423" s="6" t="str">
        <f t="shared" si="37"/>
        <v/>
      </c>
      <c r="Y423" s="6" t="str">
        <f t="shared" si="38"/>
        <v/>
      </c>
      <c r="Z423" s="6" t="str">
        <f t="shared" si="39"/>
        <v/>
      </c>
      <c r="AA423" s="6" t="str">
        <f t="shared" si="40"/>
        <v/>
      </c>
      <c r="AB423" s="6" t="str">
        <f t="shared" si="41"/>
        <v/>
      </c>
      <c r="AC423" s="4"/>
      <c r="AD423" s="4"/>
    </row>
    <row r="424" spans="1:30" x14ac:dyDescent="0.45">
      <c r="A424" s="3"/>
      <c r="B424" s="3"/>
      <c r="C424" s="5" t="str">
        <f>IF($E424="","",COUNT($E$2:$E424))</f>
        <v/>
      </c>
      <c r="D424" s="3"/>
      <c r="E424" s="3"/>
      <c r="F424" s="3"/>
      <c r="G424" s="3"/>
      <c r="H424" s="3"/>
      <c r="I424" s="3"/>
      <c r="J424" s="3"/>
      <c r="K424" s="3"/>
      <c r="L424" s="4"/>
      <c r="M424" s="6" t="str">
        <f>IF(OR($E424="",$F424=""),"",IF(_xlfn.SINGLE(JobState)="",IF(ROW()=2,HYPERLINK("#JobState","Set State →"),""),HYPERLINK(IF(OR(_xlfn.SINGLE(JobState)="MI",_xlfn.SINGLE(JobState)=""),"https://fema.maps.arcgis.com/apps/mapviewer/index.html?webmap=6a1702b9147243d1a5ee62cd614bc681&amp;center="&amp;$F424&amp;","&amp;$E424&amp;"&amp;level=16&amp;marker="&amp;$F424&amp;","&amp;$E424&amp;"",IF(_xlfn.SINGLE(JobState)="IN","https://fema.maps.arcgis.com/apps/mapviewer/index.html?url=https%3A%2F%2Fgis.indot.in.gov%2Fro%2Frest%2Fservices%2FRAH_GIO_Collaboration%2FLRSE_Functional_Class%2FFeatureServer%2F22&amp;find="&amp;$F424&amp;"%2C"&amp;$E424&amp;"&amp;marker="&amp;$F424&amp;","&amp;$E424&amp;",4326&amp;level=16",IF(_xlfn.SINGLE(JobState)="WI","https://fema.maps.arcgis.com/apps/mapviewer/index.html?url=https://services5.arcgis.com/0pgGLzT0Nh7FVjon/arcgis/rest/services/Functional_Class_Local_Non_Prod/FeatureServer/1&amp;find="&amp;$F424&amp;"%2C"&amp;$E424&amp;"&amp;marker="&amp;$F424&amp;","&amp;$E424&amp;",4326&amp;level=16",IF(_xlfn.SINGLE(JobState)="MN","https://fema.maps.arcgis.com/apps/mapviewer/index.html?url=https%3A%2F%2Fdotapp9.dot.state.mn.us%2Fegis12%2Frest%2Fservices%2FBASEMAP%2Fmndot_commonlayers2%2FMapServer%2F11&amp;find="&amp;$F424&amp;"%2C"&amp;$E424&amp;"&amp;marker="&amp;$F424&amp;","&amp;$E424&amp;",4326&amp;level=16",IF(_xlfn.SINGLE(JobState)="IL","https://fema.maps.arcgis.com/apps/mapviewer/index.html?url=https%3A%2F%2Fgis1.dot.illinois.gov%2Farcgis%2Frest%2Fservices%2FAdministrativeData%2FFunctionalClass%2FMapServer%2F0&amp;find="&amp;$F424&amp;"%2C"&amp;$E424&amp;"&amp;marker="&amp;$F424&amp;","&amp;$E424&amp;",4326&amp;level=16",IF(_xlfn.SINGLE(JobState)="OH","https://fema.maps.arcgis.com/apps/mapviewer/index.html?url=https%3A%2F%2Ftims.dot.state.oh.us%2Fags%2Frest%2Fservices%2FRoadway_Information%2FFunctional_Class%2FMapServer%2F0&amp;find="&amp;$F424&amp;"%2C"&amp;$E424&amp;"&amp;marker="&amp;$F424&amp;","&amp;$E424&amp;",4326&amp;level=16","https://fema.maps.arcgis.com/apps/mapviewer/index.html?find="&amp;$F424&amp;"%2C"&amp;$E424&amp;"&amp;marker="&amp;$F424&amp;","&amp;$E424&amp;",4326&amp;level=16")))))),IF(_xlfn.SINGLE(JobState)="WI","Review Local Roads Layer","Review NFC AGOL Layer"))))</f>
        <v/>
      </c>
      <c r="N424" s="6" t="str">
        <f>IF(OR($E424="",$F424=""),"",IF(_xlfn.SINGLE(JobState)="",IF(ROW()=2,HYPERLINK("#JobState","Set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424&amp;"%2C"&amp;$E424&amp;"&amp;marker="&amp;$F424&amp;","&amp;$E424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4" s="6" t="str">
        <f>IF(OR($E424="", $F424=""),"",IF(_xlfn.SINGLE(JobAgolMap)="",HYPERLINK("https://fema.maps.arcgis.com/apps/mapviewer/index.html?find="&amp;$F424&amp;"%2C"&amp;$E424&amp;"&amp;marker="&amp;$F424&amp;","&amp;$E424&amp;",4326&amp;level=16","FEMA AGOL Map Viewer"),HYPERLINK(_xlfn.SINGLE(JobAgolMap)&amp;IF(ISNUMBER(FIND("?",_xlfn.SINGLE(JobAgolMap))),"&amp;","?")&amp;"center="&amp;$F424&amp;","&amp;$E424&amp;"&amp;level=16&amp;marker="&amp;$F424&amp;","&amp;$E424,"Open")))</f>
        <v/>
      </c>
      <c r="Q424" s="4"/>
      <c r="R424" s="4"/>
      <c r="W424" s="6" t="str">
        <f t="shared" si="36"/>
        <v/>
      </c>
      <c r="X424" s="6" t="str">
        <f t="shared" si="37"/>
        <v/>
      </c>
      <c r="Y424" s="6" t="str">
        <f t="shared" si="38"/>
        <v/>
      </c>
      <c r="Z424" s="6" t="str">
        <f t="shared" si="39"/>
        <v/>
      </c>
      <c r="AA424" s="6" t="str">
        <f t="shared" si="40"/>
        <v/>
      </c>
      <c r="AB424" s="6" t="str">
        <f t="shared" si="41"/>
        <v/>
      </c>
      <c r="AC424" s="4"/>
      <c r="AD424" s="4"/>
    </row>
    <row r="425" spans="1:30" x14ac:dyDescent="0.45">
      <c r="A425" s="3"/>
      <c r="B425" s="3"/>
      <c r="C425" s="5" t="str">
        <f>IF($E425="","",COUNT($E$2:$E425))</f>
        <v/>
      </c>
      <c r="D425" s="3"/>
      <c r="E425" s="3"/>
      <c r="F425" s="3"/>
      <c r="G425" s="3"/>
      <c r="H425" s="3"/>
      <c r="I425" s="3"/>
      <c r="J425" s="3"/>
      <c r="K425" s="3"/>
      <c r="L425" s="4"/>
      <c r="M425" s="6" t="str">
        <f>IF(OR($E425="",$F425=""),"",IF(_xlfn.SINGLE(JobState)="",IF(ROW()=2,HYPERLINK("#JobState","Set State →"),""),HYPERLINK(IF(OR(_xlfn.SINGLE(JobState)="MI",_xlfn.SINGLE(JobState)=""),"https://fema.maps.arcgis.com/apps/mapviewer/index.html?webmap=6a1702b9147243d1a5ee62cd614bc681&amp;center="&amp;$F425&amp;","&amp;$E425&amp;"&amp;level=16&amp;marker="&amp;$F425&amp;","&amp;$E425&amp;"",IF(_xlfn.SINGLE(JobState)="IN","https://fema.maps.arcgis.com/apps/mapviewer/index.html?url=https%3A%2F%2Fgis.indot.in.gov%2Fro%2Frest%2Fservices%2FRAH_GIO_Collaboration%2FLRSE_Functional_Class%2FFeatureServer%2F22&amp;find="&amp;$F425&amp;"%2C"&amp;$E425&amp;"&amp;marker="&amp;$F425&amp;","&amp;$E425&amp;",4326&amp;level=16",IF(_xlfn.SINGLE(JobState)="WI","https://fema.maps.arcgis.com/apps/mapviewer/index.html?url=https://services5.arcgis.com/0pgGLzT0Nh7FVjon/arcgis/rest/services/Functional_Class_Local_Non_Prod/FeatureServer/1&amp;find="&amp;$F425&amp;"%2C"&amp;$E425&amp;"&amp;marker="&amp;$F425&amp;","&amp;$E425&amp;",4326&amp;level=16",IF(_xlfn.SINGLE(JobState)="MN","https://fema.maps.arcgis.com/apps/mapviewer/index.html?url=https%3A%2F%2Fdotapp9.dot.state.mn.us%2Fegis12%2Frest%2Fservices%2FBASEMAP%2Fmndot_commonlayers2%2FMapServer%2F11&amp;find="&amp;$F425&amp;"%2C"&amp;$E425&amp;"&amp;marker="&amp;$F425&amp;","&amp;$E425&amp;",4326&amp;level=16",IF(_xlfn.SINGLE(JobState)="IL","https://fema.maps.arcgis.com/apps/mapviewer/index.html?url=https%3A%2F%2Fgis1.dot.illinois.gov%2Farcgis%2Frest%2Fservices%2FAdministrativeData%2FFunctionalClass%2FMapServer%2F0&amp;find="&amp;$F425&amp;"%2C"&amp;$E425&amp;"&amp;marker="&amp;$F425&amp;","&amp;$E425&amp;",4326&amp;level=16",IF(_xlfn.SINGLE(JobState)="OH","https://fema.maps.arcgis.com/apps/mapviewer/index.html?url=https%3A%2F%2Ftims.dot.state.oh.us%2Fags%2Frest%2Fservices%2FRoadway_Information%2FFunctional_Class%2FMapServer%2F0&amp;find="&amp;$F425&amp;"%2C"&amp;$E425&amp;"&amp;marker="&amp;$F425&amp;","&amp;$E425&amp;",4326&amp;level=16","https://fema.maps.arcgis.com/apps/mapviewer/index.html?find="&amp;$F425&amp;"%2C"&amp;$E425&amp;"&amp;marker="&amp;$F425&amp;","&amp;$E425&amp;",4326&amp;level=16")))))),IF(_xlfn.SINGLE(JobState)="WI","Review Local Roads Layer","Review NFC AGOL Layer"))))</f>
        <v/>
      </c>
      <c r="N425" s="6" t="str">
        <f>IF(OR($E425="",$F425=""),"",IF(_xlfn.SINGLE(JobState)="",IF(ROW()=2,HYPERLINK("#JobState","Set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425&amp;"%2C"&amp;$E425&amp;"&amp;marker="&amp;$F425&amp;","&amp;$E425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5" s="6" t="str">
        <f>IF(OR($E425="", $F425=""),"",IF(_xlfn.SINGLE(JobAgolMap)="",HYPERLINK("https://fema.maps.arcgis.com/apps/mapviewer/index.html?find="&amp;$F425&amp;"%2C"&amp;$E425&amp;"&amp;marker="&amp;$F425&amp;","&amp;$E425&amp;",4326&amp;level=16","FEMA AGOL Map Viewer"),HYPERLINK(_xlfn.SINGLE(JobAgolMap)&amp;IF(ISNUMBER(FIND("?",_xlfn.SINGLE(JobAgolMap))),"&amp;","?")&amp;"center="&amp;$F425&amp;","&amp;$E425&amp;"&amp;level=16&amp;marker="&amp;$F425&amp;","&amp;$E425,"Open")))</f>
        <v/>
      </c>
      <c r="Q425" s="4"/>
      <c r="R425" s="4"/>
      <c r="W425" s="6" t="str">
        <f t="shared" si="36"/>
        <v/>
      </c>
      <c r="X425" s="6" t="str">
        <f t="shared" si="37"/>
        <v/>
      </c>
      <c r="Y425" s="6" t="str">
        <f t="shared" si="38"/>
        <v/>
      </c>
      <c r="Z425" s="6" t="str">
        <f t="shared" si="39"/>
        <v/>
      </c>
      <c r="AA425" s="6" t="str">
        <f t="shared" si="40"/>
        <v/>
      </c>
      <c r="AB425" s="6" t="str">
        <f t="shared" si="41"/>
        <v/>
      </c>
      <c r="AC425" s="4"/>
      <c r="AD425" s="4"/>
    </row>
    <row r="426" spans="1:30" x14ac:dyDescent="0.45">
      <c r="A426" s="3"/>
      <c r="B426" s="3"/>
      <c r="C426" s="5" t="str">
        <f>IF($E426="","",COUNT($E$2:$E426))</f>
        <v/>
      </c>
      <c r="D426" s="3"/>
      <c r="E426" s="3"/>
      <c r="F426" s="3"/>
      <c r="G426" s="3"/>
      <c r="H426" s="3"/>
      <c r="I426" s="3"/>
      <c r="J426" s="3"/>
      <c r="K426" s="3"/>
      <c r="L426" s="4"/>
      <c r="M426" s="6" t="str">
        <f>IF(OR($E426="",$F426=""),"",IF(_xlfn.SINGLE(JobState)="",IF(ROW()=2,HYPERLINK("#JobState","Set State →"),""),HYPERLINK(IF(OR(_xlfn.SINGLE(JobState)="MI",_xlfn.SINGLE(JobState)=""),"https://fema.maps.arcgis.com/apps/mapviewer/index.html?webmap=6a1702b9147243d1a5ee62cd614bc681&amp;center="&amp;$F426&amp;","&amp;$E426&amp;"&amp;level=16&amp;marker="&amp;$F426&amp;","&amp;$E426&amp;"",IF(_xlfn.SINGLE(JobState)="IN","https://fema.maps.arcgis.com/apps/mapviewer/index.html?url=https%3A%2F%2Fgis.indot.in.gov%2Fro%2Frest%2Fservices%2FRAH_GIO_Collaboration%2FLRSE_Functional_Class%2FFeatureServer%2F22&amp;find="&amp;$F426&amp;"%2C"&amp;$E426&amp;"&amp;marker="&amp;$F426&amp;","&amp;$E426&amp;",4326&amp;level=16",IF(_xlfn.SINGLE(JobState)="WI","https://fema.maps.arcgis.com/apps/mapviewer/index.html?url=https://services5.arcgis.com/0pgGLzT0Nh7FVjon/arcgis/rest/services/Functional_Class_Local_Non_Prod/FeatureServer/1&amp;find="&amp;$F426&amp;"%2C"&amp;$E426&amp;"&amp;marker="&amp;$F426&amp;","&amp;$E426&amp;",4326&amp;level=16",IF(_xlfn.SINGLE(JobState)="MN","https://fema.maps.arcgis.com/apps/mapviewer/index.html?url=https%3A%2F%2Fdotapp9.dot.state.mn.us%2Fegis12%2Frest%2Fservices%2FBASEMAP%2Fmndot_commonlayers2%2FMapServer%2F11&amp;find="&amp;$F426&amp;"%2C"&amp;$E426&amp;"&amp;marker="&amp;$F426&amp;","&amp;$E426&amp;",4326&amp;level=16",IF(_xlfn.SINGLE(JobState)="IL","https://fema.maps.arcgis.com/apps/mapviewer/index.html?url=https%3A%2F%2Fgis1.dot.illinois.gov%2Farcgis%2Frest%2Fservices%2FAdministrativeData%2FFunctionalClass%2FMapServer%2F0&amp;find="&amp;$F426&amp;"%2C"&amp;$E426&amp;"&amp;marker="&amp;$F426&amp;","&amp;$E426&amp;",4326&amp;level=16",IF(_xlfn.SINGLE(JobState)="OH","https://fema.maps.arcgis.com/apps/mapviewer/index.html?url=https%3A%2F%2Ftims.dot.state.oh.us%2Fags%2Frest%2Fservices%2FRoadway_Information%2FFunctional_Class%2FMapServer%2F0&amp;find="&amp;$F426&amp;"%2C"&amp;$E426&amp;"&amp;marker="&amp;$F426&amp;","&amp;$E426&amp;",4326&amp;level=16","https://fema.maps.arcgis.com/apps/mapviewer/index.html?find="&amp;$F426&amp;"%2C"&amp;$E426&amp;"&amp;marker="&amp;$F426&amp;","&amp;$E426&amp;",4326&amp;level=16")))))),IF(_xlfn.SINGLE(JobState)="WI","Review Local Roads Layer","Review NFC AGOL Layer"))))</f>
        <v/>
      </c>
      <c r="N426" s="6" t="str">
        <f>IF(OR($E426="",$F426=""),"",IF(_xlfn.SINGLE(JobState)="",IF(ROW()=2,HYPERLINK("#JobState","Set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426&amp;"%2C"&amp;$E426&amp;"&amp;marker="&amp;$F426&amp;","&amp;$E426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6" s="6" t="str">
        <f>IF(OR($E426="", $F426=""),"",IF(_xlfn.SINGLE(JobAgolMap)="",HYPERLINK("https://fema.maps.arcgis.com/apps/mapviewer/index.html?find="&amp;$F426&amp;"%2C"&amp;$E426&amp;"&amp;marker="&amp;$F426&amp;","&amp;$E426&amp;",4326&amp;level=16","FEMA AGOL Map Viewer"),HYPERLINK(_xlfn.SINGLE(JobAgolMap)&amp;IF(ISNUMBER(FIND("?",_xlfn.SINGLE(JobAgolMap))),"&amp;","?")&amp;"center="&amp;$F426&amp;","&amp;$E426&amp;"&amp;level=16&amp;marker="&amp;$F426&amp;","&amp;$E426,"Open")))</f>
        <v/>
      </c>
      <c r="Q426" s="4"/>
      <c r="R426" s="4"/>
      <c r="W426" s="6" t="str">
        <f t="shared" si="36"/>
        <v/>
      </c>
      <c r="X426" s="6" t="str">
        <f t="shared" si="37"/>
        <v/>
      </c>
      <c r="Y426" s="6" t="str">
        <f t="shared" si="38"/>
        <v/>
      </c>
      <c r="Z426" s="6" t="str">
        <f t="shared" si="39"/>
        <v/>
      </c>
      <c r="AA426" s="6" t="str">
        <f t="shared" si="40"/>
        <v/>
      </c>
      <c r="AB426" s="6" t="str">
        <f t="shared" si="41"/>
        <v/>
      </c>
      <c r="AC426" s="4"/>
      <c r="AD426" s="4"/>
    </row>
    <row r="427" spans="1:30" x14ac:dyDescent="0.45">
      <c r="A427" s="3"/>
      <c r="B427" s="3"/>
      <c r="C427" s="5" t="str">
        <f>IF($E427="","",COUNT($E$2:$E427))</f>
        <v/>
      </c>
      <c r="D427" s="3"/>
      <c r="E427" s="3"/>
      <c r="F427" s="3"/>
      <c r="G427" s="3"/>
      <c r="H427" s="3"/>
      <c r="I427" s="3"/>
      <c r="J427" s="3"/>
      <c r="K427" s="3"/>
      <c r="L427" s="4"/>
      <c r="M427" s="6" t="str">
        <f>IF(OR($E427="",$F427=""),"",IF(_xlfn.SINGLE(JobState)="",IF(ROW()=2,HYPERLINK("#JobState","Set State →"),""),HYPERLINK(IF(OR(_xlfn.SINGLE(JobState)="MI",_xlfn.SINGLE(JobState)=""),"https://fema.maps.arcgis.com/apps/mapviewer/index.html?webmap=6a1702b9147243d1a5ee62cd614bc681&amp;center="&amp;$F427&amp;","&amp;$E427&amp;"&amp;level=16&amp;marker="&amp;$F427&amp;","&amp;$E427&amp;"",IF(_xlfn.SINGLE(JobState)="IN","https://fema.maps.arcgis.com/apps/mapviewer/index.html?url=https%3A%2F%2Fgis.indot.in.gov%2Fro%2Frest%2Fservices%2FRAH_GIO_Collaboration%2FLRSE_Functional_Class%2FFeatureServer%2F22&amp;find="&amp;$F427&amp;"%2C"&amp;$E427&amp;"&amp;marker="&amp;$F427&amp;","&amp;$E427&amp;",4326&amp;level=16",IF(_xlfn.SINGLE(JobState)="WI","https://fema.maps.arcgis.com/apps/mapviewer/index.html?url=https://services5.arcgis.com/0pgGLzT0Nh7FVjon/arcgis/rest/services/Functional_Class_Local_Non_Prod/FeatureServer/1&amp;find="&amp;$F427&amp;"%2C"&amp;$E427&amp;"&amp;marker="&amp;$F427&amp;","&amp;$E427&amp;",4326&amp;level=16",IF(_xlfn.SINGLE(JobState)="MN","https://fema.maps.arcgis.com/apps/mapviewer/index.html?url=https%3A%2F%2Fdotapp9.dot.state.mn.us%2Fegis12%2Frest%2Fservices%2FBASEMAP%2Fmndot_commonlayers2%2FMapServer%2F11&amp;find="&amp;$F427&amp;"%2C"&amp;$E427&amp;"&amp;marker="&amp;$F427&amp;","&amp;$E427&amp;",4326&amp;level=16",IF(_xlfn.SINGLE(JobState)="IL","https://fema.maps.arcgis.com/apps/mapviewer/index.html?url=https%3A%2F%2Fgis1.dot.illinois.gov%2Farcgis%2Frest%2Fservices%2FAdministrativeData%2FFunctionalClass%2FMapServer%2F0&amp;find="&amp;$F427&amp;"%2C"&amp;$E427&amp;"&amp;marker="&amp;$F427&amp;","&amp;$E427&amp;",4326&amp;level=16",IF(_xlfn.SINGLE(JobState)="OH","https://fema.maps.arcgis.com/apps/mapviewer/index.html?url=https%3A%2F%2Ftims.dot.state.oh.us%2Fags%2Frest%2Fservices%2FRoadway_Information%2FFunctional_Class%2FMapServer%2F0&amp;find="&amp;$F427&amp;"%2C"&amp;$E427&amp;"&amp;marker="&amp;$F427&amp;","&amp;$E427&amp;",4326&amp;level=16","https://fema.maps.arcgis.com/apps/mapviewer/index.html?find="&amp;$F427&amp;"%2C"&amp;$E427&amp;"&amp;marker="&amp;$F427&amp;","&amp;$E427&amp;",4326&amp;level=16")))))),IF(_xlfn.SINGLE(JobState)="WI","Review Local Roads Layer","Review NFC AGOL Layer"))))</f>
        <v/>
      </c>
      <c r="N427" s="6" t="str">
        <f>IF(OR($E427="",$F427=""),"",IF(_xlfn.SINGLE(JobState)="",IF(ROW()=2,HYPERLINK("#JobState","Set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427&amp;"%2C"&amp;$E427&amp;"&amp;marker="&amp;$F427&amp;","&amp;$E427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7" s="6" t="str">
        <f>IF(OR($E427="", $F427=""),"",IF(_xlfn.SINGLE(JobAgolMap)="",HYPERLINK("https://fema.maps.arcgis.com/apps/mapviewer/index.html?find="&amp;$F427&amp;"%2C"&amp;$E427&amp;"&amp;marker="&amp;$F427&amp;","&amp;$E427&amp;",4326&amp;level=16","FEMA AGOL Map Viewer"),HYPERLINK(_xlfn.SINGLE(JobAgolMap)&amp;IF(ISNUMBER(FIND("?",_xlfn.SINGLE(JobAgolMap))),"&amp;","?")&amp;"center="&amp;$F427&amp;","&amp;$E427&amp;"&amp;level=16&amp;marker="&amp;$F427&amp;","&amp;$E427,"Open")))</f>
        <v/>
      </c>
      <c r="Q427" s="4"/>
      <c r="R427" s="4"/>
      <c r="W427" s="6" t="str">
        <f t="shared" si="36"/>
        <v/>
      </c>
      <c r="X427" s="6" t="str">
        <f t="shared" si="37"/>
        <v/>
      </c>
      <c r="Y427" s="6" t="str">
        <f t="shared" si="38"/>
        <v/>
      </c>
      <c r="Z427" s="6" t="str">
        <f t="shared" si="39"/>
        <v/>
      </c>
      <c r="AA427" s="6" t="str">
        <f t="shared" si="40"/>
        <v/>
      </c>
      <c r="AB427" s="6" t="str">
        <f t="shared" si="41"/>
        <v/>
      </c>
      <c r="AC427" s="4"/>
      <c r="AD427" s="4"/>
    </row>
    <row r="428" spans="1:30" x14ac:dyDescent="0.45">
      <c r="A428" s="3"/>
      <c r="B428" s="3"/>
      <c r="C428" s="5" t="str">
        <f>IF($E428="","",COUNT($E$2:$E428))</f>
        <v/>
      </c>
      <c r="D428" s="3"/>
      <c r="E428" s="3"/>
      <c r="F428" s="3"/>
      <c r="G428" s="3"/>
      <c r="H428" s="3"/>
      <c r="I428" s="3"/>
      <c r="J428" s="3"/>
      <c r="K428" s="3"/>
      <c r="L428" s="4"/>
      <c r="M428" s="6" t="str">
        <f>IF(OR($E428="",$F428=""),"",IF(_xlfn.SINGLE(JobState)="",IF(ROW()=2,HYPERLINK("#JobState","Set State →"),""),HYPERLINK(IF(OR(_xlfn.SINGLE(JobState)="MI",_xlfn.SINGLE(JobState)=""),"https://fema.maps.arcgis.com/apps/mapviewer/index.html?webmap=6a1702b9147243d1a5ee62cd614bc681&amp;center="&amp;$F428&amp;","&amp;$E428&amp;"&amp;level=16&amp;marker="&amp;$F428&amp;","&amp;$E428&amp;"",IF(_xlfn.SINGLE(JobState)="IN","https://fema.maps.arcgis.com/apps/mapviewer/index.html?url=https%3A%2F%2Fgis.indot.in.gov%2Fro%2Frest%2Fservices%2FRAH_GIO_Collaboration%2FLRSE_Functional_Class%2FFeatureServer%2F22&amp;find="&amp;$F428&amp;"%2C"&amp;$E428&amp;"&amp;marker="&amp;$F428&amp;","&amp;$E428&amp;",4326&amp;level=16",IF(_xlfn.SINGLE(JobState)="WI","https://fema.maps.arcgis.com/apps/mapviewer/index.html?url=https://services5.arcgis.com/0pgGLzT0Nh7FVjon/arcgis/rest/services/Functional_Class_Local_Non_Prod/FeatureServer/1&amp;find="&amp;$F428&amp;"%2C"&amp;$E428&amp;"&amp;marker="&amp;$F428&amp;","&amp;$E428&amp;",4326&amp;level=16",IF(_xlfn.SINGLE(JobState)="MN","https://fema.maps.arcgis.com/apps/mapviewer/index.html?url=https%3A%2F%2Fdotapp9.dot.state.mn.us%2Fegis12%2Frest%2Fservices%2FBASEMAP%2Fmndot_commonlayers2%2FMapServer%2F11&amp;find="&amp;$F428&amp;"%2C"&amp;$E428&amp;"&amp;marker="&amp;$F428&amp;","&amp;$E428&amp;",4326&amp;level=16",IF(_xlfn.SINGLE(JobState)="IL","https://fema.maps.arcgis.com/apps/mapviewer/index.html?url=https%3A%2F%2Fgis1.dot.illinois.gov%2Farcgis%2Frest%2Fservices%2FAdministrativeData%2FFunctionalClass%2FMapServer%2F0&amp;find="&amp;$F428&amp;"%2C"&amp;$E428&amp;"&amp;marker="&amp;$F428&amp;","&amp;$E428&amp;",4326&amp;level=16",IF(_xlfn.SINGLE(JobState)="OH","https://fema.maps.arcgis.com/apps/mapviewer/index.html?url=https%3A%2F%2Ftims.dot.state.oh.us%2Fags%2Frest%2Fservices%2FRoadway_Information%2FFunctional_Class%2FMapServer%2F0&amp;find="&amp;$F428&amp;"%2C"&amp;$E428&amp;"&amp;marker="&amp;$F428&amp;","&amp;$E428&amp;",4326&amp;level=16","https://fema.maps.arcgis.com/apps/mapviewer/index.html?find="&amp;$F428&amp;"%2C"&amp;$E428&amp;"&amp;marker="&amp;$F428&amp;","&amp;$E428&amp;",4326&amp;level=16")))))),IF(_xlfn.SINGLE(JobState)="WI","Review Local Roads Layer","Review NFC AGOL Layer"))))</f>
        <v/>
      </c>
      <c r="N428" s="6" t="str">
        <f>IF(OR($E428="",$F428=""),"",IF(_xlfn.SINGLE(JobState)="",IF(ROW()=2,HYPERLINK("#JobState","Set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428&amp;"%2C"&amp;$E428&amp;"&amp;marker="&amp;$F428&amp;","&amp;$E428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8" s="6" t="str">
        <f>IF(OR($E428="", $F428=""),"",IF(_xlfn.SINGLE(JobAgolMap)="",HYPERLINK("https://fema.maps.arcgis.com/apps/mapviewer/index.html?find="&amp;$F428&amp;"%2C"&amp;$E428&amp;"&amp;marker="&amp;$F428&amp;","&amp;$E428&amp;",4326&amp;level=16","FEMA AGOL Map Viewer"),HYPERLINK(_xlfn.SINGLE(JobAgolMap)&amp;IF(ISNUMBER(FIND("?",_xlfn.SINGLE(JobAgolMap))),"&amp;","?")&amp;"center="&amp;$F428&amp;","&amp;$E428&amp;"&amp;level=16&amp;marker="&amp;$F428&amp;","&amp;$E428,"Open")))</f>
        <v/>
      </c>
      <c r="Q428" s="4"/>
      <c r="R428" s="4"/>
      <c r="W428" s="6" t="str">
        <f t="shared" si="36"/>
        <v/>
      </c>
      <c r="X428" s="6" t="str">
        <f t="shared" si="37"/>
        <v/>
      </c>
      <c r="Y428" s="6" t="str">
        <f t="shared" si="38"/>
        <v/>
      </c>
      <c r="Z428" s="6" t="str">
        <f t="shared" si="39"/>
        <v/>
      </c>
      <c r="AA428" s="6" t="str">
        <f t="shared" si="40"/>
        <v/>
      </c>
      <c r="AB428" s="6" t="str">
        <f t="shared" si="41"/>
        <v/>
      </c>
      <c r="AC428" s="4"/>
      <c r="AD428" s="4"/>
    </row>
    <row r="429" spans="1:30" x14ac:dyDescent="0.45">
      <c r="A429" s="3"/>
      <c r="B429" s="3"/>
      <c r="C429" s="5" t="str">
        <f>IF($E429="","",COUNT($E$2:$E429))</f>
        <v/>
      </c>
      <c r="D429" s="3"/>
      <c r="E429" s="3"/>
      <c r="F429" s="3"/>
      <c r="G429" s="3"/>
      <c r="H429" s="3"/>
      <c r="I429" s="3"/>
      <c r="J429" s="3"/>
      <c r="K429" s="3"/>
      <c r="L429" s="4"/>
      <c r="M429" s="6" t="str">
        <f>IF(OR($E429="",$F429=""),"",IF(_xlfn.SINGLE(JobState)="",IF(ROW()=2,HYPERLINK("#JobState","Set State →"),""),HYPERLINK(IF(OR(_xlfn.SINGLE(JobState)="MI",_xlfn.SINGLE(JobState)=""),"https://fema.maps.arcgis.com/apps/mapviewer/index.html?webmap=6a1702b9147243d1a5ee62cd614bc681&amp;center="&amp;$F429&amp;","&amp;$E429&amp;"&amp;level=16&amp;marker="&amp;$F429&amp;","&amp;$E429&amp;"",IF(_xlfn.SINGLE(JobState)="IN","https://fema.maps.arcgis.com/apps/mapviewer/index.html?url=https%3A%2F%2Fgis.indot.in.gov%2Fro%2Frest%2Fservices%2FRAH_GIO_Collaboration%2FLRSE_Functional_Class%2FFeatureServer%2F22&amp;find="&amp;$F429&amp;"%2C"&amp;$E429&amp;"&amp;marker="&amp;$F429&amp;","&amp;$E429&amp;",4326&amp;level=16",IF(_xlfn.SINGLE(JobState)="WI","https://fema.maps.arcgis.com/apps/mapviewer/index.html?url=https://services5.arcgis.com/0pgGLzT0Nh7FVjon/arcgis/rest/services/Functional_Class_Local_Non_Prod/FeatureServer/1&amp;find="&amp;$F429&amp;"%2C"&amp;$E429&amp;"&amp;marker="&amp;$F429&amp;","&amp;$E429&amp;",4326&amp;level=16",IF(_xlfn.SINGLE(JobState)="MN","https://fema.maps.arcgis.com/apps/mapviewer/index.html?url=https%3A%2F%2Fdotapp9.dot.state.mn.us%2Fegis12%2Frest%2Fservices%2FBASEMAP%2Fmndot_commonlayers2%2FMapServer%2F11&amp;find="&amp;$F429&amp;"%2C"&amp;$E429&amp;"&amp;marker="&amp;$F429&amp;","&amp;$E429&amp;",4326&amp;level=16",IF(_xlfn.SINGLE(JobState)="IL","https://fema.maps.arcgis.com/apps/mapviewer/index.html?url=https%3A%2F%2Fgis1.dot.illinois.gov%2Farcgis%2Frest%2Fservices%2FAdministrativeData%2FFunctionalClass%2FMapServer%2F0&amp;find="&amp;$F429&amp;"%2C"&amp;$E429&amp;"&amp;marker="&amp;$F429&amp;","&amp;$E429&amp;",4326&amp;level=16",IF(_xlfn.SINGLE(JobState)="OH","https://fema.maps.arcgis.com/apps/mapviewer/index.html?url=https%3A%2F%2Ftims.dot.state.oh.us%2Fags%2Frest%2Fservices%2FRoadway_Information%2FFunctional_Class%2FMapServer%2F0&amp;find="&amp;$F429&amp;"%2C"&amp;$E429&amp;"&amp;marker="&amp;$F429&amp;","&amp;$E429&amp;",4326&amp;level=16","https://fema.maps.arcgis.com/apps/mapviewer/index.html?find="&amp;$F429&amp;"%2C"&amp;$E429&amp;"&amp;marker="&amp;$F429&amp;","&amp;$E429&amp;",4326&amp;level=16")))))),IF(_xlfn.SINGLE(JobState)="WI","Review Local Roads Layer","Review NFC AGOL Layer"))))</f>
        <v/>
      </c>
      <c r="N429" s="6" t="str">
        <f>IF(OR($E429="",$F429=""),"",IF(_xlfn.SINGLE(JobState)="",IF(ROW()=2,HYPERLINK("#JobState","Set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429&amp;"%2C"&amp;$E429&amp;"&amp;marker="&amp;$F429&amp;","&amp;$E429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9" s="6" t="str">
        <f>IF(OR($E429="", $F429=""),"",IF(_xlfn.SINGLE(JobAgolMap)="",HYPERLINK("https://fema.maps.arcgis.com/apps/mapviewer/index.html?find="&amp;$F429&amp;"%2C"&amp;$E429&amp;"&amp;marker="&amp;$F429&amp;","&amp;$E429&amp;",4326&amp;level=16","FEMA AGOL Map Viewer"),HYPERLINK(_xlfn.SINGLE(JobAgolMap)&amp;IF(ISNUMBER(FIND("?",_xlfn.SINGLE(JobAgolMap))),"&amp;","?")&amp;"center="&amp;$F429&amp;","&amp;$E429&amp;"&amp;level=16&amp;marker="&amp;$F429&amp;","&amp;$E429,"Open")))</f>
        <v/>
      </c>
      <c r="Q429" s="4"/>
      <c r="R429" s="4"/>
      <c r="W429" s="6" t="str">
        <f t="shared" si="36"/>
        <v/>
      </c>
      <c r="X429" s="6" t="str">
        <f t="shared" si="37"/>
        <v/>
      </c>
      <c r="Y429" s="6" t="str">
        <f t="shared" si="38"/>
        <v/>
      </c>
      <c r="Z429" s="6" t="str">
        <f t="shared" si="39"/>
        <v/>
      </c>
      <c r="AA429" s="6" t="str">
        <f t="shared" si="40"/>
        <v/>
      </c>
      <c r="AB429" s="6" t="str">
        <f t="shared" si="41"/>
        <v/>
      </c>
      <c r="AC429" s="4"/>
      <c r="AD429" s="4"/>
    </row>
    <row r="430" spans="1:30" x14ac:dyDescent="0.45">
      <c r="A430" s="3"/>
      <c r="B430" s="3"/>
      <c r="C430" s="5" t="str">
        <f>IF($E430="","",COUNT($E$2:$E430))</f>
        <v/>
      </c>
      <c r="D430" s="3"/>
      <c r="E430" s="3"/>
      <c r="F430" s="3"/>
      <c r="G430" s="3"/>
      <c r="H430" s="3"/>
      <c r="I430" s="3"/>
      <c r="J430" s="3"/>
      <c r="K430" s="3"/>
      <c r="L430" s="4"/>
      <c r="M430" s="6" t="str">
        <f>IF(OR($E430="",$F430=""),"",IF(_xlfn.SINGLE(JobState)="",IF(ROW()=2,HYPERLINK("#JobState","Set State →"),""),HYPERLINK(IF(OR(_xlfn.SINGLE(JobState)="MI",_xlfn.SINGLE(JobState)=""),"https://fema.maps.arcgis.com/apps/mapviewer/index.html?webmap=6a1702b9147243d1a5ee62cd614bc681&amp;center="&amp;$F430&amp;","&amp;$E430&amp;"&amp;level=16&amp;marker="&amp;$F430&amp;","&amp;$E430&amp;"",IF(_xlfn.SINGLE(JobState)="IN","https://fema.maps.arcgis.com/apps/mapviewer/index.html?url=https%3A%2F%2Fgis.indot.in.gov%2Fro%2Frest%2Fservices%2FRAH_GIO_Collaboration%2FLRSE_Functional_Class%2FFeatureServer%2F22&amp;find="&amp;$F430&amp;"%2C"&amp;$E430&amp;"&amp;marker="&amp;$F430&amp;","&amp;$E430&amp;",4326&amp;level=16",IF(_xlfn.SINGLE(JobState)="WI","https://fema.maps.arcgis.com/apps/mapviewer/index.html?url=https://services5.arcgis.com/0pgGLzT0Nh7FVjon/arcgis/rest/services/Functional_Class_Local_Non_Prod/FeatureServer/1&amp;find="&amp;$F430&amp;"%2C"&amp;$E430&amp;"&amp;marker="&amp;$F430&amp;","&amp;$E430&amp;",4326&amp;level=16",IF(_xlfn.SINGLE(JobState)="MN","https://fema.maps.arcgis.com/apps/mapviewer/index.html?url=https%3A%2F%2Fdotapp9.dot.state.mn.us%2Fegis12%2Frest%2Fservices%2FBASEMAP%2Fmndot_commonlayers2%2FMapServer%2F11&amp;find="&amp;$F430&amp;"%2C"&amp;$E430&amp;"&amp;marker="&amp;$F430&amp;","&amp;$E430&amp;",4326&amp;level=16",IF(_xlfn.SINGLE(JobState)="IL","https://fema.maps.arcgis.com/apps/mapviewer/index.html?url=https%3A%2F%2Fgis1.dot.illinois.gov%2Farcgis%2Frest%2Fservices%2FAdministrativeData%2FFunctionalClass%2FMapServer%2F0&amp;find="&amp;$F430&amp;"%2C"&amp;$E430&amp;"&amp;marker="&amp;$F430&amp;","&amp;$E430&amp;",4326&amp;level=16",IF(_xlfn.SINGLE(JobState)="OH","https://fema.maps.arcgis.com/apps/mapviewer/index.html?url=https%3A%2F%2Ftims.dot.state.oh.us%2Fags%2Frest%2Fservices%2FRoadway_Information%2FFunctional_Class%2FMapServer%2F0&amp;find="&amp;$F430&amp;"%2C"&amp;$E430&amp;"&amp;marker="&amp;$F430&amp;","&amp;$E430&amp;",4326&amp;level=16","https://fema.maps.arcgis.com/apps/mapviewer/index.html?find="&amp;$F430&amp;"%2C"&amp;$E430&amp;"&amp;marker="&amp;$F430&amp;","&amp;$E430&amp;",4326&amp;level=16")))))),IF(_xlfn.SINGLE(JobState)="WI","Review Local Roads Layer","Review NFC AGOL Layer"))))</f>
        <v/>
      </c>
      <c r="N430" s="6" t="str">
        <f>IF(OR($E430="",$F430=""),"",IF(_xlfn.SINGLE(JobState)="",IF(ROW()=2,HYPERLINK("#JobState","Set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430&amp;"%2C"&amp;$E430&amp;"&amp;marker="&amp;$F430&amp;","&amp;$E430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0" s="6" t="str">
        <f>IF(OR($E430="", $F430=""),"",IF(_xlfn.SINGLE(JobAgolMap)="",HYPERLINK("https://fema.maps.arcgis.com/apps/mapviewer/index.html?find="&amp;$F430&amp;"%2C"&amp;$E430&amp;"&amp;marker="&amp;$F430&amp;","&amp;$E430&amp;",4326&amp;level=16","FEMA AGOL Map Viewer"),HYPERLINK(_xlfn.SINGLE(JobAgolMap)&amp;IF(ISNUMBER(FIND("?",_xlfn.SINGLE(JobAgolMap))),"&amp;","?")&amp;"center="&amp;$F430&amp;","&amp;$E430&amp;"&amp;level=16&amp;marker="&amp;$F430&amp;","&amp;$E430,"Open")))</f>
        <v/>
      </c>
      <c r="Q430" s="4"/>
      <c r="R430" s="4"/>
      <c r="W430" s="6" t="str">
        <f t="shared" si="36"/>
        <v/>
      </c>
      <c r="X430" s="6" t="str">
        <f t="shared" si="37"/>
        <v/>
      </c>
      <c r="Y430" s="6" t="str">
        <f t="shared" si="38"/>
        <v/>
      </c>
      <c r="Z430" s="6" t="str">
        <f t="shared" si="39"/>
        <v/>
      </c>
      <c r="AA430" s="6" t="str">
        <f t="shared" si="40"/>
        <v/>
      </c>
      <c r="AB430" s="6" t="str">
        <f t="shared" si="41"/>
        <v/>
      </c>
      <c r="AC430" s="4"/>
      <c r="AD430" s="4"/>
    </row>
    <row r="431" spans="1:30" x14ac:dyDescent="0.45">
      <c r="A431" s="3"/>
      <c r="B431" s="3"/>
      <c r="C431" s="5" t="str">
        <f>IF($E431="","",COUNT($E$2:$E431))</f>
        <v/>
      </c>
      <c r="D431" s="3"/>
      <c r="E431" s="3"/>
      <c r="F431" s="3"/>
      <c r="G431" s="3"/>
      <c r="H431" s="3"/>
      <c r="I431" s="3"/>
      <c r="J431" s="3"/>
      <c r="K431" s="3"/>
      <c r="L431" s="4"/>
      <c r="M431" s="6" t="str">
        <f>IF(OR($E431="",$F431=""),"",IF(_xlfn.SINGLE(JobState)="",IF(ROW()=2,HYPERLINK("#JobState","Set State →"),""),HYPERLINK(IF(OR(_xlfn.SINGLE(JobState)="MI",_xlfn.SINGLE(JobState)=""),"https://fema.maps.arcgis.com/apps/mapviewer/index.html?webmap=6a1702b9147243d1a5ee62cd614bc681&amp;center="&amp;$F431&amp;","&amp;$E431&amp;"&amp;level=16&amp;marker="&amp;$F431&amp;","&amp;$E431&amp;"",IF(_xlfn.SINGLE(JobState)="IN","https://fema.maps.arcgis.com/apps/mapviewer/index.html?url=https%3A%2F%2Fgis.indot.in.gov%2Fro%2Frest%2Fservices%2FRAH_GIO_Collaboration%2FLRSE_Functional_Class%2FFeatureServer%2F22&amp;find="&amp;$F431&amp;"%2C"&amp;$E431&amp;"&amp;marker="&amp;$F431&amp;","&amp;$E431&amp;",4326&amp;level=16",IF(_xlfn.SINGLE(JobState)="WI","https://fema.maps.arcgis.com/apps/mapviewer/index.html?url=https://services5.arcgis.com/0pgGLzT0Nh7FVjon/arcgis/rest/services/Functional_Class_Local_Non_Prod/FeatureServer/1&amp;find="&amp;$F431&amp;"%2C"&amp;$E431&amp;"&amp;marker="&amp;$F431&amp;","&amp;$E431&amp;",4326&amp;level=16",IF(_xlfn.SINGLE(JobState)="MN","https://fema.maps.arcgis.com/apps/mapviewer/index.html?url=https%3A%2F%2Fdotapp9.dot.state.mn.us%2Fegis12%2Frest%2Fservices%2FBASEMAP%2Fmndot_commonlayers2%2FMapServer%2F11&amp;find="&amp;$F431&amp;"%2C"&amp;$E431&amp;"&amp;marker="&amp;$F431&amp;","&amp;$E431&amp;",4326&amp;level=16",IF(_xlfn.SINGLE(JobState)="IL","https://fema.maps.arcgis.com/apps/mapviewer/index.html?url=https%3A%2F%2Fgis1.dot.illinois.gov%2Farcgis%2Frest%2Fservices%2FAdministrativeData%2FFunctionalClass%2FMapServer%2F0&amp;find="&amp;$F431&amp;"%2C"&amp;$E431&amp;"&amp;marker="&amp;$F431&amp;","&amp;$E431&amp;",4326&amp;level=16",IF(_xlfn.SINGLE(JobState)="OH","https://fema.maps.arcgis.com/apps/mapviewer/index.html?url=https%3A%2F%2Ftims.dot.state.oh.us%2Fags%2Frest%2Fservices%2FRoadway_Information%2FFunctional_Class%2FMapServer%2F0&amp;find="&amp;$F431&amp;"%2C"&amp;$E431&amp;"&amp;marker="&amp;$F431&amp;","&amp;$E431&amp;",4326&amp;level=16","https://fema.maps.arcgis.com/apps/mapviewer/index.html?find="&amp;$F431&amp;"%2C"&amp;$E431&amp;"&amp;marker="&amp;$F431&amp;","&amp;$E431&amp;",4326&amp;level=16")))))),IF(_xlfn.SINGLE(JobState)="WI","Review Local Roads Layer","Review NFC AGOL Layer"))))</f>
        <v/>
      </c>
      <c r="N431" s="6" t="str">
        <f>IF(OR($E431="",$F431=""),"",IF(_xlfn.SINGLE(JobState)="",IF(ROW()=2,HYPERLINK("#JobState","Set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431&amp;"%2C"&amp;$E431&amp;"&amp;marker="&amp;$F431&amp;","&amp;$E431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1" s="6" t="str">
        <f>IF(OR($E431="", $F431=""),"",IF(_xlfn.SINGLE(JobAgolMap)="",HYPERLINK("https://fema.maps.arcgis.com/apps/mapviewer/index.html?find="&amp;$F431&amp;"%2C"&amp;$E431&amp;"&amp;marker="&amp;$F431&amp;","&amp;$E431&amp;",4326&amp;level=16","FEMA AGOL Map Viewer"),HYPERLINK(_xlfn.SINGLE(JobAgolMap)&amp;IF(ISNUMBER(FIND("?",_xlfn.SINGLE(JobAgolMap))),"&amp;","?")&amp;"center="&amp;$F431&amp;","&amp;$E431&amp;"&amp;level=16&amp;marker="&amp;$F431&amp;","&amp;$E431,"Open")))</f>
        <v/>
      </c>
      <c r="Q431" s="4"/>
      <c r="R431" s="4"/>
      <c r="W431" s="6" t="str">
        <f t="shared" si="36"/>
        <v/>
      </c>
      <c r="X431" s="6" t="str">
        <f t="shared" si="37"/>
        <v/>
      </c>
      <c r="Y431" s="6" t="str">
        <f t="shared" si="38"/>
        <v/>
      </c>
      <c r="Z431" s="6" t="str">
        <f t="shared" si="39"/>
        <v/>
      </c>
      <c r="AA431" s="6" t="str">
        <f t="shared" si="40"/>
        <v/>
      </c>
      <c r="AB431" s="6" t="str">
        <f t="shared" si="41"/>
        <v/>
      </c>
      <c r="AC431" s="4"/>
      <c r="AD431" s="4"/>
    </row>
    <row r="432" spans="1:30" x14ac:dyDescent="0.45">
      <c r="A432" s="3"/>
      <c r="B432" s="3"/>
      <c r="C432" s="5" t="str">
        <f>IF($E432="","",COUNT($E$2:$E432))</f>
        <v/>
      </c>
      <c r="D432" s="3"/>
      <c r="E432" s="3"/>
      <c r="F432" s="3"/>
      <c r="G432" s="3"/>
      <c r="H432" s="3"/>
      <c r="I432" s="3"/>
      <c r="J432" s="3"/>
      <c r="K432" s="3"/>
      <c r="L432" s="4"/>
      <c r="M432" s="6" t="str">
        <f>IF(OR($E432="",$F432=""),"",IF(_xlfn.SINGLE(JobState)="",IF(ROW()=2,HYPERLINK("#JobState","Set State →"),""),HYPERLINK(IF(OR(_xlfn.SINGLE(JobState)="MI",_xlfn.SINGLE(JobState)=""),"https://fema.maps.arcgis.com/apps/mapviewer/index.html?webmap=6a1702b9147243d1a5ee62cd614bc681&amp;center="&amp;$F432&amp;","&amp;$E432&amp;"&amp;level=16&amp;marker="&amp;$F432&amp;","&amp;$E432&amp;"",IF(_xlfn.SINGLE(JobState)="IN","https://fema.maps.arcgis.com/apps/mapviewer/index.html?url=https%3A%2F%2Fgis.indot.in.gov%2Fro%2Frest%2Fservices%2FRAH_GIO_Collaboration%2FLRSE_Functional_Class%2FFeatureServer%2F22&amp;find="&amp;$F432&amp;"%2C"&amp;$E432&amp;"&amp;marker="&amp;$F432&amp;","&amp;$E432&amp;",4326&amp;level=16",IF(_xlfn.SINGLE(JobState)="WI","https://fema.maps.arcgis.com/apps/mapviewer/index.html?url=https://services5.arcgis.com/0pgGLzT0Nh7FVjon/arcgis/rest/services/Functional_Class_Local_Non_Prod/FeatureServer/1&amp;find="&amp;$F432&amp;"%2C"&amp;$E432&amp;"&amp;marker="&amp;$F432&amp;","&amp;$E432&amp;",4326&amp;level=16",IF(_xlfn.SINGLE(JobState)="MN","https://fema.maps.arcgis.com/apps/mapviewer/index.html?url=https%3A%2F%2Fdotapp9.dot.state.mn.us%2Fegis12%2Frest%2Fservices%2FBASEMAP%2Fmndot_commonlayers2%2FMapServer%2F11&amp;find="&amp;$F432&amp;"%2C"&amp;$E432&amp;"&amp;marker="&amp;$F432&amp;","&amp;$E432&amp;",4326&amp;level=16",IF(_xlfn.SINGLE(JobState)="IL","https://fema.maps.arcgis.com/apps/mapviewer/index.html?url=https%3A%2F%2Fgis1.dot.illinois.gov%2Farcgis%2Frest%2Fservices%2FAdministrativeData%2FFunctionalClass%2FMapServer%2F0&amp;find="&amp;$F432&amp;"%2C"&amp;$E432&amp;"&amp;marker="&amp;$F432&amp;","&amp;$E432&amp;",4326&amp;level=16",IF(_xlfn.SINGLE(JobState)="OH","https://fema.maps.arcgis.com/apps/mapviewer/index.html?url=https%3A%2F%2Ftims.dot.state.oh.us%2Fags%2Frest%2Fservices%2FRoadway_Information%2FFunctional_Class%2FMapServer%2F0&amp;find="&amp;$F432&amp;"%2C"&amp;$E432&amp;"&amp;marker="&amp;$F432&amp;","&amp;$E432&amp;",4326&amp;level=16","https://fema.maps.arcgis.com/apps/mapviewer/index.html?find="&amp;$F432&amp;"%2C"&amp;$E432&amp;"&amp;marker="&amp;$F432&amp;","&amp;$E432&amp;",4326&amp;level=16")))))),IF(_xlfn.SINGLE(JobState)="WI","Review Local Roads Layer","Review NFC AGOL Layer"))))</f>
        <v/>
      </c>
      <c r="N432" s="6" t="str">
        <f>IF(OR($E432="",$F432=""),"",IF(_xlfn.SINGLE(JobState)="",IF(ROW()=2,HYPERLINK("#JobState","Set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432&amp;"%2C"&amp;$E432&amp;"&amp;marker="&amp;$F432&amp;","&amp;$E432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2" s="6" t="str">
        <f>IF(OR($E432="", $F432=""),"",IF(_xlfn.SINGLE(JobAgolMap)="",HYPERLINK("https://fema.maps.arcgis.com/apps/mapviewer/index.html?find="&amp;$F432&amp;"%2C"&amp;$E432&amp;"&amp;marker="&amp;$F432&amp;","&amp;$E432&amp;",4326&amp;level=16","FEMA AGOL Map Viewer"),HYPERLINK(_xlfn.SINGLE(JobAgolMap)&amp;IF(ISNUMBER(FIND("?",_xlfn.SINGLE(JobAgolMap))),"&amp;","?")&amp;"center="&amp;$F432&amp;","&amp;$E432&amp;"&amp;level=16&amp;marker="&amp;$F432&amp;","&amp;$E432,"Open")))</f>
        <v/>
      </c>
      <c r="Q432" s="4"/>
      <c r="R432" s="4"/>
      <c r="W432" s="6" t="str">
        <f t="shared" si="36"/>
        <v/>
      </c>
      <c r="X432" s="6" t="str">
        <f t="shared" si="37"/>
        <v/>
      </c>
      <c r="Y432" s="6" t="str">
        <f t="shared" si="38"/>
        <v/>
      </c>
      <c r="Z432" s="6" t="str">
        <f t="shared" si="39"/>
        <v/>
      </c>
      <c r="AA432" s="6" t="str">
        <f t="shared" si="40"/>
        <v/>
      </c>
      <c r="AB432" s="6" t="str">
        <f t="shared" si="41"/>
        <v/>
      </c>
      <c r="AC432" s="4"/>
      <c r="AD432" s="4"/>
    </row>
    <row r="433" spans="1:30" x14ac:dyDescent="0.45">
      <c r="A433" s="3"/>
      <c r="B433" s="3"/>
      <c r="C433" s="5" t="str">
        <f>IF($E433="","",COUNT($E$2:$E433))</f>
        <v/>
      </c>
      <c r="D433" s="3"/>
      <c r="E433" s="3"/>
      <c r="F433" s="3"/>
      <c r="G433" s="3"/>
      <c r="H433" s="3"/>
      <c r="I433" s="3"/>
      <c r="J433" s="3"/>
      <c r="K433" s="3"/>
      <c r="L433" s="4"/>
      <c r="M433" s="6" t="str">
        <f>IF(OR($E433="",$F433=""),"",IF(_xlfn.SINGLE(JobState)="",IF(ROW()=2,HYPERLINK("#JobState","Set State →"),""),HYPERLINK(IF(OR(_xlfn.SINGLE(JobState)="MI",_xlfn.SINGLE(JobState)=""),"https://fema.maps.arcgis.com/apps/mapviewer/index.html?webmap=6a1702b9147243d1a5ee62cd614bc681&amp;center="&amp;$F433&amp;","&amp;$E433&amp;"&amp;level=16&amp;marker="&amp;$F433&amp;","&amp;$E433&amp;"",IF(_xlfn.SINGLE(JobState)="IN","https://fema.maps.arcgis.com/apps/mapviewer/index.html?url=https%3A%2F%2Fgis.indot.in.gov%2Fro%2Frest%2Fservices%2FRAH_GIO_Collaboration%2FLRSE_Functional_Class%2FFeatureServer%2F22&amp;find="&amp;$F433&amp;"%2C"&amp;$E433&amp;"&amp;marker="&amp;$F433&amp;","&amp;$E433&amp;",4326&amp;level=16",IF(_xlfn.SINGLE(JobState)="WI","https://fema.maps.arcgis.com/apps/mapviewer/index.html?url=https://services5.arcgis.com/0pgGLzT0Nh7FVjon/arcgis/rest/services/Functional_Class_Local_Non_Prod/FeatureServer/1&amp;find="&amp;$F433&amp;"%2C"&amp;$E433&amp;"&amp;marker="&amp;$F433&amp;","&amp;$E433&amp;",4326&amp;level=16",IF(_xlfn.SINGLE(JobState)="MN","https://fema.maps.arcgis.com/apps/mapviewer/index.html?url=https%3A%2F%2Fdotapp9.dot.state.mn.us%2Fegis12%2Frest%2Fservices%2FBASEMAP%2Fmndot_commonlayers2%2FMapServer%2F11&amp;find="&amp;$F433&amp;"%2C"&amp;$E433&amp;"&amp;marker="&amp;$F433&amp;","&amp;$E433&amp;",4326&amp;level=16",IF(_xlfn.SINGLE(JobState)="IL","https://fema.maps.arcgis.com/apps/mapviewer/index.html?url=https%3A%2F%2Fgis1.dot.illinois.gov%2Farcgis%2Frest%2Fservices%2FAdministrativeData%2FFunctionalClass%2FMapServer%2F0&amp;find="&amp;$F433&amp;"%2C"&amp;$E433&amp;"&amp;marker="&amp;$F433&amp;","&amp;$E433&amp;",4326&amp;level=16",IF(_xlfn.SINGLE(JobState)="OH","https://fema.maps.arcgis.com/apps/mapviewer/index.html?url=https%3A%2F%2Ftims.dot.state.oh.us%2Fags%2Frest%2Fservices%2FRoadway_Information%2FFunctional_Class%2FMapServer%2F0&amp;find="&amp;$F433&amp;"%2C"&amp;$E433&amp;"&amp;marker="&amp;$F433&amp;","&amp;$E433&amp;",4326&amp;level=16","https://fema.maps.arcgis.com/apps/mapviewer/index.html?find="&amp;$F433&amp;"%2C"&amp;$E433&amp;"&amp;marker="&amp;$F433&amp;","&amp;$E433&amp;",4326&amp;level=16")))))),IF(_xlfn.SINGLE(JobState)="WI","Review Local Roads Layer","Review NFC AGOL Layer"))))</f>
        <v/>
      </c>
      <c r="N433" s="6" t="str">
        <f>IF(OR($E433="",$F433=""),"",IF(_xlfn.SINGLE(JobState)="",IF(ROW()=2,HYPERLINK("#JobState","Set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433&amp;"%2C"&amp;$E433&amp;"&amp;marker="&amp;$F433&amp;","&amp;$E433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3" s="6" t="str">
        <f>IF(OR($E433="", $F433=""),"",IF(_xlfn.SINGLE(JobAgolMap)="",HYPERLINK("https://fema.maps.arcgis.com/apps/mapviewer/index.html?find="&amp;$F433&amp;"%2C"&amp;$E433&amp;"&amp;marker="&amp;$F433&amp;","&amp;$E433&amp;",4326&amp;level=16","FEMA AGOL Map Viewer"),HYPERLINK(_xlfn.SINGLE(JobAgolMap)&amp;IF(ISNUMBER(FIND("?",_xlfn.SINGLE(JobAgolMap))),"&amp;","?")&amp;"center="&amp;$F433&amp;","&amp;$E433&amp;"&amp;level=16&amp;marker="&amp;$F433&amp;","&amp;$E433,"Open")))</f>
        <v/>
      </c>
      <c r="Q433" s="4"/>
      <c r="R433" s="4"/>
      <c r="W433" s="6" t="str">
        <f t="shared" si="36"/>
        <v/>
      </c>
      <c r="X433" s="6" t="str">
        <f t="shared" si="37"/>
        <v/>
      </c>
      <c r="Y433" s="6" t="str">
        <f t="shared" si="38"/>
        <v/>
      </c>
      <c r="Z433" s="6" t="str">
        <f t="shared" si="39"/>
        <v/>
      </c>
      <c r="AA433" s="6" t="str">
        <f t="shared" si="40"/>
        <v/>
      </c>
      <c r="AB433" s="6" t="str">
        <f t="shared" si="41"/>
        <v/>
      </c>
      <c r="AC433" s="4"/>
      <c r="AD433" s="4"/>
    </row>
    <row r="434" spans="1:30" x14ac:dyDescent="0.45">
      <c r="A434" s="3"/>
      <c r="B434" s="3"/>
      <c r="C434" s="5" t="str">
        <f>IF($E434="","",COUNT($E$2:$E434))</f>
        <v/>
      </c>
      <c r="D434" s="3"/>
      <c r="E434" s="3"/>
      <c r="F434" s="3"/>
      <c r="G434" s="3"/>
      <c r="H434" s="3"/>
      <c r="I434" s="3"/>
      <c r="J434" s="3"/>
      <c r="K434" s="3"/>
      <c r="L434" s="4"/>
      <c r="M434" s="6" t="str">
        <f>IF(OR($E434="",$F434=""),"",IF(_xlfn.SINGLE(JobState)="",IF(ROW()=2,HYPERLINK("#JobState","Set State →"),""),HYPERLINK(IF(OR(_xlfn.SINGLE(JobState)="MI",_xlfn.SINGLE(JobState)=""),"https://fema.maps.arcgis.com/apps/mapviewer/index.html?webmap=6a1702b9147243d1a5ee62cd614bc681&amp;center="&amp;$F434&amp;","&amp;$E434&amp;"&amp;level=16&amp;marker="&amp;$F434&amp;","&amp;$E434&amp;"",IF(_xlfn.SINGLE(JobState)="IN","https://fema.maps.arcgis.com/apps/mapviewer/index.html?url=https%3A%2F%2Fgis.indot.in.gov%2Fro%2Frest%2Fservices%2FRAH_GIO_Collaboration%2FLRSE_Functional_Class%2FFeatureServer%2F22&amp;find="&amp;$F434&amp;"%2C"&amp;$E434&amp;"&amp;marker="&amp;$F434&amp;","&amp;$E434&amp;",4326&amp;level=16",IF(_xlfn.SINGLE(JobState)="WI","https://fema.maps.arcgis.com/apps/mapviewer/index.html?url=https://services5.arcgis.com/0pgGLzT0Nh7FVjon/arcgis/rest/services/Functional_Class_Local_Non_Prod/FeatureServer/1&amp;find="&amp;$F434&amp;"%2C"&amp;$E434&amp;"&amp;marker="&amp;$F434&amp;","&amp;$E434&amp;",4326&amp;level=16",IF(_xlfn.SINGLE(JobState)="MN","https://fema.maps.arcgis.com/apps/mapviewer/index.html?url=https%3A%2F%2Fdotapp9.dot.state.mn.us%2Fegis12%2Frest%2Fservices%2FBASEMAP%2Fmndot_commonlayers2%2FMapServer%2F11&amp;find="&amp;$F434&amp;"%2C"&amp;$E434&amp;"&amp;marker="&amp;$F434&amp;","&amp;$E434&amp;",4326&amp;level=16",IF(_xlfn.SINGLE(JobState)="IL","https://fema.maps.arcgis.com/apps/mapviewer/index.html?url=https%3A%2F%2Fgis1.dot.illinois.gov%2Farcgis%2Frest%2Fservices%2FAdministrativeData%2FFunctionalClass%2FMapServer%2F0&amp;find="&amp;$F434&amp;"%2C"&amp;$E434&amp;"&amp;marker="&amp;$F434&amp;","&amp;$E434&amp;",4326&amp;level=16",IF(_xlfn.SINGLE(JobState)="OH","https://fema.maps.arcgis.com/apps/mapviewer/index.html?url=https%3A%2F%2Ftims.dot.state.oh.us%2Fags%2Frest%2Fservices%2FRoadway_Information%2FFunctional_Class%2FMapServer%2F0&amp;find="&amp;$F434&amp;"%2C"&amp;$E434&amp;"&amp;marker="&amp;$F434&amp;","&amp;$E434&amp;",4326&amp;level=16","https://fema.maps.arcgis.com/apps/mapviewer/index.html?find="&amp;$F434&amp;"%2C"&amp;$E434&amp;"&amp;marker="&amp;$F434&amp;","&amp;$E434&amp;",4326&amp;level=16")))))),IF(_xlfn.SINGLE(JobState)="WI","Review Local Roads Layer","Review NFC AGOL Layer"))))</f>
        <v/>
      </c>
      <c r="N434" s="6" t="str">
        <f>IF(OR($E434="",$F434=""),"",IF(_xlfn.SINGLE(JobState)="",IF(ROW()=2,HYPERLINK("#JobState","Set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434&amp;"%2C"&amp;$E434&amp;"&amp;marker="&amp;$F434&amp;","&amp;$E434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4" s="6" t="str">
        <f>IF(OR($E434="", $F434=""),"",IF(_xlfn.SINGLE(JobAgolMap)="",HYPERLINK("https://fema.maps.arcgis.com/apps/mapviewer/index.html?find="&amp;$F434&amp;"%2C"&amp;$E434&amp;"&amp;marker="&amp;$F434&amp;","&amp;$E434&amp;",4326&amp;level=16","FEMA AGOL Map Viewer"),HYPERLINK(_xlfn.SINGLE(JobAgolMap)&amp;IF(ISNUMBER(FIND("?",_xlfn.SINGLE(JobAgolMap))),"&amp;","?")&amp;"center="&amp;$F434&amp;","&amp;$E434&amp;"&amp;level=16&amp;marker="&amp;$F434&amp;","&amp;$E434,"Open")))</f>
        <v/>
      </c>
      <c r="Q434" s="4"/>
      <c r="R434" s="4"/>
      <c r="W434" s="6" t="str">
        <f t="shared" si="36"/>
        <v/>
      </c>
      <c r="X434" s="6" t="str">
        <f t="shared" si="37"/>
        <v/>
      </c>
      <c r="Y434" s="6" t="str">
        <f t="shared" si="38"/>
        <v/>
      </c>
      <c r="Z434" s="6" t="str">
        <f t="shared" si="39"/>
        <v/>
      </c>
      <c r="AA434" s="6" t="str">
        <f t="shared" si="40"/>
        <v/>
      </c>
      <c r="AB434" s="6" t="str">
        <f t="shared" si="41"/>
        <v/>
      </c>
      <c r="AC434" s="4"/>
      <c r="AD434" s="4"/>
    </row>
    <row r="435" spans="1:30" x14ac:dyDescent="0.45">
      <c r="A435" s="3"/>
      <c r="B435" s="3"/>
      <c r="C435" s="5" t="str">
        <f>IF($E435="","",COUNT($E$2:$E435))</f>
        <v/>
      </c>
      <c r="D435" s="3"/>
      <c r="E435" s="3"/>
      <c r="F435" s="3"/>
      <c r="G435" s="3"/>
      <c r="H435" s="3"/>
      <c r="I435" s="3"/>
      <c r="J435" s="3"/>
      <c r="K435" s="3"/>
      <c r="L435" s="4"/>
      <c r="M435" s="6" t="str">
        <f>IF(OR($E435="",$F435=""),"",IF(_xlfn.SINGLE(JobState)="",IF(ROW()=2,HYPERLINK("#JobState","Set State →"),""),HYPERLINK(IF(OR(_xlfn.SINGLE(JobState)="MI",_xlfn.SINGLE(JobState)=""),"https://fema.maps.arcgis.com/apps/mapviewer/index.html?webmap=6a1702b9147243d1a5ee62cd614bc681&amp;center="&amp;$F435&amp;","&amp;$E435&amp;"&amp;level=16&amp;marker="&amp;$F435&amp;","&amp;$E435&amp;"",IF(_xlfn.SINGLE(JobState)="IN","https://fema.maps.arcgis.com/apps/mapviewer/index.html?url=https%3A%2F%2Fgis.indot.in.gov%2Fro%2Frest%2Fservices%2FRAH_GIO_Collaboration%2FLRSE_Functional_Class%2FFeatureServer%2F22&amp;find="&amp;$F435&amp;"%2C"&amp;$E435&amp;"&amp;marker="&amp;$F435&amp;","&amp;$E435&amp;",4326&amp;level=16",IF(_xlfn.SINGLE(JobState)="WI","https://fema.maps.arcgis.com/apps/mapviewer/index.html?url=https://services5.arcgis.com/0pgGLzT0Nh7FVjon/arcgis/rest/services/Functional_Class_Local_Non_Prod/FeatureServer/1&amp;find="&amp;$F435&amp;"%2C"&amp;$E435&amp;"&amp;marker="&amp;$F435&amp;","&amp;$E435&amp;",4326&amp;level=16",IF(_xlfn.SINGLE(JobState)="MN","https://fema.maps.arcgis.com/apps/mapviewer/index.html?url=https%3A%2F%2Fdotapp9.dot.state.mn.us%2Fegis12%2Frest%2Fservices%2FBASEMAP%2Fmndot_commonlayers2%2FMapServer%2F11&amp;find="&amp;$F435&amp;"%2C"&amp;$E435&amp;"&amp;marker="&amp;$F435&amp;","&amp;$E435&amp;",4326&amp;level=16",IF(_xlfn.SINGLE(JobState)="IL","https://fema.maps.arcgis.com/apps/mapviewer/index.html?url=https%3A%2F%2Fgis1.dot.illinois.gov%2Farcgis%2Frest%2Fservices%2FAdministrativeData%2FFunctionalClass%2FMapServer%2F0&amp;find="&amp;$F435&amp;"%2C"&amp;$E435&amp;"&amp;marker="&amp;$F435&amp;","&amp;$E435&amp;",4326&amp;level=16",IF(_xlfn.SINGLE(JobState)="OH","https://fema.maps.arcgis.com/apps/mapviewer/index.html?url=https%3A%2F%2Ftims.dot.state.oh.us%2Fags%2Frest%2Fservices%2FRoadway_Information%2FFunctional_Class%2FMapServer%2F0&amp;find="&amp;$F435&amp;"%2C"&amp;$E435&amp;"&amp;marker="&amp;$F435&amp;","&amp;$E435&amp;",4326&amp;level=16","https://fema.maps.arcgis.com/apps/mapviewer/index.html?find="&amp;$F435&amp;"%2C"&amp;$E435&amp;"&amp;marker="&amp;$F435&amp;","&amp;$E435&amp;",4326&amp;level=16")))))),IF(_xlfn.SINGLE(JobState)="WI","Review Local Roads Layer","Review NFC AGOL Layer"))))</f>
        <v/>
      </c>
      <c r="N435" s="6" t="str">
        <f>IF(OR($E435="",$F435=""),"",IF(_xlfn.SINGLE(JobState)="",IF(ROW()=2,HYPERLINK("#JobState","Set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435&amp;"%2C"&amp;$E435&amp;"&amp;marker="&amp;$F435&amp;","&amp;$E435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5" s="6" t="str">
        <f>IF(OR($E435="", $F435=""),"",IF(_xlfn.SINGLE(JobAgolMap)="",HYPERLINK("https://fema.maps.arcgis.com/apps/mapviewer/index.html?find="&amp;$F435&amp;"%2C"&amp;$E435&amp;"&amp;marker="&amp;$F435&amp;","&amp;$E435&amp;",4326&amp;level=16","FEMA AGOL Map Viewer"),HYPERLINK(_xlfn.SINGLE(JobAgolMap)&amp;IF(ISNUMBER(FIND("?",_xlfn.SINGLE(JobAgolMap))),"&amp;","?")&amp;"center="&amp;$F435&amp;","&amp;$E435&amp;"&amp;level=16&amp;marker="&amp;$F435&amp;","&amp;$E435,"Open")))</f>
        <v/>
      </c>
      <c r="Q435" s="4"/>
      <c r="R435" s="4"/>
      <c r="W435" s="6" t="str">
        <f t="shared" si="36"/>
        <v/>
      </c>
      <c r="X435" s="6" t="str">
        <f t="shared" si="37"/>
        <v/>
      </c>
      <c r="Y435" s="6" t="str">
        <f t="shared" si="38"/>
        <v/>
      </c>
      <c r="Z435" s="6" t="str">
        <f t="shared" si="39"/>
        <v/>
      </c>
      <c r="AA435" s="6" t="str">
        <f t="shared" si="40"/>
        <v/>
      </c>
      <c r="AB435" s="6" t="str">
        <f t="shared" si="41"/>
        <v/>
      </c>
      <c r="AC435" s="4"/>
      <c r="AD435" s="4"/>
    </row>
    <row r="436" spans="1:30" x14ac:dyDescent="0.45">
      <c r="A436" s="3"/>
      <c r="B436" s="3"/>
      <c r="C436" s="5" t="str">
        <f>IF($E436="","",COUNT($E$2:$E436))</f>
        <v/>
      </c>
      <c r="D436" s="3"/>
      <c r="E436" s="3"/>
      <c r="F436" s="3"/>
      <c r="G436" s="3"/>
      <c r="H436" s="3"/>
      <c r="I436" s="3"/>
      <c r="J436" s="3"/>
      <c r="K436" s="3"/>
      <c r="L436" s="4"/>
      <c r="M436" s="6" t="str">
        <f>IF(OR($E436="",$F436=""),"",IF(_xlfn.SINGLE(JobState)="",IF(ROW()=2,HYPERLINK("#JobState","Set State →"),""),HYPERLINK(IF(OR(_xlfn.SINGLE(JobState)="MI",_xlfn.SINGLE(JobState)=""),"https://fema.maps.arcgis.com/apps/mapviewer/index.html?webmap=6a1702b9147243d1a5ee62cd614bc681&amp;center="&amp;$F436&amp;","&amp;$E436&amp;"&amp;level=16&amp;marker="&amp;$F436&amp;","&amp;$E436&amp;"",IF(_xlfn.SINGLE(JobState)="IN","https://fema.maps.arcgis.com/apps/mapviewer/index.html?url=https%3A%2F%2Fgis.indot.in.gov%2Fro%2Frest%2Fservices%2FRAH_GIO_Collaboration%2FLRSE_Functional_Class%2FFeatureServer%2F22&amp;find="&amp;$F436&amp;"%2C"&amp;$E436&amp;"&amp;marker="&amp;$F436&amp;","&amp;$E436&amp;",4326&amp;level=16",IF(_xlfn.SINGLE(JobState)="WI","https://fema.maps.arcgis.com/apps/mapviewer/index.html?url=https://services5.arcgis.com/0pgGLzT0Nh7FVjon/arcgis/rest/services/Functional_Class_Local_Non_Prod/FeatureServer/1&amp;find="&amp;$F436&amp;"%2C"&amp;$E436&amp;"&amp;marker="&amp;$F436&amp;","&amp;$E436&amp;",4326&amp;level=16",IF(_xlfn.SINGLE(JobState)="MN","https://fema.maps.arcgis.com/apps/mapviewer/index.html?url=https%3A%2F%2Fdotapp9.dot.state.mn.us%2Fegis12%2Frest%2Fservices%2FBASEMAP%2Fmndot_commonlayers2%2FMapServer%2F11&amp;find="&amp;$F436&amp;"%2C"&amp;$E436&amp;"&amp;marker="&amp;$F436&amp;","&amp;$E436&amp;",4326&amp;level=16",IF(_xlfn.SINGLE(JobState)="IL","https://fema.maps.arcgis.com/apps/mapviewer/index.html?url=https%3A%2F%2Fgis1.dot.illinois.gov%2Farcgis%2Frest%2Fservices%2FAdministrativeData%2FFunctionalClass%2FMapServer%2F0&amp;find="&amp;$F436&amp;"%2C"&amp;$E436&amp;"&amp;marker="&amp;$F436&amp;","&amp;$E436&amp;",4326&amp;level=16",IF(_xlfn.SINGLE(JobState)="OH","https://fema.maps.arcgis.com/apps/mapviewer/index.html?url=https%3A%2F%2Ftims.dot.state.oh.us%2Fags%2Frest%2Fservices%2FRoadway_Information%2FFunctional_Class%2FMapServer%2F0&amp;find="&amp;$F436&amp;"%2C"&amp;$E436&amp;"&amp;marker="&amp;$F436&amp;","&amp;$E436&amp;",4326&amp;level=16","https://fema.maps.arcgis.com/apps/mapviewer/index.html?find="&amp;$F436&amp;"%2C"&amp;$E436&amp;"&amp;marker="&amp;$F436&amp;","&amp;$E436&amp;",4326&amp;level=16")))))),IF(_xlfn.SINGLE(JobState)="WI","Review Local Roads Layer","Review NFC AGOL Layer"))))</f>
        <v/>
      </c>
      <c r="N436" s="6" t="str">
        <f>IF(OR($E436="",$F436=""),"",IF(_xlfn.SINGLE(JobState)="",IF(ROW()=2,HYPERLINK("#JobState","Set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436&amp;"%2C"&amp;$E436&amp;"&amp;marker="&amp;$F436&amp;","&amp;$E436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6" s="6" t="str">
        <f>IF(OR($E436="", $F436=""),"",IF(_xlfn.SINGLE(JobAgolMap)="",HYPERLINK("https://fema.maps.arcgis.com/apps/mapviewer/index.html?find="&amp;$F436&amp;"%2C"&amp;$E436&amp;"&amp;marker="&amp;$F436&amp;","&amp;$E436&amp;",4326&amp;level=16","FEMA AGOL Map Viewer"),HYPERLINK(_xlfn.SINGLE(JobAgolMap)&amp;IF(ISNUMBER(FIND("?",_xlfn.SINGLE(JobAgolMap))),"&amp;","?")&amp;"center="&amp;$F436&amp;","&amp;$E436&amp;"&amp;level=16&amp;marker="&amp;$F436&amp;","&amp;$E436,"Open")))</f>
        <v/>
      </c>
      <c r="Q436" s="4"/>
      <c r="R436" s="4"/>
      <c r="W436" s="6" t="str">
        <f t="shared" si="36"/>
        <v/>
      </c>
      <c r="X436" s="6" t="str">
        <f t="shared" si="37"/>
        <v/>
      </c>
      <c r="Y436" s="6" t="str">
        <f t="shared" si="38"/>
        <v/>
      </c>
      <c r="Z436" s="6" t="str">
        <f t="shared" si="39"/>
        <v/>
      </c>
      <c r="AA436" s="6" t="str">
        <f t="shared" si="40"/>
        <v/>
      </c>
      <c r="AB436" s="6" t="str">
        <f t="shared" si="41"/>
        <v/>
      </c>
      <c r="AC436" s="4"/>
      <c r="AD436" s="4"/>
    </row>
    <row r="437" spans="1:30" x14ac:dyDescent="0.45">
      <c r="A437" s="3"/>
      <c r="B437" s="3"/>
      <c r="C437" s="5" t="str">
        <f>IF($E437="","",COUNT($E$2:$E437))</f>
        <v/>
      </c>
      <c r="D437" s="3"/>
      <c r="E437" s="3"/>
      <c r="F437" s="3"/>
      <c r="G437" s="3"/>
      <c r="H437" s="3"/>
      <c r="I437" s="3"/>
      <c r="J437" s="3"/>
      <c r="K437" s="3"/>
      <c r="L437" s="4"/>
      <c r="M437" s="6" t="str">
        <f>IF(OR($E437="",$F437=""),"",IF(_xlfn.SINGLE(JobState)="",IF(ROW()=2,HYPERLINK("#JobState","Set State →"),""),HYPERLINK(IF(OR(_xlfn.SINGLE(JobState)="MI",_xlfn.SINGLE(JobState)=""),"https://fema.maps.arcgis.com/apps/mapviewer/index.html?webmap=6a1702b9147243d1a5ee62cd614bc681&amp;center="&amp;$F437&amp;","&amp;$E437&amp;"&amp;level=16&amp;marker="&amp;$F437&amp;","&amp;$E437&amp;"",IF(_xlfn.SINGLE(JobState)="IN","https://fema.maps.arcgis.com/apps/mapviewer/index.html?url=https%3A%2F%2Fgis.indot.in.gov%2Fro%2Frest%2Fservices%2FRAH_GIO_Collaboration%2FLRSE_Functional_Class%2FFeatureServer%2F22&amp;find="&amp;$F437&amp;"%2C"&amp;$E437&amp;"&amp;marker="&amp;$F437&amp;","&amp;$E437&amp;",4326&amp;level=16",IF(_xlfn.SINGLE(JobState)="WI","https://fema.maps.arcgis.com/apps/mapviewer/index.html?url=https://services5.arcgis.com/0pgGLzT0Nh7FVjon/arcgis/rest/services/Functional_Class_Local_Non_Prod/FeatureServer/1&amp;find="&amp;$F437&amp;"%2C"&amp;$E437&amp;"&amp;marker="&amp;$F437&amp;","&amp;$E437&amp;",4326&amp;level=16",IF(_xlfn.SINGLE(JobState)="MN","https://fema.maps.arcgis.com/apps/mapviewer/index.html?url=https%3A%2F%2Fdotapp9.dot.state.mn.us%2Fegis12%2Frest%2Fservices%2FBASEMAP%2Fmndot_commonlayers2%2FMapServer%2F11&amp;find="&amp;$F437&amp;"%2C"&amp;$E437&amp;"&amp;marker="&amp;$F437&amp;","&amp;$E437&amp;",4326&amp;level=16",IF(_xlfn.SINGLE(JobState)="IL","https://fema.maps.arcgis.com/apps/mapviewer/index.html?url=https%3A%2F%2Fgis1.dot.illinois.gov%2Farcgis%2Frest%2Fservices%2FAdministrativeData%2FFunctionalClass%2FMapServer%2F0&amp;find="&amp;$F437&amp;"%2C"&amp;$E437&amp;"&amp;marker="&amp;$F437&amp;","&amp;$E437&amp;",4326&amp;level=16",IF(_xlfn.SINGLE(JobState)="OH","https://fema.maps.arcgis.com/apps/mapviewer/index.html?url=https%3A%2F%2Ftims.dot.state.oh.us%2Fags%2Frest%2Fservices%2FRoadway_Information%2FFunctional_Class%2FMapServer%2F0&amp;find="&amp;$F437&amp;"%2C"&amp;$E437&amp;"&amp;marker="&amp;$F437&amp;","&amp;$E437&amp;",4326&amp;level=16","https://fema.maps.arcgis.com/apps/mapviewer/index.html?find="&amp;$F437&amp;"%2C"&amp;$E437&amp;"&amp;marker="&amp;$F437&amp;","&amp;$E437&amp;",4326&amp;level=16")))))),IF(_xlfn.SINGLE(JobState)="WI","Review Local Roads Layer","Review NFC AGOL Layer"))))</f>
        <v/>
      </c>
      <c r="N437" s="6" t="str">
        <f>IF(OR($E437="",$F437=""),"",IF(_xlfn.SINGLE(JobState)="",IF(ROW()=2,HYPERLINK("#JobState","Set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437&amp;"%2C"&amp;$E437&amp;"&amp;marker="&amp;$F437&amp;","&amp;$E437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7" s="6" t="str">
        <f>IF(OR($E437="", $F437=""),"",IF(_xlfn.SINGLE(JobAgolMap)="",HYPERLINK("https://fema.maps.arcgis.com/apps/mapviewer/index.html?find="&amp;$F437&amp;"%2C"&amp;$E437&amp;"&amp;marker="&amp;$F437&amp;","&amp;$E437&amp;",4326&amp;level=16","FEMA AGOL Map Viewer"),HYPERLINK(_xlfn.SINGLE(JobAgolMap)&amp;IF(ISNUMBER(FIND("?",_xlfn.SINGLE(JobAgolMap))),"&amp;","?")&amp;"center="&amp;$F437&amp;","&amp;$E437&amp;"&amp;level=16&amp;marker="&amp;$F437&amp;","&amp;$E437,"Open")))</f>
        <v/>
      </c>
      <c r="Q437" s="4"/>
      <c r="R437" s="4"/>
      <c r="W437" s="6" t="str">
        <f t="shared" si="36"/>
        <v/>
      </c>
      <c r="X437" s="6" t="str">
        <f t="shared" si="37"/>
        <v/>
      </c>
      <c r="Y437" s="6" t="str">
        <f t="shared" si="38"/>
        <v/>
      </c>
      <c r="Z437" s="6" t="str">
        <f t="shared" si="39"/>
        <v/>
      </c>
      <c r="AA437" s="6" t="str">
        <f t="shared" si="40"/>
        <v/>
      </c>
      <c r="AB437" s="6" t="str">
        <f t="shared" si="41"/>
        <v/>
      </c>
      <c r="AC437" s="4"/>
      <c r="AD437" s="4"/>
    </row>
    <row r="438" spans="1:30" x14ac:dyDescent="0.45">
      <c r="A438" s="3"/>
      <c r="B438" s="3"/>
      <c r="C438" s="5" t="str">
        <f>IF($E438="","",COUNT($E$2:$E438))</f>
        <v/>
      </c>
      <c r="D438" s="3"/>
      <c r="E438" s="3"/>
      <c r="F438" s="3"/>
      <c r="G438" s="3"/>
      <c r="H438" s="3"/>
      <c r="I438" s="3"/>
      <c r="J438" s="3"/>
      <c r="K438" s="3"/>
      <c r="L438" s="4"/>
      <c r="M438" s="6" t="str">
        <f>IF(OR($E438="",$F438=""),"",IF(_xlfn.SINGLE(JobState)="",IF(ROW()=2,HYPERLINK("#JobState","Set State →"),""),HYPERLINK(IF(OR(_xlfn.SINGLE(JobState)="MI",_xlfn.SINGLE(JobState)=""),"https://fema.maps.arcgis.com/apps/mapviewer/index.html?webmap=6a1702b9147243d1a5ee62cd614bc681&amp;center="&amp;$F438&amp;","&amp;$E438&amp;"&amp;level=16&amp;marker="&amp;$F438&amp;","&amp;$E438&amp;"",IF(_xlfn.SINGLE(JobState)="IN","https://fema.maps.arcgis.com/apps/mapviewer/index.html?url=https%3A%2F%2Fgis.indot.in.gov%2Fro%2Frest%2Fservices%2FRAH_GIO_Collaboration%2FLRSE_Functional_Class%2FFeatureServer%2F22&amp;find="&amp;$F438&amp;"%2C"&amp;$E438&amp;"&amp;marker="&amp;$F438&amp;","&amp;$E438&amp;",4326&amp;level=16",IF(_xlfn.SINGLE(JobState)="WI","https://fema.maps.arcgis.com/apps/mapviewer/index.html?url=https://services5.arcgis.com/0pgGLzT0Nh7FVjon/arcgis/rest/services/Functional_Class_Local_Non_Prod/FeatureServer/1&amp;find="&amp;$F438&amp;"%2C"&amp;$E438&amp;"&amp;marker="&amp;$F438&amp;","&amp;$E438&amp;",4326&amp;level=16",IF(_xlfn.SINGLE(JobState)="MN","https://fema.maps.arcgis.com/apps/mapviewer/index.html?url=https%3A%2F%2Fdotapp9.dot.state.mn.us%2Fegis12%2Frest%2Fservices%2FBASEMAP%2Fmndot_commonlayers2%2FMapServer%2F11&amp;find="&amp;$F438&amp;"%2C"&amp;$E438&amp;"&amp;marker="&amp;$F438&amp;","&amp;$E438&amp;",4326&amp;level=16",IF(_xlfn.SINGLE(JobState)="IL","https://fema.maps.arcgis.com/apps/mapviewer/index.html?url=https%3A%2F%2Fgis1.dot.illinois.gov%2Farcgis%2Frest%2Fservices%2FAdministrativeData%2FFunctionalClass%2FMapServer%2F0&amp;find="&amp;$F438&amp;"%2C"&amp;$E438&amp;"&amp;marker="&amp;$F438&amp;","&amp;$E438&amp;",4326&amp;level=16",IF(_xlfn.SINGLE(JobState)="OH","https://fema.maps.arcgis.com/apps/mapviewer/index.html?url=https%3A%2F%2Ftims.dot.state.oh.us%2Fags%2Frest%2Fservices%2FRoadway_Information%2FFunctional_Class%2FMapServer%2F0&amp;find="&amp;$F438&amp;"%2C"&amp;$E438&amp;"&amp;marker="&amp;$F438&amp;","&amp;$E438&amp;",4326&amp;level=16","https://fema.maps.arcgis.com/apps/mapviewer/index.html?find="&amp;$F438&amp;"%2C"&amp;$E438&amp;"&amp;marker="&amp;$F438&amp;","&amp;$E438&amp;",4326&amp;level=16")))))),IF(_xlfn.SINGLE(JobState)="WI","Review Local Roads Layer","Review NFC AGOL Layer"))))</f>
        <v/>
      </c>
      <c r="N438" s="6" t="str">
        <f>IF(OR($E438="",$F438=""),"",IF(_xlfn.SINGLE(JobState)="",IF(ROW()=2,HYPERLINK("#JobState","Set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438&amp;"%2C"&amp;$E438&amp;"&amp;marker="&amp;$F438&amp;","&amp;$E438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8" s="6" t="str">
        <f>IF(OR($E438="", $F438=""),"",IF(_xlfn.SINGLE(JobAgolMap)="",HYPERLINK("https://fema.maps.arcgis.com/apps/mapviewer/index.html?find="&amp;$F438&amp;"%2C"&amp;$E438&amp;"&amp;marker="&amp;$F438&amp;","&amp;$E438&amp;",4326&amp;level=16","FEMA AGOL Map Viewer"),HYPERLINK(_xlfn.SINGLE(JobAgolMap)&amp;IF(ISNUMBER(FIND("?",_xlfn.SINGLE(JobAgolMap))),"&amp;","?")&amp;"center="&amp;$F438&amp;","&amp;$E438&amp;"&amp;level=16&amp;marker="&amp;$F438&amp;","&amp;$E438,"Open")))</f>
        <v/>
      </c>
      <c r="Q438" s="4"/>
      <c r="R438" s="4"/>
      <c r="W438" s="6" t="str">
        <f t="shared" si="36"/>
        <v/>
      </c>
      <c r="X438" s="6" t="str">
        <f t="shared" si="37"/>
        <v/>
      </c>
      <c r="Y438" s="6" t="str">
        <f t="shared" si="38"/>
        <v/>
      </c>
      <c r="Z438" s="6" t="str">
        <f t="shared" si="39"/>
        <v/>
      </c>
      <c r="AA438" s="6" t="str">
        <f t="shared" si="40"/>
        <v/>
      </c>
      <c r="AB438" s="6" t="str">
        <f t="shared" si="41"/>
        <v/>
      </c>
      <c r="AC438" s="4"/>
      <c r="AD438" s="4"/>
    </row>
    <row r="439" spans="1:30" x14ac:dyDescent="0.45">
      <c r="A439" s="3"/>
      <c r="B439" s="3"/>
      <c r="C439" s="5" t="str">
        <f>IF($E439="","",COUNT($E$2:$E439))</f>
        <v/>
      </c>
      <c r="D439" s="3"/>
      <c r="E439" s="3"/>
      <c r="F439" s="3"/>
      <c r="G439" s="3"/>
      <c r="H439" s="3"/>
      <c r="I439" s="3"/>
      <c r="J439" s="3"/>
      <c r="K439" s="3"/>
      <c r="L439" s="4"/>
      <c r="M439" s="6" t="str">
        <f>IF(OR($E439="",$F439=""),"",IF(_xlfn.SINGLE(JobState)="",IF(ROW()=2,HYPERLINK("#JobState","Set State →"),""),HYPERLINK(IF(OR(_xlfn.SINGLE(JobState)="MI",_xlfn.SINGLE(JobState)=""),"https://fema.maps.arcgis.com/apps/mapviewer/index.html?webmap=6a1702b9147243d1a5ee62cd614bc681&amp;center="&amp;$F439&amp;","&amp;$E439&amp;"&amp;level=16&amp;marker="&amp;$F439&amp;","&amp;$E439&amp;"",IF(_xlfn.SINGLE(JobState)="IN","https://fema.maps.arcgis.com/apps/mapviewer/index.html?url=https%3A%2F%2Fgis.indot.in.gov%2Fro%2Frest%2Fservices%2FRAH_GIO_Collaboration%2FLRSE_Functional_Class%2FFeatureServer%2F22&amp;find="&amp;$F439&amp;"%2C"&amp;$E439&amp;"&amp;marker="&amp;$F439&amp;","&amp;$E439&amp;",4326&amp;level=16",IF(_xlfn.SINGLE(JobState)="WI","https://fema.maps.arcgis.com/apps/mapviewer/index.html?url=https://services5.arcgis.com/0pgGLzT0Nh7FVjon/arcgis/rest/services/Functional_Class_Local_Non_Prod/FeatureServer/1&amp;find="&amp;$F439&amp;"%2C"&amp;$E439&amp;"&amp;marker="&amp;$F439&amp;","&amp;$E439&amp;",4326&amp;level=16",IF(_xlfn.SINGLE(JobState)="MN","https://fema.maps.arcgis.com/apps/mapviewer/index.html?url=https%3A%2F%2Fdotapp9.dot.state.mn.us%2Fegis12%2Frest%2Fservices%2FBASEMAP%2Fmndot_commonlayers2%2FMapServer%2F11&amp;find="&amp;$F439&amp;"%2C"&amp;$E439&amp;"&amp;marker="&amp;$F439&amp;","&amp;$E439&amp;",4326&amp;level=16",IF(_xlfn.SINGLE(JobState)="IL","https://fema.maps.arcgis.com/apps/mapviewer/index.html?url=https%3A%2F%2Fgis1.dot.illinois.gov%2Farcgis%2Frest%2Fservices%2FAdministrativeData%2FFunctionalClass%2FMapServer%2F0&amp;find="&amp;$F439&amp;"%2C"&amp;$E439&amp;"&amp;marker="&amp;$F439&amp;","&amp;$E439&amp;",4326&amp;level=16",IF(_xlfn.SINGLE(JobState)="OH","https://fema.maps.arcgis.com/apps/mapviewer/index.html?url=https%3A%2F%2Ftims.dot.state.oh.us%2Fags%2Frest%2Fservices%2FRoadway_Information%2FFunctional_Class%2FMapServer%2F0&amp;find="&amp;$F439&amp;"%2C"&amp;$E439&amp;"&amp;marker="&amp;$F439&amp;","&amp;$E439&amp;",4326&amp;level=16","https://fema.maps.arcgis.com/apps/mapviewer/index.html?find="&amp;$F439&amp;"%2C"&amp;$E439&amp;"&amp;marker="&amp;$F439&amp;","&amp;$E439&amp;",4326&amp;level=16")))))),IF(_xlfn.SINGLE(JobState)="WI","Review Local Roads Layer","Review NFC AGOL Layer"))))</f>
        <v/>
      </c>
      <c r="N439" s="6" t="str">
        <f>IF(OR($E439="",$F439=""),"",IF(_xlfn.SINGLE(JobState)="",IF(ROW()=2,HYPERLINK("#JobState","Set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439&amp;"%2C"&amp;$E439&amp;"&amp;marker="&amp;$F439&amp;","&amp;$E439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9" s="6" t="str">
        <f>IF(OR($E439="", $F439=""),"",IF(_xlfn.SINGLE(JobAgolMap)="",HYPERLINK("https://fema.maps.arcgis.com/apps/mapviewer/index.html?find="&amp;$F439&amp;"%2C"&amp;$E439&amp;"&amp;marker="&amp;$F439&amp;","&amp;$E439&amp;",4326&amp;level=16","FEMA AGOL Map Viewer"),HYPERLINK(_xlfn.SINGLE(JobAgolMap)&amp;IF(ISNUMBER(FIND("?",_xlfn.SINGLE(JobAgolMap))),"&amp;","?")&amp;"center="&amp;$F439&amp;","&amp;$E439&amp;"&amp;level=16&amp;marker="&amp;$F439&amp;","&amp;$E439,"Open")))</f>
        <v/>
      </c>
      <c r="Q439" s="4"/>
      <c r="R439" s="4"/>
      <c r="W439" s="6" t="str">
        <f t="shared" si="36"/>
        <v/>
      </c>
      <c r="X439" s="6" t="str">
        <f t="shared" si="37"/>
        <v/>
      </c>
      <c r="Y439" s="6" t="str">
        <f t="shared" si="38"/>
        <v/>
      </c>
      <c r="Z439" s="6" t="str">
        <f t="shared" si="39"/>
        <v/>
      </c>
      <c r="AA439" s="6" t="str">
        <f t="shared" si="40"/>
        <v/>
      </c>
      <c r="AB439" s="6" t="str">
        <f t="shared" si="41"/>
        <v/>
      </c>
      <c r="AC439" s="4"/>
      <c r="AD439" s="4"/>
    </row>
    <row r="440" spans="1:30" x14ac:dyDescent="0.45">
      <c r="A440" s="3"/>
      <c r="B440" s="3"/>
      <c r="C440" s="5" t="str">
        <f>IF($E440="","",COUNT($E$2:$E440))</f>
        <v/>
      </c>
      <c r="D440" s="3"/>
      <c r="E440" s="3"/>
      <c r="F440" s="3"/>
      <c r="G440" s="3"/>
      <c r="H440" s="3"/>
      <c r="I440" s="3"/>
      <c r="J440" s="3"/>
      <c r="K440" s="3"/>
      <c r="L440" s="4"/>
      <c r="M440" s="6" t="str">
        <f>IF(OR($E440="",$F440=""),"",IF(_xlfn.SINGLE(JobState)="",IF(ROW()=2,HYPERLINK("#JobState","Set State →"),""),HYPERLINK(IF(OR(_xlfn.SINGLE(JobState)="MI",_xlfn.SINGLE(JobState)=""),"https://fema.maps.arcgis.com/apps/mapviewer/index.html?webmap=6a1702b9147243d1a5ee62cd614bc681&amp;center="&amp;$F440&amp;","&amp;$E440&amp;"&amp;level=16&amp;marker="&amp;$F440&amp;","&amp;$E440&amp;"",IF(_xlfn.SINGLE(JobState)="IN","https://fema.maps.arcgis.com/apps/mapviewer/index.html?url=https%3A%2F%2Fgis.indot.in.gov%2Fro%2Frest%2Fservices%2FRAH_GIO_Collaboration%2FLRSE_Functional_Class%2FFeatureServer%2F22&amp;find="&amp;$F440&amp;"%2C"&amp;$E440&amp;"&amp;marker="&amp;$F440&amp;","&amp;$E440&amp;",4326&amp;level=16",IF(_xlfn.SINGLE(JobState)="WI","https://fema.maps.arcgis.com/apps/mapviewer/index.html?url=https://services5.arcgis.com/0pgGLzT0Nh7FVjon/arcgis/rest/services/Functional_Class_Local_Non_Prod/FeatureServer/1&amp;find="&amp;$F440&amp;"%2C"&amp;$E440&amp;"&amp;marker="&amp;$F440&amp;","&amp;$E440&amp;",4326&amp;level=16",IF(_xlfn.SINGLE(JobState)="MN","https://fema.maps.arcgis.com/apps/mapviewer/index.html?url=https%3A%2F%2Fdotapp9.dot.state.mn.us%2Fegis12%2Frest%2Fservices%2FBASEMAP%2Fmndot_commonlayers2%2FMapServer%2F11&amp;find="&amp;$F440&amp;"%2C"&amp;$E440&amp;"&amp;marker="&amp;$F440&amp;","&amp;$E440&amp;",4326&amp;level=16",IF(_xlfn.SINGLE(JobState)="IL","https://fema.maps.arcgis.com/apps/mapviewer/index.html?url=https%3A%2F%2Fgis1.dot.illinois.gov%2Farcgis%2Frest%2Fservices%2FAdministrativeData%2FFunctionalClass%2FMapServer%2F0&amp;find="&amp;$F440&amp;"%2C"&amp;$E440&amp;"&amp;marker="&amp;$F440&amp;","&amp;$E440&amp;",4326&amp;level=16",IF(_xlfn.SINGLE(JobState)="OH","https://fema.maps.arcgis.com/apps/mapviewer/index.html?url=https%3A%2F%2Ftims.dot.state.oh.us%2Fags%2Frest%2Fservices%2FRoadway_Information%2FFunctional_Class%2FMapServer%2F0&amp;find="&amp;$F440&amp;"%2C"&amp;$E440&amp;"&amp;marker="&amp;$F440&amp;","&amp;$E440&amp;",4326&amp;level=16","https://fema.maps.arcgis.com/apps/mapviewer/index.html?find="&amp;$F440&amp;"%2C"&amp;$E440&amp;"&amp;marker="&amp;$F440&amp;","&amp;$E440&amp;",4326&amp;level=16")))))),IF(_xlfn.SINGLE(JobState)="WI","Review Local Roads Layer","Review NFC AGOL Layer"))))</f>
        <v/>
      </c>
      <c r="N440" s="6" t="str">
        <f>IF(OR($E440="",$F440=""),"",IF(_xlfn.SINGLE(JobState)="",IF(ROW()=2,HYPERLINK("#JobState","Set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440&amp;"%2C"&amp;$E440&amp;"&amp;marker="&amp;$F440&amp;","&amp;$E440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0" s="6" t="str">
        <f>IF(OR($E440="", $F440=""),"",IF(_xlfn.SINGLE(JobAgolMap)="",HYPERLINK("https://fema.maps.arcgis.com/apps/mapviewer/index.html?find="&amp;$F440&amp;"%2C"&amp;$E440&amp;"&amp;marker="&amp;$F440&amp;","&amp;$E440&amp;",4326&amp;level=16","FEMA AGOL Map Viewer"),HYPERLINK(_xlfn.SINGLE(JobAgolMap)&amp;IF(ISNUMBER(FIND("?",_xlfn.SINGLE(JobAgolMap))),"&amp;","?")&amp;"center="&amp;$F440&amp;","&amp;$E440&amp;"&amp;level=16&amp;marker="&amp;$F440&amp;","&amp;$E440,"Open")))</f>
        <v/>
      </c>
      <c r="Q440" s="4"/>
      <c r="R440" s="4"/>
      <c r="W440" s="6" t="str">
        <f t="shared" si="36"/>
        <v/>
      </c>
      <c r="X440" s="6" t="str">
        <f t="shared" si="37"/>
        <v/>
      </c>
      <c r="Y440" s="6" t="str">
        <f t="shared" si="38"/>
        <v/>
      </c>
      <c r="Z440" s="6" t="str">
        <f t="shared" si="39"/>
        <v/>
      </c>
      <c r="AA440" s="6" t="str">
        <f t="shared" si="40"/>
        <v/>
      </c>
      <c r="AB440" s="6" t="str">
        <f t="shared" si="41"/>
        <v/>
      </c>
      <c r="AC440" s="4"/>
      <c r="AD440" s="4"/>
    </row>
    <row r="441" spans="1:30" x14ac:dyDescent="0.45">
      <c r="A441" s="3"/>
      <c r="B441" s="3"/>
      <c r="C441" s="5" t="str">
        <f>IF($E441="","",COUNT($E$2:$E441))</f>
        <v/>
      </c>
      <c r="D441" s="3"/>
      <c r="E441" s="3"/>
      <c r="F441" s="3"/>
      <c r="G441" s="3"/>
      <c r="H441" s="3"/>
      <c r="I441" s="3"/>
      <c r="J441" s="3"/>
      <c r="K441" s="3"/>
      <c r="L441" s="4"/>
      <c r="M441" s="6" t="str">
        <f>IF(OR($E441="",$F441=""),"",IF(_xlfn.SINGLE(JobState)="",IF(ROW()=2,HYPERLINK("#JobState","Set State →"),""),HYPERLINK(IF(OR(_xlfn.SINGLE(JobState)="MI",_xlfn.SINGLE(JobState)=""),"https://fema.maps.arcgis.com/apps/mapviewer/index.html?webmap=6a1702b9147243d1a5ee62cd614bc681&amp;center="&amp;$F441&amp;","&amp;$E441&amp;"&amp;level=16&amp;marker="&amp;$F441&amp;","&amp;$E441&amp;"",IF(_xlfn.SINGLE(JobState)="IN","https://fema.maps.arcgis.com/apps/mapviewer/index.html?url=https%3A%2F%2Fgis.indot.in.gov%2Fro%2Frest%2Fservices%2FRAH_GIO_Collaboration%2FLRSE_Functional_Class%2FFeatureServer%2F22&amp;find="&amp;$F441&amp;"%2C"&amp;$E441&amp;"&amp;marker="&amp;$F441&amp;","&amp;$E441&amp;",4326&amp;level=16",IF(_xlfn.SINGLE(JobState)="WI","https://fema.maps.arcgis.com/apps/mapviewer/index.html?url=https://services5.arcgis.com/0pgGLzT0Nh7FVjon/arcgis/rest/services/Functional_Class_Local_Non_Prod/FeatureServer/1&amp;find="&amp;$F441&amp;"%2C"&amp;$E441&amp;"&amp;marker="&amp;$F441&amp;","&amp;$E441&amp;",4326&amp;level=16",IF(_xlfn.SINGLE(JobState)="MN","https://fema.maps.arcgis.com/apps/mapviewer/index.html?url=https%3A%2F%2Fdotapp9.dot.state.mn.us%2Fegis12%2Frest%2Fservices%2FBASEMAP%2Fmndot_commonlayers2%2FMapServer%2F11&amp;find="&amp;$F441&amp;"%2C"&amp;$E441&amp;"&amp;marker="&amp;$F441&amp;","&amp;$E441&amp;",4326&amp;level=16",IF(_xlfn.SINGLE(JobState)="IL","https://fema.maps.arcgis.com/apps/mapviewer/index.html?url=https%3A%2F%2Fgis1.dot.illinois.gov%2Farcgis%2Frest%2Fservices%2FAdministrativeData%2FFunctionalClass%2FMapServer%2F0&amp;find="&amp;$F441&amp;"%2C"&amp;$E441&amp;"&amp;marker="&amp;$F441&amp;","&amp;$E441&amp;",4326&amp;level=16",IF(_xlfn.SINGLE(JobState)="OH","https://fema.maps.arcgis.com/apps/mapviewer/index.html?url=https%3A%2F%2Ftims.dot.state.oh.us%2Fags%2Frest%2Fservices%2FRoadway_Information%2FFunctional_Class%2FMapServer%2F0&amp;find="&amp;$F441&amp;"%2C"&amp;$E441&amp;"&amp;marker="&amp;$F441&amp;","&amp;$E441&amp;",4326&amp;level=16","https://fema.maps.arcgis.com/apps/mapviewer/index.html?find="&amp;$F441&amp;"%2C"&amp;$E441&amp;"&amp;marker="&amp;$F441&amp;","&amp;$E441&amp;",4326&amp;level=16")))))),IF(_xlfn.SINGLE(JobState)="WI","Review Local Roads Layer","Review NFC AGOL Layer"))))</f>
        <v/>
      </c>
      <c r="N441" s="6" t="str">
        <f>IF(OR($E441="",$F441=""),"",IF(_xlfn.SINGLE(JobState)="",IF(ROW()=2,HYPERLINK("#JobState","Set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441&amp;"%2C"&amp;$E441&amp;"&amp;marker="&amp;$F441&amp;","&amp;$E441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1" s="6" t="str">
        <f>IF(OR($E441="", $F441=""),"",IF(_xlfn.SINGLE(JobAgolMap)="",HYPERLINK("https://fema.maps.arcgis.com/apps/mapviewer/index.html?find="&amp;$F441&amp;"%2C"&amp;$E441&amp;"&amp;marker="&amp;$F441&amp;","&amp;$E441&amp;",4326&amp;level=16","FEMA AGOL Map Viewer"),HYPERLINK(_xlfn.SINGLE(JobAgolMap)&amp;IF(ISNUMBER(FIND("?",_xlfn.SINGLE(JobAgolMap))),"&amp;","?")&amp;"center="&amp;$F441&amp;","&amp;$E441&amp;"&amp;level=16&amp;marker="&amp;$F441&amp;","&amp;$E441,"Open")))</f>
        <v/>
      </c>
      <c r="Q441" s="4"/>
      <c r="R441" s="4"/>
      <c r="W441" s="6" t="str">
        <f t="shared" si="36"/>
        <v/>
      </c>
      <c r="X441" s="6" t="str">
        <f t="shared" si="37"/>
        <v/>
      </c>
      <c r="Y441" s="6" t="str">
        <f t="shared" si="38"/>
        <v/>
      </c>
      <c r="Z441" s="6" t="str">
        <f t="shared" si="39"/>
        <v/>
      </c>
      <c r="AA441" s="6" t="str">
        <f t="shared" si="40"/>
        <v/>
      </c>
      <c r="AB441" s="6" t="str">
        <f t="shared" si="41"/>
        <v/>
      </c>
      <c r="AC441" s="4"/>
      <c r="AD441" s="4"/>
    </row>
    <row r="442" spans="1:30" x14ac:dyDescent="0.45">
      <c r="A442" s="3"/>
      <c r="B442" s="3"/>
      <c r="C442" s="5" t="str">
        <f>IF($E442="","",COUNT($E$2:$E442))</f>
        <v/>
      </c>
      <c r="D442" s="3"/>
      <c r="E442" s="3"/>
      <c r="F442" s="3"/>
      <c r="G442" s="3"/>
      <c r="H442" s="3"/>
      <c r="I442" s="3"/>
      <c r="J442" s="3"/>
      <c r="K442" s="3"/>
      <c r="L442" s="4"/>
      <c r="M442" s="6" t="str">
        <f>IF(OR($E442="",$F442=""),"",IF(_xlfn.SINGLE(JobState)="",IF(ROW()=2,HYPERLINK("#JobState","Set State →"),""),HYPERLINK(IF(OR(_xlfn.SINGLE(JobState)="MI",_xlfn.SINGLE(JobState)=""),"https://fema.maps.arcgis.com/apps/mapviewer/index.html?webmap=6a1702b9147243d1a5ee62cd614bc681&amp;center="&amp;$F442&amp;","&amp;$E442&amp;"&amp;level=16&amp;marker="&amp;$F442&amp;","&amp;$E442&amp;"",IF(_xlfn.SINGLE(JobState)="IN","https://fema.maps.arcgis.com/apps/mapviewer/index.html?url=https%3A%2F%2Fgis.indot.in.gov%2Fro%2Frest%2Fservices%2FRAH_GIO_Collaboration%2FLRSE_Functional_Class%2FFeatureServer%2F22&amp;find="&amp;$F442&amp;"%2C"&amp;$E442&amp;"&amp;marker="&amp;$F442&amp;","&amp;$E442&amp;",4326&amp;level=16",IF(_xlfn.SINGLE(JobState)="WI","https://fema.maps.arcgis.com/apps/mapviewer/index.html?url=https://services5.arcgis.com/0pgGLzT0Nh7FVjon/arcgis/rest/services/Functional_Class_Local_Non_Prod/FeatureServer/1&amp;find="&amp;$F442&amp;"%2C"&amp;$E442&amp;"&amp;marker="&amp;$F442&amp;","&amp;$E442&amp;",4326&amp;level=16",IF(_xlfn.SINGLE(JobState)="MN","https://fema.maps.arcgis.com/apps/mapviewer/index.html?url=https%3A%2F%2Fdotapp9.dot.state.mn.us%2Fegis12%2Frest%2Fservices%2FBASEMAP%2Fmndot_commonlayers2%2FMapServer%2F11&amp;find="&amp;$F442&amp;"%2C"&amp;$E442&amp;"&amp;marker="&amp;$F442&amp;","&amp;$E442&amp;",4326&amp;level=16",IF(_xlfn.SINGLE(JobState)="IL","https://fema.maps.arcgis.com/apps/mapviewer/index.html?url=https%3A%2F%2Fgis1.dot.illinois.gov%2Farcgis%2Frest%2Fservices%2FAdministrativeData%2FFunctionalClass%2FMapServer%2F0&amp;find="&amp;$F442&amp;"%2C"&amp;$E442&amp;"&amp;marker="&amp;$F442&amp;","&amp;$E442&amp;",4326&amp;level=16",IF(_xlfn.SINGLE(JobState)="OH","https://fema.maps.arcgis.com/apps/mapviewer/index.html?url=https%3A%2F%2Ftims.dot.state.oh.us%2Fags%2Frest%2Fservices%2FRoadway_Information%2FFunctional_Class%2FMapServer%2F0&amp;find="&amp;$F442&amp;"%2C"&amp;$E442&amp;"&amp;marker="&amp;$F442&amp;","&amp;$E442&amp;",4326&amp;level=16","https://fema.maps.arcgis.com/apps/mapviewer/index.html?find="&amp;$F442&amp;"%2C"&amp;$E442&amp;"&amp;marker="&amp;$F442&amp;","&amp;$E442&amp;",4326&amp;level=16")))))),IF(_xlfn.SINGLE(JobState)="WI","Review Local Roads Layer","Review NFC AGOL Layer"))))</f>
        <v/>
      </c>
      <c r="N442" s="6" t="str">
        <f>IF(OR($E442="",$F442=""),"",IF(_xlfn.SINGLE(JobState)="",IF(ROW()=2,HYPERLINK("#JobState","Set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442&amp;"%2C"&amp;$E442&amp;"&amp;marker="&amp;$F442&amp;","&amp;$E442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2" s="6" t="str">
        <f>IF(OR($E442="", $F442=""),"",IF(_xlfn.SINGLE(JobAgolMap)="",HYPERLINK("https://fema.maps.arcgis.com/apps/mapviewer/index.html?find="&amp;$F442&amp;"%2C"&amp;$E442&amp;"&amp;marker="&amp;$F442&amp;","&amp;$E442&amp;",4326&amp;level=16","FEMA AGOL Map Viewer"),HYPERLINK(_xlfn.SINGLE(JobAgolMap)&amp;IF(ISNUMBER(FIND("?",_xlfn.SINGLE(JobAgolMap))),"&amp;","?")&amp;"center="&amp;$F442&amp;","&amp;$E442&amp;"&amp;level=16&amp;marker="&amp;$F442&amp;","&amp;$E442,"Open")))</f>
        <v/>
      </c>
      <c r="Q442" s="4"/>
      <c r="R442" s="4"/>
      <c r="W442" s="6" t="str">
        <f t="shared" si="36"/>
        <v/>
      </c>
      <c r="X442" s="6" t="str">
        <f t="shared" si="37"/>
        <v/>
      </c>
      <c r="Y442" s="6" t="str">
        <f t="shared" si="38"/>
        <v/>
      </c>
      <c r="Z442" s="6" t="str">
        <f t="shared" si="39"/>
        <v/>
      </c>
      <c r="AA442" s="6" t="str">
        <f t="shared" si="40"/>
        <v/>
      </c>
      <c r="AB442" s="6" t="str">
        <f t="shared" si="41"/>
        <v/>
      </c>
      <c r="AC442" s="4"/>
      <c r="AD442" s="4"/>
    </row>
    <row r="443" spans="1:30" x14ac:dyDescent="0.45">
      <c r="A443" s="3"/>
      <c r="B443" s="3"/>
      <c r="C443" s="5" t="str">
        <f>IF($E443="","",COUNT($E$2:$E443))</f>
        <v/>
      </c>
      <c r="D443" s="3"/>
      <c r="E443" s="3"/>
      <c r="F443" s="3"/>
      <c r="G443" s="3"/>
      <c r="H443" s="3"/>
      <c r="I443" s="3"/>
      <c r="J443" s="3"/>
      <c r="K443" s="3"/>
      <c r="L443" s="4"/>
      <c r="M443" s="6" t="str">
        <f>IF(OR($E443="",$F443=""),"",IF(_xlfn.SINGLE(JobState)="",IF(ROW()=2,HYPERLINK("#JobState","Set State →"),""),HYPERLINK(IF(OR(_xlfn.SINGLE(JobState)="MI",_xlfn.SINGLE(JobState)=""),"https://fema.maps.arcgis.com/apps/mapviewer/index.html?webmap=6a1702b9147243d1a5ee62cd614bc681&amp;center="&amp;$F443&amp;","&amp;$E443&amp;"&amp;level=16&amp;marker="&amp;$F443&amp;","&amp;$E443&amp;"",IF(_xlfn.SINGLE(JobState)="IN","https://fema.maps.arcgis.com/apps/mapviewer/index.html?url=https%3A%2F%2Fgis.indot.in.gov%2Fro%2Frest%2Fservices%2FRAH_GIO_Collaboration%2FLRSE_Functional_Class%2FFeatureServer%2F22&amp;find="&amp;$F443&amp;"%2C"&amp;$E443&amp;"&amp;marker="&amp;$F443&amp;","&amp;$E443&amp;",4326&amp;level=16",IF(_xlfn.SINGLE(JobState)="WI","https://fema.maps.arcgis.com/apps/mapviewer/index.html?url=https://services5.arcgis.com/0pgGLzT0Nh7FVjon/arcgis/rest/services/Functional_Class_Local_Non_Prod/FeatureServer/1&amp;find="&amp;$F443&amp;"%2C"&amp;$E443&amp;"&amp;marker="&amp;$F443&amp;","&amp;$E443&amp;",4326&amp;level=16",IF(_xlfn.SINGLE(JobState)="MN","https://fema.maps.arcgis.com/apps/mapviewer/index.html?url=https%3A%2F%2Fdotapp9.dot.state.mn.us%2Fegis12%2Frest%2Fservices%2FBASEMAP%2Fmndot_commonlayers2%2FMapServer%2F11&amp;find="&amp;$F443&amp;"%2C"&amp;$E443&amp;"&amp;marker="&amp;$F443&amp;","&amp;$E443&amp;",4326&amp;level=16",IF(_xlfn.SINGLE(JobState)="IL","https://fema.maps.arcgis.com/apps/mapviewer/index.html?url=https%3A%2F%2Fgis1.dot.illinois.gov%2Farcgis%2Frest%2Fservices%2FAdministrativeData%2FFunctionalClass%2FMapServer%2F0&amp;find="&amp;$F443&amp;"%2C"&amp;$E443&amp;"&amp;marker="&amp;$F443&amp;","&amp;$E443&amp;",4326&amp;level=16",IF(_xlfn.SINGLE(JobState)="OH","https://fema.maps.arcgis.com/apps/mapviewer/index.html?url=https%3A%2F%2Ftims.dot.state.oh.us%2Fags%2Frest%2Fservices%2FRoadway_Information%2FFunctional_Class%2FMapServer%2F0&amp;find="&amp;$F443&amp;"%2C"&amp;$E443&amp;"&amp;marker="&amp;$F443&amp;","&amp;$E443&amp;",4326&amp;level=16","https://fema.maps.arcgis.com/apps/mapviewer/index.html?find="&amp;$F443&amp;"%2C"&amp;$E443&amp;"&amp;marker="&amp;$F443&amp;","&amp;$E443&amp;",4326&amp;level=16")))))),IF(_xlfn.SINGLE(JobState)="WI","Review Local Roads Layer","Review NFC AGOL Layer"))))</f>
        <v/>
      </c>
      <c r="N443" s="6" t="str">
        <f>IF(OR($E443="",$F443=""),"",IF(_xlfn.SINGLE(JobState)="",IF(ROW()=2,HYPERLINK("#JobState","Set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443&amp;"%2C"&amp;$E443&amp;"&amp;marker="&amp;$F443&amp;","&amp;$E443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3" s="6" t="str">
        <f>IF(OR($E443="", $F443=""),"",IF(_xlfn.SINGLE(JobAgolMap)="",HYPERLINK("https://fema.maps.arcgis.com/apps/mapviewer/index.html?find="&amp;$F443&amp;"%2C"&amp;$E443&amp;"&amp;marker="&amp;$F443&amp;","&amp;$E443&amp;",4326&amp;level=16","FEMA AGOL Map Viewer"),HYPERLINK(_xlfn.SINGLE(JobAgolMap)&amp;IF(ISNUMBER(FIND("?",_xlfn.SINGLE(JobAgolMap))),"&amp;","?")&amp;"center="&amp;$F443&amp;","&amp;$E443&amp;"&amp;level=16&amp;marker="&amp;$F443&amp;","&amp;$E443,"Open")))</f>
        <v/>
      </c>
      <c r="Q443" s="4"/>
      <c r="R443" s="4"/>
      <c r="W443" s="6" t="str">
        <f t="shared" si="36"/>
        <v/>
      </c>
      <c r="X443" s="6" t="str">
        <f t="shared" si="37"/>
        <v/>
      </c>
      <c r="Y443" s="6" t="str">
        <f t="shared" si="38"/>
        <v/>
      </c>
      <c r="Z443" s="6" t="str">
        <f t="shared" si="39"/>
        <v/>
      </c>
      <c r="AA443" s="6" t="str">
        <f t="shared" si="40"/>
        <v/>
      </c>
      <c r="AB443" s="6" t="str">
        <f t="shared" si="41"/>
        <v/>
      </c>
      <c r="AC443" s="4"/>
      <c r="AD443" s="4"/>
    </row>
    <row r="444" spans="1:30" x14ac:dyDescent="0.45">
      <c r="A444" s="3"/>
      <c r="B444" s="3"/>
      <c r="C444" s="5" t="str">
        <f>IF($E444="","",COUNT($E$2:$E444))</f>
        <v/>
      </c>
      <c r="D444" s="3"/>
      <c r="E444" s="3"/>
      <c r="F444" s="3"/>
      <c r="G444" s="3"/>
      <c r="H444" s="3"/>
      <c r="I444" s="3"/>
      <c r="J444" s="3"/>
      <c r="K444" s="3"/>
      <c r="L444" s="4"/>
      <c r="M444" s="6" t="str">
        <f>IF(OR($E444="",$F444=""),"",IF(_xlfn.SINGLE(JobState)="",IF(ROW()=2,HYPERLINK("#JobState","Set State →"),""),HYPERLINK(IF(OR(_xlfn.SINGLE(JobState)="MI",_xlfn.SINGLE(JobState)=""),"https://fema.maps.arcgis.com/apps/mapviewer/index.html?webmap=6a1702b9147243d1a5ee62cd614bc681&amp;center="&amp;$F444&amp;","&amp;$E444&amp;"&amp;level=16&amp;marker="&amp;$F444&amp;","&amp;$E444&amp;"",IF(_xlfn.SINGLE(JobState)="IN","https://fema.maps.arcgis.com/apps/mapviewer/index.html?url=https%3A%2F%2Fgis.indot.in.gov%2Fro%2Frest%2Fservices%2FRAH_GIO_Collaboration%2FLRSE_Functional_Class%2FFeatureServer%2F22&amp;find="&amp;$F444&amp;"%2C"&amp;$E444&amp;"&amp;marker="&amp;$F444&amp;","&amp;$E444&amp;",4326&amp;level=16",IF(_xlfn.SINGLE(JobState)="WI","https://fema.maps.arcgis.com/apps/mapviewer/index.html?url=https://services5.arcgis.com/0pgGLzT0Nh7FVjon/arcgis/rest/services/Functional_Class_Local_Non_Prod/FeatureServer/1&amp;find="&amp;$F444&amp;"%2C"&amp;$E444&amp;"&amp;marker="&amp;$F444&amp;","&amp;$E444&amp;",4326&amp;level=16",IF(_xlfn.SINGLE(JobState)="MN","https://fema.maps.arcgis.com/apps/mapviewer/index.html?url=https%3A%2F%2Fdotapp9.dot.state.mn.us%2Fegis12%2Frest%2Fservices%2FBASEMAP%2Fmndot_commonlayers2%2FMapServer%2F11&amp;find="&amp;$F444&amp;"%2C"&amp;$E444&amp;"&amp;marker="&amp;$F444&amp;","&amp;$E444&amp;",4326&amp;level=16",IF(_xlfn.SINGLE(JobState)="IL","https://fema.maps.arcgis.com/apps/mapviewer/index.html?url=https%3A%2F%2Fgis1.dot.illinois.gov%2Farcgis%2Frest%2Fservices%2FAdministrativeData%2FFunctionalClass%2FMapServer%2F0&amp;find="&amp;$F444&amp;"%2C"&amp;$E444&amp;"&amp;marker="&amp;$F444&amp;","&amp;$E444&amp;",4326&amp;level=16",IF(_xlfn.SINGLE(JobState)="OH","https://fema.maps.arcgis.com/apps/mapviewer/index.html?url=https%3A%2F%2Ftims.dot.state.oh.us%2Fags%2Frest%2Fservices%2FRoadway_Information%2FFunctional_Class%2FMapServer%2F0&amp;find="&amp;$F444&amp;"%2C"&amp;$E444&amp;"&amp;marker="&amp;$F444&amp;","&amp;$E444&amp;",4326&amp;level=16","https://fema.maps.arcgis.com/apps/mapviewer/index.html?find="&amp;$F444&amp;"%2C"&amp;$E444&amp;"&amp;marker="&amp;$F444&amp;","&amp;$E444&amp;",4326&amp;level=16")))))),IF(_xlfn.SINGLE(JobState)="WI","Review Local Roads Layer","Review NFC AGOL Layer"))))</f>
        <v/>
      </c>
      <c r="N444" s="6" t="str">
        <f>IF(OR($E444="",$F444=""),"",IF(_xlfn.SINGLE(JobState)="",IF(ROW()=2,HYPERLINK("#JobState","Set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444&amp;"%2C"&amp;$E444&amp;"&amp;marker="&amp;$F444&amp;","&amp;$E444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4" s="6" t="str">
        <f>IF(OR($E444="", $F444=""),"",IF(_xlfn.SINGLE(JobAgolMap)="",HYPERLINK("https://fema.maps.arcgis.com/apps/mapviewer/index.html?find="&amp;$F444&amp;"%2C"&amp;$E444&amp;"&amp;marker="&amp;$F444&amp;","&amp;$E444&amp;",4326&amp;level=16","FEMA AGOL Map Viewer"),HYPERLINK(_xlfn.SINGLE(JobAgolMap)&amp;IF(ISNUMBER(FIND("?",_xlfn.SINGLE(JobAgolMap))),"&amp;","?")&amp;"center="&amp;$F444&amp;","&amp;$E444&amp;"&amp;level=16&amp;marker="&amp;$F444&amp;","&amp;$E444,"Open")))</f>
        <v/>
      </c>
      <c r="Q444" s="4"/>
      <c r="R444" s="4"/>
      <c r="W444" s="6" t="str">
        <f t="shared" si="36"/>
        <v/>
      </c>
      <c r="X444" s="6" t="str">
        <f t="shared" si="37"/>
        <v/>
      </c>
      <c r="Y444" s="6" t="str">
        <f t="shared" si="38"/>
        <v/>
      </c>
      <c r="Z444" s="6" t="str">
        <f t="shared" si="39"/>
        <v/>
      </c>
      <c r="AA444" s="6" t="str">
        <f t="shared" si="40"/>
        <v/>
      </c>
      <c r="AB444" s="6" t="str">
        <f t="shared" si="41"/>
        <v/>
      </c>
      <c r="AC444" s="4"/>
      <c r="AD444" s="4"/>
    </row>
    <row r="445" spans="1:30" x14ac:dyDescent="0.45">
      <c r="A445" s="3"/>
      <c r="B445" s="3"/>
      <c r="C445" s="5" t="str">
        <f>IF($E445="","",COUNT($E$2:$E445))</f>
        <v/>
      </c>
      <c r="D445" s="3"/>
      <c r="E445" s="3"/>
      <c r="F445" s="3"/>
      <c r="G445" s="3"/>
      <c r="H445" s="3"/>
      <c r="I445" s="3"/>
      <c r="J445" s="3"/>
      <c r="K445" s="3"/>
      <c r="L445" s="4"/>
      <c r="M445" s="6" t="str">
        <f>IF(OR($E445="",$F445=""),"",IF(_xlfn.SINGLE(JobState)="",IF(ROW()=2,HYPERLINK("#JobState","Set State →"),""),HYPERLINK(IF(OR(_xlfn.SINGLE(JobState)="MI",_xlfn.SINGLE(JobState)=""),"https://fema.maps.arcgis.com/apps/mapviewer/index.html?webmap=6a1702b9147243d1a5ee62cd614bc681&amp;center="&amp;$F445&amp;","&amp;$E445&amp;"&amp;level=16&amp;marker="&amp;$F445&amp;","&amp;$E445&amp;"",IF(_xlfn.SINGLE(JobState)="IN","https://fema.maps.arcgis.com/apps/mapviewer/index.html?url=https%3A%2F%2Fgis.indot.in.gov%2Fro%2Frest%2Fservices%2FRAH_GIO_Collaboration%2FLRSE_Functional_Class%2FFeatureServer%2F22&amp;find="&amp;$F445&amp;"%2C"&amp;$E445&amp;"&amp;marker="&amp;$F445&amp;","&amp;$E445&amp;",4326&amp;level=16",IF(_xlfn.SINGLE(JobState)="WI","https://fema.maps.arcgis.com/apps/mapviewer/index.html?url=https://services5.arcgis.com/0pgGLzT0Nh7FVjon/arcgis/rest/services/Functional_Class_Local_Non_Prod/FeatureServer/1&amp;find="&amp;$F445&amp;"%2C"&amp;$E445&amp;"&amp;marker="&amp;$F445&amp;","&amp;$E445&amp;",4326&amp;level=16",IF(_xlfn.SINGLE(JobState)="MN","https://fema.maps.arcgis.com/apps/mapviewer/index.html?url=https%3A%2F%2Fdotapp9.dot.state.mn.us%2Fegis12%2Frest%2Fservices%2FBASEMAP%2Fmndot_commonlayers2%2FMapServer%2F11&amp;find="&amp;$F445&amp;"%2C"&amp;$E445&amp;"&amp;marker="&amp;$F445&amp;","&amp;$E445&amp;",4326&amp;level=16",IF(_xlfn.SINGLE(JobState)="IL","https://fema.maps.arcgis.com/apps/mapviewer/index.html?url=https%3A%2F%2Fgis1.dot.illinois.gov%2Farcgis%2Frest%2Fservices%2FAdministrativeData%2FFunctionalClass%2FMapServer%2F0&amp;find="&amp;$F445&amp;"%2C"&amp;$E445&amp;"&amp;marker="&amp;$F445&amp;","&amp;$E445&amp;",4326&amp;level=16",IF(_xlfn.SINGLE(JobState)="OH","https://fema.maps.arcgis.com/apps/mapviewer/index.html?url=https%3A%2F%2Ftims.dot.state.oh.us%2Fags%2Frest%2Fservices%2FRoadway_Information%2FFunctional_Class%2FMapServer%2F0&amp;find="&amp;$F445&amp;"%2C"&amp;$E445&amp;"&amp;marker="&amp;$F445&amp;","&amp;$E445&amp;",4326&amp;level=16","https://fema.maps.arcgis.com/apps/mapviewer/index.html?find="&amp;$F445&amp;"%2C"&amp;$E445&amp;"&amp;marker="&amp;$F445&amp;","&amp;$E445&amp;",4326&amp;level=16")))))),IF(_xlfn.SINGLE(JobState)="WI","Review Local Roads Layer","Review NFC AGOL Layer"))))</f>
        <v/>
      </c>
      <c r="N445" s="6" t="str">
        <f>IF(OR($E445="",$F445=""),"",IF(_xlfn.SINGLE(JobState)="",IF(ROW()=2,HYPERLINK("#JobState","Set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445&amp;"%2C"&amp;$E445&amp;"&amp;marker="&amp;$F445&amp;","&amp;$E445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5" s="6" t="str">
        <f>IF(OR($E445="", $F445=""),"",IF(_xlfn.SINGLE(JobAgolMap)="",HYPERLINK("https://fema.maps.arcgis.com/apps/mapviewer/index.html?find="&amp;$F445&amp;"%2C"&amp;$E445&amp;"&amp;marker="&amp;$F445&amp;","&amp;$E445&amp;",4326&amp;level=16","FEMA AGOL Map Viewer"),HYPERLINK(_xlfn.SINGLE(JobAgolMap)&amp;IF(ISNUMBER(FIND("?",_xlfn.SINGLE(JobAgolMap))),"&amp;","?")&amp;"center="&amp;$F445&amp;","&amp;$E445&amp;"&amp;level=16&amp;marker="&amp;$F445&amp;","&amp;$E445,"Open")))</f>
        <v/>
      </c>
      <c r="Q445" s="4"/>
      <c r="R445" s="4"/>
      <c r="W445" s="6" t="str">
        <f t="shared" si="36"/>
        <v/>
      </c>
      <c r="X445" s="6" t="str">
        <f t="shared" si="37"/>
        <v/>
      </c>
      <c r="Y445" s="6" t="str">
        <f t="shared" si="38"/>
        <v/>
      </c>
      <c r="Z445" s="6" t="str">
        <f t="shared" si="39"/>
        <v/>
      </c>
      <c r="AA445" s="6" t="str">
        <f t="shared" si="40"/>
        <v/>
      </c>
      <c r="AB445" s="6" t="str">
        <f t="shared" si="41"/>
        <v/>
      </c>
      <c r="AC445" s="4"/>
      <c r="AD445" s="4"/>
    </row>
    <row r="446" spans="1:30" x14ac:dyDescent="0.45">
      <c r="A446" s="3"/>
      <c r="B446" s="3"/>
      <c r="C446" s="5" t="str">
        <f>IF($E446="","",COUNT($E$2:$E446))</f>
        <v/>
      </c>
      <c r="D446" s="3"/>
      <c r="E446" s="3"/>
      <c r="F446" s="3"/>
      <c r="G446" s="3"/>
      <c r="H446" s="3"/>
      <c r="I446" s="3"/>
      <c r="J446" s="3"/>
      <c r="K446" s="3"/>
      <c r="L446" s="4"/>
      <c r="M446" s="6" t="str">
        <f>IF(OR($E446="",$F446=""),"",IF(_xlfn.SINGLE(JobState)="",IF(ROW()=2,HYPERLINK("#JobState","Set State →"),""),HYPERLINK(IF(OR(_xlfn.SINGLE(JobState)="MI",_xlfn.SINGLE(JobState)=""),"https://fema.maps.arcgis.com/apps/mapviewer/index.html?webmap=6a1702b9147243d1a5ee62cd614bc681&amp;center="&amp;$F446&amp;","&amp;$E446&amp;"&amp;level=16&amp;marker="&amp;$F446&amp;","&amp;$E446&amp;"",IF(_xlfn.SINGLE(JobState)="IN","https://fema.maps.arcgis.com/apps/mapviewer/index.html?url=https%3A%2F%2Fgis.indot.in.gov%2Fro%2Frest%2Fservices%2FRAH_GIO_Collaboration%2FLRSE_Functional_Class%2FFeatureServer%2F22&amp;find="&amp;$F446&amp;"%2C"&amp;$E446&amp;"&amp;marker="&amp;$F446&amp;","&amp;$E446&amp;",4326&amp;level=16",IF(_xlfn.SINGLE(JobState)="WI","https://fema.maps.arcgis.com/apps/mapviewer/index.html?url=https://services5.arcgis.com/0pgGLzT0Nh7FVjon/arcgis/rest/services/Functional_Class_Local_Non_Prod/FeatureServer/1&amp;find="&amp;$F446&amp;"%2C"&amp;$E446&amp;"&amp;marker="&amp;$F446&amp;","&amp;$E446&amp;",4326&amp;level=16",IF(_xlfn.SINGLE(JobState)="MN","https://fema.maps.arcgis.com/apps/mapviewer/index.html?url=https%3A%2F%2Fdotapp9.dot.state.mn.us%2Fegis12%2Frest%2Fservices%2FBASEMAP%2Fmndot_commonlayers2%2FMapServer%2F11&amp;find="&amp;$F446&amp;"%2C"&amp;$E446&amp;"&amp;marker="&amp;$F446&amp;","&amp;$E446&amp;",4326&amp;level=16",IF(_xlfn.SINGLE(JobState)="IL","https://fema.maps.arcgis.com/apps/mapviewer/index.html?url=https%3A%2F%2Fgis1.dot.illinois.gov%2Farcgis%2Frest%2Fservices%2FAdministrativeData%2FFunctionalClass%2FMapServer%2F0&amp;find="&amp;$F446&amp;"%2C"&amp;$E446&amp;"&amp;marker="&amp;$F446&amp;","&amp;$E446&amp;",4326&amp;level=16",IF(_xlfn.SINGLE(JobState)="OH","https://fema.maps.arcgis.com/apps/mapviewer/index.html?url=https%3A%2F%2Ftims.dot.state.oh.us%2Fags%2Frest%2Fservices%2FRoadway_Information%2FFunctional_Class%2FMapServer%2F0&amp;find="&amp;$F446&amp;"%2C"&amp;$E446&amp;"&amp;marker="&amp;$F446&amp;","&amp;$E446&amp;",4326&amp;level=16","https://fema.maps.arcgis.com/apps/mapviewer/index.html?find="&amp;$F446&amp;"%2C"&amp;$E446&amp;"&amp;marker="&amp;$F446&amp;","&amp;$E446&amp;",4326&amp;level=16")))))),IF(_xlfn.SINGLE(JobState)="WI","Review Local Roads Layer","Review NFC AGOL Layer"))))</f>
        <v/>
      </c>
      <c r="N446" s="6" t="str">
        <f>IF(OR($E446="",$F446=""),"",IF(_xlfn.SINGLE(JobState)="",IF(ROW()=2,HYPERLINK("#JobState","Set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446&amp;"%2C"&amp;$E446&amp;"&amp;marker="&amp;$F446&amp;","&amp;$E446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6" s="6" t="str">
        <f>IF(OR($E446="", $F446=""),"",IF(_xlfn.SINGLE(JobAgolMap)="",HYPERLINK("https://fema.maps.arcgis.com/apps/mapviewer/index.html?find="&amp;$F446&amp;"%2C"&amp;$E446&amp;"&amp;marker="&amp;$F446&amp;","&amp;$E446&amp;",4326&amp;level=16","FEMA AGOL Map Viewer"),HYPERLINK(_xlfn.SINGLE(JobAgolMap)&amp;IF(ISNUMBER(FIND("?",_xlfn.SINGLE(JobAgolMap))),"&amp;","?")&amp;"center="&amp;$F446&amp;","&amp;$E446&amp;"&amp;level=16&amp;marker="&amp;$F446&amp;","&amp;$E446,"Open")))</f>
        <v/>
      </c>
      <c r="Q446" s="4"/>
      <c r="R446" s="4"/>
      <c r="W446" s="6" t="str">
        <f t="shared" si="36"/>
        <v/>
      </c>
      <c r="X446" s="6" t="str">
        <f t="shared" si="37"/>
        <v/>
      </c>
      <c r="Y446" s="6" t="str">
        <f t="shared" si="38"/>
        <v/>
      </c>
      <c r="Z446" s="6" t="str">
        <f t="shared" si="39"/>
        <v/>
      </c>
      <c r="AA446" s="6" t="str">
        <f t="shared" si="40"/>
        <v/>
      </c>
      <c r="AB446" s="6" t="str">
        <f t="shared" si="41"/>
        <v/>
      </c>
      <c r="AC446" s="4"/>
      <c r="AD446" s="4"/>
    </row>
    <row r="447" spans="1:30" x14ac:dyDescent="0.45">
      <c r="A447" s="3"/>
      <c r="B447" s="3"/>
      <c r="C447" s="5" t="str">
        <f>IF($E447="","",COUNT($E$2:$E447))</f>
        <v/>
      </c>
      <c r="D447" s="3"/>
      <c r="E447" s="3"/>
      <c r="F447" s="3"/>
      <c r="G447" s="3"/>
      <c r="H447" s="3"/>
      <c r="I447" s="3"/>
      <c r="J447" s="3"/>
      <c r="K447" s="3"/>
      <c r="L447" s="4"/>
      <c r="M447" s="6" t="str">
        <f>IF(OR($E447="",$F447=""),"",IF(_xlfn.SINGLE(JobState)="",IF(ROW()=2,HYPERLINK("#JobState","Set State →"),""),HYPERLINK(IF(OR(_xlfn.SINGLE(JobState)="MI",_xlfn.SINGLE(JobState)=""),"https://fema.maps.arcgis.com/apps/mapviewer/index.html?webmap=6a1702b9147243d1a5ee62cd614bc681&amp;center="&amp;$F447&amp;","&amp;$E447&amp;"&amp;level=16&amp;marker="&amp;$F447&amp;","&amp;$E447&amp;"",IF(_xlfn.SINGLE(JobState)="IN","https://fema.maps.arcgis.com/apps/mapviewer/index.html?url=https%3A%2F%2Fgis.indot.in.gov%2Fro%2Frest%2Fservices%2FRAH_GIO_Collaboration%2FLRSE_Functional_Class%2FFeatureServer%2F22&amp;find="&amp;$F447&amp;"%2C"&amp;$E447&amp;"&amp;marker="&amp;$F447&amp;","&amp;$E447&amp;",4326&amp;level=16",IF(_xlfn.SINGLE(JobState)="WI","https://fema.maps.arcgis.com/apps/mapviewer/index.html?url=https://services5.arcgis.com/0pgGLzT0Nh7FVjon/arcgis/rest/services/Functional_Class_Local_Non_Prod/FeatureServer/1&amp;find="&amp;$F447&amp;"%2C"&amp;$E447&amp;"&amp;marker="&amp;$F447&amp;","&amp;$E447&amp;",4326&amp;level=16",IF(_xlfn.SINGLE(JobState)="MN","https://fema.maps.arcgis.com/apps/mapviewer/index.html?url=https%3A%2F%2Fdotapp9.dot.state.mn.us%2Fegis12%2Frest%2Fservices%2FBASEMAP%2Fmndot_commonlayers2%2FMapServer%2F11&amp;find="&amp;$F447&amp;"%2C"&amp;$E447&amp;"&amp;marker="&amp;$F447&amp;","&amp;$E447&amp;",4326&amp;level=16",IF(_xlfn.SINGLE(JobState)="IL","https://fema.maps.arcgis.com/apps/mapviewer/index.html?url=https%3A%2F%2Fgis1.dot.illinois.gov%2Farcgis%2Frest%2Fservices%2FAdministrativeData%2FFunctionalClass%2FMapServer%2F0&amp;find="&amp;$F447&amp;"%2C"&amp;$E447&amp;"&amp;marker="&amp;$F447&amp;","&amp;$E447&amp;",4326&amp;level=16",IF(_xlfn.SINGLE(JobState)="OH","https://fema.maps.arcgis.com/apps/mapviewer/index.html?url=https%3A%2F%2Ftims.dot.state.oh.us%2Fags%2Frest%2Fservices%2FRoadway_Information%2FFunctional_Class%2FMapServer%2F0&amp;find="&amp;$F447&amp;"%2C"&amp;$E447&amp;"&amp;marker="&amp;$F447&amp;","&amp;$E447&amp;",4326&amp;level=16","https://fema.maps.arcgis.com/apps/mapviewer/index.html?find="&amp;$F447&amp;"%2C"&amp;$E447&amp;"&amp;marker="&amp;$F447&amp;","&amp;$E447&amp;",4326&amp;level=16")))))),IF(_xlfn.SINGLE(JobState)="WI","Review Local Roads Layer","Review NFC AGOL Layer"))))</f>
        <v/>
      </c>
      <c r="N447" s="6" t="str">
        <f>IF(OR($E447="",$F447=""),"",IF(_xlfn.SINGLE(JobState)="",IF(ROW()=2,HYPERLINK("#JobState","Set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447&amp;"%2C"&amp;$E447&amp;"&amp;marker="&amp;$F447&amp;","&amp;$E447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7" s="6" t="str">
        <f>IF(OR($E447="", $F447=""),"",IF(_xlfn.SINGLE(JobAgolMap)="",HYPERLINK("https://fema.maps.arcgis.com/apps/mapviewer/index.html?find="&amp;$F447&amp;"%2C"&amp;$E447&amp;"&amp;marker="&amp;$F447&amp;","&amp;$E447&amp;",4326&amp;level=16","FEMA AGOL Map Viewer"),HYPERLINK(_xlfn.SINGLE(JobAgolMap)&amp;IF(ISNUMBER(FIND("?",_xlfn.SINGLE(JobAgolMap))),"&amp;","?")&amp;"center="&amp;$F447&amp;","&amp;$E447&amp;"&amp;level=16&amp;marker="&amp;$F447&amp;","&amp;$E447,"Open")))</f>
        <v/>
      </c>
      <c r="Q447" s="4"/>
      <c r="R447" s="4"/>
      <c r="W447" s="6" t="str">
        <f t="shared" si="36"/>
        <v/>
      </c>
      <c r="X447" s="6" t="str">
        <f t="shared" si="37"/>
        <v/>
      </c>
      <c r="Y447" s="6" t="str">
        <f t="shared" si="38"/>
        <v/>
      </c>
      <c r="Z447" s="6" t="str">
        <f t="shared" si="39"/>
        <v/>
      </c>
      <c r="AA447" s="6" t="str">
        <f t="shared" si="40"/>
        <v/>
      </c>
      <c r="AB447" s="6" t="str">
        <f t="shared" si="41"/>
        <v/>
      </c>
      <c r="AC447" s="4"/>
      <c r="AD447" s="4"/>
    </row>
    <row r="448" spans="1:30" x14ac:dyDescent="0.45">
      <c r="A448" s="3"/>
      <c r="B448" s="3"/>
      <c r="C448" s="5" t="str">
        <f>IF($E448="","",COUNT($E$2:$E448))</f>
        <v/>
      </c>
      <c r="D448" s="3"/>
      <c r="E448" s="3"/>
      <c r="F448" s="3"/>
      <c r="G448" s="3"/>
      <c r="H448" s="3"/>
      <c r="I448" s="3"/>
      <c r="J448" s="3"/>
      <c r="K448" s="3"/>
      <c r="L448" s="4"/>
      <c r="M448" s="6" t="str">
        <f>IF(OR($E448="",$F448=""),"",IF(_xlfn.SINGLE(JobState)="",IF(ROW()=2,HYPERLINK("#JobState","Set State →"),""),HYPERLINK(IF(OR(_xlfn.SINGLE(JobState)="MI",_xlfn.SINGLE(JobState)=""),"https://fema.maps.arcgis.com/apps/mapviewer/index.html?webmap=6a1702b9147243d1a5ee62cd614bc681&amp;center="&amp;$F448&amp;","&amp;$E448&amp;"&amp;level=16&amp;marker="&amp;$F448&amp;","&amp;$E448&amp;"",IF(_xlfn.SINGLE(JobState)="IN","https://fema.maps.arcgis.com/apps/mapviewer/index.html?url=https%3A%2F%2Fgis.indot.in.gov%2Fro%2Frest%2Fservices%2FRAH_GIO_Collaboration%2FLRSE_Functional_Class%2FFeatureServer%2F22&amp;find="&amp;$F448&amp;"%2C"&amp;$E448&amp;"&amp;marker="&amp;$F448&amp;","&amp;$E448&amp;",4326&amp;level=16",IF(_xlfn.SINGLE(JobState)="WI","https://fema.maps.arcgis.com/apps/mapviewer/index.html?url=https://services5.arcgis.com/0pgGLzT0Nh7FVjon/arcgis/rest/services/Functional_Class_Local_Non_Prod/FeatureServer/1&amp;find="&amp;$F448&amp;"%2C"&amp;$E448&amp;"&amp;marker="&amp;$F448&amp;","&amp;$E448&amp;",4326&amp;level=16",IF(_xlfn.SINGLE(JobState)="MN","https://fema.maps.arcgis.com/apps/mapviewer/index.html?url=https%3A%2F%2Fdotapp9.dot.state.mn.us%2Fegis12%2Frest%2Fservices%2FBASEMAP%2Fmndot_commonlayers2%2FMapServer%2F11&amp;find="&amp;$F448&amp;"%2C"&amp;$E448&amp;"&amp;marker="&amp;$F448&amp;","&amp;$E448&amp;",4326&amp;level=16",IF(_xlfn.SINGLE(JobState)="IL","https://fema.maps.arcgis.com/apps/mapviewer/index.html?url=https%3A%2F%2Fgis1.dot.illinois.gov%2Farcgis%2Frest%2Fservices%2FAdministrativeData%2FFunctionalClass%2FMapServer%2F0&amp;find="&amp;$F448&amp;"%2C"&amp;$E448&amp;"&amp;marker="&amp;$F448&amp;","&amp;$E448&amp;",4326&amp;level=16",IF(_xlfn.SINGLE(JobState)="OH","https://fema.maps.arcgis.com/apps/mapviewer/index.html?url=https%3A%2F%2Ftims.dot.state.oh.us%2Fags%2Frest%2Fservices%2FRoadway_Information%2FFunctional_Class%2FMapServer%2F0&amp;find="&amp;$F448&amp;"%2C"&amp;$E448&amp;"&amp;marker="&amp;$F448&amp;","&amp;$E448&amp;",4326&amp;level=16","https://fema.maps.arcgis.com/apps/mapviewer/index.html?find="&amp;$F448&amp;"%2C"&amp;$E448&amp;"&amp;marker="&amp;$F448&amp;","&amp;$E448&amp;",4326&amp;level=16")))))),IF(_xlfn.SINGLE(JobState)="WI","Review Local Roads Layer","Review NFC AGOL Layer"))))</f>
        <v/>
      </c>
      <c r="N448" s="6" t="str">
        <f>IF(OR($E448="",$F448=""),"",IF(_xlfn.SINGLE(JobState)="",IF(ROW()=2,HYPERLINK("#JobState","Set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448&amp;"%2C"&amp;$E448&amp;"&amp;marker="&amp;$F448&amp;","&amp;$E448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8" s="6" t="str">
        <f>IF(OR($E448="", $F448=""),"",IF(_xlfn.SINGLE(JobAgolMap)="",HYPERLINK("https://fema.maps.arcgis.com/apps/mapviewer/index.html?find="&amp;$F448&amp;"%2C"&amp;$E448&amp;"&amp;marker="&amp;$F448&amp;","&amp;$E448&amp;",4326&amp;level=16","FEMA AGOL Map Viewer"),HYPERLINK(_xlfn.SINGLE(JobAgolMap)&amp;IF(ISNUMBER(FIND("?",_xlfn.SINGLE(JobAgolMap))),"&amp;","?")&amp;"center="&amp;$F448&amp;","&amp;$E448&amp;"&amp;level=16&amp;marker="&amp;$F448&amp;","&amp;$E448,"Open")))</f>
        <v/>
      </c>
      <c r="Q448" s="4"/>
      <c r="R448" s="4"/>
      <c r="W448" s="6" t="str">
        <f t="shared" si="36"/>
        <v/>
      </c>
      <c r="X448" s="6" t="str">
        <f t="shared" si="37"/>
        <v/>
      </c>
      <c r="Y448" s="6" t="str">
        <f t="shared" si="38"/>
        <v/>
      </c>
      <c r="Z448" s="6" t="str">
        <f t="shared" si="39"/>
        <v/>
      </c>
      <c r="AA448" s="6" t="str">
        <f t="shared" si="40"/>
        <v/>
      </c>
      <c r="AB448" s="6" t="str">
        <f t="shared" si="41"/>
        <v/>
      </c>
      <c r="AC448" s="4"/>
      <c r="AD448" s="4"/>
    </row>
    <row r="449" spans="1:30" x14ac:dyDescent="0.45">
      <c r="A449" s="3"/>
      <c r="B449" s="3"/>
      <c r="C449" s="5" t="str">
        <f>IF($E449="","",COUNT($E$2:$E449))</f>
        <v/>
      </c>
      <c r="D449" s="3"/>
      <c r="E449" s="3"/>
      <c r="F449" s="3"/>
      <c r="G449" s="3"/>
      <c r="H449" s="3"/>
      <c r="I449" s="3"/>
      <c r="J449" s="3"/>
      <c r="K449" s="3"/>
      <c r="L449" s="4"/>
      <c r="M449" s="6" t="str">
        <f>IF(OR($E449="",$F449=""),"",IF(_xlfn.SINGLE(JobState)="",IF(ROW()=2,HYPERLINK("#JobState","Set State →"),""),HYPERLINK(IF(OR(_xlfn.SINGLE(JobState)="MI",_xlfn.SINGLE(JobState)=""),"https://fema.maps.arcgis.com/apps/mapviewer/index.html?webmap=6a1702b9147243d1a5ee62cd614bc681&amp;center="&amp;$F449&amp;","&amp;$E449&amp;"&amp;level=16&amp;marker="&amp;$F449&amp;","&amp;$E449&amp;"",IF(_xlfn.SINGLE(JobState)="IN","https://fema.maps.arcgis.com/apps/mapviewer/index.html?url=https%3A%2F%2Fgis.indot.in.gov%2Fro%2Frest%2Fservices%2FRAH_GIO_Collaboration%2FLRSE_Functional_Class%2FFeatureServer%2F22&amp;find="&amp;$F449&amp;"%2C"&amp;$E449&amp;"&amp;marker="&amp;$F449&amp;","&amp;$E449&amp;",4326&amp;level=16",IF(_xlfn.SINGLE(JobState)="WI","https://fema.maps.arcgis.com/apps/mapviewer/index.html?url=https://services5.arcgis.com/0pgGLzT0Nh7FVjon/arcgis/rest/services/Functional_Class_Local_Non_Prod/FeatureServer/1&amp;find="&amp;$F449&amp;"%2C"&amp;$E449&amp;"&amp;marker="&amp;$F449&amp;","&amp;$E449&amp;",4326&amp;level=16",IF(_xlfn.SINGLE(JobState)="MN","https://fema.maps.arcgis.com/apps/mapviewer/index.html?url=https%3A%2F%2Fdotapp9.dot.state.mn.us%2Fegis12%2Frest%2Fservices%2FBASEMAP%2Fmndot_commonlayers2%2FMapServer%2F11&amp;find="&amp;$F449&amp;"%2C"&amp;$E449&amp;"&amp;marker="&amp;$F449&amp;","&amp;$E449&amp;",4326&amp;level=16",IF(_xlfn.SINGLE(JobState)="IL","https://fema.maps.arcgis.com/apps/mapviewer/index.html?url=https%3A%2F%2Fgis1.dot.illinois.gov%2Farcgis%2Frest%2Fservices%2FAdministrativeData%2FFunctionalClass%2FMapServer%2F0&amp;find="&amp;$F449&amp;"%2C"&amp;$E449&amp;"&amp;marker="&amp;$F449&amp;","&amp;$E449&amp;",4326&amp;level=16",IF(_xlfn.SINGLE(JobState)="OH","https://fema.maps.arcgis.com/apps/mapviewer/index.html?url=https%3A%2F%2Ftims.dot.state.oh.us%2Fags%2Frest%2Fservices%2FRoadway_Information%2FFunctional_Class%2FMapServer%2F0&amp;find="&amp;$F449&amp;"%2C"&amp;$E449&amp;"&amp;marker="&amp;$F449&amp;","&amp;$E449&amp;",4326&amp;level=16","https://fema.maps.arcgis.com/apps/mapviewer/index.html?find="&amp;$F449&amp;"%2C"&amp;$E449&amp;"&amp;marker="&amp;$F449&amp;","&amp;$E449&amp;",4326&amp;level=16")))))),IF(_xlfn.SINGLE(JobState)="WI","Review Local Roads Layer","Review NFC AGOL Layer"))))</f>
        <v/>
      </c>
      <c r="N449" s="6" t="str">
        <f>IF(OR($E449="",$F449=""),"",IF(_xlfn.SINGLE(JobState)="",IF(ROW()=2,HYPERLINK("#JobState","Set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449&amp;"%2C"&amp;$E449&amp;"&amp;marker="&amp;$F449&amp;","&amp;$E449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9" s="6" t="str">
        <f>IF(OR($E449="", $F449=""),"",IF(_xlfn.SINGLE(JobAgolMap)="",HYPERLINK("https://fema.maps.arcgis.com/apps/mapviewer/index.html?find="&amp;$F449&amp;"%2C"&amp;$E449&amp;"&amp;marker="&amp;$F449&amp;","&amp;$E449&amp;",4326&amp;level=16","FEMA AGOL Map Viewer"),HYPERLINK(_xlfn.SINGLE(JobAgolMap)&amp;IF(ISNUMBER(FIND("?",_xlfn.SINGLE(JobAgolMap))),"&amp;","?")&amp;"center="&amp;$F449&amp;","&amp;$E449&amp;"&amp;level=16&amp;marker="&amp;$F449&amp;","&amp;$E449,"Open")))</f>
        <v/>
      </c>
      <c r="Q449" s="4"/>
      <c r="R449" s="4"/>
      <c r="W449" s="6" t="str">
        <f t="shared" si="36"/>
        <v/>
      </c>
      <c r="X449" s="6" t="str">
        <f t="shared" si="37"/>
        <v/>
      </c>
      <c r="Y449" s="6" t="str">
        <f t="shared" si="38"/>
        <v/>
      </c>
      <c r="Z449" s="6" t="str">
        <f t="shared" si="39"/>
        <v/>
      </c>
      <c r="AA449" s="6" t="str">
        <f t="shared" si="40"/>
        <v/>
      </c>
      <c r="AB449" s="6" t="str">
        <f t="shared" si="41"/>
        <v/>
      </c>
      <c r="AC449" s="4"/>
      <c r="AD449" s="4"/>
    </row>
    <row r="450" spans="1:30" x14ac:dyDescent="0.45">
      <c r="A450" s="3"/>
      <c r="B450" s="3"/>
      <c r="C450" s="5" t="str">
        <f>IF($E450="","",COUNT($E$2:$E450))</f>
        <v/>
      </c>
      <c r="D450" s="3"/>
      <c r="E450" s="3"/>
      <c r="F450" s="3"/>
      <c r="G450" s="3"/>
      <c r="H450" s="3"/>
      <c r="I450" s="3"/>
      <c r="J450" s="3"/>
      <c r="K450" s="3"/>
      <c r="L450" s="4"/>
      <c r="M450" s="6" t="str">
        <f>IF(OR($E450="",$F450=""),"",IF(_xlfn.SINGLE(JobState)="",IF(ROW()=2,HYPERLINK("#JobState","Set State →"),""),HYPERLINK(IF(OR(_xlfn.SINGLE(JobState)="MI",_xlfn.SINGLE(JobState)=""),"https://fema.maps.arcgis.com/apps/mapviewer/index.html?webmap=6a1702b9147243d1a5ee62cd614bc681&amp;center="&amp;$F450&amp;","&amp;$E450&amp;"&amp;level=16&amp;marker="&amp;$F450&amp;","&amp;$E450&amp;"",IF(_xlfn.SINGLE(JobState)="IN","https://fema.maps.arcgis.com/apps/mapviewer/index.html?url=https%3A%2F%2Fgis.indot.in.gov%2Fro%2Frest%2Fservices%2FRAH_GIO_Collaboration%2FLRSE_Functional_Class%2FFeatureServer%2F22&amp;find="&amp;$F450&amp;"%2C"&amp;$E450&amp;"&amp;marker="&amp;$F450&amp;","&amp;$E450&amp;",4326&amp;level=16",IF(_xlfn.SINGLE(JobState)="WI","https://fema.maps.arcgis.com/apps/mapviewer/index.html?url=https://services5.arcgis.com/0pgGLzT0Nh7FVjon/arcgis/rest/services/Functional_Class_Local_Non_Prod/FeatureServer/1&amp;find="&amp;$F450&amp;"%2C"&amp;$E450&amp;"&amp;marker="&amp;$F450&amp;","&amp;$E450&amp;",4326&amp;level=16",IF(_xlfn.SINGLE(JobState)="MN","https://fema.maps.arcgis.com/apps/mapviewer/index.html?url=https%3A%2F%2Fdotapp9.dot.state.mn.us%2Fegis12%2Frest%2Fservices%2FBASEMAP%2Fmndot_commonlayers2%2FMapServer%2F11&amp;find="&amp;$F450&amp;"%2C"&amp;$E450&amp;"&amp;marker="&amp;$F450&amp;","&amp;$E450&amp;",4326&amp;level=16",IF(_xlfn.SINGLE(JobState)="IL","https://fema.maps.arcgis.com/apps/mapviewer/index.html?url=https%3A%2F%2Fgis1.dot.illinois.gov%2Farcgis%2Frest%2Fservices%2FAdministrativeData%2FFunctionalClass%2FMapServer%2F0&amp;find="&amp;$F450&amp;"%2C"&amp;$E450&amp;"&amp;marker="&amp;$F450&amp;","&amp;$E450&amp;",4326&amp;level=16",IF(_xlfn.SINGLE(JobState)="OH","https://fema.maps.arcgis.com/apps/mapviewer/index.html?url=https%3A%2F%2Ftims.dot.state.oh.us%2Fags%2Frest%2Fservices%2FRoadway_Information%2FFunctional_Class%2FMapServer%2F0&amp;find="&amp;$F450&amp;"%2C"&amp;$E450&amp;"&amp;marker="&amp;$F450&amp;","&amp;$E450&amp;",4326&amp;level=16","https://fema.maps.arcgis.com/apps/mapviewer/index.html?find="&amp;$F450&amp;"%2C"&amp;$E450&amp;"&amp;marker="&amp;$F450&amp;","&amp;$E450&amp;",4326&amp;level=16")))))),IF(_xlfn.SINGLE(JobState)="WI","Review Local Roads Layer","Review NFC AGOL Layer"))))</f>
        <v/>
      </c>
      <c r="N450" s="6" t="str">
        <f>IF(OR($E450="",$F450=""),"",IF(_xlfn.SINGLE(JobState)="",IF(ROW()=2,HYPERLINK("#JobState","Set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450&amp;"%2C"&amp;$E450&amp;"&amp;marker="&amp;$F450&amp;","&amp;$E450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0" s="6" t="str">
        <f>IF(OR($E450="", $F450=""),"",IF(_xlfn.SINGLE(JobAgolMap)="",HYPERLINK("https://fema.maps.arcgis.com/apps/mapviewer/index.html?find="&amp;$F450&amp;"%2C"&amp;$E450&amp;"&amp;marker="&amp;$F450&amp;","&amp;$E450&amp;",4326&amp;level=16","FEMA AGOL Map Viewer"),HYPERLINK(_xlfn.SINGLE(JobAgolMap)&amp;IF(ISNUMBER(FIND("?",_xlfn.SINGLE(JobAgolMap))),"&amp;","?")&amp;"center="&amp;$F450&amp;","&amp;$E450&amp;"&amp;level=16&amp;marker="&amp;$F450&amp;","&amp;$E450,"Open")))</f>
        <v/>
      </c>
      <c r="Q450" s="4"/>
      <c r="R450" s="4"/>
      <c r="W450" s="6" t="str">
        <f t="shared" ref="W450:W501" si="42">IF(OR($E450="",$F450=""),"",HYPERLINK("https://www.google.com/maps?q="&amp;$E450&amp;","&amp;$F450&amp;"","Map"))</f>
        <v/>
      </c>
      <c r="X450" s="6" t="str">
        <f t="shared" ref="X450:X501" si="43">IF(OR($E450="",$F450=""),"",HYPERLINK("https://www.google.com/maps?q&amp;layer=c&amp;cbll="&amp;$E450&amp;","&amp;$F450&amp;"","Street"))</f>
        <v/>
      </c>
      <c r="Y450" s="6" t="str">
        <f t="shared" ref="Y450:Y501" si="44">IF(OR($E450="",$F450=""),"",HYPERLINK("https://www.bing.com/maps?cp="&amp;$E450&amp;"~"&amp;$F450&amp;"&amp;lvl=18&amp;style=h","Bing"))</f>
        <v/>
      </c>
      <c r="Z450" s="6" t="str">
        <f t="shared" ref="Z450:Z501" si="45">IF(OR($E450="",$F450=""),"",HYPERLINK("https://earth.google.com/web/search/"&amp;$E450&amp;","&amp;$F450&amp;"","Earth"))</f>
        <v/>
      </c>
      <c r="AA450" s="6" t="str">
        <f t="shared" ref="AA450:AA501" si="46">IF(OR($E450="",$F450=""),"",HYPERLINK("https://fema.maps.arcgis.com/apps/mapviewer/index.html?find="&amp;$F450&amp;"%2C"&amp;$E450&amp;"&amp;marker="&amp;$F450&amp;","&amp;$E450&amp;",4326&amp;level=16","FEMA"))</f>
        <v/>
      </c>
      <c r="AB450" s="6" t="str">
        <f t="shared" ref="AB450:AB501" si="47">IF(OR($E450="",$F450=""),"",HYPERLINK("https://msc.fema.gov/portal/firmette?latitude="&amp;$E450&amp;"&amp;longitude="&amp;$F450&amp;"","FIRMette"))</f>
        <v/>
      </c>
      <c r="AC450" s="4"/>
      <c r="AD450" s="4"/>
    </row>
    <row r="451" spans="1:30" x14ac:dyDescent="0.45">
      <c r="A451" s="3"/>
      <c r="B451" s="3"/>
      <c r="C451" s="5" t="str">
        <f>IF($E451="","",COUNT($E$2:$E451))</f>
        <v/>
      </c>
      <c r="D451" s="3"/>
      <c r="E451" s="3"/>
      <c r="F451" s="3"/>
      <c r="G451" s="3"/>
      <c r="H451" s="3"/>
      <c r="I451" s="3"/>
      <c r="J451" s="3"/>
      <c r="K451" s="3"/>
      <c r="L451" s="4"/>
      <c r="M451" s="6" t="str">
        <f>IF(OR($E451="",$F451=""),"",IF(_xlfn.SINGLE(JobState)="",IF(ROW()=2,HYPERLINK("#JobState","Set State →"),""),HYPERLINK(IF(OR(_xlfn.SINGLE(JobState)="MI",_xlfn.SINGLE(JobState)=""),"https://fema.maps.arcgis.com/apps/mapviewer/index.html?webmap=6a1702b9147243d1a5ee62cd614bc681&amp;center="&amp;$F451&amp;","&amp;$E451&amp;"&amp;level=16&amp;marker="&amp;$F451&amp;","&amp;$E451&amp;"",IF(_xlfn.SINGLE(JobState)="IN","https://fema.maps.arcgis.com/apps/mapviewer/index.html?url=https%3A%2F%2Fgis.indot.in.gov%2Fro%2Frest%2Fservices%2FRAH_GIO_Collaboration%2FLRSE_Functional_Class%2FFeatureServer%2F22&amp;find="&amp;$F451&amp;"%2C"&amp;$E451&amp;"&amp;marker="&amp;$F451&amp;","&amp;$E451&amp;",4326&amp;level=16",IF(_xlfn.SINGLE(JobState)="WI","https://fema.maps.arcgis.com/apps/mapviewer/index.html?url=https://services5.arcgis.com/0pgGLzT0Nh7FVjon/arcgis/rest/services/Functional_Class_Local_Non_Prod/FeatureServer/1&amp;find="&amp;$F451&amp;"%2C"&amp;$E451&amp;"&amp;marker="&amp;$F451&amp;","&amp;$E451&amp;",4326&amp;level=16",IF(_xlfn.SINGLE(JobState)="MN","https://fema.maps.arcgis.com/apps/mapviewer/index.html?url=https%3A%2F%2Fdotapp9.dot.state.mn.us%2Fegis12%2Frest%2Fservices%2FBASEMAP%2Fmndot_commonlayers2%2FMapServer%2F11&amp;find="&amp;$F451&amp;"%2C"&amp;$E451&amp;"&amp;marker="&amp;$F451&amp;","&amp;$E451&amp;",4326&amp;level=16",IF(_xlfn.SINGLE(JobState)="IL","https://fema.maps.arcgis.com/apps/mapviewer/index.html?url=https%3A%2F%2Fgis1.dot.illinois.gov%2Farcgis%2Frest%2Fservices%2FAdministrativeData%2FFunctionalClass%2FMapServer%2F0&amp;find="&amp;$F451&amp;"%2C"&amp;$E451&amp;"&amp;marker="&amp;$F451&amp;","&amp;$E451&amp;",4326&amp;level=16",IF(_xlfn.SINGLE(JobState)="OH","https://fema.maps.arcgis.com/apps/mapviewer/index.html?url=https%3A%2F%2Ftims.dot.state.oh.us%2Fags%2Frest%2Fservices%2FRoadway_Information%2FFunctional_Class%2FMapServer%2F0&amp;find="&amp;$F451&amp;"%2C"&amp;$E451&amp;"&amp;marker="&amp;$F451&amp;","&amp;$E451&amp;",4326&amp;level=16","https://fema.maps.arcgis.com/apps/mapviewer/index.html?find="&amp;$F451&amp;"%2C"&amp;$E451&amp;"&amp;marker="&amp;$F451&amp;","&amp;$E451&amp;",4326&amp;level=16")))))),IF(_xlfn.SINGLE(JobState)="WI","Review Local Roads Layer","Review NFC AGOL Layer"))))</f>
        <v/>
      </c>
      <c r="N451" s="6" t="str">
        <f>IF(OR($E451="",$F451=""),"",IF(_xlfn.SINGLE(JobState)="",IF(ROW()=2,HYPERLINK("#JobState","Set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451&amp;"%2C"&amp;$E451&amp;"&amp;marker="&amp;$F451&amp;","&amp;$E451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1" s="6" t="str">
        <f>IF(OR($E451="", $F451=""),"",IF(_xlfn.SINGLE(JobAgolMap)="",HYPERLINK("https://fema.maps.arcgis.com/apps/mapviewer/index.html?find="&amp;$F451&amp;"%2C"&amp;$E451&amp;"&amp;marker="&amp;$F451&amp;","&amp;$E451&amp;",4326&amp;level=16","FEMA AGOL Map Viewer"),HYPERLINK(_xlfn.SINGLE(JobAgolMap)&amp;IF(ISNUMBER(FIND("?",_xlfn.SINGLE(JobAgolMap))),"&amp;","?")&amp;"center="&amp;$F451&amp;","&amp;$E451&amp;"&amp;level=16&amp;marker="&amp;$F451&amp;","&amp;$E451,"Open")))</f>
        <v/>
      </c>
      <c r="Q451" s="4"/>
      <c r="R451" s="4"/>
      <c r="W451" s="6" t="str">
        <f t="shared" si="42"/>
        <v/>
      </c>
      <c r="X451" s="6" t="str">
        <f t="shared" si="43"/>
        <v/>
      </c>
      <c r="Y451" s="6" t="str">
        <f t="shared" si="44"/>
        <v/>
      </c>
      <c r="Z451" s="6" t="str">
        <f t="shared" si="45"/>
        <v/>
      </c>
      <c r="AA451" s="6" t="str">
        <f t="shared" si="46"/>
        <v/>
      </c>
      <c r="AB451" s="6" t="str">
        <f t="shared" si="47"/>
        <v/>
      </c>
      <c r="AC451" s="4"/>
      <c r="AD451" s="4"/>
    </row>
    <row r="452" spans="1:30" x14ac:dyDescent="0.45">
      <c r="A452" s="3"/>
      <c r="B452" s="3"/>
      <c r="C452" s="5" t="str">
        <f>IF($E452="","",COUNT($E$2:$E452))</f>
        <v/>
      </c>
      <c r="D452" s="3"/>
      <c r="E452" s="3"/>
      <c r="F452" s="3"/>
      <c r="G452" s="3"/>
      <c r="H452" s="3"/>
      <c r="I452" s="3"/>
      <c r="J452" s="3"/>
      <c r="K452" s="3"/>
      <c r="L452" s="4"/>
      <c r="M452" s="6" t="str">
        <f>IF(OR($E452="",$F452=""),"",IF(_xlfn.SINGLE(JobState)="",IF(ROW()=2,HYPERLINK("#JobState","Set State →"),""),HYPERLINK(IF(OR(_xlfn.SINGLE(JobState)="MI",_xlfn.SINGLE(JobState)=""),"https://fema.maps.arcgis.com/apps/mapviewer/index.html?webmap=6a1702b9147243d1a5ee62cd614bc681&amp;center="&amp;$F452&amp;","&amp;$E452&amp;"&amp;level=16&amp;marker="&amp;$F452&amp;","&amp;$E452&amp;"",IF(_xlfn.SINGLE(JobState)="IN","https://fema.maps.arcgis.com/apps/mapviewer/index.html?url=https%3A%2F%2Fgis.indot.in.gov%2Fro%2Frest%2Fservices%2FRAH_GIO_Collaboration%2FLRSE_Functional_Class%2FFeatureServer%2F22&amp;find="&amp;$F452&amp;"%2C"&amp;$E452&amp;"&amp;marker="&amp;$F452&amp;","&amp;$E452&amp;",4326&amp;level=16",IF(_xlfn.SINGLE(JobState)="WI","https://fema.maps.arcgis.com/apps/mapviewer/index.html?url=https://services5.arcgis.com/0pgGLzT0Nh7FVjon/arcgis/rest/services/Functional_Class_Local_Non_Prod/FeatureServer/1&amp;find="&amp;$F452&amp;"%2C"&amp;$E452&amp;"&amp;marker="&amp;$F452&amp;","&amp;$E452&amp;",4326&amp;level=16",IF(_xlfn.SINGLE(JobState)="MN","https://fema.maps.arcgis.com/apps/mapviewer/index.html?url=https%3A%2F%2Fdotapp9.dot.state.mn.us%2Fegis12%2Frest%2Fservices%2FBASEMAP%2Fmndot_commonlayers2%2FMapServer%2F11&amp;find="&amp;$F452&amp;"%2C"&amp;$E452&amp;"&amp;marker="&amp;$F452&amp;","&amp;$E452&amp;",4326&amp;level=16",IF(_xlfn.SINGLE(JobState)="IL","https://fema.maps.arcgis.com/apps/mapviewer/index.html?url=https%3A%2F%2Fgis1.dot.illinois.gov%2Farcgis%2Frest%2Fservices%2FAdministrativeData%2FFunctionalClass%2FMapServer%2F0&amp;find="&amp;$F452&amp;"%2C"&amp;$E452&amp;"&amp;marker="&amp;$F452&amp;","&amp;$E452&amp;",4326&amp;level=16",IF(_xlfn.SINGLE(JobState)="OH","https://fema.maps.arcgis.com/apps/mapviewer/index.html?url=https%3A%2F%2Ftims.dot.state.oh.us%2Fags%2Frest%2Fservices%2FRoadway_Information%2FFunctional_Class%2FMapServer%2F0&amp;find="&amp;$F452&amp;"%2C"&amp;$E452&amp;"&amp;marker="&amp;$F452&amp;","&amp;$E452&amp;",4326&amp;level=16","https://fema.maps.arcgis.com/apps/mapviewer/index.html?find="&amp;$F452&amp;"%2C"&amp;$E452&amp;"&amp;marker="&amp;$F452&amp;","&amp;$E452&amp;",4326&amp;level=16")))))),IF(_xlfn.SINGLE(JobState)="WI","Review Local Roads Layer","Review NFC AGOL Layer"))))</f>
        <v/>
      </c>
      <c r="N452" s="6" t="str">
        <f>IF(OR($E452="",$F452=""),"",IF(_xlfn.SINGLE(JobState)="",IF(ROW()=2,HYPERLINK("#JobState","Set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452&amp;"%2C"&amp;$E452&amp;"&amp;marker="&amp;$F452&amp;","&amp;$E452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2" s="6" t="str">
        <f>IF(OR($E452="", $F452=""),"",IF(_xlfn.SINGLE(JobAgolMap)="",HYPERLINK("https://fema.maps.arcgis.com/apps/mapviewer/index.html?find="&amp;$F452&amp;"%2C"&amp;$E452&amp;"&amp;marker="&amp;$F452&amp;","&amp;$E452&amp;",4326&amp;level=16","FEMA AGOL Map Viewer"),HYPERLINK(_xlfn.SINGLE(JobAgolMap)&amp;IF(ISNUMBER(FIND("?",_xlfn.SINGLE(JobAgolMap))),"&amp;","?")&amp;"center="&amp;$F452&amp;","&amp;$E452&amp;"&amp;level=16&amp;marker="&amp;$F452&amp;","&amp;$E452,"Open")))</f>
        <v/>
      </c>
      <c r="Q452" s="4"/>
      <c r="R452" s="4"/>
      <c r="W452" s="6" t="str">
        <f t="shared" si="42"/>
        <v/>
      </c>
      <c r="X452" s="6" t="str">
        <f t="shared" si="43"/>
        <v/>
      </c>
      <c r="Y452" s="6" t="str">
        <f t="shared" si="44"/>
        <v/>
      </c>
      <c r="Z452" s="6" t="str">
        <f t="shared" si="45"/>
        <v/>
      </c>
      <c r="AA452" s="6" t="str">
        <f t="shared" si="46"/>
        <v/>
      </c>
      <c r="AB452" s="6" t="str">
        <f t="shared" si="47"/>
        <v/>
      </c>
      <c r="AC452" s="4"/>
      <c r="AD452" s="4"/>
    </row>
    <row r="453" spans="1:30" x14ac:dyDescent="0.45">
      <c r="A453" s="3"/>
      <c r="B453" s="3"/>
      <c r="C453" s="5" t="str">
        <f>IF($E453="","",COUNT($E$2:$E453))</f>
        <v/>
      </c>
      <c r="D453" s="3"/>
      <c r="E453" s="3"/>
      <c r="F453" s="3"/>
      <c r="G453" s="3"/>
      <c r="H453" s="3"/>
      <c r="I453" s="3"/>
      <c r="J453" s="3"/>
      <c r="K453" s="3"/>
      <c r="L453" s="4"/>
      <c r="M453" s="6" t="str">
        <f>IF(OR($E453="",$F453=""),"",IF(_xlfn.SINGLE(JobState)="",IF(ROW()=2,HYPERLINK("#JobState","Set State →"),""),HYPERLINK(IF(OR(_xlfn.SINGLE(JobState)="MI",_xlfn.SINGLE(JobState)=""),"https://fema.maps.arcgis.com/apps/mapviewer/index.html?webmap=6a1702b9147243d1a5ee62cd614bc681&amp;center="&amp;$F453&amp;","&amp;$E453&amp;"&amp;level=16&amp;marker="&amp;$F453&amp;","&amp;$E453&amp;"",IF(_xlfn.SINGLE(JobState)="IN","https://fema.maps.arcgis.com/apps/mapviewer/index.html?url=https%3A%2F%2Fgis.indot.in.gov%2Fro%2Frest%2Fservices%2FRAH_GIO_Collaboration%2FLRSE_Functional_Class%2FFeatureServer%2F22&amp;find="&amp;$F453&amp;"%2C"&amp;$E453&amp;"&amp;marker="&amp;$F453&amp;","&amp;$E453&amp;",4326&amp;level=16",IF(_xlfn.SINGLE(JobState)="WI","https://fema.maps.arcgis.com/apps/mapviewer/index.html?url=https://services5.arcgis.com/0pgGLzT0Nh7FVjon/arcgis/rest/services/Functional_Class_Local_Non_Prod/FeatureServer/1&amp;find="&amp;$F453&amp;"%2C"&amp;$E453&amp;"&amp;marker="&amp;$F453&amp;","&amp;$E453&amp;",4326&amp;level=16",IF(_xlfn.SINGLE(JobState)="MN","https://fema.maps.arcgis.com/apps/mapviewer/index.html?url=https%3A%2F%2Fdotapp9.dot.state.mn.us%2Fegis12%2Frest%2Fservices%2FBASEMAP%2Fmndot_commonlayers2%2FMapServer%2F11&amp;find="&amp;$F453&amp;"%2C"&amp;$E453&amp;"&amp;marker="&amp;$F453&amp;","&amp;$E453&amp;",4326&amp;level=16",IF(_xlfn.SINGLE(JobState)="IL","https://fema.maps.arcgis.com/apps/mapviewer/index.html?url=https%3A%2F%2Fgis1.dot.illinois.gov%2Farcgis%2Frest%2Fservices%2FAdministrativeData%2FFunctionalClass%2FMapServer%2F0&amp;find="&amp;$F453&amp;"%2C"&amp;$E453&amp;"&amp;marker="&amp;$F453&amp;","&amp;$E453&amp;",4326&amp;level=16",IF(_xlfn.SINGLE(JobState)="OH","https://fema.maps.arcgis.com/apps/mapviewer/index.html?url=https%3A%2F%2Ftims.dot.state.oh.us%2Fags%2Frest%2Fservices%2FRoadway_Information%2FFunctional_Class%2FMapServer%2F0&amp;find="&amp;$F453&amp;"%2C"&amp;$E453&amp;"&amp;marker="&amp;$F453&amp;","&amp;$E453&amp;",4326&amp;level=16","https://fema.maps.arcgis.com/apps/mapviewer/index.html?find="&amp;$F453&amp;"%2C"&amp;$E453&amp;"&amp;marker="&amp;$F453&amp;","&amp;$E453&amp;",4326&amp;level=16")))))),IF(_xlfn.SINGLE(JobState)="WI","Review Local Roads Layer","Review NFC AGOL Layer"))))</f>
        <v/>
      </c>
      <c r="N453" s="6" t="str">
        <f>IF(OR($E453="",$F453=""),"",IF(_xlfn.SINGLE(JobState)="",IF(ROW()=2,HYPERLINK("#JobState","Set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453&amp;"%2C"&amp;$E453&amp;"&amp;marker="&amp;$F453&amp;","&amp;$E453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3" s="6" t="str">
        <f>IF(OR($E453="", $F453=""),"",IF(_xlfn.SINGLE(JobAgolMap)="",HYPERLINK("https://fema.maps.arcgis.com/apps/mapviewer/index.html?find="&amp;$F453&amp;"%2C"&amp;$E453&amp;"&amp;marker="&amp;$F453&amp;","&amp;$E453&amp;",4326&amp;level=16","FEMA AGOL Map Viewer"),HYPERLINK(_xlfn.SINGLE(JobAgolMap)&amp;IF(ISNUMBER(FIND("?",_xlfn.SINGLE(JobAgolMap))),"&amp;","?")&amp;"center="&amp;$F453&amp;","&amp;$E453&amp;"&amp;level=16&amp;marker="&amp;$F453&amp;","&amp;$E453,"Open")))</f>
        <v/>
      </c>
      <c r="Q453" s="4"/>
      <c r="R453" s="4"/>
      <c r="W453" s="6" t="str">
        <f t="shared" si="42"/>
        <v/>
      </c>
      <c r="X453" s="6" t="str">
        <f t="shared" si="43"/>
        <v/>
      </c>
      <c r="Y453" s="6" t="str">
        <f t="shared" si="44"/>
        <v/>
      </c>
      <c r="Z453" s="6" t="str">
        <f t="shared" si="45"/>
        <v/>
      </c>
      <c r="AA453" s="6" t="str">
        <f t="shared" si="46"/>
        <v/>
      </c>
      <c r="AB453" s="6" t="str">
        <f t="shared" si="47"/>
        <v/>
      </c>
      <c r="AC453" s="4"/>
      <c r="AD453" s="4"/>
    </row>
    <row r="454" spans="1:30" x14ac:dyDescent="0.45">
      <c r="A454" s="3"/>
      <c r="B454" s="3"/>
      <c r="C454" s="5" t="str">
        <f>IF($E454="","",COUNT($E$2:$E454))</f>
        <v/>
      </c>
      <c r="D454" s="3"/>
      <c r="E454" s="3"/>
      <c r="F454" s="3"/>
      <c r="G454" s="3"/>
      <c r="H454" s="3"/>
      <c r="I454" s="3"/>
      <c r="J454" s="3"/>
      <c r="K454" s="3"/>
      <c r="L454" s="4"/>
      <c r="M454" s="6" t="str">
        <f>IF(OR($E454="",$F454=""),"",IF(_xlfn.SINGLE(JobState)="",IF(ROW()=2,HYPERLINK("#JobState","Set State →"),""),HYPERLINK(IF(OR(_xlfn.SINGLE(JobState)="MI",_xlfn.SINGLE(JobState)=""),"https://fema.maps.arcgis.com/apps/mapviewer/index.html?webmap=6a1702b9147243d1a5ee62cd614bc681&amp;center="&amp;$F454&amp;","&amp;$E454&amp;"&amp;level=16&amp;marker="&amp;$F454&amp;","&amp;$E454&amp;"",IF(_xlfn.SINGLE(JobState)="IN","https://fema.maps.arcgis.com/apps/mapviewer/index.html?url=https%3A%2F%2Fgis.indot.in.gov%2Fro%2Frest%2Fservices%2FRAH_GIO_Collaboration%2FLRSE_Functional_Class%2FFeatureServer%2F22&amp;find="&amp;$F454&amp;"%2C"&amp;$E454&amp;"&amp;marker="&amp;$F454&amp;","&amp;$E454&amp;",4326&amp;level=16",IF(_xlfn.SINGLE(JobState)="WI","https://fema.maps.arcgis.com/apps/mapviewer/index.html?url=https://services5.arcgis.com/0pgGLzT0Nh7FVjon/arcgis/rest/services/Functional_Class_Local_Non_Prod/FeatureServer/1&amp;find="&amp;$F454&amp;"%2C"&amp;$E454&amp;"&amp;marker="&amp;$F454&amp;","&amp;$E454&amp;",4326&amp;level=16",IF(_xlfn.SINGLE(JobState)="MN","https://fema.maps.arcgis.com/apps/mapviewer/index.html?url=https%3A%2F%2Fdotapp9.dot.state.mn.us%2Fegis12%2Frest%2Fservices%2FBASEMAP%2Fmndot_commonlayers2%2FMapServer%2F11&amp;find="&amp;$F454&amp;"%2C"&amp;$E454&amp;"&amp;marker="&amp;$F454&amp;","&amp;$E454&amp;",4326&amp;level=16",IF(_xlfn.SINGLE(JobState)="IL","https://fema.maps.arcgis.com/apps/mapviewer/index.html?url=https%3A%2F%2Fgis1.dot.illinois.gov%2Farcgis%2Frest%2Fservices%2FAdministrativeData%2FFunctionalClass%2FMapServer%2F0&amp;find="&amp;$F454&amp;"%2C"&amp;$E454&amp;"&amp;marker="&amp;$F454&amp;","&amp;$E454&amp;",4326&amp;level=16",IF(_xlfn.SINGLE(JobState)="OH","https://fema.maps.arcgis.com/apps/mapviewer/index.html?url=https%3A%2F%2Ftims.dot.state.oh.us%2Fags%2Frest%2Fservices%2FRoadway_Information%2FFunctional_Class%2FMapServer%2F0&amp;find="&amp;$F454&amp;"%2C"&amp;$E454&amp;"&amp;marker="&amp;$F454&amp;","&amp;$E454&amp;",4326&amp;level=16","https://fema.maps.arcgis.com/apps/mapviewer/index.html?find="&amp;$F454&amp;"%2C"&amp;$E454&amp;"&amp;marker="&amp;$F454&amp;","&amp;$E454&amp;",4326&amp;level=16")))))),IF(_xlfn.SINGLE(JobState)="WI","Review Local Roads Layer","Review NFC AGOL Layer"))))</f>
        <v/>
      </c>
      <c r="N454" s="6" t="str">
        <f>IF(OR($E454="",$F454=""),"",IF(_xlfn.SINGLE(JobState)="",IF(ROW()=2,HYPERLINK("#JobState","Set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454&amp;"%2C"&amp;$E454&amp;"&amp;marker="&amp;$F454&amp;","&amp;$E454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4" s="6" t="str">
        <f>IF(OR($E454="", $F454=""),"",IF(_xlfn.SINGLE(JobAgolMap)="",HYPERLINK("https://fema.maps.arcgis.com/apps/mapviewer/index.html?find="&amp;$F454&amp;"%2C"&amp;$E454&amp;"&amp;marker="&amp;$F454&amp;","&amp;$E454&amp;",4326&amp;level=16","FEMA AGOL Map Viewer"),HYPERLINK(_xlfn.SINGLE(JobAgolMap)&amp;IF(ISNUMBER(FIND("?",_xlfn.SINGLE(JobAgolMap))),"&amp;","?")&amp;"center="&amp;$F454&amp;","&amp;$E454&amp;"&amp;level=16&amp;marker="&amp;$F454&amp;","&amp;$E454,"Open")))</f>
        <v/>
      </c>
      <c r="Q454" s="4"/>
      <c r="R454" s="4"/>
      <c r="W454" s="6" t="str">
        <f t="shared" si="42"/>
        <v/>
      </c>
      <c r="X454" s="6" t="str">
        <f t="shared" si="43"/>
        <v/>
      </c>
      <c r="Y454" s="6" t="str">
        <f t="shared" si="44"/>
        <v/>
      </c>
      <c r="Z454" s="6" t="str">
        <f t="shared" si="45"/>
        <v/>
      </c>
      <c r="AA454" s="6" t="str">
        <f t="shared" si="46"/>
        <v/>
      </c>
      <c r="AB454" s="6" t="str">
        <f t="shared" si="47"/>
        <v/>
      </c>
      <c r="AC454" s="4"/>
      <c r="AD454" s="4"/>
    </row>
    <row r="455" spans="1:30" x14ac:dyDescent="0.45">
      <c r="A455" s="3"/>
      <c r="B455" s="3"/>
      <c r="C455" s="5" t="str">
        <f>IF($E455="","",COUNT($E$2:$E455))</f>
        <v/>
      </c>
      <c r="D455" s="3"/>
      <c r="E455" s="3"/>
      <c r="F455" s="3"/>
      <c r="G455" s="3"/>
      <c r="H455" s="3"/>
      <c r="I455" s="3"/>
      <c r="J455" s="3"/>
      <c r="K455" s="3"/>
      <c r="L455" s="4"/>
      <c r="M455" s="6" t="str">
        <f>IF(OR($E455="",$F455=""),"",IF(_xlfn.SINGLE(JobState)="",IF(ROW()=2,HYPERLINK("#JobState","Set State →"),""),HYPERLINK(IF(OR(_xlfn.SINGLE(JobState)="MI",_xlfn.SINGLE(JobState)=""),"https://fema.maps.arcgis.com/apps/mapviewer/index.html?webmap=6a1702b9147243d1a5ee62cd614bc681&amp;center="&amp;$F455&amp;","&amp;$E455&amp;"&amp;level=16&amp;marker="&amp;$F455&amp;","&amp;$E455&amp;"",IF(_xlfn.SINGLE(JobState)="IN","https://fema.maps.arcgis.com/apps/mapviewer/index.html?url=https%3A%2F%2Fgis.indot.in.gov%2Fro%2Frest%2Fservices%2FRAH_GIO_Collaboration%2FLRSE_Functional_Class%2FFeatureServer%2F22&amp;find="&amp;$F455&amp;"%2C"&amp;$E455&amp;"&amp;marker="&amp;$F455&amp;","&amp;$E455&amp;",4326&amp;level=16",IF(_xlfn.SINGLE(JobState)="WI","https://fema.maps.arcgis.com/apps/mapviewer/index.html?url=https://services5.arcgis.com/0pgGLzT0Nh7FVjon/arcgis/rest/services/Functional_Class_Local_Non_Prod/FeatureServer/1&amp;find="&amp;$F455&amp;"%2C"&amp;$E455&amp;"&amp;marker="&amp;$F455&amp;","&amp;$E455&amp;",4326&amp;level=16",IF(_xlfn.SINGLE(JobState)="MN","https://fema.maps.arcgis.com/apps/mapviewer/index.html?url=https%3A%2F%2Fdotapp9.dot.state.mn.us%2Fegis12%2Frest%2Fservices%2FBASEMAP%2Fmndot_commonlayers2%2FMapServer%2F11&amp;find="&amp;$F455&amp;"%2C"&amp;$E455&amp;"&amp;marker="&amp;$F455&amp;","&amp;$E455&amp;",4326&amp;level=16",IF(_xlfn.SINGLE(JobState)="IL","https://fema.maps.arcgis.com/apps/mapviewer/index.html?url=https%3A%2F%2Fgis1.dot.illinois.gov%2Farcgis%2Frest%2Fservices%2FAdministrativeData%2FFunctionalClass%2FMapServer%2F0&amp;find="&amp;$F455&amp;"%2C"&amp;$E455&amp;"&amp;marker="&amp;$F455&amp;","&amp;$E455&amp;",4326&amp;level=16",IF(_xlfn.SINGLE(JobState)="OH","https://fema.maps.arcgis.com/apps/mapviewer/index.html?url=https%3A%2F%2Ftims.dot.state.oh.us%2Fags%2Frest%2Fservices%2FRoadway_Information%2FFunctional_Class%2FMapServer%2F0&amp;find="&amp;$F455&amp;"%2C"&amp;$E455&amp;"&amp;marker="&amp;$F455&amp;","&amp;$E455&amp;",4326&amp;level=16","https://fema.maps.arcgis.com/apps/mapviewer/index.html?find="&amp;$F455&amp;"%2C"&amp;$E455&amp;"&amp;marker="&amp;$F455&amp;","&amp;$E455&amp;",4326&amp;level=16")))))),IF(_xlfn.SINGLE(JobState)="WI","Review Local Roads Layer","Review NFC AGOL Layer"))))</f>
        <v/>
      </c>
      <c r="N455" s="6" t="str">
        <f>IF(OR($E455="",$F455=""),"",IF(_xlfn.SINGLE(JobState)="",IF(ROW()=2,HYPERLINK("#JobState","Set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455&amp;"%2C"&amp;$E455&amp;"&amp;marker="&amp;$F455&amp;","&amp;$E455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5" s="6" t="str">
        <f>IF(OR($E455="", $F455=""),"",IF(_xlfn.SINGLE(JobAgolMap)="",HYPERLINK("https://fema.maps.arcgis.com/apps/mapviewer/index.html?find="&amp;$F455&amp;"%2C"&amp;$E455&amp;"&amp;marker="&amp;$F455&amp;","&amp;$E455&amp;",4326&amp;level=16","FEMA AGOL Map Viewer"),HYPERLINK(_xlfn.SINGLE(JobAgolMap)&amp;IF(ISNUMBER(FIND("?",_xlfn.SINGLE(JobAgolMap))),"&amp;","?")&amp;"center="&amp;$F455&amp;","&amp;$E455&amp;"&amp;level=16&amp;marker="&amp;$F455&amp;","&amp;$E455,"Open")))</f>
        <v/>
      </c>
      <c r="Q455" s="4"/>
      <c r="R455" s="4"/>
      <c r="W455" s="6" t="str">
        <f t="shared" si="42"/>
        <v/>
      </c>
      <c r="X455" s="6" t="str">
        <f t="shared" si="43"/>
        <v/>
      </c>
      <c r="Y455" s="6" t="str">
        <f t="shared" si="44"/>
        <v/>
      </c>
      <c r="Z455" s="6" t="str">
        <f t="shared" si="45"/>
        <v/>
      </c>
      <c r="AA455" s="6" t="str">
        <f t="shared" si="46"/>
        <v/>
      </c>
      <c r="AB455" s="6" t="str">
        <f t="shared" si="47"/>
        <v/>
      </c>
      <c r="AC455" s="4"/>
      <c r="AD455" s="4"/>
    </row>
    <row r="456" spans="1:30" x14ac:dyDescent="0.45">
      <c r="A456" s="3"/>
      <c r="B456" s="3"/>
      <c r="C456" s="5" t="str">
        <f>IF($E456="","",COUNT($E$2:$E456))</f>
        <v/>
      </c>
      <c r="D456" s="3"/>
      <c r="E456" s="3"/>
      <c r="F456" s="3"/>
      <c r="G456" s="3"/>
      <c r="H456" s="3"/>
      <c r="I456" s="3"/>
      <c r="J456" s="3"/>
      <c r="K456" s="3"/>
      <c r="L456" s="4"/>
      <c r="M456" s="6" t="str">
        <f>IF(OR($E456="",$F456=""),"",IF(_xlfn.SINGLE(JobState)="",IF(ROW()=2,HYPERLINK("#JobState","Set State →"),""),HYPERLINK(IF(OR(_xlfn.SINGLE(JobState)="MI",_xlfn.SINGLE(JobState)=""),"https://fema.maps.arcgis.com/apps/mapviewer/index.html?webmap=6a1702b9147243d1a5ee62cd614bc681&amp;center="&amp;$F456&amp;","&amp;$E456&amp;"&amp;level=16&amp;marker="&amp;$F456&amp;","&amp;$E456&amp;"",IF(_xlfn.SINGLE(JobState)="IN","https://fema.maps.arcgis.com/apps/mapviewer/index.html?url=https%3A%2F%2Fgis.indot.in.gov%2Fro%2Frest%2Fservices%2FRAH_GIO_Collaboration%2FLRSE_Functional_Class%2FFeatureServer%2F22&amp;find="&amp;$F456&amp;"%2C"&amp;$E456&amp;"&amp;marker="&amp;$F456&amp;","&amp;$E456&amp;",4326&amp;level=16",IF(_xlfn.SINGLE(JobState)="WI","https://fema.maps.arcgis.com/apps/mapviewer/index.html?url=https://services5.arcgis.com/0pgGLzT0Nh7FVjon/arcgis/rest/services/Functional_Class_Local_Non_Prod/FeatureServer/1&amp;find="&amp;$F456&amp;"%2C"&amp;$E456&amp;"&amp;marker="&amp;$F456&amp;","&amp;$E456&amp;",4326&amp;level=16",IF(_xlfn.SINGLE(JobState)="MN","https://fema.maps.arcgis.com/apps/mapviewer/index.html?url=https%3A%2F%2Fdotapp9.dot.state.mn.us%2Fegis12%2Frest%2Fservices%2FBASEMAP%2Fmndot_commonlayers2%2FMapServer%2F11&amp;find="&amp;$F456&amp;"%2C"&amp;$E456&amp;"&amp;marker="&amp;$F456&amp;","&amp;$E456&amp;",4326&amp;level=16",IF(_xlfn.SINGLE(JobState)="IL","https://fema.maps.arcgis.com/apps/mapviewer/index.html?url=https%3A%2F%2Fgis1.dot.illinois.gov%2Farcgis%2Frest%2Fservices%2FAdministrativeData%2FFunctionalClass%2FMapServer%2F0&amp;find="&amp;$F456&amp;"%2C"&amp;$E456&amp;"&amp;marker="&amp;$F456&amp;","&amp;$E456&amp;",4326&amp;level=16",IF(_xlfn.SINGLE(JobState)="OH","https://fema.maps.arcgis.com/apps/mapviewer/index.html?url=https%3A%2F%2Ftims.dot.state.oh.us%2Fags%2Frest%2Fservices%2FRoadway_Information%2FFunctional_Class%2FMapServer%2F0&amp;find="&amp;$F456&amp;"%2C"&amp;$E456&amp;"&amp;marker="&amp;$F456&amp;","&amp;$E456&amp;",4326&amp;level=16","https://fema.maps.arcgis.com/apps/mapviewer/index.html?find="&amp;$F456&amp;"%2C"&amp;$E456&amp;"&amp;marker="&amp;$F456&amp;","&amp;$E456&amp;",4326&amp;level=16")))))),IF(_xlfn.SINGLE(JobState)="WI","Review Local Roads Layer","Review NFC AGOL Layer"))))</f>
        <v/>
      </c>
      <c r="N456" s="6" t="str">
        <f>IF(OR($E456="",$F456=""),"",IF(_xlfn.SINGLE(JobState)="",IF(ROW()=2,HYPERLINK("#JobState","Set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456&amp;"%2C"&amp;$E456&amp;"&amp;marker="&amp;$F456&amp;","&amp;$E456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6" s="6" t="str">
        <f>IF(OR($E456="", $F456=""),"",IF(_xlfn.SINGLE(JobAgolMap)="",HYPERLINK("https://fema.maps.arcgis.com/apps/mapviewer/index.html?find="&amp;$F456&amp;"%2C"&amp;$E456&amp;"&amp;marker="&amp;$F456&amp;","&amp;$E456&amp;",4326&amp;level=16","FEMA AGOL Map Viewer"),HYPERLINK(_xlfn.SINGLE(JobAgolMap)&amp;IF(ISNUMBER(FIND("?",_xlfn.SINGLE(JobAgolMap))),"&amp;","?")&amp;"center="&amp;$F456&amp;","&amp;$E456&amp;"&amp;level=16&amp;marker="&amp;$F456&amp;","&amp;$E456,"Open")))</f>
        <v/>
      </c>
      <c r="Q456" s="4"/>
      <c r="R456" s="4"/>
      <c r="W456" s="6" t="str">
        <f t="shared" si="42"/>
        <v/>
      </c>
      <c r="X456" s="6" t="str">
        <f t="shared" si="43"/>
        <v/>
      </c>
      <c r="Y456" s="6" t="str">
        <f t="shared" si="44"/>
        <v/>
      </c>
      <c r="Z456" s="6" t="str">
        <f t="shared" si="45"/>
        <v/>
      </c>
      <c r="AA456" s="6" t="str">
        <f t="shared" si="46"/>
        <v/>
      </c>
      <c r="AB456" s="6" t="str">
        <f t="shared" si="47"/>
        <v/>
      </c>
      <c r="AC456" s="4"/>
      <c r="AD456" s="4"/>
    </row>
    <row r="457" spans="1:30" x14ac:dyDescent="0.45">
      <c r="A457" s="3"/>
      <c r="B457" s="3"/>
      <c r="C457" s="5" t="str">
        <f>IF($E457="","",COUNT($E$2:$E457))</f>
        <v/>
      </c>
      <c r="D457" s="3"/>
      <c r="E457" s="3"/>
      <c r="F457" s="3"/>
      <c r="G457" s="3"/>
      <c r="H457" s="3"/>
      <c r="I457" s="3"/>
      <c r="J457" s="3"/>
      <c r="K457" s="3"/>
      <c r="L457" s="4"/>
      <c r="M457" s="6" t="str">
        <f>IF(OR($E457="",$F457=""),"",IF(_xlfn.SINGLE(JobState)="",IF(ROW()=2,HYPERLINK("#JobState","Set State →"),""),HYPERLINK(IF(OR(_xlfn.SINGLE(JobState)="MI",_xlfn.SINGLE(JobState)=""),"https://fema.maps.arcgis.com/apps/mapviewer/index.html?webmap=6a1702b9147243d1a5ee62cd614bc681&amp;center="&amp;$F457&amp;","&amp;$E457&amp;"&amp;level=16&amp;marker="&amp;$F457&amp;","&amp;$E457&amp;"",IF(_xlfn.SINGLE(JobState)="IN","https://fema.maps.arcgis.com/apps/mapviewer/index.html?url=https%3A%2F%2Fgis.indot.in.gov%2Fro%2Frest%2Fservices%2FRAH_GIO_Collaboration%2FLRSE_Functional_Class%2FFeatureServer%2F22&amp;find="&amp;$F457&amp;"%2C"&amp;$E457&amp;"&amp;marker="&amp;$F457&amp;","&amp;$E457&amp;",4326&amp;level=16",IF(_xlfn.SINGLE(JobState)="WI","https://fema.maps.arcgis.com/apps/mapviewer/index.html?url=https://services5.arcgis.com/0pgGLzT0Nh7FVjon/arcgis/rest/services/Functional_Class_Local_Non_Prod/FeatureServer/1&amp;find="&amp;$F457&amp;"%2C"&amp;$E457&amp;"&amp;marker="&amp;$F457&amp;","&amp;$E457&amp;",4326&amp;level=16",IF(_xlfn.SINGLE(JobState)="MN","https://fema.maps.arcgis.com/apps/mapviewer/index.html?url=https%3A%2F%2Fdotapp9.dot.state.mn.us%2Fegis12%2Frest%2Fservices%2FBASEMAP%2Fmndot_commonlayers2%2FMapServer%2F11&amp;find="&amp;$F457&amp;"%2C"&amp;$E457&amp;"&amp;marker="&amp;$F457&amp;","&amp;$E457&amp;",4326&amp;level=16",IF(_xlfn.SINGLE(JobState)="IL","https://fema.maps.arcgis.com/apps/mapviewer/index.html?url=https%3A%2F%2Fgis1.dot.illinois.gov%2Farcgis%2Frest%2Fservices%2FAdministrativeData%2FFunctionalClass%2FMapServer%2F0&amp;find="&amp;$F457&amp;"%2C"&amp;$E457&amp;"&amp;marker="&amp;$F457&amp;","&amp;$E457&amp;",4326&amp;level=16",IF(_xlfn.SINGLE(JobState)="OH","https://fema.maps.arcgis.com/apps/mapviewer/index.html?url=https%3A%2F%2Ftims.dot.state.oh.us%2Fags%2Frest%2Fservices%2FRoadway_Information%2FFunctional_Class%2FMapServer%2F0&amp;find="&amp;$F457&amp;"%2C"&amp;$E457&amp;"&amp;marker="&amp;$F457&amp;","&amp;$E457&amp;",4326&amp;level=16","https://fema.maps.arcgis.com/apps/mapviewer/index.html?find="&amp;$F457&amp;"%2C"&amp;$E457&amp;"&amp;marker="&amp;$F457&amp;","&amp;$E457&amp;",4326&amp;level=16")))))),IF(_xlfn.SINGLE(JobState)="WI","Review Local Roads Layer","Review NFC AGOL Layer"))))</f>
        <v/>
      </c>
      <c r="N457" s="6" t="str">
        <f>IF(OR($E457="",$F457=""),"",IF(_xlfn.SINGLE(JobState)="",IF(ROW()=2,HYPERLINK("#JobState","Set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457&amp;"%2C"&amp;$E457&amp;"&amp;marker="&amp;$F457&amp;","&amp;$E457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7" s="6" t="str">
        <f>IF(OR($E457="", $F457=""),"",IF(_xlfn.SINGLE(JobAgolMap)="",HYPERLINK("https://fema.maps.arcgis.com/apps/mapviewer/index.html?find="&amp;$F457&amp;"%2C"&amp;$E457&amp;"&amp;marker="&amp;$F457&amp;","&amp;$E457&amp;",4326&amp;level=16","FEMA AGOL Map Viewer"),HYPERLINK(_xlfn.SINGLE(JobAgolMap)&amp;IF(ISNUMBER(FIND("?",_xlfn.SINGLE(JobAgolMap))),"&amp;","?")&amp;"center="&amp;$F457&amp;","&amp;$E457&amp;"&amp;level=16&amp;marker="&amp;$F457&amp;","&amp;$E457,"Open")))</f>
        <v/>
      </c>
      <c r="Q457" s="4"/>
      <c r="R457" s="4"/>
      <c r="W457" s="6" t="str">
        <f t="shared" si="42"/>
        <v/>
      </c>
      <c r="X457" s="6" t="str">
        <f t="shared" si="43"/>
        <v/>
      </c>
      <c r="Y457" s="6" t="str">
        <f t="shared" si="44"/>
        <v/>
      </c>
      <c r="Z457" s="6" t="str">
        <f t="shared" si="45"/>
        <v/>
      </c>
      <c r="AA457" s="6" t="str">
        <f t="shared" si="46"/>
        <v/>
      </c>
      <c r="AB457" s="6" t="str">
        <f t="shared" si="47"/>
        <v/>
      </c>
      <c r="AC457" s="4"/>
      <c r="AD457" s="4"/>
    </row>
    <row r="458" spans="1:30" x14ac:dyDescent="0.45">
      <c r="A458" s="3"/>
      <c r="B458" s="3"/>
      <c r="C458" s="5" t="str">
        <f>IF($E458="","",COUNT($E$2:$E458))</f>
        <v/>
      </c>
      <c r="D458" s="3"/>
      <c r="E458" s="3"/>
      <c r="F458" s="3"/>
      <c r="G458" s="3"/>
      <c r="H458" s="3"/>
      <c r="I458" s="3"/>
      <c r="J458" s="3"/>
      <c r="K458" s="3"/>
      <c r="L458" s="4"/>
      <c r="M458" s="6" t="str">
        <f>IF(OR($E458="",$F458=""),"",IF(_xlfn.SINGLE(JobState)="",IF(ROW()=2,HYPERLINK("#JobState","Set State →"),""),HYPERLINK(IF(OR(_xlfn.SINGLE(JobState)="MI",_xlfn.SINGLE(JobState)=""),"https://fema.maps.arcgis.com/apps/mapviewer/index.html?webmap=6a1702b9147243d1a5ee62cd614bc681&amp;center="&amp;$F458&amp;","&amp;$E458&amp;"&amp;level=16&amp;marker="&amp;$F458&amp;","&amp;$E458&amp;"",IF(_xlfn.SINGLE(JobState)="IN","https://fema.maps.arcgis.com/apps/mapviewer/index.html?url=https%3A%2F%2Fgis.indot.in.gov%2Fro%2Frest%2Fservices%2FRAH_GIO_Collaboration%2FLRSE_Functional_Class%2FFeatureServer%2F22&amp;find="&amp;$F458&amp;"%2C"&amp;$E458&amp;"&amp;marker="&amp;$F458&amp;","&amp;$E458&amp;",4326&amp;level=16",IF(_xlfn.SINGLE(JobState)="WI","https://fema.maps.arcgis.com/apps/mapviewer/index.html?url=https://services5.arcgis.com/0pgGLzT0Nh7FVjon/arcgis/rest/services/Functional_Class_Local_Non_Prod/FeatureServer/1&amp;find="&amp;$F458&amp;"%2C"&amp;$E458&amp;"&amp;marker="&amp;$F458&amp;","&amp;$E458&amp;",4326&amp;level=16",IF(_xlfn.SINGLE(JobState)="MN","https://fema.maps.arcgis.com/apps/mapviewer/index.html?url=https%3A%2F%2Fdotapp9.dot.state.mn.us%2Fegis12%2Frest%2Fservices%2FBASEMAP%2Fmndot_commonlayers2%2FMapServer%2F11&amp;find="&amp;$F458&amp;"%2C"&amp;$E458&amp;"&amp;marker="&amp;$F458&amp;","&amp;$E458&amp;",4326&amp;level=16",IF(_xlfn.SINGLE(JobState)="IL","https://fema.maps.arcgis.com/apps/mapviewer/index.html?url=https%3A%2F%2Fgis1.dot.illinois.gov%2Farcgis%2Frest%2Fservices%2FAdministrativeData%2FFunctionalClass%2FMapServer%2F0&amp;find="&amp;$F458&amp;"%2C"&amp;$E458&amp;"&amp;marker="&amp;$F458&amp;","&amp;$E458&amp;",4326&amp;level=16",IF(_xlfn.SINGLE(JobState)="OH","https://fema.maps.arcgis.com/apps/mapviewer/index.html?url=https%3A%2F%2Ftims.dot.state.oh.us%2Fags%2Frest%2Fservices%2FRoadway_Information%2FFunctional_Class%2FMapServer%2F0&amp;find="&amp;$F458&amp;"%2C"&amp;$E458&amp;"&amp;marker="&amp;$F458&amp;","&amp;$E458&amp;",4326&amp;level=16","https://fema.maps.arcgis.com/apps/mapviewer/index.html?find="&amp;$F458&amp;"%2C"&amp;$E458&amp;"&amp;marker="&amp;$F458&amp;","&amp;$E458&amp;",4326&amp;level=16")))))),IF(_xlfn.SINGLE(JobState)="WI","Review Local Roads Layer","Review NFC AGOL Layer"))))</f>
        <v/>
      </c>
      <c r="N458" s="6" t="str">
        <f>IF(OR($E458="",$F458=""),"",IF(_xlfn.SINGLE(JobState)="",IF(ROW()=2,HYPERLINK("#JobState","Set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458&amp;"%2C"&amp;$E458&amp;"&amp;marker="&amp;$F458&amp;","&amp;$E458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8" s="6" t="str">
        <f>IF(OR($E458="", $F458=""),"",IF(_xlfn.SINGLE(JobAgolMap)="",HYPERLINK("https://fema.maps.arcgis.com/apps/mapviewer/index.html?find="&amp;$F458&amp;"%2C"&amp;$E458&amp;"&amp;marker="&amp;$F458&amp;","&amp;$E458&amp;",4326&amp;level=16","FEMA AGOL Map Viewer"),HYPERLINK(_xlfn.SINGLE(JobAgolMap)&amp;IF(ISNUMBER(FIND("?",_xlfn.SINGLE(JobAgolMap))),"&amp;","?")&amp;"center="&amp;$F458&amp;","&amp;$E458&amp;"&amp;level=16&amp;marker="&amp;$F458&amp;","&amp;$E458,"Open")))</f>
        <v/>
      </c>
      <c r="Q458" s="4"/>
      <c r="R458" s="4"/>
      <c r="W458" s="6" t="str">
        <f t="shared" si="42"/>
        <v/>
      </c>
      <c r="X458" s="6" t="str">
        <f t="shared" si="43"/>
        <v/>
      </c>
      <c r="Y458" s="6" t="str">
        <f t="shared" si="44"/>
        <v/>
      </c>
      <c r="Z458" s="6" t="str">
        <f t="shared" si="45"/>
        <v/>
      </c>
      <c r="AA458" s="6" t="str">
        <f t="shared" si="46"/>
        <v/>
      </c>
      <c r="AB458" s="6" t="str">
        <f t="shared" si="47"/>
        <v/>
      </c>
      <c r="AC458" s="4"/>
      <c r="AD458" s="4"/>
    </row>
    <row r="459" spans="1:30" x14ac:dyDescent="0.45">
      <c r="A459" s="3"/>
      <c r="B459" s="3"/>
      <c r="C459" s="5" t="str">
        <f>IF($E459="","",COUNT($E$2:$E459))</f>
        <v/>
      </c>
      <c r="D459" s="3"/>
      <c r="E459" s="3"/>
      <c r="F459" s="3"/>
      <c r="G459" s="3"/>
      <c r="H459" s="3"/>
      <c r="I459" s="3"/>
      <c r="J459" s="3"/>
      <c r="K459" s="3"/>
      <c r="L459" s="4"/>
      <c r="M459" s="6" t="str">
        <f>IF(OR($E459="",$F459=""),"",IF(_xlfn.SINGLE(JobState)="",IF(ROW()=2,HYPERLINK("#JobState","Set State →"),""),HYPERLINK(IF(OR(_xlfn.SINGLE(JobState)="MI",_xlfn.SINGLE(JobState)=""),"https://fema.maps.arcgis.com/apps/mapviewer/index.html?webmap=6a1702b9147243d1a5ee62cd614bc681&amp;center="&amp;$F459&amp;","&amp;$E459&amp;"&amp;level=16&amp;marker="&amp;$F459&amp;","&amp;$E459&amp;"",IF(_xlfn.SINGLE(JobState)="IN","https://fema.maps.arcgis.com/apps/mapviewer/index.html?url=https%3A%2F%2Fgis.indot.in.gov%2Fro%2Frest%2Fservices%2FRAH_GIO_Collaboration%2FLRSE_Functional_Class%2FFeatureServer%2F22&amp;find="&amp;$F459&amp;"%2C"&amp;$E459&amp;"&amp;marker="&amp;$F459&amp;","&amp;$E459&amp;",4326&amp;level=16",IF(_xlfn.SINGLE(JobState)="WI","https://fema.maps.arcgis.com/apps/mapviewer/index.html?url=https://services5.arcgis.com/0pgGLzT0Nh7FVjon/arcgis/rest/services/Functional_Class_Local_Non_Prod/FeatureServer/1&amp;find="&amp;$F459&amp;"%2C"&amp;$E459&amp;"&amp;marker="&amp;$F459&amp;","&amp;$E459&amp;",4326&amp;level=16",IF(_xlfn.SINGLE(JobState)="MN","https://fema.maps.arcgis.com/apps/mapviewer/index.html?url=https%3A%2F%2Fdotapp9.dot.state.mn.us%2Fegis12%2Frest%2Fservices%2FBASEMAP%2Fmndot_commonlayers2%2FMapServer%2F11&amp;find="&amp;$F459&amp;"%2C"&amp;$E459&amp;"&amp;marker="&amp;$F459&amp;","&amp;$E459&amp;",4326&amp;level=16",IF(_xlfn.SINGLE(JobState)="IL","https://fema.maps.arcgis.com/apps/mapviewer/index.html?url=https%3A%2F%2Fgis1.dot.illinois.gov%2Farcgis%2Frest%2Fservices%2FAdministrativeData%2FFunctionalClass%2FMapServer%2F0&amp;find="&amp;$F459&amp;"%2C"&amp;$E459&amp;"&amp;marker="&amp;$F459&amp;","&amp;$E459&amp;",4326&amp;level=16",IF(_xlfn.SINGLE(JobState)="OH","https://fema.maps.arcgis.com/apps/mapviewer/index.html?url=https%3A%2F%2Ftims.dot.state.oh.us%2Fags%2Frest%2Fservices%2FRoadway_Information%2FFunctional_Class%2FMapServer%2F0&amp;find="&amp;$F459&amp;"%2C"&amp;$E459&amp;"&amp;marker="&amp;$F459&amp;","&amp;$E459&amp;",4326&amp;level=16","https://fema.maps.arcgis.com/apps/mapviewer/index.html?find="&amp;$F459&amp;"%2C"&amp;$E459&amp;"&amp;marker="&amp;$F459&amp;","&amp;$E459&amp;",4326&amp;level=16")))))),IF(_xlfn.SINGLE(JobState)="WI","Review Local Roads Layer","Review NFC AGOL Layer"))))</f>
        <v/>
      </c>
      <c r="N459" s="6" t="str">
        <f>IF(OR($E459="",$F459=""),"",IF(_xlfn.SINGLE(JobState)="",IF(ROW()=2,HYPERLINK("#JobState","Set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459&amp;"%2C"&amp;$E459&amp;"&amp;marker="&amp;$F459&amp;","&amp;$E459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9" s="6" t="str">
        <f>IF(OR($E459="", $F459=""),"",IF(_xlfn.SINGLE(JobAgolMap)="",HYPERLINK("https://fema.maps.arcgis.com/apps/mapviewer/index.html?find="&amp;$F459&amp;"%2C"&amp;$E459&amp;"&amp;marker="&amp;$F459&amp;","&amp;$E459&amp;",4326&amp;level=16","FEMA AGOL Map Viewer"),HYPERLINK(_xlfn.SINGLE(JobAgolMap)&amp;IF(ISNUMBER(FIND("?",_xlfn.SINGLE(JobAgolMap))),"&amp;","?")&amp;"center="&amp;$F459&amp;","&amp;$E459&amp;"&amp;level=16&amp;marker="&amp;$F459&amp;","&amp;$E459,"Open")))</f>
        <v/>
      </c>
      <c r="Q459" s="4"/>
      <c r="R459" s="4"/>
      <c r="W459" s="6" t="str">
        <f t="shared" si="42"/>
        <v/>
      </c>
      <c r="X459" s="6" t="str">
        <f t="shared" si="43"/>
        <v/>
      </c>
      <c r="Y459" s="6" t="str">
        <f t="shared" si="44"/>
        <v/>
      </c>
      <c r="Z459" s="6" t="str">
        <f t="shared" si="45"/>
        <v/>
      </c>
      <c r="AA459" s="6" t="str">
        <f t="shared" si="46"/>
        <v/>
      </c>
      <c r="AB459" s="6" t="str">
        <f t="shared" si="47"/>
        <v/>
      </c>
      <c r="AC459" s="4"/>
      <c r="AD459" s="4"/>
    </row>
    <row r="460" spans="1:30" x14ac:dyDescent="0.45">
      <c r="A460" s="3"/>
      <c r="B460" s="3"/>
      <c r="C460" s="5" t="str">
        <f>IF($E460="","",COUNT($E$2:$E460))</f>
        <v/>
      </c>
      <c r="D460" s="3"/>
      <c r="E460" s="3"/>
      <c r="F460" s="3"/>
      <c r="G460" s="3"/>
      <c r="H460" s="3"/>
      <c r="I460" s="3"/>
      <c r="J460" s="3"/>
      <c r="K460" s="3"/>
      <c r="L460" s="4"/>
      <c r="M460" s="6" t="str">
        <f>IF(OR($E460="",$F460=""),"",IF(_xlfn.SINGLE(JobState)="",IF(ROW()=2,HYPERLINK("#JobState","Set State →"),""),HYPERLINK(IF(OR(_xlfn.SINGLE(JobState)="MI",_xlfn.SINGLE(JobState)=""),"https://fema.maps.arcgis.com/apps/mapviewer/index.html?webmap=6a1702b9147243d1a5ee62cd614bc681&amp;center="&amp;$F460&amp;","&amp;$E460&amp;"&amp;level=16&amp;marker="&amp;$F460&amp;","&amp;$E460&amp;"",IF(_xlfn.SINGLE(JobState)="IN","https://fema.maps.arcgis.com/apps/mapviewer/index.html?url=https%3A%2F%2Fgis.indot.in.gov%2Fro%2Frest%2Fservices%2FRAH_GIO_Collaboration%2FLRSE_Functional_Class%2FFeatureServer%2F22&amp;find="&amp;$F460&amp;"%2C"&amp;$E460&amp;"&amp;marker="&amp;$F460&amp;","&amp;$E460&amp;",4326&amp;level=16",IF(_xlfn.SINGLE(JobState)="WI","https://fema.maps.arcgis.com/apps/mapviewer/index.html?url=https://services5.arcgis.com/0pgGLzT0Nh7FVjon/arcgis/rest/services/Functional_Class_Local_Non_Prod/FeatureServer/1&amp;find="&amp;$F460&amp;"%2C"&amp;$E460&amp;"&amp;marker="&amp;$F460&amp;","&amp;$E460&amp;",4326&amp;level=16",IF(_xlfn.SINGLE(JobState)="MN","https://fema.maps.arcgis.com/apps/mapviewer/index.html?url=https%3A%2F%2Fdotapp9.dot.state.mn.us%2Fegis12%2Frest%2Fservices%2FBASEMAP%2Fmndot_commonlayers2%2FMapServer%2F11&amp;find="&amp;$F460&amp;"%2C"&amp;$E460&amp;"&amp;marker="&amp;$F460&amp;","&amp;$E460&amp;",4326&amp;level=16",IF(_xlfn.SINGLE(JobState)="IL","https://fema.maps.arcgis.com/apps/mapviewer/index.html?url=https%3A%2F%2Fgis1.dot.illinois.gov%2Farcgis%2Frest%2Fservices%2FAdministrativeData%2FFunctionalClass%2FMapServer%2F0&amp;find="&amp;$F460&amp;"%2C"&amp;$E460&amp;"&amp;marker="&amp;$F460&amp;","&amp;$E460&amp;",4326&amp;level=16",IF(_xlfn.SINGLE(JobState)="OH","https://fema.maps.arcgis.com/apps/mapviewer/index.html?url=https%3A%2F%2Ftims.dot.state.oh.us%2Fags%2Frest%2Fservices%2FRoadway_Information%2FFunctional_Class%2FMapServer%2F0&amp;find="&amp;$F460&amp;"%2C"&amp;$E460&amp;"&amp;marker="&amp;$F460&amp;","&amp;$E460&amp;",4326&amp;level=16","https://fema.maps.arcgis.com/apps/mapviewer/index.html?find="&amp;$F460&amp;"%2C"&amp;$E460&amp;"&amp;marker="&amp;$F460&amp;","&amp;$E460&amp;",4326&amp;level=16")))))),IF(_xlfn.SINGLE(JobState)="WI","Review Local Roads Layer","Review NFC AGOL Layer"))))</f>
        <v/>
      </c>
      <c r="N460" s="6" t="str">
        <f>IF(OR($E460="",$F460=""),"",IF(_xlfn.SINGLE(JobState)="",IF(ROW()=2,HYPERLINK("#JobState","Set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460&amp;"%2C"&amp;$E460&amp;"&amp;marker="&amp;$F460&amp;","&amp;$E460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0" s="6" t="str">
        <f>IF(OR($E460="", $F460=""),"",IF(_xlfn.SINGLE(JobAgolMap)="",HYPERLINK("https://fema.maps.arcgis.com/apps/mapviewer/index.html?find="&amp;$F460&amp;"%2C"&amp;$E460&amp;"&amp;marker="&amp;$F460&amp;","&amp;$E460&amp;",4326&amp;level=16","FEMA AGOL Map Viewer"),HYPERLINK(_xlfn.SINGLE(JobAgolMap)&amp;IF(ISNUMBER(FIND("?",_xlfn.SINGLE(JobAgolMap))),"&amp;","?")&amp;"center="&amp;$F460&amp;","&amp;$E460&amp;"&amp;level=16&amp;marker="&amp;$F460&amp;","&amp;$E460,"Open")))</f>
        <v/>
      </c>
      <c r="Q460" s="4"/>
      <c r="R460" s="4"/>
      <c r="W460" s="6" t="str">
        <f t="shared" si="42"/>
        <v/>
      </c>
      <c r="X460" s="6" t="str">
        <f t="shared" si="43"/>
        <v/>
      </c>
      <c r="Y460" s="6" t="str">
        <f t="shared" si="44"/>
        <v/>
      </c>
      <c r="Z460" s="6" t="str">
        <f t="shared" si="45"/>
        <v/>
      </c>
      <c r="AA460" s="6" t="str">
        <f t="shared" si="46"/>
        <v/>
      </c>
      <c r="AB460" s="6" t="str">
        <f t="shared" si="47"/>
        <v/>
      </c>
      <c r="AC460" s="4"/>
      <c r="AD460" s="4"/>
    </row>
    <row r="461" spans="1:30" x14ac:dyDescent="0.45">
      <c r="A461" s="3"/>
      <c r="B461" s="3"/>
      <c r="C461" s="5" t="str">
        <f>IF($E461="","",COUNT($E$2:$E461))</f>
        <v/>
      </c>
      <c r="D461" s="3"/>
      <c r="E461" s="3"/>
      <c r="F461" s="3"/>
      <c r="G461" s="3"/>
      <c r="H461" s="3"/>
      <c r="I461" s="3"/>
      <c r="J461" s="3"/>
      <c r="K461" s="3"/>
      <c r="L461" s="4"/>
      <c r="M461" s="6" t="str">
        <f>IF(OR($E461="",$F461=""),"",IF(_xlfn.SINGLE(JobState)="",IF(ROW()=2,HYPERLINK("#JobState","Set State →"),""),HYPERLINK(IF(OR(_xlfn.SINGLE(JobState)="MI",_xlfn.SINGLE(JobState)=""),"https://fema.maps.arcgis.com/apps/mapviewer/index.html?webmap=6a1702b9147243d1a5ee62cd614bc681&amp;center="&amp;$F461&amp;","&amp;$E461&amp;"&amp;level=16&amp;marker="&amp;$F461&amp;","&amp;$E461&amp;"",IF(_xlfn.SINGLE(JobState)="IN","https://fema.maps.arcgis.com/apps/mapviewer/index.html?url=https%3A%2F%2Fgis.indot.in.gov%2Fro%2Frest%2Fservices%2FRAH_GIO_Collaboration%2FLRSE_Functional_Class%2FFeatureServer%2F22&amp;find="&amp;$F461&amp;"%2C"&amp;$E461&amp;"&amp;marker="&amp;$F461&amp;","&amp;$E461&amp;",4326&amp;level=16",IF(_xlfn.SINGLE(JobState)="WI","https://fema.maps.arcgis.com/apps/mapviewer/index.html?url=https://services5.arcgis.com/0pgGLzT0Nh7FVjon/arcgis/rest/services/Functional_Class_Local_Non_Prod/FeatureServer/1&amp;find="&amp;$F461&amp;"%2C"&amp;$E461&amp;"&amp;marker="&amp;$F461&amp;","&amp;$E461&amp;",4326&amp;level=16",IF(_xlfn.SINGLE(JobState)="MN","https://fema.maps.arcgis.com/apps/mapviewer/index.html?url=https%3A%2F%2Fdotapp9.dot.state.mn.us%2Fegis12%2Frest%2Fservices%2FBASEMAP%2Fmndot_commonlayers2%2FMapServer%2F11&amp;find="&amp;$F461&amp;"%2C"&amp;$E461&amp;"&amp;marker="&amp;$F461&amp;","&amp;$E461&amp;",4326&amp;level=16",IF(_xlfn.SINGLE(JobState)="IL","https://fema.maps.arcgis.com/apps/mapviewer/index.html?url=https%3A%2F%2Fgis1.dot.illinois.gov%2Farcgis%2Frest%2Fservices%2FAdministrativeData%2FFunctionalClass%2FMapServer%2F0&amp;find="&amp;$F461&amp;"%2C"&amp;$E461&amp;"&amp;marker="&amp;$F461&amp;","&amp;$E461&amp;",4326&amp;level=16",IF(_xlfn.SINGLE(JobState)="OH","https://fema.maps.arcgis.com/apps/mapviewer/index.html?url=https%3A%2F%2Ftims.dot.state.oh.us%2Fags%2Frest%2Fservices%2FRoadway_Information%2FFunctional_Class%2FMapServer%2F0&amp;find="&amp;$F461&amp;"%2C"&amp;$E461&amp;"&amp;marker="&amp;$F461&amp;","&amp;$E461&amp;",4326&amp;level=16","https://fema.maps.arcgis.com/apps/mapviewer/index.html?find="&amp;$F461&amp;"%2C"&amp;$E461&amp;"&amp;marker="&amp;$F461&amp;","&amp;$E461&amp;",4326&amp;level=16")))))),IF(_xlfn.SINGLE(JobState)="WI","Review Local Roads Layer","Review NFC AGOL Layer"))))</f>
        <v/>
      </c>
      <c r="N461" s="6" t="str">
        <f>IF(OR($E461="",$F461=""),"",IF(_xlfn.SINGLE(JobState)="",IF(ROW()=2,HYPERLINK("#JobState","Set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461&amp;"%2C"&amp;$E461&amp;"&amp;marker="&amp;$F461&amp;","&amp;$E461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1" s="6" t="str">
        <f>IF(OR($E461="", $F461=""),"",IF(_xlfn.SINGLE(JobAgolMap)="",HYPERLINK("https://fema.maps.arcgis.com/apps/mapviewer/index.html?find="&amp;$F461&amp;"%2C"&amp;$E461&amp;"&amp;marker="&amp;$F461&amp;","&amp;$E461&amp;",4326&amp;level=16","FEMA AGOL Map Viewer"),HYPERLINK(_xlfn.SINGLE(JobAgolMap)&amp;IF(ISNUMBER(FIND("?",_xlfn.SINGLE(JobAgolMap))),"&amp;","?")&amp;"center="&amp;$F461&amp;","&amp;$E461&amp;"&amp;level=16&amp;marker="&amp;$F461&amp;","&amp;$E461,"Open")))</f>
        <v/>
      </c>
      <c r="Q461" s="4"/>
      <c r="R461" s="4"/>
      <c r="W461" s="6" t="str">
        <f t="shared" si="42"/>
        <v/>
      </c>
      <c r="X461" s="6" t="str">
        <f t="shared" si="43"/>
        <v/>
      </c>
      <c r="Y461" s="6" t="str">
        <f t="shared" si="44"/>
        <v/>
      </c>
      <c r="Z461" s="6" t="str">
        <f t="shared" si="45"/>
        <v/>
      </c>
      <c r="AA461" s="6" t="str">
        <f t="shared" si="46"/>
        <v/>
      </c>
      <c r="AB461" s="6" t="str">
        <f t="shared" si="47"/>
        <v/>
      </c>
      <c r="AC461" s="4"/>
      <c r="AD461" s="4"/>
    </row>
    <row r="462" spans="1:30" x14ac:dyDescent="0.45">
      <c r="A462" s="3"/>
      <c r="B462" s="3"/>
      <c r="C462" s="5" t="str">
        <f>IF($E462="","",COUNT($E$2:$E462))</f>
        <v/>
      </c>
      <c r="D462" s="3"/>
      <c r="E462" s="3"/>
      <c r="F462" s="3"/>
      <c r="G462" s="3"/>
      <c r="H462" s="3"/>
      <c r="I462" s="3"/>
      <c r="J462" s="3"/>
      <c r="K462" s="3"/>
      <c r="L462" s="4"/>
      <c r="M462" s="6" t="str">
        <f>IF(OR($E462="",$F462=""),"",IF(_xlfn.SINGLE(JobState)="",IF(ROW()=2,HYPERLINK("#JobState","Set State →"),""),HYPERLINK(IF(OR(_xlfn.SINGLE(JobState)="MI",_xlfn.SINGLE(JobState)=""),"https://fema.maps.arcgis.com/apps/mapviewer/index.html?webmap=6a1702b9147243d1a5ee62cd614bc681&amp;center="&amp;$F462&amp;","&amp;$E462&amp;"&amp;level=16&amp;marker="&amp;$F462&amp;","&amp;$E462&amp;"",IF(_xlfn.SINGLE(JobState)="IN","https://fema.maps.arcgis.com/apps/mapviewer/index.html?url=https%3A%2F%2Fgis.indot.in.gov%2Fro%2Frest%2Fservices%2FRAH_GIO_Collaboration%2FLRSE_Functional_Class%2FFeatureServer%2F22&amp;find="&amp;$F462&amp;"%2C"&amp;$E462&amp;"&amp;marker="&amp;$F462&amp;","&amp;$E462&amp;",4326&amp;level=16",IF(_xlfn.SINGLE(JobState)="WI","https://fema.maps.arcgis.com/apps/mapviewer/index.html?url=https://services5.arcgis.com/0pgGLzT0Nh7FVjon/arcgis/rest/services/Functional_Class_Local_Non_Prod/FeatureServer/1&amp;find="&amp;$F462&amp;"%2C"&amp;$E462&amp;"&amp;marker="&amp;$F462&amp;","&amp;$E462&amp;",4326&amp;level=16",IF(_xlfn.SINGLE(JobState)="MN","https://fema.maps.arcgis.com/apps/mapviewer/index.html?url=https%3A%2F%2Fdotapp9.dot.state.mn.us%2Fegis12%2Frest%2Fservices%2FBASEMAP%2Fmndot_commonlayers2%2FMapServer%2F11&amp;find="&amp;$F462&amp;"%2C"&amp;$E462&amp;"&amp;marker="&amp;$F462&amp;","&amp;$E462&amp;",4326&amp;level=16",IF(_xlfn.SINGLE(JobState)="IL","https://fema.maps.arcgis.com/apps/mapviewer/index.html?url=https%3A%2F%2Fgis1.dot.illinois.gov%2Farcgis%2Frest%2Fservices%2FAdministrativeData%2FFunctionalClass%2FMapServer%2F0&amp;find="&amp;$F462&amp;"%2C"&amp;$E462&amp;"&amp;marker="&amp;$F462&amp;","&amp;$E462&amp;",4326&amp;level=16",IF(_xlfn.SINGLE(JobState)="OH","https://fema.maps.arcgis.com/apps/mapviewer/index.html?url=https%3A%2F%2Ftims.dot.state.oh.us%2Fags%2Frest%2Fservices%2FRoadway_Information%2FFunctional_Class%2FMapServer%2F0&amp;find="&amp;$F462&amp;"%2C"&amp;$E462&amp;"&amp;marker="&amp;$F462&amp;","&amp;$E462&amp;",4326&amp;level=16","https://fema.maps.arcgis.com/apps/mapviewer/index.html?find="&amp;$F462&amp;"%2C"&amp;$E462&amp;"&amp;marker="&amp;$F462&amp;","&amp;$E462&amp;",4326&amp;level=16")))))),IF(_xlfn.SINGLE(JobState)="WI","Review Local Roads Layer","Review NFC AGOL Layer"))))</f>
        <v/>
      </c>
      <c r="N462" s="6" t="str">
        <f>IF(OR($E462="",$F462=""),"",IF(_xlfn.SINGLE(JobState)="",IF(ROW()=2,HYPERLINK("#JobState","Set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462&amp;"%2C"&amp;$E462&amp;"&amp;marker="&amp;$F462&amp;","&amp;$E462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2" s="6" t="str">
        <f>IF(OR($E462="", $F462=""),"",IF(_xlfn.SINGLE(JobAgolMap)="",HYPERLINK("https://fema.maps.arcgis.com/apps/mapviewer/index.html?find="&amp;$F462&amp;"%2C"&amp;$E462&amp;"&amp;marker="&amp;$F462&amp;","&amp;$E462&amp;",4326&amp;level=16","FEMA AGOL Map Viewer"),HYPERLINK(_xlfn.SINGLE(JobAgolMap)&amp;IF(ISNUMBER(FIND("?",_xlfn.SINGLE(JobAgolMap))),"&amp;","?")&amp;"center="&amp;$F462&amp;","&amp;$E462&amp;"&amp;level=16&amp;marker="&amp;$F462&amp;","&amp;$E462,"Open")))</f>
        <v/>
      </c>
      <c r="Q462" s="4"/>
      <c r="R462" s="4"/>
      <c r="W462" s="6" t="str">
        <f t="shared" si="42"/>
        <v/>
      </c>
      <c r="X462" s="6" t="str">
        <f t="shared" si="43"/>
        <v/>
      </c>
      <c r="Y462" s="6" t="str">
        <f t="shared" si="44"/>
        <v/>
      </c>
      <c r="Z462" s="6" t="str">
        <f t="shared" si="45"/>
        <v/>
      </c>
      <c r="AA462" s="6" t="str">
        <f t="shared" si="46"/>
        <v/>
      </c>
      <c r="AB462" s="6" t="str">
        <f t="shared" si="47"/>
        <v/>
      </c>
      <c r="AC462" s="4"/>
      <c r="AD462" s="4"/>
    </row>
    <row r="463" spans="1:30" x14ac:dyDescent="0.45">
      <c r="A463" s="3"/>
      <c r="B463" s="3"/>
      <c r="C463" s="5" t="str">
        <f>IF($E463="","",COUNT($E$2:$E463))</f>
        <v/>
      </c>
      <c r="D463" s="3"/>
      <c r="E463" s="3"/>
      <c r="F463" s="3"/>
      <c r="G463" s="3"/>
      <c r="H463" s="3"/>
      <c r="I463" s="3"/>
      <c r="J463" s="3"/>
      <c r="K463" s="3"/>
      <c r="L463" s="4"/>
      <c r="M463" s="6" t="str">
        <f>IF(OR($E463="",$F463=""),"",IF(_xlfn.SINGLE(JobState)="",IF(ROW()=2,HYPERLINK("#JobState","Set State →"),""),HYPERLINK(IF(OR(_xlfn.SINGLE(JobState)="MI",_xlfn.SINGLE(JobState)=""),"https://fema.maps.arcgis.com/apps/mapviewer/index.html?webmap=6a1702b9147243d1a5ee62cd614bc681&amp;center="&amp;$F463&amp;","&amp;$E463&amp;"&amp;level=16&amp;marker="&amp;$F463&amp;","&amp;$E463&amp;"",IF(_xlfn.SINGLE(JobState)="IN","https://fema.maps.arcgis.com/apps/mapviewer/index.html?url=https%3A%2F%2Fgis.indot.in.gov%2Fro%2Frest%2Fservices%2FRAH_GIO_Collaboration%2FLRSE_Functional_Class%2FFeatureServer%2F22&amp;find="&amp;$F463&amp;"%2C"&amp;$E463&amp;"&amp;marker="&amp;$F463&amp;","&amp;$E463&amp;",4326&amp;level=16",IF(_xlfn.SINGLE(JobState)="WI","https://fema.maps.arcgis.com/apps/mapviewer/index.html?url=https://services5.arcgis.com/0pgGLzT0Nh7FVjon/arcgis/rest/services/Functional_Class_Local_Non_Prod/FeatureServer/1&amp;find="&amp;$F463&amp;"%2C"&amp;$E463&amp;"&amp;marker="&amp;$F463&amp;","&amp;$E463&amp;",4326&amp;level=16",IF(_xlfn.SINGLE(JobState)="MN","https://fema.maps.arcgis.com/apps/mapviewer/index.html?url=https%3A%2F%2Fdotapp9.dot.state.mn.us%2Fegis12%2Frest%2Fservices%2FBASEMAP%2Fmndot_commonlayers2%2FMapServer%2F11&amp;find="&amp;$F463&amp;"%2C"&amp;$E463&amp;"&amp;marker="&amp;$F463&amp;","&amp;$E463&amp;",4326&amp;level=16",IF(_xlfn.SINGLE(JobState)="IL","https://fema.maps.arcgis.com/apps/mapviewer/index.html?url=https%3A%2F%2Fgis1.dot.illinois.gov%2Farcgis%2Frest%2Fservices%2FAdministrativeData%2FFunctionalClass%2FMapServer%2F0&amp;find="&amp;$F463&amp;"%2C"&amp;$E463&amp;"&amp;marker="&amp;$F463&amp;","&amp;$E463&amp;",4326&amp;level=16",IF(_xlfn.SINGLE(JobState)="OH","https://fema.maps.arcgis.com/apps/mapviewer/index.html?url=https%3A%2F%2Ftims.dot.state.oh.us%2Fags%2Frest%2Fservices%2FRoadway_Information%2FFunctional_Class%2FMapServer%2F0&amp;find="&amp;$F463&amp;"%2C"&amp;$E463&amp;"&amp;marker="&amp;$F463&amp;","&amp;$E463&amp;",4326&amp;level=16","https://fema.maps.arcgis.com/apps/mapviewer/index.html?find="&amp;$F463&amp;"%2C"&amp;$E463&amp;"&amp;marker="&amp;$F463&amp;","&amp;$E463&amp;",4326&amp;level=16")))))),IF(_xlfn.SINGLE(JobState)="WI","Review Local Roads Layer","Review NFC AGOL Layer"))))</f>
        <v/>
      </c>
      <c r="N463" s="6" t="str">
        <f>IF(OR($E463="",$F463=""),"",IF(_xlfn.SINGLE(JobState)="",IF(ROW()=2,HYPERLINK("#JobState","Set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463&amp;"%2C"&amp;$E463&amp;"&amp;marker="&amp;$F463&amp;","&amp;$E463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3" s="6" t="str">
        <f>IF(OR($E463="", $F463=""),"",IF(_xlfn.SINGLE(JobAgolMap)="",HYPERLINK("https://fema.maps.arcgis.com/apps/mapviewer/index.html?find="&amp;$F463&amp;"%2C"&amp;$E463&amp;"&amp;marker="&amp;$F463&amp;","&amp;$E463&amp;",4326&amp;level=16","FEMA AGOL Map Viewer"),HYPERLINK(_xlfn.SINGLE(JobAgolMap)&amp;IF(ISNUMBER(FIND("?",_xlfn.SINGLE(JobAgolMap))),"&amp;","?")&amp;"center="&amp;$F463&amp;","&amp;$E463&amp;"&amp;level=16&amp;marker="&amp;$F463&amp;","&amp;$E463,"Open")))</f>
        <v/>
      </c>
      <c r="Q463" s="4"/>
      <c r="R463" s="4"/>
      <c r="W463" s="6" t="str">
        <f t="shared" si="42"/>
        <v/>
      </c>
      <c r="X463" s="6" t="str">
        <f t="shared" si="43"/>
        <v/>
      </c>
      <c r="Y463" s="6" t="str">
        <f t="shared" si="44"/>
        <v/>
      </c>
      <c r="Z463" s="6" t="str">
        <f t="shared" si="45"/>
        <v/>
      </c>
      <c r="AA463" s="6" t="str">
        <f t="shared" si="46"/>
        <v/>
      </c>
      <c r="AB463" s="6" t="str">
        <f t="shared" si="47"/>
        <v/>
      </c>
      <c r="AC463" s="4"/>
      <c r="AD463" s="4"/>
    </row>
    <row r="464" spans="1:30" x14ac:dyDescent="0.45">
      <c r="A464" s="3"/>
      <c r="B464" s="3"/>
      <c r="C464" s="5" t="str">
        <f>IF($E464="","",COUNT($E$2:$E464))</f>
        <v/>
      </c>
      <c r="D464" s="3"/>
      <c r="E464" s="3"/>
      <c r="F464" s="3"/>
      <c r="G464" s="3"/>
      <c r="H464" s="3"/>
      <c r="I464" s="3"/>
      <c r="J464" s="3"/>
      <c r="K464" s="3"/>
      <c r="L464" s="4"/>
      <c r="M464" s="6" t="str">
        <f>IF(OR($E464="",$F464=""),"",IF(_xlfn.SINGLE(JobState)="",IF(ROW()=2,HYPERLINK("#JobState","Set State →"),""),HYPERLINK(IF(OR(_xlfn.SINGLE(JobState)="MI",_xlfn.SINGLE(JobState)=""),"https://fema.maps.arcgis.com/apps/mapviewer/index.html?webmap=6a1702b9147243d1a5ee62cd614bc681&amp;center="&amp;$F464&amp;","&amp;$E464&amp;"&amp;level=16&amp;marker="&amp;$F464&amp;","&amp;$E464&amp;"",IF(_xlfn.SINGLE(JobState)="IN","https://fema.maps.arcgis.com/apps/mapviewer/index.html?url=https%3A%2F%2Fgis.indot.in.gov%2Fro%2Frest%2Fservices%2FRAH_GIO_Collaboration%2FLRSE_Functional_Class%2FFeatureServer%2F22&amp;find="&amp;$F464&amp;"%2C"&amp;$E464&amp;"&amp;marker="&amp;$F464&amp;","&amp;$E464&amp;",4326&amp;level=16",IF(_xlfn.SINGLE(JobState)="WI","https://fema.maps.arcgis.com/apps/mapviewer/index.html?url=https://services5.arcgis.com/0pgGLzT0Nh7FVjon/arcgis/rest/services/Functional_Class_Local_Non_Prod/FeatureServer/1&amp;find="&amp;$F464&amp;"%2C"&amp;$E464&amp;"&amp;marker="&amp;$F464&amp;","&amp;$E464&amp;",4326&amp;level=16",IF(_xlfn.SINGLE(JobState)="MN","https://fema.maps.arcgis.com/apps/mapviewer/index.html?url=https%3A%2F%2Fdotapp9.dot.state.mn.us%2Fegis12%2Frest%2Fservices%2FBASEMAP%2Fmndot_commonlayers2%2FMapServer%2F11&amp;find="&amp;$F464&amp;"%2C"&amp;$E464&amp;"&amp;marker="&amp;$F464&amp;","&amp;$E464&amp;",4326&amp;level=16",IF(_xlfn.SINGLE(JobState)="IL","https://fema.maps.arcgis.com/apps/mapviewer/index.html?url=https%3A%2F%2Fgis1.dot.illinois.gov%2Farcgis%2Frest%2Fservices%2FAdministrativeData%2FFunctionalClass%2FMapServer%2F0&amp;find="&amp;$F464&amp;"%2C"&amp;$E464&amp;"&amp;marker="&amp;$F464&amp;","&amp;$E464&amp;",4326&amp;level=16",IF(_xlfn.SINGLE(JobState)="OH","https://fema.maps.arcgis.com/apps/mapviewer/index.html?url=https%3A%2F%2Ftims.dot.state.oh.us%2Fags%2Frest%2Fservices%2FRoadway_Information%2FFunctional_Class%2FMapServer%2F0&amp;find="&amp;$F464&amp;"%2C"&amp;$E464&amp;"&amp;marker="&amp;$F464&amp;","&amp;$E464&amp;",4326&amp;level=16","https://fema.maps.arcgis.com/apps/mapviewer/index.html?find="&amp;$F464&amp;"%2C"&amp;$E464&amp;"&amp;marker="&amp;$F464&amp;","&amp;$E464&amp;",4326&amp;level=16")))))),IF(_xlfn.SINGLE(JobState)="WI","Review Local Roads Layer","Review NFC AGOL Layer"))))</f>
        <v/>
      </c>
      <c r="N464" s="6" t="str">
        <f>IF(OR($E464="",$F464=""),"",IF(_xlfn.SINGLE(JobState)="",IF(ROW()=2,HYPERLINK("#JobState","Set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464&amp;"%2C"&amp;$E464&amp;"&amp;marker="&amp;$F464&amp;","&amp;$E464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4" s="6" t="str">
        <f>IF(OR($E464="", $F464=""),"",IF(_xlfn.SINGLE(JobAgolMap)="",HYPERLINK("https://fema.maps.arcgis.com/apps/mapviewer/index.html?find="&amp;$F464&amp;"%2C"&amp;$E464&amp;"&amp;marker="&amp;$F464&amp;","&amp;$E464&amp;",4326&amp;level=16","FEMA AGOL Map Viewer"),HYPERLINK(_xlfn.SINGLE(JobAgolMap)&amp;IF(ISNUMBER(FIND("?",_xlfn.SINGLE(JobAgolMap))),"&amp;","?")&amp;"center="&amp;$F464&amp;","&amp;$E464&amp;"&amp;level=16&amp;marker="&amp;$F464&amp;","&amp;$E464,"Open")))</f>
        <v/>
      </c>
      <c r="Q464" s="4"/>
      <c r="R464" s="4"/>
      <c r="W464" s="6" t="str">
        <f t="shared" si="42"/>
        <v/>
      </c>
      <c r="X464" s="6" t="str">
        <f t="shared" si="43"/>
        <v/>
      </c>
      <c r="Y464" s="6" t="str">
        <f t="shared" si="44"/>
        <v/>
      </c>
      <c r="Z464" s="6" t="str">
        <f t="shared" si="45"/>
        <v/>
      </c>
      <c r="AA464" s="6" t="str">
        <f t="shared" si="46"/>
        <v/>
      </c>
      <c r="AB464" s="6" t="str">
        <f t="shared" si="47"/>
        <v/>
      </c>
      <c r="AC464" s="4"/>
      <c r="AD464" s="4"/>
    </row>
    <row r="465" spans="1:30" x14ac:dyDescent="0.45">
      <c r="A465" s="3"/>
      <c r="B465" s="3"/>
      <c r="C465" s="5" t="str">
        <f>IF($E465="","",COUNT($E$2:$E465))</f>
        <v/>
      </c>
      <c r="D465" s="3"/>
      <c r="E465" s="3"/>
      <c r="F465" s="3"/>
      <c r="G465" s="3"/>
      <c r="H465" s="3"/>
      <c r="I465" s="3"/>
      <c r="J465" s="3"/>
      <c r="K465" s="3"/>
      <c r="L465" s="4"/>
      <c r="M465" s="6" t="str">
        <f>IF(OR($E465="",$F465=""),"",IF(_xlfn.SINGLE(JobState)="",IF(ROW()=2,HYPERLINK("#JobState","Set State →"),""),HYPERLINK(IF(OR(_xlfn.SINGLE(JobState)="MI",_xlfn.SINGLE(JobState)=""),"https://fema.maps.arcgis.com/apps/mapviewer/index.html?webmap=6a1702b9147243d1a5ee62cd614bc681&amp;center="&amp;$F465&amp;","&amp;$E465&amp;"&amp;level=16&amp;marker="&amp;$F465&amp;","&amp;$E465&amp;"",IF(_xlfn.SINGLE(JobState)="IN","https://fema.maps.arcgis.com/apps/mapviewer/index.html?url=https%3A%2F%2Fgis.indot.in.gov%2Fro%2Frest%2Fservices%2FRAH_GIO_Collaboration%2FLRSE_Functional_Class%2FFeatureServer%2F22&amp;find="&amp;$F465&amp;"%2C"&amp;$E465&amp;"&amp;marker="&amp;$F465&amp;","&amp;$E465&amp;",4326&amp;level=16",IF(_xlfn.SINGLE(JobState)="WI","https://fema.maps.arcgis.com/apps/mapviewer/index.html?url=https://services5.arcgis.com/0pgGLzT0Nh7FVjon/arcgis/rest/services/Functional_Class_Local_Non_Prod/FeatureServer/1&amp;find="&amp;$F465&amp;"%2C"&amp;$E465&amp;"&amp;marker="&amp;$F465&amp;","&amp;$E465&amp;",4326&amp;level=16",IF(_xlfn.SINGLE(JobState)="MN","https://fema.maps.arcgis.com/apps/mapviewer/index.html?url=https%3A%2F%2Fdotapp9.dot.state.mn.us%2Fegis12%2Frest%2Fservices%2FBASEMAP%2Fmndot_commonlayers2%2FMapServer%2F11&amp;find="&amp;$F465&amp;"%2C"&amp;$E465&amp;"&amp;marker="&amp;$F465&amp;","&amp;$E465&amp;",4326&amp;level=16",IF(_xlfn.SINGLE(JobState)="IL","https://fema.maps.arcgis.com/apps/mapviewer/index.html?url=https%3A%2F%2Fgis1.dot.illinois.gov%2Farcgis%2Frest%2Fservices%2FAdministrativeData%2FFunctionalClass%2FMapServer%2F0&amp;find="&amp;$F465&amp;"%2C"&amp;$E465&amp;"&amp;marker="&amp;$F465&amp;","&amp;$E465&amp;",4326&amp;level=16",IF(_xlfn.SINGLE(JobState)="OH","https://fema.maps.arcgis.com/apps/mapviewer/index.html?url=https%3A%2F%2Ftims.dot.state.oh.us%2Fags%2Frest%2Fservices%2FRoadway_Information%2FFunctional_Class%2FMapServer%2F0&amp;find="&amp;$F465&amp;"%2C"&amp;$E465&amp;"&amp;marker="&amp;$F465&amp;","&amp;$E465&amp;",4326&amp;level=16","https://fema.maps.arcgis.com/apps/mapviewer/index.html?find="&amp;$F465&amp;"%2C"&amp;$E465&amp;"&amp;marker="&amp;$F465&amp;","&amp;$E465&amp;",4326&amp;level=16")))))),IF(_xlfn.SINGLE(JobState)="WI","Review Local Roads Layer","Review NFC AGOL Layer"))))</f>
        <v/>
      </c>
      <c r="N465" s="6" t="str">
        <f>IF(OR($E465="",$F465=""),"",IF(_xlfn.SINGLE(JobState)="",IF(ROW()=2,HYPERLINK("#JobState","Set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465&amp;"%2C"&amp;$E465&amp;"&amp;marker="&amp;$F465&amp;","&amp;$E465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5" s="6" t="str">
        <f>IF(OR($E465="", $F465=""),"",IF(_xlfn.SINGLE(JobAgolMap)="",HYPERLINK("https://fema.maps.arcgis.com/apps/mapviewer/index.html?find="&amp;$F465&amp;"%2C"&amp;$E465&amp;"&amp;marker="&amp;$F465&amp;","&amp;$E465&amp;",4326&amp;level=16","FEMA AGOL Map Viewer"),HYPERLINK(_xlfn.SINGLE(JobAgolMap)&amp;IF(ISNUMBER(FIND("?",_xlfn.SINGLE(JobAgolMap))),"&amp;","?")&amp;"center="&amp;$F465&amp;","&amp;$E465&amp;"&amp;level=16&amp;marker="&amp;$F465&amp;","&amp;$E465,"Open")))</f>
        <v/>
      </c>
      <c r="Q465" s="4"/>
      <c r="R465" s="4"/>
      <c r="W465" s="6" t="str">
        <f t="shared" si="42"/>
        <v/>
      </c>
      <c r="X465" s="6" t="str">
        <f t="shared" si="43"/>
        <v/>
      </c>
      <c r="Y465" s="6" t="str">
        <f t="shared" si="44"/>
        <v/>
      </c>
      <c r="Z465" s="6" t="str">
        <f t="shared" si="45"/>
        <v/>
      </c>
      <c r="AA465" s="6" t="str">
        <f t="shared" si="46"/>
        <v/>
      </c>
      <c r="AB465" s="6" t="str">
        <f t="shared" si="47"/>
        <v/>
      </c>
      <c r="AC465" s="4"/>
      <c r="AD465" s="4"/>
    </row>
    <row r="466" spans="1:30" x14ac:dyDescent="0.45">
      <c r="A466" s="3"/>
      <c r="B466" s="3"/>
      <c r="C466" s="5" t="str">
        <f>IF($E466="","",COUNT($E$2:$E466))</f>
        <v/>
      </c>
      <c r="D466" s="3"/>
      <c r="E466" s="3"/>
      <c r="F466" s="3"/>
      <c r="G466" s="3"/>
      <c r="H466" s="3"/>
      <c r="I466" s="3"/>
      <c r="J466" s="3"/>
      <c r="K466" s="3"/>
      <c r="L466" s="4"/>
      <c r="M466" s="6" t="str">
        <f>IF(OR($E466="",$F466=""),"",IF(_xlfn.SINGLE(JobState)="",IF(ROW()=2,HYPERLINK("#JobState","Set State →"),""),HYPERLINK(IF(OR(_xlfn.SINGLE(JobState)="MI",_xlfn.SINGLE(JobState)=""),"https://fema.maps.arcgis.com/apps/mapviewer/index.html?webmap=6a1702b9147243d1a5ee62cd614bc681&amp;center="&amp;$F466&amp;","&amp;$E466&amp;"&amp;level=16&amp;marker="&amp;$F466&amp;","&amp;$E466&amp;"",IF(_xlfn.SINGLE(JobState)="IN","https://fema.maps.arcgis.com/apps/mapviewer/index.html?url=https%3A%2F%2Fgis.indot.in.gov%2Fro%2Frest%2Fservices%2FRAH_GIO_Collaboration%2FLRSE_Functional_Class%2FFeatureServer%2F22&amp;find="&amp;$F466&amp;"%2C"&amp;$E466&amp;"&amp;marker="&amp;$F466&amp;","&amp;$E466&amp;",4326&amp;level=16",IF(_xlfn.SINGLE(JobState)="WI","https://fema.maps.arcgis.com/apps/mapviewer/index.html?url=https://services5.arcgis.com/0pgGLzT0Nh7FVjon/arcgis/rest/services/Functional_Class_Local_Non_Prod/FeatureServer/1&amp;find="&amp;$F466&amp;"%2C"&amp;$E466&amp;"&amp;marker="&amp;$F466&amp;","&amp;$E466&amp;",4326&amp;level=16",IF(_xlfn.SINGLE(JobState)="MN","https://fema.maps.arcgis.com/apps/mapviewer/index.html?url=https%3A%2F%2Fdotapp9.dot.state.mn.us%2Fegis12%2Frest%2Fservices%2FBASEMAP%2Fmndot_commonlayers2%2FMapServer%2F11&amp;find="&amp;$F466&amp;"%2C"&amp;$E466&amp;"&amp;marker="&amp;$F466&amp;","&amp;$E466&amp;",4326&amp;level=16",IF(_xlfn.SINGLE(JobState)="IL","https://fema.maps.arcgis.com/apps/mapviewer/index.html?url=https%3A%2F%2Fgis1.dot.illinois.gov%2Farcgis%2Frest%2Fservices%2FAdministrativeData%2FFunctionalClass%2FMapServer%2F0&amp;find="&amp;$F466&amp;"%2C"&amp;$E466&amp;"&amp;marker="&amp;$F466&amp;","&amp;$E466&amp;",4326&amp;level=16",IF(_xlfn.SINGLE(JobState)="OH","https://fema.maps.arcgis.com/apps/mapviewer/index.html?url=https%3A%2F%2Ftims.dot.state.oh.us%2Fags%2Frest%2Fservices%2FRoadway_Information%2FFunctional_Class%2FMapServer%2F0&amp;find="&amp;$F466&amp;"%2C"&amp;$E466&amp;"&amp;marker="&amp;$F466&amp;","&amp;$E466&amp;",4326&amp;level=16","https://fema.maps.arcgis.com/apps/mapviewer/index.html?find="&amp;$F466&amp;"%2C"&amp;$E466&amp;"&amp;marker="&amp;$F466&amp;","&amp;$E466&amp;",4326&amp;level=16")))))),IF(_xlfn.SINGLE(JobState)="WI","Review Local Roads Layer","Review NFC AGOL Layer"))))</f>
        <v/>
      </c>
      <c r="N466" s="6" t="str">
        <f>IF(OR($E466="",$F466=""),"",IF(_xlfn.SINGLE(JobState)="",IF(ROW()=2,HYPERLINK("#JobState","Set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466&amp;"%2C"&amp;$E466&amp;"&amp;marker="&amp;$F466&amp;","&amp;$E466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6" s="6" t="str">
        <f>IF(OR($E466="", $F466=""),"",IF(_xlfn.SINGLE(JobAgolMap)="",HYPERLINK("https://fema.maps.arcgis.com/apps/mapviewer/index.html?find="&amp;$F466&amp;"%2C"&amp;$E466&amp;"&amp;marker="&amp;$F466&amp;","&amp;$E466&amp;",4326&amp;level=16","FEMA AGOL Map Viewer"),HYPERLINK(_xlfn.SINGLE(JobAgolMap)&amp;IF(ISNUMBER(FIND("?",_xlfn.SINGLE(JobAgolMap))),"&amp;","?")&amp;"center="&amp;$F466&amp;","&amp;$E466&amp;"&amp;level=16&amp;marker="&amp;$F466&amp;","&amp;$E466,"Open")))</f>
        <v/>
      </c>
      <c r="Q466" s="4"/>
      <c r="R466" s="4"/>
      <c r="W466" s="6" t="str">
        <f t="shared" si="42"/>
        <v/>
      </c>
      <c r="X466" s="6" t="str">
        <f t="shared" si="43"/>
        <v/>
      </c>
      <c r="Y466" s="6" t="str">
        <f t="shared" si="44"/>
        <v/>
      </c>
      <c r="Z466" s="6" t="str">
        <f t="shared" si="45"/>
        <v/>
      </c>
      <c r="AA466" s="6" t="str">
        <f t="shared" si="46"/>
        <v/>
      </c>
      <c r="AB466" s="6" t="str">
        <f t="shared" si="47"/>
        <v/>
      </c>
      <c r="AC466" s="4"/>
      <c r="AD466" s="4"/>
    </row>
    <row r="467" spans="1:30" x14ac:dyDescent="0.45">
      <c r="A467" s="3"/>
      <c r="B467" s="3"/>
      <c r="C467" s="5" t="str">
        <f>IF($E467="","",COUNT($E$2:$E467))</f>
        <v/>
      </c>
      <c r="D467" s="3"/>
      <c r="E467" s="3"/>
      <c r="F467" s="3"/>
      <c r="G467" s="3"/>
      <c r="H467" s="3"/>
      <c r="I467" s="3"/>
      <c r="J467" s="3"/>
      <c r="K467" s="3"/>
      <c r="L467" s="4"/>
      <c r="M467" s="6" t="str">
        <f>IF(OR($E467="",$F467=""),"",IF(_xlfn.SINGLE(JobState)="",IF(ROW()=2,HYPERLINK("#JobState","Set State →"),""),HYPERLINK(IF(OR(_xlfn.SINGLE(JobState)="MI",_xlfn.SINGLE(JobState)=""),"https://fema.maps.arcgis.com/apps/mapviewer/index.html?webmap=6a1702b9147243d1a5ee62cd614bc681&amp;center="&amp;$F467&amp;","&amp;$E467&amp;"&amp;level=16&amp;marker="&amp;$F467&amp;","&amp;$E467&amp;"",IF(_xlfn.SINGLE(JobState)="IN","https://fema.maps.arcgis.com/apps/mapviewer/index.html?url=https%3A%2F%2Fgis.indot.in.gov%2Fro%2Frest%2Fservices%2FRAH_GIO_Collaboration%2FLRSE_Functional_Class%2FFeatureServer%2F22&amp;find="&amp;$F467&amp;"%2C"&amp;$E467&amp;"&amp;marker="&amp;$F467&amp;","&amp;$E467&amp;",4326&amp;level=16",IF(_xlfn.SINGLE(JobState)="WI","https://fema.maps.arcgis.com/apps/mapviewer/index.html?url=https://services5.arcgis.com/0pgGLzT0Nh7FVjon/arcgis/rest/services/Functional_Class_Local_Non_Prod/FeatureServer/1&amp;find="&amp;$F467&amp;"%2C"&amp;$E467&amp;"&amp;marker="&amp;$F467&amp;","&amp;$E467&amp;",4326&amp;level=16",IF(_xlfn.SINGLE(JobState)="MN","https://fema.maps.arcgis.com/apps/mapviewer/index.html?url=https%3A%2F%2Fdotapp9.dot.state.mn.us%2Fegis12%2Frest%2Fservices%2FBASEMAP%2Fmndot_commonlayers2%2FMapServer%2F11&amp;find="&amp;$F467&amp;"%2C"&amp;$E467&amp;"&amp;marker="&amp;$F467&amp;","&amp;$E467&amp;",4326&amp;level=16",IF(_xlfn.SINGLE(JobState)="IL","https://fema.maps.arcgis.com/apps/mapviewer/index.html?url=https%3A%2F%2Fgis1.dot.illinois.gov%2Farcgis%2Frest%2Fservices%2FAdministrativeData%2FFunctionalClass%2FMapServer%2F0&amp;find="&amp;$F467&amp;"%2C"&amp;$E467&amp;"&amp;marker="&amp;$F467&amp;","&amp;$E467&amp;",4326&amp;level=16",IF(_xlfn.SINGLE(JobState)="OH","https://fema.maps.arcgis.com/apps/mapviewer/index.html?url=https%3A%2F%2Ftims.dot.state.oh.us%2Fags%2Frest%2Fservices%2FRoadway_Information%2FFunctional_Class%2FMapServer%2F0&amp;find="&amp;$F467&amp;"%2C"&amp;$E467&amp;"&amp;marker="&amp;$F467&amp;","&amp;$E467&amp;",4326&amp;level=16","https://fema.maps.arcgis.com/apps/mapviewer/index.html?find="&amp;$F467&amp;"%2C"&amp;$E467&amp;"&amp;marker="&amp;$F467&amp;","&amp;$E467&amp;",4326&amp;level=16")))))),IF(_xlfn.SINGLE(JobState)="WI","Review Local Roads Layer","Review NFC AGOL Layer"))))</f>
        <v/>
      </c>
      <c r="N467" s="6" t="str">
        <f>IF(OR($E467="",$F467=""),"",IF(_xlfn.SINGLE(JobState)="",IF(ROW()=2,HYPERLINK("#JobState","Set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467&amp;"%2C"&amp;$E467&amp;"&amp;marker="&amp;$F467&amp;","&amp;$E467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7" s="6" t="str">
        <f>IF(OR($E467="", $F467=""),"",IF(_xlfn.SINGLE(JobAgolMap)="",HYPERLINK("https://fema.maps.arcgis.com/apps/mapviewer/index.html?find="&amp;$F467&amp;"%2C"&amp;$E467&amp;"&amp;marker="&amp;$F467&amp;","&amp;$E467&amp;",4326&amp;level=16","FEMA AGOL Map Viewer"),HYPERLINK(_xlfn.SINGLE(JobAgolMap)&amp;IF(ISNUMBER(FIND("?",_xlfn.SINGLE(JobAgolMap))),"&amp;","?")&amp;"center="&amp;$F467&amp;","&amp;$E467&amp;"&amp;level=16&amp;marker="&amp;$F467&amp;","&amp;$E467,"Open")))</f>
        <v/>
      </c>
      <c r="Q467" s="4"/>
      <c r="R467" s="4"/>
      <c r="W467" s="6" t="str">
        <f t="shared" si="42"/>
        <v/>
      </c>
      <c r="X467" s="6" t="str">
        <f t="shared" si="43"/>
        <v/>
      </c>
      <c r="Y467" s="6" t="str">
        <f t="shared" si="44"/>
        <v/>
      </c>
      <c r="Z467" s="6" t="str">
        <f t="shared" si="45"/>
        <v/>
      </c>
      <c r="AA467" s="6" t="str">
        <f t="shared" si="46"/>
        <v/>
      </c>
      <c r="AB467" s="6" t="str">
        <f t="shared" si="47"/>
        <v/>
      </c>
      <c r="AC467" s="4"/>
      <c r="AD467" s="4"/>
    </row>
    <row r="468" spans="1:30" x14ac:dyDescent="0.45">
      <c r="A468" s="3"/>
      <c r="B468" s="3"/>
      <c r="C468" s="5" t="str">
        <f>IF($E468="","",COUNT($E$2:$E468))</f>
        <v/>
      </c>
      <c r="D468" s="3"/>
      <c r="E468" s="3"/>
      <c r="F468" s="3"/>
      <c r="G468" s="3"/>
      <c r="H468" s="3"/>
      <c r="I468" s="3"/>
      <c r="J468" s="3"/>
      <c r="K468" s="3"/>
      <c r="L468" s="4"/>
      <c r="M468" s="6" t="str">
        <f>IF(OR($E468="",$F468=""),"",IF(_xlfn.SINGLE(JobState)="",IF(ROW()=2,HYPERLINK("#JobState","Set State →"),""),HYPERLINK(IF(OR(_xlfn.SINGLE(JobState)="MI",_xlfn.SINGLE(JobState)=""),"https://fema.maps.arcgis.com/apps/mapviewer/index.html?webmap=6a1702b9147243d1a5ee62cd614bc681&amp;center="&amp;$F468&amp;","&amp;$E468&amp;"&amp;level=16&amp;marker="&amp;$F468&amp;","&amp;$E468&amp;"",IF(_xlfn.SINGLE(JobState)="IN","https://fema.maps.arcgis.com/apps/mapviewer/index.html?url=https%3A%2F%2Fgis.indot.in.gov%2Fro%2Frest%2Fservices%2FRAH_GIO_Collaboration%2FLRSE_Functional_Class%2FFeatureServer%2F22&amp;find="&amp;$F468&amp;"%2C"&amp;$E468&amp;"&amp;marker="&amp;$F468&amp;","&amp;$E468&amp;",4326&amp;level=16",IF(_xlfn.SINGLE(JobState)="WI","https://fema.maps.arcgis.com/apps/mapviewer/index.html?url=https://services5.arcgis.com/0pgGLzT0Nh7FVjon/arcgis/rest/services/Functional_Class_Local_Non_Prod/FeatureServer/1&amp;find="&amp;$F468&amp;"%2C"&amp;$E468&amp;"&amp;marker="&amp;$F468&amp;","&amp;$E468&amp;",4326&amp;level=16",IF(_xlfn.SINGLE(JobState)="MN","https://fema.maps.arcgis.com/apps/mapviewer/index.html?url=https%3A%2F%2Fdotapp9.dot.state.mn.us%2Fegis12%2Frest%2Fservices%2FBASEMAP%2Fmndot_commonlayers2%2FMapServer%2F11&amp;find="&amp;$F468&amp;"%2C"&amp;$E468&amp;"&amp;marker="&amp;$F468&amp;","&amp;$E468&amp;",4326&amp;level=16",IF(_xlfn.SINGLE(JobState)="IL","https://fema.maps.arcgis.com/apps/mapviewer/index.html?url=https%3A%2F%2Fgis1.dot.illinois.gov%2Farcgis%2Frest%2Fservices%2FAdministrativeData%2FFunctionalClass%2FMapServer%2F0&amp;find="&amp;$F468&amp;"%2C"&amp;$E468&amp;"&amp;marker="&amp;$F468&amp;","&amp;$E468&amp;",4326&amp;level=16",IF(_xlfn.SINGLE(JobState)="OH","https://fema.maps.arcgis.com/apps/mapviewer/index.html?url=https%3A%2F%2Ftims.dot.state.oh.us%2Fags%2Frest%2Fservices%2FRoadway_Information%2FFunctional_Class%2FMapServer%2F0&amp;find="&amp;$F468&amp;"%2C"&amp;$E468&amp;"&amp;marker="&amp;$F468&amp;","&amp;$E468&amp;",4326&amp;level=16","https://fema.maps.arcgis.com/apps/mapviewer/index.html?find="&amp;$F468&amp;"%2C"&amp;$E468&amp;"&amp;marker="&amp;$F468&amp;","&amp;$E468&amp;",4326&amp;level=16")))))),IF(_xlfn.SINGLE(JobState)="WI","Review Local Roads Layer","Review NFC AGOL Layer"))))</f>
        <v/>
      </c>
      <c r="N468" s="6" t="str">
        <f>IF(OR($E468="",$F468=""),"",IF(_xlfn.SINGLE(JobState)="",IF(ROW()=2,HYPERLINK("#JobState","Set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468&amp;"%2C"&amp;$E468&amp;"&amp;marker="&amp;$F468&amp;","&amp;$E468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8" s="6" t="str">
        <f>IF(OR($E468="", $F468=""),"",IF(_xlfn.SINGLE(JobAgolMap)="",HYPERLINK("https://fema.maps.arcgis.com/apps/mapviewer/index.html?find="&amp;$F468&amp;"%2C"&amp;$E468&amp;"&amp;marker="&amp;$F468&amp;","&amp;$E468&amp;",4326&amp;level=16","FEMA AGOL Map Viewer"),HYPERLINK(_xlfn.SINGLE(JobAgolMap)&amp;IF(ISNUMBER(FIND("?",_xlfn.SINGLE(JobAgolMap))),"&amp;","?")&amp;"center="&amp;$F468&amp;","&amp;$E468&amp;"&amp;level=16&amp;marker="&amp;$F468&amp;","&amp;$E468,"Open")))</f>
        <v/>
      </c>
      <c r="Q468" s="4"/>
      <c r="R468" s="4"/>
      <c r="W468" s="6" t="str">
        <f t="shared" si="42"/>
        <v/>
      </c>
      <c r="X468" s="6" t="str">
        <f t="shared" si="43"/>
        <v/>
      </c>
      <c r="Y468" s="6" t="str">
        <f t="shared" si="44"/>
        <v/>
      </c>
      <c r="Z468" s="6" t="str">
        <f t="shared" si="45"/>
        <v/>
      </c>
      <c r="AA468" s="6" t="str">
        <f t="shared" si="46"/>
        <v/>
      </c>
      <c r="AB468" s="6" t="str">
        <f t="shared" si="47"/>
        <v/>
      </c>
      <c r="AC468" s="4"/>
      <c r="AD468" s="4"/>
    </row>
    <row r="469" spans="1:30" x14ac:dyDescent="0.45">
      <c r="A469" s="3"/>
      <c r="B469" s="3"/>
      <c r="C469" s="5" t="str">
        <f>IF($E469="","",COUNT($E$2:$E469))</f>
        <v/>
      </c>
      <c r="D469" s="3"/>
      <c r="E469" s="3"/>
      <c r="F469" s="3"/>
      <c r="G469" s="3"/>
      <c r="H469" s="3"/>
      <c r="I469" s="3"/>
      <c r="J469" s="3"/>
      <c r="K469" s="3"/>
      <c r="L469" s="4"/>
      <c r="M469" s="6" t="str">
        <f>IF(OR($E469="",$F469=""),"",IF(_xlfn.SINGLE(JobState)="",IF(ROW()=2,HYPERLINK("#JobState","Set State →"),""),HYPERLINK(IF(OR(_xlfn.SINGLE(JobState)="MI",_xlfn.SINGLE(JobState)=""),"https://fema.maps.arcgis.com/apps/mapviewer/index.html?webmap=6a1702b9147243d1a5ee62cd614bc681&amp;center="&amp;$F469&amp;","&amp;$E469&amp;"&amp;level=16&amp;marker="&amp;$F469&amp;","&amp;$E469&amp;"",IF(_xlfn.SINGLE(JobState)="IN","https://fema.maps.arcgis.com/apps/mapviewer/index.html?url=https%3A%2F%2Fgis.indot.in.gov%2Fro%2Frest%2Fservices%2FRAH_GIO_Collaboration%2FLRSE_Functional_Class%2FFeatureServer%2F22&amp;find="&amp;$F469&amp;"%2C"&amp;$E469&amp;"&amp;marker="&amp;$F469&amp;","&amp;$E469&amp;",4326&amp;level=16",IF(_xlfn.SINGLE(JobState)="WI","https://fema.maps.arcgis.com/apps/mapviewer/index.html?url=https://services5.arcgis.com/0pgGLzT0Nh7FVjon/arcgis/rest/services/Functional_Class_Local_Non_Prod/FeatureServer/1&amp;find="&amp;$F469&amp;"%2C"&amp;$E469&amp;"&amp;marker="&amp;$F469&amp;","&amp;$E469&amp;",4326&amp;level=16",IF(_xlfn.SINGLE(JobState)="MN","https://fema.maps.arcgis.com/apps/mapviewer/index.html?url=https%3A%2F%2Fdotapp9.dot.state.mn.us%2Fegis12%2Frest%2Fservices%2FBASEMAP%2Fmndot_commonlayers2%2FMapServer%2F11&amp;find="&amp;$F469&amp;"%2C"&amp;$E469&amp;"&amp;marker="&amp;$F469&amp;","&amp;$E469&amp;",4326&amp;level=16",IF(_xlfn.SINGLE(JobState)="IL","https://fema.maps.arcgis.com/apps/mapviewer/index.html?url=https%3A%2F%2Fgis1.dot.illinois.gov%2Farcgis%2Frest%2Fservices%2FAdministrativeData%2FFunctionalClass%2FMapServer%2F0&amp;find="&amp;$F469&amp;"%2C"&amp;$E469&amp;"&amp;marker="&amp;$F469&amp;","&amp;$E469&amp;",4326&amp;level=16",IF(_xlfn.SINGLE(JobState)="OH","https://fema.maps.arcgis.com/apps/mapviewer/index.html?url=https%3A%2F%2Ftims.dot.state.oh.us%2Fags%2Frest%2Fservices%2FRoadway_Information%2FFunctional_Class%2FMapServer%2F0&amp;find="&amp;$F469&amp;"%2C"&amp;$E469&amp;"&amp;marker="&amp;$F469&amp;","&amp;$E469&amp;",4326&amp;level=16","https://fema.maps.arcgis.com/apps/mapviewer/index.html?find="&amp;$F469&amp;"%2C"&amp;$E469&amp;"&amp;marker="&amp;$F469&amp;","&amp;$E469&amp;",4326&amp;level=16")))))),IF(_xlfn.SINGLE(JobState)="WI","Review Local Roads Layer","Review NFC AGOL Layer"))))</f>
        <v/>
      </c>
      <c r="N469" s="6" t="str">
        <f>IF(OR($E469="",$F469=""),"",IF(_xlfn.SINGLE(JobState)="",IF(ROW()=2,HYPERLINK("#JobState","Set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469&amp;"%2C"&amp;$E469&amp;"&amp;marker="&amp;$F469&amp;","&amp;$E469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9" s="6" t="str">
        <f>IF(OR($E469="", $F469=""),"",IF(_xlfn.SINGLE(JobAgolMap)="",HYPERLINK("https://fema.maps.arcgis.com/apps/mapviewer/index.html?find="&amp;$F469&amp;"%2C"&amp;$E469&amp;"&amp;marker="&amp;$F469&amp;","&amp;$E469&amp;",4326&amp;level=16","FEMA AGOL Map Viewer"),HYPERLINK(_xlfn.SINGLE(JobAgolMap)&amp;IF(ISNUMBER(FIND("?",_xlfn.SINGLE(JobAgolMap))),"&amp;","?")&amp;"center="&amp;$F469&amp;","&amp;$E469&amp;"&amp;level=16&amp;marker="&amp;$F469&amp;","&amp;$E469,"Open")))</f>
        <v/>
      </c>
      <c r="Q469" s="4"/>
      <c r="R469" s="4"/>
      <c r="W469" s="6" t="str">
        <f t="shared" si="42"/>
        <v/>
      </c>
      <c r="X469" s="6" t="str">
        <f t="shared" si="43"/>
        <v/>
      </c>
      <c r="Y469" s="6" t="str">
        <f t="shared" si="44"/>
        <v/>
      </c>
      <c r="Z469" s="6" t="str">
        <f t="shared" si="45"/>
        <v/>
      </c>
      <c r="AA469" s="6" t="str">
        <f t="shared" si="46"/>
        <v/>
      </c>
      <c r="AB469" s="6" t="str">
        <f t="shared" si="47"/>
        <v/>
      </c>
      <c r="AC469" s="4"/>
      <c r="AD469" s="4"/>
    </row>
    <row r="470" spans="1:30" x14ac:dyDescent="0.45">
      <c r="A470" s="3"/>
      <c r="B470" s="3"/>
      <c r="C470" s="5" t="str">
        <f>IF($E470="","",COUNT($E$2:$E470))</f>
        <v/>
      </c>
      <c r="D470" s="3"/>
      <c r="E470" s="3"/>
      <c r="F470" s="3"/>
      <c r="G470" s="3"/>
      <c r="H470" s="3"/>
      <c r="I470" s="3"/>
      <c r="J470" s="3"/>
      <c r="K470" s="3"/>
      <c r="L470" s="4"/>
      <c r="M470" s="6" t="str">
        <f>IF(OR($E470="",$F470=""),"",IF(_xlfn.SINGLE(JobState)="",IF(ROW()=2,HYPERLINK("#JobState","Set State →"),""),HYPERLINK(IF(OR(_xlfn.SINGLE(JobState)="MI",_xlfn.SINGLE(JobState)=""),"https://fema.maps.arcgis.com/apps/mapviewer/index.html?webmap=6a1702b9147243d1a5ee62cd614bc681&amp;center="&amp;$F470&amp;","&amp;$E470&amp;"&amp;level=16&amp;marker="&amp;$F470&amp;","&amp;$E470&amp;"",IF(_xlfn.SINGLE(JobState)="IN","https://fema.maps.arcgis.com/apps/mapviewer/index.html?url=https%3A%2F%2Fgis.indot.in.gov%2Fro%2Frest%2Fservices%2FRAH_GIO_Collaboration%2FLRSE_Functional_Class%2FFeatureServer%2F22&amp;find="&amp;$F470&amp;"%2C"&amp;$E470&amp;"&amp;marker="&amp;$F470&amp;","&amp;$E470&amp;",4326&amp;level=16",IF(_xlfn.SINGLE(JobState)="WI","https://fema.maps.arcgis.com/apps/mapviewer/index.html?url=https://services5.arcgis.com/0pgGLzT0Nh7FVjon/arcgis/rest/services/Functional_Class_Local_Non_Prod/FeatureServer/1&amp;find="&amp;$F470&amp;"%2C"&amp;$E470&amp;"&amp;marker="&amp;$F470&amp;","&amp;$E470&amp;",4326&amp;level=16",IF(_xlfn.SINGLE(JobState)="MN","https://fema.maps.arcgis.com/apps/mapviewer/index.html?url=https%3A%2F%2Fdotapp9.dot.state.mn.us%2Fegis12%2Frest%2Fservices%2FBASEMAP%2Fmndot_commonlayers2%2FMapServer%2F11&amp;find="&amp;$F470&amp;"%2C"&amp;$E470&amp;"&amp;marker="&amp;$F470&amp;","&amp;$E470&amp;",4326&amp;level=16",IF(_xlfn.SINGLE(JobState)="IL","https://fema.maps.arcgis.com/apps/mapviewer/index.html?url=https%3A%2F%2Fgis1.dot.illinois.gov%2Farcgis%2Frest%2Fservices%2FAdministrativeData%2FFunctionalClass%2FMapServer%2F0&amp;find="&amp;$F470&amp;"%2C"&amp;$E470&amp;"&amp;marker="&amp;$F470&amp;","&amp;$E470&amp;",4326&amp;level=16",IF(_xlfn.SINGLE(JobState)="OH","https://fema.maps.arcgis.com/apps/mapviewer/index.html?url=https%3A%2F%2Ftims.dot.state.oh.us%2Fags%2Frest%2Fservices%2FRoadway_Information%2FFunctional_Class%2FMapServer%2F0&amp;find="&amp;$F470&amp;"%2C"&amp;$E470&amp;"&amp;marker="&amp;$F470&amp;","&amp;$E470&amp;",4326&amp;level=16","https://fema.maps.arcgis.com/apps/mapviewer/index.html?find="&amp;$F470&amp;"%2C"&amp;$E470&amp;"&amp;marker="&amp;$F470&amp;","&amp;$E470&amp;",4326&amp;level=16")))))),IF(_xlfn.SINGLE(JobState)="WI","Review Local Roads Layer","Review NFC AGOL Layer"))))</f>
        <v/>
      </c>
      <c r="N470" s="6" t="str">
        <f>IF(OR($E470="",$F470=""),"",IF(_xlfn.SINGLE(JobState)="",IF(ROW()=2,HYPERLINK("#JobState","Set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470&amp;"%2C"&amp;$E470&amp;"&amp;marker="&amp;$F470&amp;","&amp;$E470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0" s="6" t="str">
        <f>IF(OR($E470="", $F470=""),"",IF(_xlfn.SINGLE(JobAgolMap)="",HYPERLINK("https://fema.maps.arcgis.com/apps/mapviewer/index.html?find="&amp;$F470&amp;"%2C"&amp;$E470&amp;"&amp;marker="&amp;$F470&amp;","&amp;$E470&amp;",4326&amp;level=16","FEMA AGOL Map Viewer"),HYPERLINK(_xlfn.SINGLE(JobAgolMap)&amp;IF(ISNUMBER(FIND("?",_xlfn.SINGLE(JobAgolMap))),"&amp;","?")&amp;"center="&amp;$F470&amp;","&amp;$E470&amp;"&amp;level=16&amp;marker="&amp;$F470&amp;","&amp;$E470,"Open")))</f>
        <v/>
      </c>
      <c r="Q470" s="4"/>
      <c r="R470" s="4"/>
      <c r="W470" s="6" t="str">
        <f t="shared" si="42"/>
        <v/>
      </c>
      <c r="X470" s="6" t="str">
        <f t="shared" si="43"/>
        <v/>
      </c>
      <c r="Y470" s="6" t="str">
        <f t="shared" si="44"/>
        <v/>
      </c>
      <c r="Z470" s="6" t="str">
        <f t="shared" si="45"/>
        <v/>
      </c>
      <c r="AA470" s="6" t="str">
        <f t="shared" si="46"/>
        <v/>
      </c>
      <c r="AB470" s="6" t="str">
        <f t="shared" si="47"/>
        <v/>
      </c>
      <c r="AC470" s="4"/>
      <c r="AD470" s="4"/>
    </row>
    <row r="471" spans="1:30" x14ac:dyDescent="0.45">
      <c r="A471" s="3"/>
      <c r="B471" s="3"/>
      <c r="C471" s="5" t="str">
        <f>IF($E471="","",COUNT($E$2:$E471))</f>
        <v/>
      </c>
      <c r="D471" s="3"/>
      <c r="E471" s="3"/>
      <c r="F471" s="3"/>
      <c r="G471" s="3"/>
      <c r="H471" s="3"/>
      <c r="I471" s="3"/>
      <c r="J471" s="3"/>
      <c r="K471" s="3"/>
      <c r="L471" s="4"/>
      <c r="M471" s="6" t="str">
        <f>IF(OR($E471="",$F471=""),"",IF(_xlfn.SINGLE(JobState)="",IF(ROW()=2,HYPERLINK("#JobState","Set State →"),""),HYPERLINK(IF(OR(_xlfn.SINGLE(JobState)="MI",_xlfn.SINGLE(JobState)=""),"https://fema.maps.arcgis.com/apps/mapviewer/index.html?webmap=6a1702b9147243d1a5ee62cd614bc681&amp;center="&amp;$F471&amp;","&amp;$E471&amp;"&amp;level=16&amp;marker="&amp;$F471&amp;","&amp;$E471&amp;"",IF(_xlfn.SINGLE(JobState)="IN","https://fema.maps.arcgis.com/apps/mapviewer/index.html?url=https%3A%2F%2Fgis.indot.in.gov%2Fro%2Frest%2Fservices%2FRAH_GIO_Collaboration%2FLRSE_Functional_Class%2FFeatureServer%2F22&amp;find="&amp;$F471&amp;"%2C"&amp;$E471&amp;"&amp;marker="&amp;$F471&amp;","&amp;$E471&amp;",4326&amp;level=16",IF(_xlfn.SINGLE(JobState)="WI","https://fema.maps.arcgis.com/apps/mapviewer/index.html?url=https://services5.arcgis.com/0pgGLzT0Nh7FVjon/arcgis/rest/services/Functional_Class_Local_Non_Prod/FeatureServer/1&amp;find="&amp;$F471&amp;"%2C"&amp;$E471&amp;"&amp;marker="&amp;$F471&amp;","&amp;$E471&amp;",4326&amp;level=16",IF(_xlfn.SINGLE(JobState)="MN","https://fema.maps.arcgis.com/apps/mapviewer/index.html?url=https%3A%2F%2Fdotapp9.dot.state.mn.us%2Fegis12%2Frest%2Fservices%2FBASEMAP%2Fmndot_commonlayers2%2FMapServer%2F11&amp;find="&amp;$F471&amp;"%2C"&amp;$E471&amp;"&amp;marker="&amp;$F471&amp;","&amp;$E471&amp;",4326&amp;level=16",IF(_xlfn.SINGLE(JobState)="IL","https://fema.maps.arcgis.com/apps/mapviewer/index.html?url=https%3A%2F%2Fgis1.dot.illinois.gov%2Farcgis%2Frest%2Fservices%2FAdministrativeData%2FFunctionalClass%2FMapServer%2F0&amp;find="&amp;$F471&amp;"%2C"&amp;$E471&amp;"&amp;marker="&amp;$F471&amp;","&amp;$E471&amp;",4326&amp;level=16",IF(_xlfn.SINGLE(JobState)="OH","https://fema.maps.arcgis.com/apps/mapviewer/index.html?url=https%3A%2F%2Ftims.dot.state.oh.us%2Fags%2Frest%2Fservices%2FRoadway_Information%2FFunctional_Class%2FMapServer%2F0&amp;find="&amp;$F471&amp;"%2C"&amp;$E471&amp;"&amp;marker="&amp;$F471&amp;","&amp;$E471&amp;",4326&amp;level=16","https://fema.maps.arcgis.com/apps/mapviewer/index.html?find="&amp;$F471&amp;"%2C"&amp;$E471&amp;"&amp;marker="&amp;$F471&amp;","&amp;$E471&amp;",4326&amp;level=16")))))),IF(_xlfn.SINGLE(JobState)="WI","Review Local Roads Layer","Review NFC AGOL Layer"))))</f>
        <v/>
      </c>
      <c r="N471" s="6" t="str">
        <f>IF(OR($E471="",$F471=""),"",IF(_xlfn.SINGLE(JobState)="",IF(ROW()=2,HYPERLINK("#JobState","Set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471&amp;"%2C"&amp;$E471&amp;"&amp;marker="&amp;$F471&amp;","&amp;$E471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1" s="6" t="str">
        <f>IF(OR($E471="", $F471=""),"",IF(_xlfn.SINGLE(JobAgolMap)="",HYPERLINK("https://fema.maps.arcgis.com/apps/mapviewer/index.html?find="&amp;$F471&amp;"%2C"&amp;$E471&amp;"&amp;marker="&amp;$F471&amp;","&amp;$E471&amp;",4326&amp;level=16","FEMA AGOL Map Viewer"),HYPERLINK(_xlfn.SINGLE(JobAgolMap)&amp;IF(ISNUMBER(FIND("?",_xlfn.SINGLE(JobAgolMap))),"&amp;","?")&amp;"center="&amp;$F471&amp;","&amp;$E471&amp;"&amp;level=16&amp;marker="&amp;$F471&amp;","&amp;$E471,"Open")))</f>
        <v/>
      </c>
      <c r="Q471" s="4"/>
      <c r="R471" s="4"/>
      <c r="W471" s="6" t="str">
        <f t="shared" si="42"/>
        <v/>
      </c>
      <c r="X471" s="6" t="str">
        <f t="shared" si="43"/>
        <v/>
      </c>
      <c r="Y471" s="6" t="str">
        <f t="shared" si="44"/>
        <v/>
      </c>
      <c r="Z471" s="6" t="str">
        <f t="shared" si="45"/>
        <v/>
      </c>
      <c r="AA471" s="6" t="str">
        <f t="shared" si="46"/>
        <v/>
      </c>
      <c r="AB471" s="6" t="str">
        <f t="shared" si="47"/>
        <v/>
      </c>
      <c r="AC471" s="4"/>
      <c r="AD471" s="4"/>
    </row>
    <row r="472" spans="1:30" x14ac:dyDescent="0.45">
      <c r="A472" s="3"/>
      <c r="B472" s="3"/>
      <c r="C472" s="5" t="str">
        <f>IF($E472="","",COUNT($E$2:$E472))</f>
        <v/>
      </c>
      <c r="D472" s="3"/>
      <c r="E472" s="3"/>
      <c r="F472" s="3"/>
      <c r="G472" s="3"/>
      <c r="H472" s="3"/>
      <c r="I472" s="3"/>
      <c r="J472" s="3"/>
      <c r="K472" s="3"/>
      <c r="L472" s="4"/>
      <c r="M472" s="6" t="str">
        <f>IF(OR($E472="",$F472=""),"",IF(_xlfn.SINGLE(JobState)="",IF(ROW()=2,HYPERLINK("#JobState","Set State →"),""),HYPERLINK(IF(OR(_xlfn.SINGLE(JobState)="MI",_xlfn.SINGLE(JobState)=""),"https://fema.maps.arcgis.com/apps/mapviewer/index.html?webmap=6a1702b9147243d1a5ee62cd614bc681&amp;center="&amp;$F472&amp;","&amp;$E472&amp;"&amp;level=16&amp;marker="&amp;$F472&amp;","&amp;$E472&amp;"",IF(_xlfn.SINGLE(JobState)="IN","https://fema.maps.arcgis.com/apps/mapviewer/index.html?url=https%3A%2F%2Fgis.indot.in.gov%2Fro%2Frest%2Fservices%2FRAH_GIO_Collaboration%2FLRSE_Functional_Class%2FFeatureServer%2F22&amp;find="&amp;$F472&amp;"%2C"&amp;$E472&amp;"&amp;marker="&amp;$F472&amp;","&amp;$E472&amp;",4326&amp;level=16",IF(_xlfn.SINGLE(JobState)="WI","https://fema.maps.arcgis.com/apps/mapviewer/index.html?url=https://services5.arcgis.com/0pgGLzT0Nh7FVjon/arcgis/rest/services/Functional_Class_Local_Non_Prod/FeatureServer/1&amp;find="&amp;$F472&amp;"%2C"&amp;$E472&amp;"&amp;marker="&amp;$F472&amp;","&amp;$E472&amp;",4326&amp;level=16",IF(_xlfn.SINGLE(JobState)="MN","https://fema.maps.arcgis.com/apps/mapviewer/index.html?url=https%3A%2F%2Fdotapp9.dot.state.mn.us%2Fegis12%2Frest%2Fservices%2FBASEMAP%2Fmndot_commonlayers2%2FMapServer%2F11&amp;find="&amp;$F472&amp;"%2C"&amp;$E472&amp;"&amp;marker="&amp;$F472&amp;","&amp;$E472&amp;",4326&amp;level=16",IF(_xlfn.SINGLE(JobState)="IL","https://fema.maps.arcgis.com/apps/mapviewer/index.html?url=https%3A%2F%2Fgis1.dot.illinois.gov%2Farcgis%2Frest%2Fservices%2FAdministrativeData%2FFunctionalClass%2FMapServer%2F0&amp;find="&amp;$F472&amp;"%2C"&amp;$E472&amp;"&amp;marker="&amp;$F472&amp;","&amp;$E472&amp;",4326&amp;level=16",IF(_xlfn.SINGLE(JobState)="OH","https://fema.maps.arcgis.com/apps/mapviewer/index.html?url=https%3A%2F%2Ftims.dot.state.oh.us%2Fags%2Frest%2Fservices%2FRoadway_Information%2FFunctional_Class%2FMapServer%2F0&amp;find="&amp;$F472&amp;"%2C"&amp;$E472&amp;"&amp;marker="&amp;$F472&amp;","&amp;$E472&amp;",4326&amp;level=16","https://fema.maps.arcgis.com/apps/mapviewer/index.html?find="&amp;$F472&amp;"%2C"&amp;$E472&amp;"&amp;marker="&amp;$F472&amp;","&amp;$E472&amp;",4326&amp;level=16")))))),IF(_xlfn.SINGLE(JobState)="WI","Review Local Roads Layer","Review NFC AGOL Layer"))))</f>
        <v/>
      </c>
      <c r="N472" s="6" t="str">
        <f>IF(OR($E472="",$F472=""),"",IF(_xlfn.SINGLE(JobState)="",IF(ROW()=2,HYPERLINK("#JobState","Set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472&amp;"%2C"&amp;$E472&amp;"&amp;marker="&amp;$F472&amp;","&amp;$E472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2" s="6" t="str">
        <f>IF(OR($E472="", $F472=""),"",IF(_xlfn.SINGLE(JobAgolMap)="",HYPERLINK("https://fema.maps.arcgis.com/apps/mapviewer/index.html?find="&amp;$F472&amp;"%2C"&amp;$E472&amp;"&amp;marker="&amp;$F472&amp;","&amp;$E472&amp;",4326&amp;level=16","FEMA AGOL Map Viewer"),HYPERLINK(_xlfn.SINGLE(JobAgolMap)&amp;IF(ISNUMBER(FIND("?",_xlfn.SINGLE(JobAgolMap))),"&amp;","?")&amp;"center="&amp;$F472&amp;","&amp;$E472&amp;"&amp;level=16&amp;marker="&amp;$F472&amp;","&amp;$E472,"Open")))</f>
        <v/>
      </c>
      <c r="Q472" s="4"/>
      <c r="R472" s="4"/>
      <c r="W472" s="6" t="str">
        <f t="shared" si="42"/>
        <v/>
      </c>
      <c r="X472" s="6" t="str">
        <f t="shared" si="43"/>
        <v/>
      </c>
      <c r="Y472" s="6" t="str">
        <f t="shared" si="44"/>
        <v/>
      </c>
      <c r="Z472" s="6" t="str">
        <f t="shared" si="45"/>
        <v/>
      </c>
      <c r="AA472" s="6" t="str">
        <f t="shared" si="46"/>
        <v/>
      </c>
      <c r="AB472" s="6" t="str">
        <f t="shared" si="47"/>
        <v/>
      </c>
      <c r="AC472" s="4"/>
      <c r="AD472" s="4"/>
    </row>
    <row r="473" spans="1:30" x14ac:dyDescent="0.45">
      <c r="A473" s="3"/>
      <c r="B473" s="3"/>
      <c r="C473" s="5" t="str">
        <f>IF($E473="","",COUNT($E$2:$E473))</f>
        <v/>
      </c>
      <c r="D473" s="3"/>
      <c r="E473" s="3"/>
      <c r="F473" s="3"/>
      <c r="G473" s="3"/>
      <c r="H473" s="3"/>
      <c r="I473" s="3"/>
      <c r="J473" s="3"/>
      <c r="K473" s="3"/>
      <c r="L473" s="4"/>
      <c r="M473" s="6" t="str">
        <f>IF(OR($E473="",$F473=""),"",IF(_xlfn.SINGLE(JobState)="",IF(ROW()=2,HYPERLINK("#JobState","Set State →"),""),HYPERLINK(IF(OR(_xlfn.SINGLE(JobState)="MI",_xlfn.SINGLE(JobState)=""),"https://fema.maps.arcgis.com/apps/mapviewer/index.html?webmap=6a1702b9147243d1a5ee62cd614bc681&amp;center="&amp;$F473&amp;","&amp;$E473&amp;"&amp;level=16&amp;marker="&amp;$F473&amp;","&amp;$E473&amp;"",IF(_xlfn.SINGLE(JobState)="IN","https://fema.maps.arcgis.com/apps/mapviewer/index.html?url=https%3A%2F%2Fgis.indot.in.gov%2Fro%2Frest%2Fservices%2FRAH_GIO_Collaboration%2FLRSE_Functional_Class%2FFeatureServer%2F22&amp;find="&amp;$F473&amp;"%2C"&amp;$E473&amp;"&amp;marker="&amp;$F473&amp;","&amp;$E473&amp;",4326&amp;level=16",IF(_xlfn.SINGLE(JobState)="WI","https://fema.maps.arcgis.com/apps/mapviewer/index.html?url=https://services5.arcgis.com/0pgGLzT0Nh7FVjon/arcgis/rest/services/Functional_Class_Local_Non_Prod/FeatureServer/1&amp;find="&amp;$F473&amp;"%2C"&amp;$E473&amp;"&amp;marker="&amp;$F473&amp;","&amp;$E473&amp;",4326&amp;level=16",IF(_xlfn.SINGLE(JobState)="MN","https://fema.maps.arcgis.com/apps/mapviewer/index.html?url=https%3A%2F%2Fdotapp9.dot.state.mn.us%2Fegis12%2Frest%2Fservices%2FBASEMAP%2Fmndot_commonlayers2%2FMapServer%2F11&amp;find="&amp;$F473&amp;"%2C"&amp;$E473&amp;"&amp;marker="&amp;$F473&amp;","&amp;$E473&amp;",4326&amp;level=16",IF(_xlfn.SINGLE(JobState)="IL","https://fema.maps.arcgis.com/apps/mapviewer/index.html?url=https%3A%2F%2Fgis1.dot.illinois.gov%2Farcgis%2Frest%2Fservices%2FAdministrativeData%2FFunctionalClass%2FMapServer%2F0&amp;find="&amp;$F473&amp;"%2C"&amp;$E473&amp;"&amp;marker="&amp;$F473&amp;","&amp;$E473&amp;",4326&amp;level=16",IF(_xlfn.SINGLE(JobState)="OH","https://fema.maps.arcgis.com/apps/mapviewer/index.html?url=https%3A%2F%2Ftims.dot.state.oh.us%2Fags%2Frest%2Fservices%2FRoadway_Information%2FFunctional_Class%2FMapServer%2F0&amp;find="&amp;$F473&amp;"%2C"&amp;$E473&amp;"&amp;marker="&amp;$F473&amp;","&amp;$E473&amp;",4326&amp;level=16","https://fema.maps.arcgis.com/apps/mapviewer/index.html?find="&amp;$F473&amp;"%2C"&amp;$E473&amp;"&amp;marker="&amp;$F473&amp;","&amp;$E473&amp;",4326&amp;level=16")))))),IF(_xlfn.SINGLE(JobState)="WI","Review Local Roads Layer","Review NFC AGOL Layer"))))</f>
        <v/>
      </c>
      <c r="N473" s="6" t="str">
        <f>IF(OR($E473="",$F473=""),"",IF(_xlfn.SINGLE(JobState)="",IF(ROW()=2,HYPERLINK("#JobState","Set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473&amp;"%2C"&amp;$E473&amp;"&amp;marker="&amp;$F473&amp;","&amp;$E473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3" s="6" t="str">
        <f>IF(OR($E473="", $F473=""),"",IF(_xlfn.SINGLE(JobAgolMap)="",HYPERLINK("https://fema.maps.arcgis.com/apps/mapviewer/index.html?find="&amp;$F473&amp;"%2C"&amp;$E473&amp;"&amp;marker="&amp;$F473&amp;","&amp;$E473&amp;",4326&amp;level=16","FEMA AGOL Map Viewer"),HYPERLINK(_xlfn.SINGLE(JobAgolMap)&amp;IF(ISNUMBER(FIND("?",_xlfn.SINGLE(JobAgolMap))),"&amp;","?")&amp;"center="&amp;$F473&amp;","&amp;$E473&amp;"&amp;level=16&amp;marker="&amp;$F473&amp;","&amp;$E473,"Open")))</f>
        <v/>
      </c>
      <c r="Q473" s="4"/>
      <c r="R473" s="4"/>
      <c r="W473" s="6" t="str">
        <f t="shared" si="42"/>
        <v/>
      </c>
      <c r="X473" s="6" t="str">
        <f t="shared" si="43"/>
        <v/>
      </c>
      <c r="Y473" s="6" t="str">
        <f t="shared" si="44"/>
        <v/>
      </c>
      <c r="Z473" s="6" t="str">
        <f t="shared" si="45"/>
        <v/>
      </c>
      <c r="AA473" s="6" t="str">
        <f t="shared" si="46"/>
        <v/>
      </c>
      <c r="AB473" s="6" t="str">
        <f t="shared" si="47"/>
        <v/>
      </c>
      <c r="AC473" s="4"/>
      <c r="AD473" s="4"/>
    </row>
    <row r="474" spans="1:30" x14ac:dyDescent="0.45">
      <c r="A474" s="3"/>
      <c r="B474" s="3"/>
      <c r="C474" s="5" t="str">
        <f>IF($E474="","",COUNT($E$2:$E474))</f>
        <v/>
      </c>
      <c r="D474" s="3"/>
      <c r="E474" s="3"/>
      <c r="F474" s="3"/>
      <c r="G474" s="3"/>
      <c r="H474" s="3"/>
      <c r="I474" s="3"/>
      <c r="J474" s="3"/>
      <c r="K474" s="3"/>
      <c r="L474" s="4"/>
      <c r="M474" s="6" t="str">
        <f>IF(OR($E474="",$F474=""),"",IF(_xlfn.SINGLE(JobState)="",IF(ROW()=2,HYPERLINK("#JobState","Set State →"),""),HYPERLINK(IF(OR(_xlfn.SINGLE(JobState)="MI",_xlfn.SINGLE(JobState)=""),"https://fema.maps.arcgis.com/apps/mapviewer/index.html?webmap=6a1702b9147243d1a5ee62cd614bc681&amp;center="&amp;$F474&amp;","&amp;$E474&amp;"&amp;level=16&amp;marker="&amp;$F474&amp;","&amp;$E474&amp;"",IF(_xlfn.SINGLE(JobState)="IN","https://fema.maps.arcgis.com/apps/mapviewer/index.html?url=https%3A%2F%2Fgis.indot.in.gov%2Fro%2Frest%2Fservices%2FRAH_GIO_Collaboration%2FLRSE_Functional_Class%2FFeatureServer%2F22&amp;find="&amp;$F474&amp;"%2C"&amp;$E474&amp;"&amp;marker="&amp;$F474&amp;","&amp;$E474&amp;",4326&amp;level=16",IF(_xlfn.SINGLE(JobState)="WI","https://fema.maps.arcgis.com/apps/mapviewer/index.html?url=https://services5.arcgis.com/0pgGLzT0Nh7FVjon/arcgis/rest/services/Functional_Class_Local_Non_Prod/FeatureServer/1&amp;find="&amp;$F474&amp;"%2C"&amp;$E474&amp;"&amp;marker="&amp;$F474&amp;","&amp;$E474&amp;",4326&amp;level=16",IF(_xlfn.SINGLE(JobState)="MN","https://fema.maps.arcgis.com/apps/mapviewer/index.html?url=https%3A%2F%2Fdotapp9.dot.state.mn.us%2Fegis12%2Frest%2Fservices%2FBASEMAP%2Fmndot_commonlayers2%2FMapServer%2F11&amp;find="&amp;$F474&amp;"%2C"&amp;$E474&amp;"&amp;marker="&amp;$F474&amp;","&amp;$E474&amp;",4326&amp;level=16",IF(_xlfn.SINGLE(JobState)="IL","https://fema.maps.arcgis.com/apps/mapviewer/index.html?url=https%3A%2F%2Fgis1.dot.illinois.gov%2Farcgis%2Frest%2Fservices%2FAdministrativeData%2FFunctionalClass%2FMapServer%2F0&amp;find="&amp;$F474&amp;"%2C"&amp;$E474&amp;"&amp;marker="&amp;$F474&amp;","&amp;$E474&amp;",4326&amp;level=16",IF(_xlfn.SINGLE(JobState)="OH","https://fema.maps.arcgis.com/apps/mapviewer/index.html?url=https%3A%2F%2Ftims.dot.state.oh.us%2Fags%2Frest%2Fservices%2FRoadway_Information%2FFunctional_Class%2FMapServer%2F0&amp;find="&amp;$F474&amp;"%2C"&amp;$E474&amp;"&amp;marker="&amp;$F474&amp;","&amp;$E474&amp;",4326&amp;level=16","https://fema.maps.arcgis.com/apps/mapviewer/index.html?find="&amp;$F474&amp;"%2C"&amp;$E474&amp;"&amp;marker="&amp;$F474&amp;","&amp;$E474&amp;",4326&amp;level=16")))))),IF(_xlfn.SINGLE(JobState)="WI","Review Local Roads Layer","Review NFC AGOL Layer"))))</f>
        <v/>
      </c>
      <c r="N474" s="6" t="str">
        <f>IF(OR($E474="",$F474=""),"",IF(_xlfn.SINGLE(JobState)="",IF(ROW()=2,HYPERLINK("#JobState","Set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474&amp;"%2C"&amp;$E474&amp;"&amp;marker="&amp;$F474&amp;","&amp;$E474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4" s="6" t="str">
        <f>IF(OR($E474="", $F474=""),"",IF(_xlfn.SINGLE(JobAgolMap)="",HYPERLINK("https://fema.maps.arcgis.com/apps/mapviewer/index.html?find="&amp;$F474&amp;"%2C"&amp;$E474&amp;"&amp;marker="&amp;$F474&amp;","&amp;$E474&amp;",4326&amp;level=16","FEMA AGOL Map Viewer"),HYPERLINK(_xlfn.SINGLE(JobAgolMap)&amp;IF(ISNUMBER(FIND("?",_xlfn.SINGLE(JobAgolMap))),"&amp;","?")&amp;"center="&amp;$F474&amp;","&amp;$E474&amp;"&amp;level=16&amp;marker="&amp;$F474&amp;","&amp;$E474,"Open")))</f>
        <v/>
      </c>
      <c r="Q474" s="4"/>
      <c r="R474" s="4"/>
      <c r="W474" s="6" t="str">
        <f t="shared" si="42"/>
        <v/>
      </c>
      <c r="X474" s="6" t="str">
        <f t="shared" si="43"/>
        <v/>
      </c>
      <c r="Y474" s="6" t="str">
        <f t="shared" si="44"/>
        <v/>
      </c>
      <c r="Z474" s="6" t="str">
        <f t="shared" si="45"/>
        <v/>
      </c>
      <c r="AA474" s="6" t="str">
        <f t="shared" si="46"/>
        <v/>
      </c>
      <c r="AB474" s="6" t="str">
        <f t="shared" si="47"/>
        <v/>
      </c>
      <c r="AC474" s="4"/>
      <c r="AD474" s="4"/>
    </row>
    <row r="475" spans="1:30" x14ac:dyDescent="0.45">
      <c r="A475" s="3"/>
      <c r="B475" s="3"/>
      <c r="C475" s="5" t="str">
        <f>IF($E475="","",COUNT($E$2:$E475))</f>
        <v/>
      </c>
      <c r="D475" s="3"/>
      <c r="E475" s="3"/>
      <c r="F475" s="3"/>
      <c r="G475" s="3"/>
      <c r="H475" s="3"/>
      <c r="I475" s="3"/>
      <c r="J475" s="3"/>
      <c r="K475" s="3"/>
      <c r="L475" s="4"/>
      <c r="M475" s="6" t="str">
        <f>IF(OR($E475="",$F475=""),"",IF(_xlfn.SINGLE(JobState)="",IF(ROW()=2,HYPERLINK("#JobState","Set State →"),""),HYPERLINK(IF(OR(_xlfn.SINGLE(JobState)="MI",_xlfn.SINGLE(JobState)=""),"https://fema.maps.arcgis.com/apps/mapviewer/index.html?webmap=6a1702b9147243d1a5ee62cd614bc681&amp;center="&amp;$F475&amp;","&amp;$E475&amp;"&amp;level=16&amp;marker="&amp;$F475&amp;","&amp;$E475&amp;"",IF(_xlfn.SINGLE(JobState)="IN","https://fema.maps.arcgis.com/apps/mapviewer/index.html?url=https%3A%2F%2Fgis.indot.in.gov%2Fro%2Frest%2Fservices%2FRAH_GIO_Collaboration%2FLRSE_Functional_Class%2FFeatureServer%2F22&amp;find="&amp;$F475&amp;"%2C"&amp;$E475&amp;"&amp;marker="&amp;$F475&amp;","&amp;$E475&amp;",4326&amp;level=16",IF(_xlfn.SINGLE(JobState)="WI","https://fema.maps.arcgis.com/apps/mapviewer/index.html?url=https://services5.arcgis.com/0pgGLzT0Nh7FVjon/arcgis/rest/services/Functional_Class_Local_Non_Prod/FeatureServer/1&amp;find="&amp;$F475&amp;"%2C"&amp;$E475&amp;"&amp;marker="&amp;$F475&amp;","&amp;$E475&amp;",4326&amp;level=16",IF(_xlfn.SINGLE(JobState)="MN","https://fema.maps.arcgis.com/apps/mapviewer/index.html?url=https%3A%2F%2Fdotapp9.dot.state.mn.us%2Fegis12%2Frest%2Fservices%2FBASEMAP%2Fmndot_commonlayers2%2FMapServer%2F11&amp;find="&amp;$F475&amp;"%2C"&amp;$E475&amp;"&amp;marker="&amp;$F475&amp;","&amp;$E475&amp;",4326&amp;level=16",IF(_xlfn.SINGLE(JobState)="IL","https://fema.maps.arcgis.com/apps/mapviewer/index.html?url=https%3A%2F%2Fgis1.dot.illinois.gov%2Farcgis%2Frest%2Fservices%2FAdministrativeData%2FFunctionalClass%2FMapServer%2F0&amp;find="&amp;$F475&amp;"%2C"&amp;$E475&amp;"&amp;marker="&amp;$F475&amp;","&amp;$E475&amp;",4326&amp;level=16",IF(_xlfn.SINGLE(JobState)="OH","https://fema.maps.arcgis.com/apps/mapviewer/index.html?url=https%3A%2F%2Ftims.dot.state.oh.us%2Fags%2Frest%2Fservices%2FRoadway_Information%2FFunctional_Class%2FMapServer%2F0&amp;find="&amp;$F475&amp;"%2C"&amp;$E475&amp;"&amp;marker="&amp;$F475&amp;","&amp;$E475&amp;",4326&amp;level=16","https://fema.maps.arcgis.com/apps/mapviewer/index.html?find="&amp;$F475&amp;"%2C"&amp;$E475&amp;"&amp;marker="&amp;$F475&amp;","&amp;$E475&amp;",4326&amp;level=16")))))),IF(_xlfn.SINGLE(JobState)="WI","Review Local Roads Layer","Review NFC AGOL Layer"))))</f>
        <v/>
      </c>
      <c r="N475" s="6" t="str">
        <f>IF(OR($E475="",$F475=""),"",IF(_xlfn.SINGLE(JobState)="",IF(ROW()=2,HYPERLINK("#JobState","Set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475&amp;"%2C"&amp;$E475&amp;"&amp;marker="&amp;$F475&amp;","&amp;$E475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5" s="6" t="str">
        <f>IF(OR($E475="", $F475=""),"",IF(_xlfn.SINGLE(JobAgolMap)="",HYPERLINK("https://fema.maps.arcgis.com/apps/mapviewer/index.html?find="&amp;$F475&amp;"%2C"&amp;$E475&amp;"&amp;marker="&amp;$F475&amp;","&amp;$E475&amp;",4326&amp;level=16","FEMA AGOL Map Viewer"),HYPERLINK(_xlfn.SINGLE(JobAgolMap)&amp;IF(ISNUMBER(FIND("?",_xlfn.SINGLE(JobAgolMap))),"&amp;","?")&amp;"center="&amp;$F475&amp;","&amp;$E475&amp;"&amp;level=16&amp;marker="&amp;$F475&amp;","&amp;$E475,"Open")))</f>
        <v/>
      </c>
      <c r="Q475" s="4"/>
      <c r="R475" s="4"/>
      <c r="W475" s="6" t="str">
        <f t="shared" si="42"/>
        <v/>
      </c>
      <c r="X475" s="6" t="str">
        <f t="shared" si="43"/>
        <v/>
      </c>
      <c r="Y475" s="6" t="str">
        <f t="shared" si="44"/>
        <v/>
      </c>
      <c r="Z475" s="6" t="str">
        <f t="shared" si="45"/>
        <v/>
      </c>
      <c r="AA475" s="6" t="str">
        <f t="shared" si="46"/>
        <v/>
      </c>
      <c r="AB475" s="6" t="str">
        <f t="shared" si="47"/>
        <v/>
      </c>
      <c r="AC475" s="4"/>
      <c r="AD475" s="4"/>
    </row>
    <row r="476" spans="1:30" x14ac:dyDescent="0.45">
      <c r="A476" s="3"/>
      <c r="B476" s="3"/>
      <c r="C476" s="5" t="str">
        <f>IF($E476="","",COUNT($E$2:$E476))</f>
        <v/>
      </c>
      <c r="D476" s="3"/>
      <c r="E476" s="3"/>
      <c r="F476" s="3"/>
      <c r="G476" s="3"/>
      <c r="H476" s="3"/>
      <c r="I476" s="3"/>
      <c r="J476" s="3"/>
      <c r="K476" s="3"/>
      <c r="L476" s="4"/>
      <c r="M476" s="6" t="str">
        <f>IF(OR($E476="",$F476=""),"",IF(_xlfn.SINGLE(JobState)="",IF(ROW()=2,HYPERLINK("#JobState","Set State →"),""),HYPERLINK(IF(OR(_xlfn.SINGLE(JobState)="MI",_xlfn.SINGLE(JobState)=""),"https://fema.maps.arcgis.com/apps/mapviewer/index.html?webmap=6a1702b9147243d1a5ee62cd614bc681&amp;center="&amp;$F476&amp;","&amp;$E476&amp;"&amp;level=16&amp;marker="&amp;$F476&amp;","&amp;$E476&amp;"",IF(_xlfn.SINGLE(JobState)="IN","https://fema.maps.arcgis.com/apps/mapviewer/index.html?url=https%3A%2F%2Fgis.indot.in.gov%2Fro%2Frest%2Fservices%2FRAH_GIO_Collaboration%2FLRSE_Functional_Class%2FFeatureServer%2F22&amp;find="&amp;$F476&amp;"%2C"&amp;$E476&amp;"&amp;marker="&amp;$F476&amp;","&amp;$E476&amp;",4326&amp;level=16",IF(_xlfn.SINGLE(JobState)="WI","https://fema.maps.arcgis.com/apps/mapviewer/index.html?url=https://services5.arcgis.com/0pgGLzT0Nh7FVjon/arcgis/rest/services/Functional_Class_Local_Non_Prod/FeatureServer/1&amp;find="&amp;$F476&amp;"%2C"&amp;$E476&amp;"&amp;marker="&amp;$F476&amp;","&amp;$E476&amp;",4326&amp;level=16",IF(_xlfn.SINGLE(JobState)="MN","https://fema.maps.arcgis.com/apps/mapviewer/index.html?url=https%3A%2F%2Fdotapp9.dot.state.mn.us%2Fegis12%2Frest%2Fservices%2FBASEMAP%2Fmndot_commonlayers2%2FMapServer%2F11&amp;find="&amp;$F476&amp;"%2C"&amp;$E476&amp;"&amp;marker="&amp;$F476&amp;","&amp;$E476&amp;",4326&amp;level=16",IF(_xlfn.SINGLE(JobState)="IL","https://fema.maps.arcgis.com/apps/mapviewer/index.html?url=https%3A%2F%2Fgis1.dot.illinois.gov%2Farcgis%2Frest%2Fservices%2FAdministrativeData%2FFunctionalClass%2FMapServer%2F0&amp;find="&amp;$F476&amp;"%2C"&amp;$E476&amp;"&amp;marker="&amp;$F476&amp;","&amp;$E476&amp;",4326&amp;level=16",IF(_xlfn.SINGLE(JobState)="OH","https://fema.maps.arcgis.com/apps/mapviewer/index.html?url=https%3A%2F%2Ftims.dot.state.oh.us%2Fags%2Frest%2Fservices%2FRoadway_Information%2FFunctional_Class%2FMapServer%2F0&amp;find="&amp;$F476&amp;"%2C"&amp;$E476&amp;"&amp;marker="&amp;$F476&amp;","&amp;$E476&amp;",4326&amp;level=16","https://fema.maps.arcgis.com/apps/mapviewer/index.html?find="&amp;$F476&amp;"%2C"&amp;$E476&amp;"&amp;marker="&amp;$F476&amp;","&amp;$E476&amp;",4326&amp;level=16")))))),IF(_xlfn.SINGLE(JobState)="WI","Review Local Roads Layer","Review NFC AGOL Layer"))))</f>
        <v/>
      </c>
      <c r="N476" s="6" t="str">
        <f>IF(OR($E476="",$F476=""),"",IF(_xlfn.SINGLE(JobState)="",IF(ROW()=2,HYPERLINK("#JobState","Set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476&amp;"%2C"&amp;$E476&amp;"&amp;marker="&amp;$F476&amp;","&amp;$E476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6" s="6" t="str">
        <f>IF(OR($E476="", $F476=""),"",IF(_xlfn.SINGLE(JobAgolMap)="",HYPERLINK("https://fema.maps.arcgis.com/apps/mapviewer/index.html?find="&amp;$F476&amp;"%2C"&amp;$E476&amp;"&amp;marker="&amp;$F476&amp;","&amp;$E476&amp;",4326&amp;level=16","FEMA AGOL Map Viewer"),HYPERLINK(_xlfn.SINGLE(JobAgolMap)&amp;IF(ISNUMBER(FIND("?",_xlfn.SINGLE(JobAgolMap))),"&amp;","?")&amp;"center="&amp;$F476&amp;","&amp;$E476&amp;"&amp;level=16&amp;marker="&amp;$F476&amp;","&amp;$E476,"Open")))</f>
        <v/>
      </c>
      <c r="Q476" s="4"/>
      <c r="R476" s="4"/>
      <c r="W476" s="6" t="str">
        <f t="shared" si="42"/>
        <v/>
      </c>
      <c r="X476" s="6" t="str">
        <f t="shared" si="43"/>
        <v/>
      </c>
      <c r="Y476" s="6" t="str">
        <f t="shared" si="44"/>
        <v/>
      </c>
      <c r="Z476" s="6" t="str">
        <f t="shared" si="45"/>
        <v/>
      </c>
      <c r="AA476" s="6" t="str">
        <f t="shared" si="46"/>
        <v/>
      </c>
      <c r="AB476" s="6" t="str">
        <f t="shared" si="47"/>
        <v/>
      </c>
      <c r="AC476" s="4"/>
      <c r="AD476" s="4"/>
    </row>
    <row r="477" spans="1:30" x14ac:dyDescent="0.45">
      <c r="A477" s="3"/>
      <c r="B477" s="3"/>
      <c r="C477" s="5" t="str">
        <f>IF($E477="","",COUNT($E$2:$E477))</f>
        <v/>
      </c>
      <c r="D477" s="3"/>
      <c r="E477" s="3"/>
      <c r="F477" s="3"/>
      <c r="G477" s="3"/>
      <c r="H477" s="3"/>
      <c r="I477" s="3"/>
      <c r="J477" s="3"/>
      <c r="K477" s="3"/>
      <c r="L477" s="4"/>
      <c r="M477" s="6" t="str">
        <f>IF(OR($E477="",$F477=""),"",IF(_xlfn.SINGLE(JobState)="",IF(ROW()=2,HYPERLINK("#JobState","Set State →"),""),HYPERLINK(IF(OR(_xlfn.SINGLE(JobState)="MI",_xlfn.SINGLE(JobState)=""),"https://fema.maps.arcgis.com/apps/mapviewer/index.html?webmap=6a1702b9147243d1a5ee62cd614bc681&amp;center="&amp;$F477&amp;","&amp;$E477&amp;"&amp;level=16&amp;marker="&amp;$F477&amp;","&amp;$E477&amp;"",IF(_xlfn.SINGLE(JobState)="IN","https://fema.maps.arcgis.com/apps/mapviewer/index.html?url=https%3A%2F%2Fgis.indot.in.gov%2Fro%2Frest%2Fservices%2FRAH_GIO_Collaboration%2FLRSE_Functional_Class%2FFeatureServer%2F22&amp;find="&amp;$F477&amp;"%2C"&amp;$E477&amp;"&amp;marker="&amp;$F477&amp;","&amp;$E477&amp;",4326&amp;level=16",IF(_xlfn.SINGLE(JobState)="WI","https://fema.maps.arcgis.com/apps/mapviewer/index.html?url=https://services5.arcgis.com/0pgGLzT0Nh7FVjon/arcgis/rest/services/Functional_Class_Local_Non_Prod/FeatureServer/1&amp;find="&amp;$F477&amp;"%2C"&amp;$E477&amp;"&amp;marker="&amp;$F477&amp;","&amp;$E477&amp;",4326&amp;level=16",IF(_xlfn.SINGLE(JobState)="MN","https://fema.maps.arcgis.com/apps/mapviewer/index.html?url=https%3A%2F%2Fdotapp9.dot.state.mn.us%2Fegis12%2Frest%2Fservices%2FBASEMAP%2Fmndot_commonlayers2%2FMapServer%2F11&amp;find="&amp;$F477&amp;"%2C"&amp;$E477&amp;"&amp;marker="&amp;$F477&amp;","&amp;$E477&amp;",4326&amp;level=16",IF(_xlfn.SINGLE(JobState)="IL","https://fema.maps.arcgis.com/apps/mapviewer/index.html?url=https%3A%2F%2Fgis1.dot.illinois.gov%2Farcgis%2Frest%2Fservices%2FAdministrativeData%2FFunctionalClass%2FMapServer%2F0&amp;find="&amp;$F477&amp;"%2C"&amp;$E477&amp;"&amp;marker="&amp;$F477&amp;","&amp;$E477&amp;",4326&amp;level=16",IF(_xlfn.SINGLE(JobState)="OH","https://fema.maps.arcgis.com/apps/mapviewer/index.html?url=https%3A%2F%2Ftims.dot.state.oh.us%2Fags%2Frest%2Fservices%2FRoadway_Information%2FFunctional_Class%2FMapServer%2F0&amp;find="&amp;$F477&amp;"%2C"&amp;$E477&amp;"&amp;marker="&amp;$F477&amp;","&amp;$E477&amp;",4326&amp;level=16","https://fema.maps.arcgis.com/apps/mapviewer/index.html?find="&amp;$F477&amp;"%2C"&amp;$E477&amp;"&amp;marker="&amp;$F477&amp;","&amp;$E477&amp;",4326&amp;level=16")))))),IF(_xlfn.SINGLE(JobState)="WI","Review Local Roads Layer","Review NFC AGOL Layer"))))</f>
        <v/>
      </c>
      <c r="N477" s="6" t="str">
        <f>IF(OR($E477="",$F477=""),"",IF(_xlfn.SINGLE(JobState)="",IF(ROW()=2,HYPERLINK("#JobState","Set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477&amp;"%2C"&amp;$E477&amp;"&amp;marker="&amp;$F477&amp;","&amp;$E477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7" s="6" t="str">
        <f>IF(OR($E477="", $F477=""),"",IF(_xlfn.SINGLE(JobAgolMap)="",HYPERLINK("https://fema.maps.arcgis.com/apps/mapviewer/index.html?find="&amp;$F477&amp;"%2C"&amp;$E477&amp;"&amp;marker="&amp;$F477&amp;","&amp;$E477&amp;",4326&amp;level=16","FEMA AGOL Map Viewer"),HYPERLINK(_xlfn.SINGLE(JobAgolMap)&amp;IF(ISNUMBER(FIND("?",_xlfn.SINGLE(JobAgolMap))),"&amp;","?")&amp;"center="&amp;$F477&amp;","&amp;$E477&amp;"&amp;level=16&amp;marker="&amp;$F477&amp;","&amp;$E477,"Open")))</f>
        <v/>
      </c>
      <c r="Q477" s="4"/>
      <c r="R477" s="4"/>
      <c r="W477" s="6" t="str">
        <f t="shared" si="42"/>
        <v/>
      </c>
      <c r="X477" s="6" t="str">
        <f t="shared" si="43"/>
        <v/>
      </c>
      <c r="Y477" s="6" t="str">
        <f t="shared" si="44"/>
        <v/>
      </c>
      <c r="Z477" s="6" t="str">
        <f t="shared" si="45"/>
        <v/>
      </c>
      <c r="AA477" s="6" t="str">
        <f t="shared" si="46"/>
        <v/>
      </c>
      <c r="AB477" s="6" t="str">
        <f t="shared" si="47"/>
        <v/>
      </c>
      <c r="AC477" s="4"/>
      <c r="AD477" s="4"/>
    </row>
    <row r="478" spans="1:30" x14ac:dyDescent="0.45">
      <c r="A478" s="3"/>
      <c r="B478" s="3"/>
      <c r="C478" s="5" t="str">
        <f>IF($E478="","",COUNT($E$2:$E478))</f>
        <v/>
      </c>
      <c r="D478" s="3"/>
      <c r="E478" s="3"/>
      <c r="F478" s="3"/>
      <c r="G478" s="3"/>
      <c r="H478" s="3"/>
      <c r="I478" s="3"/>
      <c r="J478" s="3"/>
      <c r="K478" s="3"/>
      <c r="L478" s="4"/>
      <c r="M478" s="6" t="str">
        <f>IF(OR($E478="",$F478=""),"",IF(_xlfn.SINGLE(JobState)="",IF(ROW()=2,HYPERLINK("#JobState","Set State →"),""),HYPERLINK(IF(OR(_xlfn.SINGLE(JobState)="MI",_xlfn.SINGLE(JobState)=""),"https://fema.maps.arcgis.com/apps/mapviewer/index.html?webmap=6a1702b9147243d1a5ee62cd614bc681&amp;center="&amp;$F478&amp;","&amp;$E478&amp;"&amp;level=16&amp;marker="&amp;$F478&amp;","&amp;$E478&amp;"",IF(_xlfn.SINGLE(JobState)="IN","https://fema.maps.arcgis.com/apps/mapviewer/index.html?url=https%3A%2F%2Fgis.indot.in.gov%2Fro%2Frest%2Fservices%2FRAH_GIO_Collaboration%2FLRSE_Functional_Class%2FFeatureServer%2F22&amp;find="&amp;$F478&amp;"%2C"&amp;$E478&amp;"&amp;marker="&amp;$F478&amp;","&amp;$E478&amp;",4326&amp;level=16",IF(_xlfn.SINGLE(JobState)="WI","https://fema.maps.arcgis.com/apps/mapviewer/index.html?url=https://services5.arcgis.com/0pgGLzT0Nh7FVjon/arcgis/rest/services/Functional_Class_Local_Non_Prod/FeatureServer/1&amp;find="&amp;$F478&amp;"%2C"&amp;$E478&amp;"&amp;marker="&amp;$F478&amp;","&amp;$E478&amp;",4326&amp;level=16",IF(_xlfn.SINGLE(JobState)="MN","https://fema.maps.arcgis.com/apps/mapviewer/index.html?url=https%3A%2F%2Fdotapp9.dot.state.mn.us%2Fegis12%2Frest%2Fservices%2FBASEMAP%2Fmndot_commonlayers2%2FMapServer%2F11&amp;find="&amp;$F478&amp;"%2C"&amp;$E478&amp;"&amp;marker="&amp;$F478&amp;","&amp;$E478&amp;",4326&amp;level=16",IF(_xlfn.SINGLE(JobState)="IL","https://fema.maps.arcgis.com/apps/mapviewer/index.html?url=https%3A%2F%2Fgis1.dot.illinois.gov%2Farcgis%2Frest%2Fservices%2FAdministrativeData%2FFunctionalClass%2FMapServer%2F0&amp;find="&amp;$F478&amp;"%2C"&amp;$E478&amp;"&amp;marker="&amp;$F478&amp;","&amp;$E478&amp;",4326&amp;level=16",IF(_xlfn.SINGLE(JobState)="OH","https://fema.maps.arcgis.com/apps/mapviewer/index.html?url=https%3A%2F%2Ftims.dot.state.oh.us%2Fags%2Frest%2Fservices%2FRoadway_Information%2FFunctional_Class%2FMapServer%2F0&amp;find="&amp;$F478&amp;"%2C"&amp;$E478&amp;"&amp;marker="&amp;$F478&amp;","&amp;$E478&amp;",4326&amp;level=16","https://fema.maps.arcgis.com/apps/mapviewer/index.html?find="&amp;$F478&amp;"%2C"&amp;$E478&amp;"&amp;marker="&amp;$F478&amp;","&amp;$E478&amp;",4326&amp;level=16")))))),IF(_xlfn.SINGLE(JobState)="WI","Review Local Roads Layer","Review NFC AGOL Layer"))))</f>
        <v/>
      </c>
      <c r="N478" s="6" t="str">
        <f>IF(OR($E478="",$F478=""),"",IF(_xlfn.SINGLE(JobState)="",IF(ROW()=2,HYPERLINK("#JobState","Set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478&amp;"%2C"&amp;$E478&amp;"&amp;marker="&amp;$F478&amp;","&amp;$E478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8" s="6" t="str">
        <f>IF(OR($E478="", $F478=""),"",IF(_xlfn.SINGLE(JobAgolMap)="",HYPERLINK("https://fema.maps.arcgis.com/apps/mapviewer/index.html?find="&amp;$F478&amp;"%2C"&amp;$E478&amp;"&amp;marker="&amp;$F478&amp;","&amp;$E478&amp;",4326&amp;level=16","FEMA AGOL Map Viewer"),HYPERLINK(_xlfn.SINGLE(JobAgolMap)&amp;IF(ISNUMBER(FIND("?",_xlfn.SINGLE(JobAgolMap))),"&amp;","?")&amp;"center="&amp;$F478&amp;","&amp;$E478&amp;"&amp;level=16&amp;marker="&amp;$F478&amp;","&amp;$E478,"Open")))</f>
        <v/>
      </c>
      <c r="Q478" s="4"/>
      <c r="R478" s="4"/>
      <c r="W478" s="6" t="str">
        <f t="shared" si="42"/>
        <v/>
      </c>
      <c r="X478" s="6" t="str">
        <f t="shared" si="43"/>
        <v/>
      </c>
      <c r="Y478" s="6" t="str">
        <f t="shared" si="44"/>
        <v/>
      </c>
      <c r="Z478" s="6" t="str">
        <f t="shared" si="45"/>
        <v/>
      </c>
      <c r="AA478" s="6" t="str">
        <f t="shared" si="46"/>
        <v/>
      </c>
      <c r="AB478" s="6" t="str">
        <f t="shared" si="47"/>
        <v/>
      </c>
      <c r="AC478" s="4"/>
      <c r="AD478" s="4"/>
    </row>
    <row r="479" spans="1:30" x14ac:dyDescent="0.45">
      <c r="A479" s="3"/>
      <c r="B479" s="3"/>
      <c r="C479" s="5" t="str">
        <f>IF($E479="","",COUNT($E$2:$E479))</f>
        <v/>
      </c>
      <c r="D479" s="3"/>
      <c r="E479" s="3"/>
      <c r="F479" s="3"/>
      <c r="G479" s="3"/>
      <c r="H479" s="3"/>
      <c r="I479" s="3"/>
      <c r="J479" s="3"/>
      <c r="K479" s="3"/>
      <c r="L479" s="4"/>
      <c r="M479" s="6" t="str">
        <f>IF(OR($E479="",$F479=""),"",IF(_xlfn.SINGLE(JobState)="",IF(ROW()=2,HYPERLINK("#JobState","Set State →"),""),HYPERLINK(IF(OR(_xlfn.SINGLE(JobState)="MI",_xlfn.SINGLE(JobState)=""),"https://fema.maps.arcgis.com/apps/mapviewer/index.html?webmap=6a1702b9147243d1a5ee62cd614bc681&amp;center="&amp;$F479&amp;","&amp;$E479&amp;"&amp;level=16&amp;marker="&amp;$F479&amp;","&amp;$E479&amp;"",IF(_xlfn.SINGLE(JobState)="IN","https://fema.maps.arcgis.com/apps/mapviewer/index.html?url=https%3A%2F%2Fgis.indot.in.gov%2Fro%2Frest%2Fservices%2FRAH_GIO_Collaboration%2FLRSE_Functional_Class%2FFeatureServer%2F22&amp;find="&amp;$F479&amp;"%2C"&amp;$E479&amp;"&amp;marker="&amp;$F479&amp;","&amp;$E479&amp;",4326&amp;level=16",IF(_xlfn.SINGLE(JobState)="WI","https://fema.maps.arcgis.com/apps/mapviewer/index.html?url=https://services5.arcgis.com/0pgGLzT0Nh7FVjon/arcgis/rest/services/Functional_Class_Local_Non_Prod/FeatureServer/1&amp;find="&amp;$F479&amp;"%2C"&amp;$E479&amp;"&amp;marker="&amp;$F479&amp;","&amp;$E479&amp;",4326&amp;level=16",IF(_xlfn.SINGLE(JobState)="MN","https://fema.maps.arcgis.com/apps/mapviewer/index.html?url=https%3A%2F%2Fdotapp9.dot.state.mn.us%2Fegis12%2Frest%2Fservices%2FBASEMAP%2Fmndot_commonlayers2%2FMapServer%2F11&amp;find="&amp;$F479&amp;"%2C"&amp;$E479&amp;"&amp;marker="&amp;$F479&amp;","&amp;$E479&amp;",4326&amp;level=16",IF(_xlfn.SINGLE(JobState)="IL","https://fema.maps.arcgis.com/apps/mapviewer/index.html?url=https%3A%2F%2Fgis1.dot.illinois.gov%2Farcgis%2Frest%2Fservices%2FAdministrativeData%2FFunctionalClass%2FMapServer%2F0&amp;find="&amp;$F479&amp;"%2C"&amp;$E479&amp;"&amp;marker="&amp;$F479&amp;","&amp;$E479&amp;",4326&amp;level=16",IF(_xlfn.SINGLE(JobState)="OH","https://fema.maps.arcgis.com/apps/mapviewer/index.html?url=https%3A%2F%2Ftims.dot.state.oh.us%2Fags%2Frest%2Fservices%2FRoadway_Information%2FFunctional_Class%2FMapServer%2F0&amp;find="&amp;$F479&amp;"%2C"&amp;$E479&amp;"&amp;marker="&amp;$F479&amp;","&amp;$E479&amp;",4326&amp;level=16","https://fema.maps.arcgis.com/apps/mapviewer/index.html?find="&amp;$F479&amp;"%2C"&amp;$E479&amp;"&amp;marker="&amp;$F479&amp;","&amp;$E479&amp;",4326&amp;level=16")))))),IF(_xlfn.SINGLE(JobState)="WI","Review Local Roads Layer","Review NFC AGOL Layer"))))</f>
        <v/>
      </c>
      <c r="N479" s="6" t="str">
        <f>IF(OR($E479="",$F479=""),"",IF(_xlfn.SINGLE(JobState)="",IF(ROW()=2,HYPERLINK("#JobState","Set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479&amp;"%2C"&amp;$E479&amp;"&amp;marker="&amp;$F479&amp;","&amp;$E479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9" s="6" t="str">
        <f>IF(OR($E479="", $F479=""),"",IF(_xlfn.SINGLE(JobAgolMap)="",HYPERLINK("https://fema.maps.arcgis.com/apps/mapviewer/index.html?find="&amp;$F479&amp;"%2C"&amp;$E479&amp;"&amp;marker="&amp;$F479&amp;","&amp;$E479&amp;",4326&amp;level=16","FEMA AGOL Map Viewer"),HYPERLINK(_xlfn.SINGLE(JobAgolMap)&amp;IF(ISNUMBER(FIND("?",_xlfn.SINGLE(JobAgolMap))),"&amp;","?")&amp;"center="&amp;$F479&amp;","&amp;$E479&amp;"&amp;level=16&amp;marker="&amp;$F479&amp;","&amp;$E479,"Open")))</f>
        <v/>
      </c>
      <c r="Q479" s="4"/>
      <c r="R479" s="4"/>
      <c r="W479" s="6" t="str">
        <f t="shared" si="42"/>
        <v/>
      </c>
      <c r="X479" s="6" t="str">
        <f t="shared" si="43"/>
        <v/>
      </c>
      <c r="Y479" s="6" t="str">
        <f t="shared" si="44"/>
        <v/>
      </c>
      <c r="Z479" s="6" t="str">
        <f t="shared" si="45"/>
        <v/>
      </c>
      <c r="AA479" s="6" t="str">
        <f t="shared" si="46"/>
        <v/>
      </c>
      <c r="AB479" s="6" t="str">
        <f t="shared" si="47"/>
        <v/>
      </c>
      <c r="AC479" s="4"/>
      <c r="AD479" s="4"/>
    </row>
    <row r="480" spans="1:30" x14ac:dyDescent="0.45">
      <c r="A480" s="3"/>
      <c r="B480" s="3"/>
      <c r="C480" s="5" t="str">
        <f>IF($E480="","",COUNT($E$2:$E480))</f>
        <v/>
      </c>
      <c r="D480" s="3"/>
      <c r="E480" s="3"/>
      <c r="F480" s="3"/>
      <c r="G480" s="3"/>
      <c r="H480" s="3"/>
      <c r="I480" s="3"/>
      <c r="J480" s="3"/>
      <c r="K480" s="3"/>
      <c r="L480" s="4"/>
      <c r="M480" s="6" t="str">
        <f>IF(OR($E480="",$F480=""),"",IF(_xlfn.SINGLE(JobState)="",IF(ROW()=2,HYPERLINK("#JobState","Set State →"),""),HYPERLINK(IF(OR(_xlfn.SINGLE(JobState)="MI",_xlfn.SINGLE(JobState)=""),"https://fema.maps.arcgis.com/apps/mapviewer/index.html?webmap=6a1702b9147243d1a5ee62cd614bc681&amp;center="&amp;$F480&amp;","&amp;$E480&amp;"&amp;level=16&amp;marker="&amp;$F480&amp;","&amp;$E480&amp;"",IF(_xlfn.SINGLE(JobState)="IN","https://fema.maps.arcgis.com/apps/mapviewer/index.html?url=https%3A%2F%2Fgis.indot.in.gov%2Fro%2Frest%2Fservices%2FRAH_GIO_Collaboration%2FLRSE_Functional_Class%2FFeatureServer%2F22&amp;find="&amp;$F480&amp;"%2C"&amp;$E480&amp;"&amp;marker="&amp;$F480&amp;","&amp;$E480&amp;",4326&amp;level=16",IF(_xlfn.SINGLE(JobState)="WI","https://fema.maps.arcgis.com/apps/mapviewer/index.html?url=https://services5.arcgis.com/0pgGLzT0Nh7FVjon/arcgis/rest/services/Functional_Class_Local_Non_Prod/FeatureServer/1&amp;find="&amp;$F480&amp;"%2C"&amp;$E480&amp;"&amp;marker="&amp;$F480&amp;","&amp;$E480&amp;",4326&amp;level=16",IF(_xlfn.SINGLE(JobState)="MN","https://fema.maps.arcgis.com/apps/mapviewer/index.html?url=https%3A%2F%2Fdotapp9.dot.state.mn.us%2Fegis12%2Frest%2Fservices%2FBASEMAP%2Fmndot_commonlayers2%2FMapServer%2F11&amp;find="&amp;$F480&amp;"%2C"&amp;$E480&amp;"&amp;marker="&amp;$F480&amp;","&amp;$E480&amp;",4326&amp;level=16",IF(_xlfn.SINGLE(JobState)="IL","https://fema.maps.arcgis.com/apps/mapviewer/index.html?url=https%3A%2F%2Fgis1.dot.illinois.gov%2Farcgis%2Frest%2Fservices%2FAdministrativeData%2FFunctionalClass%2FMapServer%2F0&amp;find="&amp;$F480&amp;"%2C"&amp;$E480&amp;"&amp;marker="&amp;$F480&amp;","&amp;$E480&amp;",4326&amp;level=16",IF(_xlfn.SINGLE(JobState)="OH","https://fema.maps.arcgis.com/apps/mapviewer/index.html?url=https%3A%2F%2Ftims.dot.state.oh.us%2Fags%2Frest%2Fservices%2FRoadway_Information%2FFunctional_Class%2FMapServer%2F0&amp;find="&amp;$F480&amp;"%2C"&amp;$E480&amp;"&amp;marker="&amp;$F480&amp;","&amp;$E480&amp;",4326&amp;level=16","https://fema.maps.arcgis.com/apps/mapviewer/index.html?find="&amp;$F480&amp;"%2C"&amp;$E480&amp;"&amp;marker="&amp;$F480&amp;","&amp;$E480&amp;",4326&amp;level=16")))))),IF(_xlfn.SINGLE(JobState)="WI","Review Local Roads Layer","Review NFC AGOL Layer"))))</f>
        <v/>
      </c>
      <c r="N480" s="6" t="str">
        <f>IF(OR($E480="",$F480=""),"",IF(_xlfn.SINGLE(JobState)="",IF(ROW()=2,HYPERLINK("#JobState","Set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480&amp;"%2C"&amp;$E480&amp;"&amp;marker="&amp;$F480&amp;","&amp;$E480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0" s="6" t="str">
        <f>IF(OR($E480="", $F480=""),"",IF(_xlfn.SINGLE(JobAgolMap)="",HYPERLINK("https://fema.maps.arcgis.com/apps/mapviewer/index.html?find="&amp;$F480&amp;"%2C"&amp;$E480&amp;"&amp;marker="&amp;$F480&amp;","&amp;$E480&amp;",4326&amp;level=16","FEMA AGOL Map Viewer"),HYPERLINK(_xlfn.SINGLE(JobAgolMap)&amp;IF(ISNUMBER(FIND("?",_xlfn.SINGLE(JobAgolMap))),"&amp;","?")&amp;"center="&amp;$F480&amp;","&amp;$E480&amp;"&amp;level=16&amp;marker="&amp;$F480&amp;","&amp;$E480,"Open")))</f>
        <v/>
      </c>
      <c r="Q480" s="4"/>
      <c r="R480" s="4"/>
      <c r="W480" s="6" t="str">
        <f t="shared" si="42"/>
        <v/>
      </c>
      <c r="X480" s="6" t="str">
        <f t="shared" si="43"/>
        <v/>
      </c>
      <c r="Y480" s="6" t="str">
        <f t="shared" si="44"/>
        <v/>
      </c>
      <c r="Z480" s="6" t="str">
        <f t="shared" si="45"/>
        <v/>
      </c>
      <c r="AA480" s="6" t="str">
        <f t="shared" si="46"/>
        <v/>
      </c>
      <c r="AB480" s="6" t="str">
        <f t="shared" si="47"/>
        <v/>
      </c>
      <c r="AC480" s="4"/>
      <c r="AD480" s="4"/>
    </row>
    <row r="481" spans="1:30" x14ac:dyDescent="0.45">
      <c r="A481" s="3"/>
      <c r="B481" s="3"/>
      <c r="C481" s="5" t="str">
        <f>IF($E481="","",COUNT($E$2:$E481))</f>
        <v/>
      </c>
      <c r="D481" s="3"/>
      <c r="E481" s="3"/>
      <c r="F481" s="3"/>
      <c r="G481" s="3"/>
      <c r="H481" s="3"/>
      <c r="I481" s="3"/>
      <c r="J481" s="3"/>
      <c r="K481" s="3"/>
      <c r="L481" s="4"/>
      <c r="M481" s="6" t="str">
        <f>IF(OR($E481="",$F481=""),"",IF(_xlfn.SINGLE(JobState)="",IF(ROW()=2,HYPERLINK("#JobState","Set State →"),""),HYPERLINK(IF(OR(_xlfn.SINGLE(JobState)="MI",_xlfn.SINGLE(JobState)=""),"https://fema.maps.arcgis.com/apps/mapviewer/index.html?webmap=6a1702b9147243d1a5ee62cd614bc681&amp;center="&amp;$F481&amp;","&amp;$E481&amp;"&amp;level=16&amp;marker="&amp;$F481&amp;","&amp;$E481&amp;"",IF(_xlfn.SINGLE(JobState)="IN","https://fema.maps.arcgis.com/apps/mapviewer/index.html?url=https%3A%2F%2Fgis.indot.in.gov%2Fro%2Frest%2Fservices%2FRAH_GIO_Collaboration%2FLRSE_Functional_Class%2FFeatureServer%2F22&amp;find="&amp;$F481&amp;"%2C"&amp;$E481&amp;"&amp;marker="&amp;$F481&amp;","&amp;$E481&amp;",4326&amp;level=16",IF(_xlfn.SINGLE(JobState)="WI","https://fema.maps.arcgis.com/apps/mapviewer/index.html?url=https://services5.arcgis.com/0pgGLzT0Nh7FVjon/arcgis/rest/services/Functional_Class_Local_Non_Prod/FeatureServer/1&amp;find="&amp;$F481&amp;"%2C"&amp;$E481&amp;"&amp;marker="&amp;$F481&amp;","&amp;$E481&amp;",4326&amp;level=16",IF(_xlfn.SINGLE(JobState)="MN","https://fema.maps.arcgis.com/apps/mapviewer/index.html?url=https%3A%2F%2Fdotapp9.dot.state.mn.us%2Fegis12%2Frest%2Fservices%2FBASEMAP%2Fmndot_commonlayers2%2FMapServer%2F11&amp;find="&amp;$F481&amp;"%2C"&amp;$E481&amp;"&amp;marker="&amp;$F481&amp;","&amp;$E481&amp;",4326&amp;level=16",IF(_xlfn.SINGLE(JobState)="IL","https://fema.maps.arcgis.com/apps/mapviewer/index.html?url=https%3A%2F%2Fgis1.dot.illinois.gov%2Farcgis%2Frest%2Fservices%2FAdministrativeData%2FFunctionalClass%2FMapServer%2F0&amp;find="&amp;$F481&amp;"%2C"&amp;$E481&amp;"&amp;marker="&amp;$F481&amp;","&amp;$E481&amp;",4326&amp;level=16",IF(_xlfn.SINGLE(JobState)="OH","https://fema.maps.arcgis.com/apps/mapviewer/index.html?url=https%3A%2F%2Ftims.dot.state.oh.us%2Fags%2Frest%2Fservices%2FRoadway_Information%2FFunctional_Class%2FMapServer%2F0&amp;find="&amp;$F481&amp;"%2C"&amp;$E481&amp;"&amp;marker="&amp;$F481&amp;","&amp;$E481&amp;",4326&amp;level=16","https://fema.maps.arcgis.com/apps/mapviewer/index.html?find="&amp;$F481&amp;"%2C"&amp;$E481&amp;"&amp;marker="&amp;$F481&amp;","&amp;$E481&amp;",4326&amp;level=16")))))),IF(_xlfn.SINGLE(JobState)="WI","Review Local Roads Layer","Review NFC AGOL Layer"))))</f>
        <v/>
      </c>
      <c r="N481" s="6" t="str">
        <f>IF(OR($E481="",$F481=""),"",IF(_xlfn.SINGLE(JobState)="",IF(ROW()=2,HYPERLINK("#JobState","Set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481&amp;"%2C"&amp;$E481&amp;"&amp;marker="&amp;$F481&amp;","&amp;$E481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1" s="6" t="str">
        <f>IF(OR($E481="", $F481=""),"",IF(_xlfn.SINGLE(JobAgolMap)="",HYPERLINK("https://fema.maps.arcgis.com/apps/mapviewer/index.html?find="&amp;$F481&amp;"%2C"&amp;$E481&amp;"&amp;marker="&amp;$F481&amp;","&amp;$E481&amp;",4326&amp;level=16","FEMA AGOL Map Viewer"),HYPERLINK(_xlfn.SINGLE(JobAgolMap)&amp;IF(ISNUMBER(FIND("?",_xlfn.SINGLE(JobAgolMap))),"&amp;","?")&amp;"center="&amp;$F481&amp;","&amp;$E481&amp;"&amp;level=16&amp;marker="&amp;$F481&amp;","&amp;$E481,"Open")))</f>
        <v/>
      </c>
      <c r="Q481" s="4"/>
      <c r="R481" s="4"/>
      <c r="W481" s="6" t="str">
        <f t="shared" si="42"/>
        <v/>
      </c>
      <c r="X481" s="6" t="str">
        <f t="shared" si="43"/>
        <v/>
      </c>
      <c r="Y481" s="6" t="str">
        <f t="shared" si="44"/>
        <v/>
      </c>
      <c r="Z481" s="6" t="str">
        <f t="shared" si="45"/>
        <v/>
      </c>
      <c r="AA481" s="6" t="str">
        <f t="shared" si="46"/>
        <v/>
      </c>
      <c r="AB481" s="6" t="str">
        <f t="shared" si="47"/>
        <v/>
      </c>
      <c r="AC481" s="4"/>
      <c r="AD481" s="4"/>
    </row>
    <row r="482" spans="1:30" x14ac:dyDescent="0.45">
      <c r="A482" s="3"/>
      <c r="B482" s="3"/>
      <c r="C482" s="5" t="str">
        <f>IF($E482="","",COUNT($E$2:$E482))</f>
        <v/>
      </c>
      <c r="D482" s="3"/>
      <c r="E482" s="3"/>
      <c r="F482" s="3"/>
      <c r="G482" s="3"/>
      <c r="H482" s="3"/>
      <c r="I482" s="3"/>
      <c r="J482" s="3"/>
      <c r="K482" s="3"/>
      <c r="L482" s="4"/>
      <c r="M482" s="6" t="str">
        <f>IF(OR($E482="",$F482=""),"",IF(_xlfn.SINGLE(JobState)="",IF(ROW()=2,HYPERLINK("#JobState","Set State →"),""),HYPERLINK(IF(OR(_xlfn.SINGLE(JobState)="MI",_xlfn.SINGLE(JobState)=""),"https://fema.maps.arcgis.com/apps/mapviewer/index.html?webmap=6a1702b9147243d1a5ee62cd614bc681&amp;center="&amp;$F482&amp;","&amp;$E482&amp;"&amp;level=16&amp;marker="&amp;$F482&amp;","&amp;$E482&amp;"",IF(_xlfn.SINGLE(JobState)="IN","https://fema.maps.arcgis.com/apps/mapviewer/index.html?url=https%3A%2F%2Fgis.indot.in.gov%2Fro%2Frest%2Fservices%2FRAH_GIO_Collaboration%2FLRSE_Functional_Class%2FFeatureServer%2F22&amp;find="&amp;$F482&amp;"%2C"&amp;$E482&amp;"&amp;marker="&amp;$F482&amp;","&amp;$E482&amp;",4326&amp;level=16",IF(_xlfn.SINGLE(JobState)="WI","https://fema.maps.arcgis.com/apps/mapviewer/index.html?url=https://services5.arcgis.com/0pgGLzT0Nh7FVjon/arcgis/rest/services/Functional_Class_Local_Non_Prod/FeatureServer/1&amp;find="&amp;$F482&amp;"%2C"&amp;$E482&amp;"&amp;marker="&amp;$F482&amp;","&amp;$E482&amp;",4326&amp;level=16",IF(_xlfn.SINGLE(JobState)="MN","https://fema.maps.arcgis.com/apps/mapviewer/index.html?url=https%3A%2F%2Fdotapp9.dot.state.mn.us%2Fegis12%2Frest%2Fservices%2FBASEMAP%2Fmndot_commonlayers2%2FMapServer%2F11&amp;find="&amp;$F482&amp;"%2C"&amp;$E482&amp;"&amp;marker="&amp;$F482&amp;","&amp;$E482&amp;",4326&amp;level=16",IF(_xlfn.SINGLE(JobState)="IL","https://fema.maps.arcgis.com/apps/mapviewer/index.html?url=https%3A%2F%2Fgis1.dot.illinois.gov%2Farcgis%2Frest%2Fservices%2FAdministrativeData%2FFunctionalClass%2FMapServer%2F0&amp;find="&amp;$F482&amp;"%2C"&amp;$E482&amp;"&amp;marker="&amp;$F482&amp;","&amp;$E482&amp;",4326&amp;level=16",IF(_xlfn.SINGLE(JobState)="OH","https://fema.maps.arcgis.com/apps/mapviewer/index.html?url=https%3A%2F%2Ftims.dot.state.oh.us%2Fags%2Frest%2Fservices%2FRoadway_Information%2FFunctional_Class%2FMapServer%2F0&amp;find="&amp;$F482&amp;"%2C"&amp;$E482&amp;"&amp;marker="&amp;$F482&amp;","&amp;$E482&amp;",4326&amp;level=16","https://fema.maps.arcgis.com/apps/mapviewer/index.html?find="&amp;$F482&amp;"%2C"&amp;$E482&amp;"&amp;marker="&amp;$F482&amp;","&amp;$E482&amp;",4326&amp;level=16")))))),IF(_xlfn.SINGLE(JobState)="WI","Review Local Roads Layer","Review NFC AGOL Layer"))))</f>
        <v/>
      </c>
      <c r="N482" s="6" t="str">
        <f>IF(OR($E482="",$F482=""),"",IF(_xlfn.SINGLE(JobState)="",IF(ROW()=2,HYPERLINK("#JobState","Set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482&amp;"%2C"&amp;$E482&amp;"&amp;marker="&amp;$F482&amp;","&amp;$E482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2" s="6" t="str">
        <f>IF(OR($E482="", $F482=""),"",IF(_xlfn.SINGLE(JobAgolMap)="",HYPERLINK("https://fema.maps.arcgis.com/apps/mapviewer/index.html?find="&amp;$F482&amp;"%2C"&amp;$E482&amp;"&amp;marker="&amp;$F482&amp;","&amp;$E482&amp;",4326&amp;level=16","FEMA AGOL Map Viewer"),HYPERLINK(_xlfn.SINGLE(JobAgolMap)&amp;IF(ISNUMBER(FIND("?",_xlfn.SINGLE(JobAgolMap))),"&amp;","?")&amp;"center="&amp;$F482&amp;","&amp;$E482&amp;"&amp;level=16&amp;marker="&amp;$F482&amp;","&amp;$E482,"Open")))</f>
        <v/>
      </c>
      <c r="Q482" s="4"/>
      <c r="R482" s="4"/>
      <c r="W482" s="6" t="str">
        <f t="shared" si="42"/>
        <v/>
      </c>
      <c r="X482" s="6" t="str">
        <f t="shared" si="43"/>
        <v/>
      </c>
      <c r="Y482" s="6" t="str">
        <f t="shared" si="44"/>
        <v/>
      </c>
      <c r="Z482" s="6" t="str">
        <f t="shared" si="45"/>
        <v/>
      </c>
      <c r="AA482" s="6" t="str">
        <f t="shared" si="46"/>
        <v/>
      </c>
      <c r="AB482" s="6" t="str">
        <f t="shared" si="47"/>
        <v/>
      </c>
      <c r="AC482" s="4"/>
      <c r="AD482" s="4"/>
    </row>
    <row r="483" spans="1:30" x14ac:dyDescent="0.45">
      <c r="A483" s="3"/>
      <c r="B483" s="3"/>
      <c r="C483" s="5" t="str">
        <f>IF($E483="","",COUNT($E$2:$E483))</f>
        <v/>
      </c>
      <c r="D483" s="3"/>
      <c r="E483" s="3"/>
      <c r="F483" s="3"/>
      <c r="G483" s="3"/>
      <c r="H483" s="3"/>
      <c r="I483" s="3"/>
      <c r="J483" s="3"/>
      <c r="K483" s="3"/>
      <c r="L483" s="4"/>
      <c r="M483" s="6" t="str">
        <f>IF(OR($E483="",$F483=""),"",IF(_xlfn.SINGLE(JobState)="",IF(ROW()=2,HYPERLINK("#JobState","Set State →"),""),HYPERLINK(IF(OR(_xlfn.SINGLE(JobState)="MI",_xlfn.SINGLE(JobState)=""),"https://fema.maps.arcgis.com/apps/mapviewer/index.html?webmap=6a1702b9147243d1a5ee62cd614bc681&amp;center="&amp;$F483&amp;","&amp;$E483&amp;"&amp;level=16&amp;marker="&amp;$F483&amp;","&amp;$E483&amp;"",IF(_xlfn.SINGLE(JobState)="IN","https://fema.maps.arcgis.com/apps/mapviewer/index.html?url=https%3A%2F%2Fgis.indot.in.gov%2Fro%2Frest%2Fservices%2FRAH_GIO_Collaboration%2FLRSE_Functional_Class%2FFeatureServer%2F22&amp;find="&amp;$F483&amp;"%2C"&amp;$E483&amp;"&amp;marker="&amp;$F483&amp;","&amp;$E483&amp;",4326&amp;level=16",IF(_xlfn.SINGLE(JobState)="WI","https://fema.maps.arcgis.com/apps/mapviewer/index.html?url=https://services5.arcgis.com/0pgGLzT0Nh7FVjon/arcgis/rest/services/Functional_Class_Local_Non_Prod/FeatureServer/1&amp;find="&amp;$F483&amp;"%2C"&amp;$E483&amp;"&amp;marker="&amp;$F483&amp;","&amp;$E483&amp;",4326&amp;level=16",IF(_xlfn.SINGLE(JobState)="MN","https://fema.maps.arcgis.com/apps/mapviewer/index.html?url=https%3A%2F%2Fdotapp9.dot.state.mn.us%2Fegis12%2Frest%2Fservices%2FBASEMAP%2Fmndot_commonlayers2%2FMapServer%2F11&amp;find="&amp;$F483&amp;"%2C"&amp;$E483&amp;"&amp;marker="&amp;$F483&amp;","&amp;$E483&amp;",4326&amp;level=16",IF(_xlfn.SINGLE(JobState)="IL","https://fema.maps.arcgis.com/apps/mapviewer/index.html?url=https%3A%2F%2Fgis1.dot.illinois.gov%2Farcgis%2Frest%2Fservices%2FAdministrativeData%2FFunctionalClass%2FMapServer%2F0&amp;find="&amp;$F483&amp;"%2C"&amp;$E483&amp;"&amp;marker="&amp;$F483&amp;","&amp;$E483&amp;",4326&amp;level=16",IF(_xlfn.SINGLE(JobState)="OH","https://fema.maps.arcgis.com/apps/mapviewer/index.html?url=https%3A%2F%2Ftims.dot.state.oh.us%2Fags%2Frest%2Fservices%2FRoadway_Information%2FFunctional_Class%2FMapServer%2F0&amp;find="&amp;$F483&amp;"%2C"&amp;$E483&amp;"&amp;marker="&amp;$F483&amp;","&amp;$E483&amp;",4326&amp;level=16","https://fema.maps.arcgis.com/apps/mapviewer/index.html?find="&amp;$F483&amp;"%2C"&amp;$E483&amp;"&amp;marker="&amp;$F483&amp;","&amp;$E483&amp;",4326&amp;level=16")))))),IF(_xlfn.SINGLE(JobState)="WI","Review Local Roads Layer","Review NFC AGOL Layer"))))</f>
        <v/>
      </c>
      <c r="N483" s="6" t="str">
        <f>IF(OR($E483="",$F483=""),"",IF(_xlfn.SINGLE(JobState)="",IF(ROW()=2,HYPERLINK("#JobState","Set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483&amp;"%2C"&amp;$E483&amp;"&amp;marker="&amp;$F483&amp;","&amp;$E483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3" s="6" t="str">
        <f>IF(OR($E483="", $F483=""),"",IF(_xlfn.SINGLE(JobAgolMap)="",HYPERLINK("https://fema.maps.arcgis.com/apps/mapviewer/index.html?find="&amp;$F483&amp;"%2C"&amp;$E483&amp;"&amp;marker="&amp;$F483&amp;","&amp;$E483&amp;",4326&amp;level=16","FEMA AGOL Map Viewer"),HYPERLINK(_xlfn.SINGLE(JobAgolMap)&amp;IF(ISNUMBER(FIND("?",_xlfn.SINGLE(JobAgolMap))),"&amp;","?")&amp;"center="&amp;$F483&amp;","&amp;$E483&amp;"&amp;level=16&amp;marker="&amp;$F483&amp;","&amp;$E483,"Open")))</f>
        <v/>
      </c>
      <c r="Q483" s="4"/>
      <c r="R483" s="4"/>
      <c r="W483" s="6" t="str">
        <f t="shared" si="42"/>
        <v/>
      </c>
      <c r="X483" s="6" t="str">
        <f t="shared" si="43"/>
        <v/>
      </c>
      <c r="Y483" s="6" t="str">
        <f t="shared" si="44"/>
        <v/>
      </c>
      <c r="Z483" s="6" t="str">
        <f t="shared" si="45"/>
        <v/>
      </c>
      <c r="AA483" s="6" t="str">
        <f t="shared" si="46"/>
        <v/>
      </c>
      <c r="AB483" s="6" t="str">
        <f t="shared" si="47"/>
        <v/>
      </c>
      <c r="AC483" s="4"/>
      <c r="AD483" s="4"/>
    </row>
    <row r="484" spans="1:30" x14ac:dyDescent="0.45">
      <c r="A484" s="3"/>
      <c r="B484" s="3"/>
      <c r="C484" s="5" t="str">
        <f>IF($E484="","",COUNT($E$2:$E484))</f>
        <v/>
      </c>
      <c r="D484" s="3"/>
      <c r="E484" s="3"/>
      <c r="F484" s="3"/>
      <c r="G484" s="3"/>
      <c r="H484" s="3"/>
      <c r="I484" s="3"/>
      <c r="J484" s="3"/>
      <c r="K484" s="3"/>
      <c r="L484" s="4"/>
      <c r="M484" s="6" t="str">
        <f>IF(OR($E484="",$F484=""),"",IF(_xlfn.SINGLE(JobState)="",IF(ROW()=2,HYPERLINK("#JobState","Set State →"),""),HYPERLINK(IF(OR(_xlfn.SINGLE(JobState)="MI",_xlfn.SINGLE(JobState)=""),"https://fema.maps.arcgis.com/apps/mapviewer/index.html?webmap=6a1702b9147243d1a5ee62cd614bc681&amp;center="&amp;$F484&amp;","&amp;$E484&amp;"&amp;level=16&amp;marker="&amp;$F484&amp;","&amp;$E484&amp;"",IF(_xlfn.SINGLE(JobState)="IN","https://fema.maps.arcgis.com/apps/mapviewer/index.html?url=https%3A%2F%2Fgis.indot.in.gov%2Fro%2Frest%2Fservices%2FRAH_GIO_Collaboration%2FLRSE_Functional_Class%2FFeatureServer%2F22&amp;find="&amp;$F484&amp;"%2C"&amp;$E484&amp;"&amp;marker="&amp;$F484&amp;","&amp;$E484&amp;",4326&amp;level=16",IF(_xlfn.SINGLE(JobState)="WI","https://fema.maps.arcgis.com/apps/mapviewer/index.html?url=https://services5.arcgis.com/0pgGLzT0Nh7FVjon/arcgis/rest/services/Functional_Class_Local_Non_Prod/FeatureServer/1&amp;find="&amp;$F484&amp;"%2C"&amp;$E484&amp;"&amp;marker="&amp;$F484&amp;","&amp;$E484&amp;",4326&amp;level=16",IF(_xlfn.SINGLE(JobState)="MN","https://fema.maps.arcgis.com/apps/mapviewer/index.html?url=https%3A%2F%2Fdotapp9.dot.state.mn.us%2Fegis12%2Frest%2Fservices%2FBASEMAP%2Fmndot_commonlayers2%2FMapServer%2F11&amp;find="&amp;$F484&amp;"%2C"&amp;$E484&amp;"&amp;marker="&amp;$F484&amp;","&amp;$E484&amp;",4326&amp;level=16",IF(_xlfn.SINGLE(JobState)="IL","https://fema.maps.arcgis.com/apps/mapviewer/index.html?url=https%3A%2F%2Fgis1.dot.illinois.gov%2Farcgis%2Frest%2Fservices%2FAdministrativeData%2FFunctionalClass%2FMapServer%2F0&amp;find="&amp;$F484&amp;"%2C"&amp;$E484&amp;"&amp;marker="&amp;$F484&amp;","&amp;$E484&amp;",4326&amp;level=16",IF(_xlfn.SINGLE(JobState)="OH","https://fema.maps.arcgis.com/apps/mapviewer/index.html?url=https%3A%2F%2Ftims.dot.state.oh.us%2Fags%2Frest%2Fservices%2FRoadway_Information%2FFunctional_Class%2FMapServer%2F0&amp;find="&amp;$F484&amp;"%2C"&amp;$E484&amp;"&amp;marker="&amp;$F484&amp;","&amp;$E484&amp;",4326&amp;level=16","https://fema.maps.arcgis.com/apps/mapviewer/index.html?find="&amp;$F484&amp;"%2C"&amp;$E484&amp;"&amp;marker="&amp;$F484&amp;","&amp;$E484&amp;",4326&amp;level=16")))))),IF(_xlfn.SINGLE(JobState)="WI","Review Local Roads Layer","Review NFC AGOL Layer"))))</f>
        <v/>
      </c>
      <c r="N484" s="6" t="str">
        <f>IF(OR($E484="",$F484=""),"",IF(_xlfn.SINGLE(JobState)="",IF(ROW()=2,HYPERLINK("#JobState","Set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484&amp;"%2C"&amp;$E484&amp;"&amp;marker="&amp;$F484&amp;","&amp;$E484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4" s="6" t="str">
        <f>IF(OR($E484="", $F484=""),"",IF(_xlfn.SINGLE(JobAgolMap)="",HYPERLINK("https://fema.maps.arcgis.com/apps/mapviewer/index.html?find="&amp;$F484&amp;"%2C"&amp;$E484&amp;"&amp;marker="&amp;$F484&amp;","&amp;$E484&amp;",4326&amp;level=16","FEMA AGOL Map Viewer"),HYPERLINK(_xlfn.SINGLE(JobAgolMap)&amp;IF(ISNUMBER(FIND("?",_xlfn.SINGLE(JobAgolMap))),"&amp;","?")&amp;"center="&amp;$F484&amp;","&amp;$E484&amp;"&amp;level=16&amp;marker="&amp;$F484&amp;","&amp;$E484,"Open")))</f>
        <v/>
      </c>
      <c r="Q484" s="4"/>
      <c r="R484" s="4"/>
      <c r="W484" s="6" t="str">
        <f t="shared" si="42"/>
        <v/>
      </c>
      <c r="X484" s="6" t="str">
        <f t="shared" si="43"/>
        <v/>
      </c>
      <c r="Y484" s="6" t="str">
        <f t="shared" si="44"/>
        <v/>
      </c>
      <c r="Z484" s="6" t="str">
        <f t="shared" si="45"/>
        <v/>
      </c>
      <c r="AA484" s="6" t="str">
        <f t="shared" si="46"/>
        <v/>
      </c>
      <c r="AB484" s="6" t="str">
        <f t="shared" si="47"/>
        <v/>
      </c>
      <c r="AC484" s="4"/>
      <c r="AD484" s="4"/>
    </row>
    <row r="485" spans="1:30" x14ac:dyDescent="0.45">
      <c r="A485" s="3"/>
      <c r="B485" s="3"/>
      <c r="C485" s="5" t="str">
        <f>IF($E485="","",COUNT($E$2:$E485))</f>
        <v/>
      </c>
      <c r="D485" s="3"/>
      <c r="E485" s="3"/>
      <c r="F485" s="3"/>
      <c r="G485" s="3"/>
      <c r="H485" s="3"/>
      <c r="I485" s="3"/>
      <c r="J485" s="3"/>
      <c r="K485" s="3"/>
      <c r="L485" s="4"/>
      <c r="M485" s="6" t="str">
        <f>IF(OR($E485="",$F485=""),"",IF(_xlfn.SINGLE(JobState)="",IF(ROW()=2,HYPERLINK("#JobState","Set State →"),""),HYPERLINK(IF(OR(_xlfn.SINGLE(JobState)="MI",_xlfn.SINGLE(JobState)=""),"https://fema.maps.arcgis.com/apps/mapviewer/index.html?webmap=6a1702b9147243d1a5ee62cd614bc681&amp;center="&amp;$F485&amp;","&amp;$E485&amp;"&amp;level=16&amp;marker="&amp;$F485&amp;","&amp;$E485&amp;"",IF(_xlfn.SINGLE(JobState)="IN","https://fema.maps.arcgis.com/apps/mapviewer/index.html?url=https%3A%2F%2Fgis.indot.in.gov%2Fro%2Frest%2Fservices%2FRAH_GIO_Collaboration%2FLRSE_Functional_Class%2FFeatureServer%2F22&amp;find="&amp;$F485&amp;"%2C"&amp;$E485&amp;"&amp;marker="&amp;$F485&amp;","&amp;$E485&amp;",4326&amp;level=16",IF(_xlfn.SINGLE(JobState)="WI","https://fema.maps.arcgis.com/apps/mapviewer/index.html?url=https://services5.arcgis.com/0pgGLzT0Nh7FVjon/arcgis/rest/services/Functional_Class_Local_Non_Prod/FeatureServer/1&amp;find="&amp;$F485&amp;"%2C"&amp;$E485&amp;"&amp;marker="&amp;$F485&amp;","&amp;$E485&amp;",4326&amp;level=16",IF(_xlfn.SINGLE(JobState)="MN","https://fema.maps.arcgis.com/apps/mapviewer/index.html?url=https%3A%2F%2Fdotapp9.dot.state.mn.us%2Fegis12%2Frest%2Fservices%2FBASEMAP%2Fmndot_commonlayers2%2FMapServer%2F11&amp;find="&amp;$F485&amp;"%2C"&amp;$E485&amp;"&amp;marker="&amp;$F485&amp;","&amp;$E485&amp;",4326&amp;level=16",IF(_xlfn.SINGLE(JobState)="IL","https://fema.maps.arcgis.com/apps/mapviewer/index.html?url=https%3A%2F%2Fgis1.dot.illinois.gov%2Farcgis%2Frest%2Fservices%2FAdministrativeData%2FFunctionalClass%2FMapServer%2F0&amp;find="&amp;$F485&amp;"%2C"&amp;$E485&amp;"&amp;marker="&amp;$F485&amp;","&amp;$E485&amp;",4326&amp;level=16",IF(_xlfn.SINGLE(JobState)="OH","https://fema.maps.arcgis.com/apps/mapviewer/index.html?url=https%3A%2F%2Ftims.dot.state.oh.us%2Fags%2Frest%2Fservices%2FRoadway_Information%2FFunctional_Class%2FMapServer%2F0&amp;find="&amp;$F485&amp;"%2C"&amp;$E485&amp;"&amp;marker="&amp;$F485&amp;","&amp;$E485&amp;",4326&amp;level=16","https://fema.maps.arcgis.com/apps/mapviewer/index.html?find="&amp;$F485&amp;"%2C"&amp;$E485&amp;"&amp;marker="&amp;$F485&amp;","&amp;$E485&amp;",4326&amp;level=16")))))),IF(_xlfn.SINGLE(JobState)="WI","Review Local Roads Layer","Review NFC AGOL Layer"))))</f>
        <v/>
      </c>
      <c r="N485" s="6" t="str">
        <f>IF(OR($E485="",$F485=""),"",IF(_xlfn.SINGLE(JobState)="",IF(ROW()=2,HYPERLINK("#JobState","Set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485&amp;"%2C"&amp;$E485&amp;"&amp;marker="&amp;$F485&amp;","&amp;$E485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5" s="6" t="str">
        <f>IF(OR($E485="", $F485=""),"",IF(_xlfn.SINGLE(JobAgolMap)="",HYPERLINK("https://fema.maps.arcgis.com/apps/mapviewer/index.html?find="&amp;$F485&amp;"%2C"&amp;$E485&amp;"&amp;marker="&amp;$F485&amp;","&amp;$E485&amp;",4326&amp;level=16","FEMA AGOL Map Viewer"),HYPERLINK(_xlfn.SINGLE(JobAgolMap)&amp;IF(ISNUMBER(FIND("?",_xlfn.SINGLE(JobAgolMap))),"&amp;","?")&amp;"center="&amp;$F485&amp;","&amp;$E485&amp;"&amp;level=16&amp;marker="&amp;$F485&amp;","&amp;$E485,"Open")))</f>
        <v/>
      </c>
      <c r="Q485" s="4"/>
      <c r="R485" s="4"/>
      <c r="W485" s="6" t="str">
        <f t="shared" si="42"/>
        <v/>
      </c>
      <c r="X485" s="6" t="str">
        <f t="shared" si="43"/>
        <v/>
      </c>
      <c r="Y485" s="6" t="str">
        <f t="shared" si="44"/>
        <v/>
      </c>
      <c r="Z485" s="6" t="str">
        <f t="shared" si="45"/>
        <v/>
      </c>
      <c r="AA485" s="6" t="str">
        <f t="shared" si="46"/>
        <v/>
      </c>
      <c r="AB485" s="6" t="str">
        <f t="shared" si="47"/>
        <v/>
      </c>
      <c r="AC485" s="4"/>
      <c r="AD485" s="4"/>
    </row>
    <row r="486" spans="1:30" x14ac:dyDescent="0.45">
      <c r="A486" s="3"/>
      <c r="B486" s="3"/>
      <c r="C486" s="5" t="str">
        <f>IF($E486="","",COUNT($E$2:$E486))</f>
        <v/>
      </c>
      <c r="D486" s="3"/>
      <c r="E486" s="3"/>
      <c r="F486" s="3"/>
      <c r="G486" s="3"/>
      <c r="H486" s="3"/>
      <c r="I486" s="3"/>
      <c r="J486" s="3"/>
      <c r="K486" s="3"/>
      <c r="L486" s="4"/>
      <c r="M486" s="6" t="str">
        <f>IF(OR($E486="",$F486=""),"",IF(_xlfn.SINGLE(JobState)="",IF(ROW()=2,HYPERLINK("#JobState","Set State →"),""),HYPERLINK(IF(OR(_xlfn.SINGLE(JobState)="MI",_xlfn.SINGLE(JobState)=""),"https://fema.maps.arcgis.com/apps/mapviewer/index.html?webmap=6a1702b9147243d1a5ee62cd614bc681&amp;center="&amp;$F486&amp;","&amp;$E486&amp;"&amp;level=16&amp;marker="&amp;$F486&amp;","&amp;$E486&amp;"",IF(_xlfn.SINGLE(JobState)="IN","https://fema.maps.arcgis.com/apps/mapviewer/index.html?url=https%3A%2F%2Fgis.indot.in.gov%2Fro%2Frest%2Fservices%2FRAH_GIO_Collaboration%2FLRSE_Functional_Class%2FFeatureServer%2F22&amp;find="&amp;$F486&amp;"%2C"&amp;$E486&amp;"&amp;marker="&amp;$F486&amp;","&amp;$E486&amp;",4326&amp;level=16",IF(_xlfn.SINGLE(JobState)="WI","https://fema.maps.arcgis.com/apps/mapviewer/index.html?url=https://services5.arcgis.com/0pgGLzT0Nh7FVjon/arcgis/rest/services/Functional_Class_Local_Non_Prod/FeatureServer/1&amp;find="&amp;$F486&amp;"%2C"&amp;$E486&amp;"&amp;marker="&amp;$F486&amp;","&amp;$E486&amp;",4326&amp;level=16",IF(_xlfn.SINGLE(JobState)="MN","https://fema.maps.arcgis.com/apps/mapviewer/index.html?url=https%3A%2F%2Fdotapp9.dot.state.mn.us%2Fegis12%2Frest%2Fservices%2FBASEMAP%2Fmndot_commonlayers2%2FMapServer%2F11&amp;find="&amp;$F486&amp;"%2C"&amp;$E486&amp;"&amp;marker="&amp;$F486&amp;","&amp;$E486&amp;",4326&amp;level=16",IF(_xlfn.SINGLE(JobState)="IL","https://fema.maps.arcgis.com/apps/mapviewer/index.html?url=https%3A%2F%2Fgis1.dot.illinois.gov%2Farcgis%2Frest%2Fservices%2FAdministrativeData%2FFunctionalClass%2FMapServer%2F0&amp;find="&amp;$F486&amp;"%2C"&amp;$E486&amp;"&amp;marker="&amp;$F486&amp;","&amp;$E486&amp;",4326&amp;level=16",IF(_xlfn.SINGLE(JobState)="OH","https://fema.maps.arcgis.com/apps/mapviewer/index.html?url=https%3A%2F%2Ftims.dot.state.oh.us%2Fags%2Frest%2Fservices%2FRoadway_Information%2FFunctional_Class%2FMapServer%2F0&amp;find="&amp;$F486&amp;"%2C"&amp;$E486&amp;"&amp;marker="&amp;$F486&amp;","&amp;$E486&amp;",4326&amp;level=16","https://fema.maps.arcgis.com/apps/mapviewer/index.html?find="&amp;$F486&amp;"%2C"&amp;$E486&amp;"&amp;marker="&amp;$F486&amp;","&amp;$E486&amp;",4326&amp;level=16")))))),IF(_xlfn.SINGLE(JobState)="WI","Review Local Roads Layer","Review NFC AGOL Layer"))))</f>
        <v/>
      </c>
      <c r="N486" s="6" t="str">
        <f>IF(OR($E486="",$F486=""),"",IF(_xlfn.SINGLE(JobState)="",IF(ROW()=2,HYPERLINK("#JobState","Set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486&amp;"%2C"&amp;$E486&amp;"&amp;marker="&amp;$F486&amp;","&amp;$E486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6" s="6" t="str">
        <f>IF(OR($E486="", $F486=""),"",IF(_xlfn.SINGLE(JobAgolMap)="",HYPERLINK("https://fema.maps.arcgis.com/apps/mapviewer/index.html?find="&amp;$F486&amp;"%2C"&amp;$E486&amp;"&amp;marker="&amp;$F486&amp;","&amp;$E486&amp;",4326&amp;level=16","FEMA AGOL Map Viewer"),HYPERLINK(_xlfn.SINGLE(JobAgolMap)&amp;IF(ISNUMBER(FIND("?",_xlfn.SINGLE(JobAgolMap))),"&amp;","?")&amp;"center="&amp;$F486&amp;","&amp;$E486&amp;"&amp;level=16&amp;marker="&amp;$F486&amp;","&amp;$E486,"Open")))</f>
        <v/>
      </c>
      <c r="Q486" s="4"/>
      <c r="R486" s="4"/>
      <c r="W486" s="6" t="str">
        <f t="shared" si="42"/>
        <v/>
      </c>
      <c r="X486" s="6" t="str">
        <f t="shared" si="43"/>
        <v/>
      </c>
      <c r="Y486" s="6" t="str">
        <f t="shared" si="44"/>
        <v/>
      </c>
      <c r="Z486" s="6" t="str">
        <f t="shared" si="45"/>
        <v/>
      </c>
      <c r="AA486" s="6" t="str">
        <f t="shared" si="46"/>
        <v/>
      </c>
      <c r="AB486" s="6" t="str">
        <f t="shared" si="47"/>
        <v/>
      </c>
      <c r="AC486" s="4"/>
      <c r="AD486" s="4"/>
    </row>
    <row r="487" spans="1:30" x14ac:dyDescent="0.45">
      <c r="A487" s="3"/>
      <c r="B487" s="3"/>
      <c r="C487" s="5" t="str">
        <f>IF($E487="","",COUNT($E$2:$E487))</f>
        <v/>
      </c>
      <c r="D487" s="3"/>
      <c r="E487" s="3"/>
      <c r="F487" s="3"/>
      <c r="G487" s="3"/>
      <c r="H487" s="3"/>
      <c r="I487" s="3"/>
      <c r="J487" s="3"/>
      <c r="K487" s="3"/>
      <c r="L487" s="4"/>
      <c r="M487" s="6" t="str">
        <f>IF(OR($E487="",$F487=""),"",IF(_xlfn.SINGLE(JobState)="",IF(ROW()=2,HYPERLINK("#JobState","Set State →"),""),HYPERLINK(IF(OR(_xlfn.SINGLE(JobState)="MI",_xlfn.SINGLE(JobState)=""),"https://fema.maps.arcgis.com/apps/mapviewer/index.html?webmap=6a1702b9147243d1a5ee62cd614bc681&amp;center="&amp;$F487&amp;","&amp;$E487&amp;"&amp;level=16&amp;marker="&amp;$F487&amp;","&amp;$E487&amp;"",IF(_xlfn.SINGLE(JobState)="IN","https://fema.maps.arcgis.com/apps/mapviewer/index.html?url=https%3A%2F%2Fgis.indot.in.gov%2Fro%2Frest%2Fservices%2FRAH_GIO_Collaboration%2FLRSE_Functional_Class%2FFeatureServer%2F22&amp;find="&amp;$F487&amp;"%2C"&amp;$E487&amp;"&amp;marker="&amp;$F487&amp;","&amp;$E487&amp;",4326&amp;level=16",IF(_xlfn.SINGLE(JobState)="WI","https://fema.maps.arcgis.com/apps/mapviewer/index.html?url=https://services5.arcgis.com/0pgGLzT0Nh7FVjon/arcgis/rest/services/Functional_Class_Local_Non_Prod/FeatureServer/1&amp;find="&amp;$F487&amp;"%2C"&amp;$E487&amp;"&amp;marker="&amp;$F487&amp;","&amp;$E487&amp;",4326&amp;level=16",IF(_xlfn.SINGLE(JobState)="MN","https://fema.maps.arcgis.com/apps/mapviewer/index.html?url=https%3A%2F%2Fdotapp9.dot.state.mn.us%2Fegis12%2Frest%2Fservices%2FBASEMAP%2Fmndot_commonlayers2%2FMapServer%2F11&amp;find="&amp;$F487&amp;"%2C"&amp;$E487&amp;"&amp;marker="&amp;$F487&amp;","&amp;$E487&amp;",4326&amp;level=16",IF(_xlfn.SINGLE(JobState)="IL","https://fema.maps.arcgis.com/apps/mapviewer/index.html?url=https%3A%2F%2Fgis1.dot.illinois.gov%2Farcgis%2Frest%2Fservices%2FAdministrativeData%2FFunctionalClass%2FMapServer%2F0&amp;find="&amp;$F487&amp;"%2C"&amp;$E487&amp;"&amp;marker="&amp;$F487&amp;","&amp;$E487&amp;",4326&amp;level=16",IF(_xlfn.SINGLE(JobState)="OH","https://fema.maps.arcgis.com/apps/mapviewer/index.html?url=https%3A%2F%2Ftims.dot.state.oh.us%2Fags%2Frest%2Fservices%2FRoadway_Information%2FFunctional_Class%2FMapServer%2F0&amp;find="&amp;$F487&amp;"%2C"&amp;$E487&amp;"&amp;marker="&amp;$F487&amp;","&amp;$E487&amp;",4326&amp;level=16","https://fema.maps.arcgis.com/apps/mapviewer/index.html?find="&amp;$F487&amp;"%2C"&amp;$E487&amp;"&amp;marker="&amp;$F487&amp;","&amp;$E487&amp;",4326&amp;level=16")))))),IF(_xlfn.SINGLE(JobState)="WI","Review Local Roads Layer","Review NFC AGOL Layer"))))</f>
        <v/>
      </c>
      <c r="N487" s="6" t="str">
        <f>IF(OR($E487="",$F487=""),"",IF(_xlfn.SINGLE(JobState)="",IF(ROW()=2,HYPERLINK("#JobState","Set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487&amp;"%2C"&amp;$E487&amp;"&amp;marker="&amp;$F487&amp;","&amp;$E487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7" s="6" t="str">
        <f>IF(OR($E487="", $F487=""),"",IF(_xlfn.SINGLE(JobAgolMap)="",HYPERLINK("https://fema.maps.arcgis.com/apps/mapviewer/index.html?find="&amp;$F487&amp;"%2C"&amp;$E487&amp;"&amp;marker="&amp;$F487&amp;","&amp;$E487&amp;",4326&amp;level=16","FEMA AGOL Map Viewer"),HYPERLINK(_xlfn.SINGLE(JobAgolMap)&amp;IF(ISNUMBER(FIND("?",_xlfn.SINGLE(JobAgolMap))),"&amp;","?")&amp;"center="&amp;$F487&amp;","&amp;$E487&amp;"&amp;level=16&amp;marker="&amp;$F487&amp;","&amp;$E487,"Open")))</f>
        <v/>
      </c>
      <c r="Q487" s="4"/>
      <c r="R487" s="4"/>
      <c r="W487" s="6" t="str">
        <f t="shared" si="42"/>
        <v/>
      </c>
      <c r="X487" s="6" t="str">
        <f t="shared" si="43"/>
        <v/>
      </c>
      <c r="Y487" s="6" t="str">
        <f t="shared" si="44"/>
        <v/>
      </c>
      <c r="Z487" s="6" t="str">
        <f t="shared" si="45"/>
        <v/>
      </c>
      <c r="AA487" s="6" t="str">
        <f t="shared" si="46"/>
        <v/>
      </c>
      <c r="AB487" s="6" t="str">
        <f t="shared" si="47"/>
        <v/>
      </c>
      <c r="AC487" s="4"/>
      <c r="AD487" s="4"/>
    </row>
    <row r="488" spans="1:30" x14ac:dyDescent="0.45">
      <c r="A488" s="3"/>
      <c r="B488" s="3"/>
      <c r="C488" s="5" t="str">
        <f>IF($E488="","",COUNT($E$2:$E488))</f>
        <v/>
      </c>
      <c r="D488" s="3"/>
      <c r="E488" s="3"/>
      <c r="F488" s="3"/>
      <c r="G488" s="3"/>
      <c r="H488" s="3"/>
      <c r="I488" s="3"/>
      <c r="J488" s="3"/>
      <c r="K488" s="3"/>
      <c r="L488" s="4"/>
      <c r="M488" s="6" t="str">
        <f>IF(OR($E488="",$F488=""),"",IF(_xlfn.SINGLE(JobState)="",IF(ROW()=2,HYPERLINK("#JobState","Set State →"),""),HYPERLINK(IF(OR(_xlfn.SINGLE(JobState)="MI",_xlfn.SINGLE(JobState)=""),"https://fema.maps.arcgis.com/apps/mapviewer/index.html?webmap=6a1702b9147243d1a5ee62cd614bc681&amp;center="&amp;$F488&amp;","&amp;$E488&amp;"&amp;level=16&amp;marker="&amp;$F488&amp;","&amp;$E488&amp;"",IF(_xlfn.SINGLE(JobState)="IN","https://fema.maps.arcgis.com/apps/mapviewer/index.html?url=https%3A%2F%2Fgis.indot.in.gov%2Fro%2Frest%2Fservices%2FRAH_GIO_Collaboration%2FLRSE_Functional_Class%2FFeatureServer%2F22&amp;find="&amp;$F488&amp;"%2C"&amp;$E488&amp;"&amp;marker="&amp;$F488&amp;","&amp;$E488&amp;",4326&amp;level=16",IF(_xlfn.SINGLE(JobState)="WI","https://fema.maps.arcgis.com/apps/mapviewer/index.html?url=https://services5.arcgis.com/0pgGLzT0Nh7FVjon/arcgis/rest/services/Functional_Class_Local_Non_Prod/FeatureServer/1&amp;find="&amp;$F488&amp;"%2C"&amp;$E488&amp;"&amp;marker="&amp;$F488&amp;","&amp;$E488&amp;",4326&amp;level=16",IF(_xlfn.SINGLE(JobState)="MN","https://fema.maps.arcgis.com/apps/mapviewer/index.html?url=https%3A%2F%2Fdotapp9.dot.state.mn.us%2Fegis12%2Frest%2Fservices%2FBASEMAP%2Fmndot_commonlayers2%2FMapServer%2F11&amp;find="&amp;$F488&amp;"%2C"&amp;$E488&amp;"&amp;marker="&amp;$F488&amp;","&amp;$E488&amp;",4326&amp;level=16",IF(_xlfn.SINGLE(JobState)="IL","https://fema.maps.arcgis.com/apps/mapviewer/index.html?url=https%3A%2F%2Fgis1.dot.illinois.gov%2Farcgis%2Frest%2Fservices%2FAdministrativeData%2FFunctionalClass%2FMapServer%2F0&amp;find="&amp;$F488&amp;"%2C"&amp;$E488&amp;"&amp;marker="&amp;$F488&amp;","&amp;$E488&amp;",4326&amp;level=16",IF(_xlfn.SINGLE(JobState)="OH","https://fema.maps.arcgis.com/apps/mapviewer/index.html?url=https%3A%2F%2Ftims.dot.state.oh.us%2Fags%2Frest%2Fservices%2FRoadway_Information%2FFunctional_Class%2FMapServer%2F0&amp;find="&amp;$F488&amp;"%2C"&amp;$E488&amp;"&amp;marker="&amp;$F488&amp;","&amp;$E488&amp;",4326&amp;level=16","https://fema.maps.arcgis.com/apps/mapviewer/index.html?find="&amp;$F488&amp;"%2C"&amp;$E488&amp;"&amp;marker="&amp;$F488&amp;","&amp;$E488&amp;",4326&amp;level=16")))))),IF(_xlfn.SINGLE(JobState)="WI","Review Local Roads Layer","Review NFC AGOL Layer"))))</f>
        <v/>
      </c>
      <c r="N488" s="6" t="str">
        <f>IF(OR($E488="",$F488=""),"",IF(_xlfn.SINGLE(JobState)="",IF(ROW()=2,HYPERLINK("#JobState","Set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488&amp;"%2C"&amp;$E488&amp;"&amp;marker="&amp;$F488&amp;","&amp;$E488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8" s="6" t="str">
        <f>IF(OR($E488="", $F488=""),"",IF(_xlfn.SINGLE(JobAgolMap)="",HYPERLINK("https://fema.maps.arcgis.com/apps/mapviewer/index.html?find="&amp;$F488&amp;"%2C"&amp;$E488&amp;"&amp;marker="&amp;$F488&amp;","&amp;$E488&amp;",4326&amp;level=16","FEMA AGOL Map Viewer"),HYPERLINK(_xlfn.SINGLE(JobAgolMap)&amp;IF(ISNUMBER(FIND("?",_xlfn.SINGLE(JobAgolMap))),"&amp;","?")&amp;"center="&amp;$F488&amp;","&amp;$E488&amp;"&amp;level=16&amp;marker="&amp;$F488&amp;","&amp;$E488,"Open")))</f>
        <v/>
      </c>
      <c r="Q488" s="4"/>
      <c r="R488" s="4"/>
      <c r="W488" s="6" t="str">
        <f t="shared" si="42"/>
        <v/>
      </c>
      <c r="X488" s="6" t="str">
        <f t="shared" si="43"/>
        <v/>
      </c>
      <c r="Y488" s="6" t="str">
        <f t="shared" si="44"/>
        <v/>
      </c>
      <c r="Z488" s="6" t="str">
        <f t="shared" si="45"/>
        <v/>
      </c>
      <c r="AA488" s="6" t="str">
        <f t="shared" si="46"/>
        <v/>
      </c>
      <c r="AB488" s="6" t="str">
        <f t="shared" si="47"/>
        <v/>
      </c>
      <c r="AC488" s="4"/>
      <c r="AD488" s="4"/>
    </row>
    <row r="489" spans="1:30" x14ac:dyDescent="0.45">
      <c r="A489" s="3"/>
      <c r="B489" s="3"/>
      <c r="C489" s="5" t="str">
        <f>IF($E489="","",COUNT($E$2:$E489))</f>
        <v/>
      </c>
      <c r="D489" s="3"/>
      <c r="E489" s="3"/>
      <c r="F489" s="3"/>
      <c r="G489" s="3"/>
      <c r="H489" s="3"/>
      <c r="I489" s="3"/>
      <c r="J489" s="3"/>
      <c r="K489" s="3"/>
      <c r="L489" s="4"/>
      <c r="M489" s="6" t="str">
        <f>IF(OR($E489="",$F489=""),"",IF(_xlfn.SINGLE(JobState)="",IF(ROW()=2,HYPERLINK("#JobState","Set State →"),""),HYPERLINK(IF(OR(_xlfn.SINGLE(JobState)="MI",_xlfn.SINGLE(JobState)=""),"https://fema.maps.arcgis.com/apps/mapviewer/index.html?webmap=6a1702b9147243d1a5ee62cd614bc681&amp;center="&amp;$F489&amp;","&amp;$E489&amp;"&amp;level=16&amp;marker="&amp;$F489&amp;","&amp;$E489&amp;"",IF(_xlfn.SINGLE(JobState)="IN","https://fema.maps.arcgis.com/apps/mapviewer/index.html?url=https%3A%2F%2Fgis.indot.in.gov%2Fro%2Frest%2Fservices%2FRAH_GIO_Collaboration%2FLRSE_Functional_Class%2FFeatureServer%2F22&amp;find="&amp;$F489&amp;"%2C"&amp;$E489&amp;"&amp;marker="&amp;$F489&amp;","&amp;$E489&amp;",4326&amp;level=16",IF(_xlfn.SINGLE(JobState)="WI","https://fema.maps.arcgis.com/apps/mapviewer/index.html?url=https://services5.arcgis.com/0pgGLzT0Nh7FVjon/arcgis/rest/services/Functional_Class_Local_Non_Prod/FeatureServer/1&amp;find="&amp;$F489&amp;"%2C"&amp;$E489&amp;"&amp;marker="&amp;$F489&amp;","&amp;$E489&amp;",4326&amp;level=16",IF(_xlfn.SINGLE(JobState)="MN","https://fema.maps.arcgis.com/apps/mapviewer/index.html?url=https%3A%2F%2Fdotapp9.dot.state.mn.us%2Fegis12%2Frest%2Fservices%2FBASEMAP%2Fmndot_commonlayers2%2FMapServer%2F11&amp;find="&amp;$F489&amp;"%2C"&amp;$E489&amp;"&amp;marker="&amp;$F489&amp;","&amp;$E489&amp;",4326&amp;level=16",IF(_xlfn.SINGLE(JobState)="IL","https://fema.maps.arcgis.com/apps/mapviewer/index.html?url=https%3A%2F%2Fgis1.dot.illinois.gov%2Farcgis%2Frest%2Fservices%2FAdministrativeData%2FFunctionalClass%2FMapServer%2F0&amp;find="&amp;$F489&amp;"%2C"&amp;$E489&amp;"&amp;marker="&amp;$F489&amp;","&amp;$E489&amp;",4326&amp;level=16",IF(_xlfn.SINGLE(JobState)="OH","https://fema.maps.arcgis.com/apps/mapviewer/index.html?url=https%3A%2F%2Ftims.dot.state.oh.us%2Fags%2Frest%2Fservices%2FRoadway_Information%2FFunctional_Class%2FMapServer%2F0&amp;find="&amp;$F489&amp;"%2C"&amp;$E489&amp;"&amp;marker="&amp;$F489&amp;","&amp;$E489&amp;",4326&amp;level=16","https://fema.maps.arcgis.com/apps/mapviewer/index.html?find="&amp;$F489&amp;"%2C"&amp;$E489&amp;"&amp;marker="&amp;$F489&amp;","&amp;$E489&amp;",4326&amp;level=16")))))),IF(_xlfn.SINGLE(JobState)="WI","Review Local Roads Layer","Review NFC AGOL Layer"))))</f>
        <v/>
      </c>
      <c r="N489" s="6" t="str">
        <f>IF(OR($E489="",$F489=""),"",IF(_xlfn.SINGLE(JobState)="",IF(ROW()=2,HYPERLINK("#JobState","Set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489&amp;"%2C"&amp;$E489&amp;"&amp;marker="&amp;$F489&amp;","&amp;$E489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9" s="6" t="str">
        <f>IF(OR($E489="", $F489=""),"",IF(_xlfn.SINGLE(JobAgolMap)="",HYPERLINK("https://fema.maps.arcgis.com/apps/mapviewer/index.html?find="&amp;$F489&amp;"%2C"&amp;$E489&amp;"&amp;marker="&amp;$F489&amp;","&amp;$E489&amp;",4326&amp;level=16","FEMA AGOL Map Viewer"),HYPERLINK(_xlfn.SINGLE(JobAgolMap)&amp;IF(ISNUMBER(FIND("?",_xlfn.SINGLE(JobAgolMap))),"&amp;","?")&amp;"center="&amp;$F489&amp;","&amp;$E489&amp;"&amp;level=16&amp;marker="&amp;$F489&amp;","&amp;$E489,"Open")))</f>
        <v/>
      </c>
      <c r="Q489" s="4"/>
      <c r="R489" s="4"/>
      <c r="W489" s="6" t="str">
        <f t="shared" si="42"/>
        <v/>
      </c>
      <c r="X489" s="6" t="str">
        <f t="shared" si="43"/>
        <v/>
      </c>
      <c r="Y489" s="6" t="str">
        <f t="shared" si="44"/>
        <v/>
      </c>
      <c r="Z489" s="6" t="str">
        <f t="shared" si="45"/>
        <v/>
      </c>
      <c r="AA489" s="6" t="str">
        <f t="shared" si="46"/>
        <v/>
      </c>
      <c r="AB489" s="6" t="str">
        <f t="shared" si="47"/>
        <v/>
      </c>
      <c r="AC489" s="4"/>
      <c r="AD489" s="4"/>
    </row>
    <row r="490" spans="1:30" x14ac:dyDescent="0.45">
      <c r="A490" s="3"/>
      <c r="B490" s="3"/>
      <c r="C490" s="5" t="str">
        <f>IF($E490="","",COUNT($E$2:$E490))</f>
        <v/>
      </c>
      <c r="D490" s="3"/>
      <c r="E490" s="3"/>
      <c r="F490" s="3"/>
      <c r="G490" s="3"/>
      <c r="H490" s="3"/>
      <c r="I490" s="3"/>
      <c r="J490" s="3"/>
      <c r="K490" s="3"/>
      <c r="L490" s="4"/>
      <c r="M490" s="6" t="str">
        <f>IF(OR($E490="",$F490=""),"",IF(_xlfn.SINGLE(JobState)="",IF(ROW()=2,HYPERLINK("#JobState","Set State →"),""),HYPERLINK(IF(OR(_xlfn.SINGLE(JobState)="MI",_xlfn.SINGLE(JobState)=""),"https://fema.maps.arcgis.com/apps/mapviewer/index.html?webmap=6a1702b9147243d1a5ee62cd614bc681&amp;center="&amp;$F490&amp;","&amp;$E490&amp;"&amp;level=16&amp;marker="&amp;$F490&amp;","&amp;$E490&amp;"",IF(_xlfn.SINGLE(JobState)="IN","https://fema.maps.arcgis.com/apps/mapviewer/index.html?url=https%3A%2F%2Fgis.indot.in.gov%2Fro%2Frest%2Fservices%2FRAH_GIO_Collaboration%2FLRSE_Functional_Class%2FFeatureServer%2F22&amp;find="&amp;$F490&amp;"%2C"&amp;$E490&amp;"&amp;marker="&amp;$F490&amp;","&amp;$E490&amp;",4326&amp;level=16",IF(_xlfn.SINGLE(JobState)="WI","https://fema.maps.arcgis.com/apps/mapviewer/index.html?url=https://services5.arcgis.com/0pgGLzT0Nh7FVjon/arcgis/rest/services/Functional_Class_Local_Non_Prod/FeatureServer/1&amp;find="&amp;$F490&amp;"%2C"&amp;$E490&amp;"&amp;marker="&amp;$F490&amp;","&amp;$E490&amp;",4326&amp;level=16",IF(_xlfn.SINGLE(JobState)="MN","https://fema.maps.arcgis.com/apps/mapviewer/index.html?url=https%3A%2F%2Fdotapp9.dot.state.mn.us%2Fegis12%2Frest%2Fservices%2FBASEMAP%2Fmndot_commonlayers2%2FMapServer%2F11&amp;find="&amp;$F490&amp;"%2C"&amp;$E490&amp;"&amp;marker="&amp;$F490&amp;","&amp;$E490&amp;",4326&amp;level=16",IF(_xlfn.SINGLE(JobState)="IL","https://fema.maps.arcgis.com/apps/mapviewer/index.html?url=https%3A%2F%2Fgis1.dot.illinois.gov%2Farcgis%2Frest%2Fservices%2FAdministrativeData%2FFunctionalClass%2FMapServer%2F0&amp;find="&amp;$F490&amp;"%2C"&amp;$E490&amp;"&amp;marker="&amp;$F490&amp;","&amp;$E490&amp;",4326&amp;level=16",IF(_xlfn.SINGLE(JobState)="OH","https://fema.maps.arcgis.com/apps/mapviewer/index.html?url=https%3A%2F%2Ftims.dot.state.oh.us%2Fags%2Frest%2Fservices%2FRoadway_Information%2FFunctional_Class%2FMapServer%2F0&amp;find="&amp;$F490&amp;"%2C"&amp;$E490&amp;"&amp;marker="&amp;$F490&amp;","&amp;$E490&amp;",4326&amp;level=16","https://fema.maps.arcgis.com/apps/mapviewer/index.html?find="&amp;$F490&amp;"%2C"&amp;$E490&amp;"&amp;marker="&amp;$F490&amp;","&amp;$E490&amp;",4326&amp;level=16")))))),IF(_xlfn.SINGLE(JobState)="WI","Review Local Roads Layer","Review NFC AGOL Layer"))))</f>
        <v/>
      </c>
      <c r="N490" s="6" t="str">
        <f>IF(OR($E490="",$F490=""),"",IF(_xlfn.SINGLE(JobState)="",IF(ROW()=2,HYPERLINK("#JobState","Set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490&amp;"%2C"&amp;$E490&amp;"&amp;marker="&amp;$F490&amp;","&amp;$E490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0" s="6" t="str">
        <f>IF(OR($E490="", $F490=""),"",IF(_xlfn.SINGLE(JobAgolMap)="",HYPERLINK("https://fema.maps.arcgis.com/apps/mapviewer/index.html?find="&amp;$F490&amp;"%2C"&amp;$E490&amp;"&amp;marker="&amp;$F490&amp;","&amp;$E490&amp;",4326&amp;level=16","FEMA AGOL Map Viewer"),HYPERLINK(_xlfn.SINGLE(JobAgolMap)&amp;IF(ISNUMBER(FIND("?",_xlfn.SINGLE(JobAgolMap))),"&amp;","?")&amp;"center="&amp;$F490&amp;","&amp;$E490&amp;"&amp;level=16&amp;marker="&amp;$F490&amp;","&amp;$E490,"Open")))</f>
        <v/>
      </c>
      <c r="Q490" s="4"/>
      <c r="R490" s="4"/>
      <c r="W490" s="6" t="str">
        <f t="shared" si="42"/>
        <v/>
      </c>
      <c r="X490" s="6" t="str">
        <f t="shared" si="43"/>
        <v/>
      </c>
      <c r="Y490" s="6" t="str">
        <f t="shared" si="44"/>
        <v/>
      </c>
      <c r="Z490" s="6" t="str">
        <f t="shared" si="45"/>
        <v/>
      </c>
      <c r="AA490" s="6" t="str">
        <f t="shared" si="46"/>
        <v/>
      </c>
      <c r="AB490" s="6" t="str">
        <f t="shared" si="47"/>
        <v/>
      </c>
      <c r="AC490" s="4"/>
      <c r="AD490" s="4"/>
    </row>
    <row r="491" spans="1:30" x14ac:dyDescent="0.45">
      <c r="A491" s="3"/>
      <c r="B491" s="3"/>
      <c r="C491" s="5" t="str">
        <f>IF($E491="","",COUNT($E$2:$E491))</f>
        <v/>
      </c>
      <c r="D491" s="3"/>
      <c r="E491" s="3"/>
      <c r="F491" s="3"/>
      <c r="G491" s="3"/>
      <c r="H491" s="3"/>
      <c r="I491" s="3"/>
      <c r="J491" s="3"/>
      <c r="K491" s="3"/>
      <c r="L491" s="4"/>
      <c r="M491" s="6" t="str">
        <f>IF(OR($E491="",$F491=""),"",IF(_xlfn.SINGLE(JobState)="",IF(ROW()=2,HYPERLINK("#JobState","Set State →"),""),HYPERLINK(IF(OR(_xlfn.SINGLE(JobState)="MI",_xlfn.SINGLE(JobState)=""),"https://fema.maps.arcgis.com/apps/mapviewer/index.html?webmap=6a1702b9147243d1a5ee62cd614bc681&amp;center="&amp;$F491&amp;","&amp;$E491&amp;"&amp;level=16&amp;marker="&amp;$F491&amp;","&amp;$E491&amp;"",IF(_xlfn.SINGLE(JobState)="IN","https://fema.maps.arcgis.com/apps/mapviewer/index.html?url=https%3A%2F%2Fgis.indot.in.gov%2Fro%2Frest%2Fservices%2FRAH_GIO_Collaboration%2FLRSE_Functional_Class%2FFeatureServer%2F22&amp;find="&amp;$F491&amp;"%2C"&amp;$E491&amp;"&amp;marker="&amp;$F491&amp;","&amp;$E491&amp;",4326&amp;level=16",IF(_xlfn.SINGLE(JobState)="WI","https://fema.maps.arcgis.com/apps/mapviewer/index.html?url=https://services5.arcgis.com/0pgGLzT0Nh7FVjon/arcgis/rest/services/Functional_Class_Local_Non_Prod/FeatureServer/1&amp;find="&amp;$F491&amp;"%2C"&amp;$E491&amp;"&amp;marker="&amp;$F491&amp;","&amp;$E491&amp;",4326&amp;level=16",IF(_xlfn.SINGLE(JobState)="MN","https://fema.maps.arcgis.com/apps/mapviewer/index.html?url=https%3A%2F%2Fdotapp9.dot.state.mn.us%2Fegis12%2Frest%2Fservices%2FBASEMAP%2Fmndot_commonlayers2%2FMapServer%2F11&amp;find="&amp;$F491&amp;"%2C"&amp;$E491&amp;"&amp;marker="&amp;$F491&amp;","&amp;$E491&amp;",4326&amp;level=16",IF(_xlfn.SINGLE(JobState)="IL","https://fema.maps.arcgis.com/apps/mapviewer/index.html?url=https%3A%2F%2Fgis1.dot.illinois.gov%2Farcgis%2Frest%2Fservices%2FAdministrativeData%2FFunctionalClass%2FMapServer%2F0&amp;find="&amp;$F491&amp;"%2C"&amp;$E491&amp;"&amp;marker="&amp;$F491&amp;","&amp;$E491&amp;",4326&amp;level=16",IF(_xlfn.SINGLE(JobState)="OH","https://fema.maps.arcgis.com/apps/mapviewer/index.html?url=https%3A%2F%2Ftims.dot.state.oh.us%2Fags%2Frest%2Fservices%2FRoadway_Information%2FFunctional_Class%2FMapServer%2F0&amp;find="&amp;$F491&amp;"%2C"&amp;$E491&amp;"&amp;marker="&amp;$F491&amp;","&amp;$E491&amp;",4326&amp;level=16","https://fema.maps.arcgis.com/apps/mapviewer/index.html?find="&amp;$F491&amp;"%2C"&amp;$E491&amp;"&amp;marker="&amp;$F491&amp;","&amp;$E491&amp;",4326&amp;level=16")))))),IF(_xlfn.SINGLE(JobState)="WI","Review Local Roads Layer","Review NFC AGOL Layer"))))</f>
        <v/>
      </c>
      <c r="N491" s="6" t="str">
        <f>IF(OR($E491="",$F491=""),"",IF(_xlfn.SINGLE(JobState)="",IF(ROW()=2,HYPERLINK("#JobState","Set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491&amp;"%2C"&amp;$E491&amp;"&amp;marker="&amp;$F491&amp;","&amp;$E491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1" s="6" t="str">
        <f>IF(OR($E491="", $F491=""),"",IF(_xlfn.SINGLE(JobAgolMap)="",HYPERLINK("https://fema.maps.arcgis.com/apps/mapviewer/index.html?find="&amp;$F491&amp;"%2C"&amp;$E491&amp;"&amp;marker="&amp;$F491&amp;","&amp;$E491&amp;",4326&amp;level=16","FEMA AGOL Map Viewer"),HYPERLINK(_xlfn.SINGLE(JobAgolMap)&amp;IF(ISNUMBER(FIND("?",_xlfn.SINGLE(JobAgolMap))),"&amp;","?")&amp;"center="&amp;$F491&amp;","&amp;$E491&amp;"&amp;level=16&amp;marker="&amp;$F491&amp;","&amp;$E491,"Open")))</f>
        <v/>
      </c>
      <c r="Q491" s="4"/>
      <c r="R491" s="4"/>
      <c r="W491" s="6" t="str">
        <f t="shared" si="42"/>
        <v/>
      </c>
      <c r="X491" s="6" t="str">
        <f t="shared" si="43"/>
        <v/>
      </c>
      <c r="Y491" s="6" t="str">
        <f t="shared" si="44"/>
        <v/>
      </c>
      <c r="Z491" s="6" t="str">
        <f t="shared" si="45"/>
        <v/>
      </c>
      <c r="AA491" s="6" t="str">
        <f t="shared" si="46"/>
        <v/>
      </c>
      <c r="AB491" s="6" t="str">
        <f t="shared" si="47"/>
        <v/>
      </c>
      <c r="AC491" s="4"/>
      <c r="AD491" s="4"/>
    </row>
    <row r="492" spans="1:30" x14ac:dyDescent="0.45">
      <c r="A492" s="3"/>
      <c r="B492" s="3"/>
      <c r="C492" s="5" t="str">
        <f>IF($E492="","",COUNT($E$2:$E492))</f>
        <v/>
      </c>
      <c r="D492" s="3"/>
      <c r="E492" s="3"/>
      <c r="F492" s="3"/>
      <c r="G492" s="3"/>
      <c r="H492" s="3"/>
      <c r="I492" s="3"/>
      <c r="J492" s="3"/>
      <c r="K492" s="3"/>
      <c r="L492" s="4"/>
      <c r="M492" s="6" t="str">
        <f>IF(OR($E492="",$F492=""),"",IF(_xlfn.SINGLE(JobState)="",IF(ROW()=2,HYPERLINK("#JobState","Set State →"),""),HYPERLINK(IF(OR(_xlfn.SINGLE(JobState)="MI",_xlfn.SINGLE(JobState)=""),"https://fema.maps.arcgis.com/apps/mapviewer/index.html?webmap=6a1702b9147243d1a5ee62cd614bc681&amp;center="&amp;$F492&amp;","&amp;$E492&amp;"&amp;level=16&amp;marker="&amp;$F492&amp;","&amp;$E492&amp;"",IF(_xlfn.SINGLE(JobState)="IN","https://fema.maps.arcgis.com/apps/mapviewer/index.html?url=https%3A%2F%2Fgis.indot.in.gov%2Fro%2Frest%2Fservices%2FRAH_GIO_Collaboration%2FLRSE_Functional_Class%2FFeatureServer%2F22&amp;find="&amp;$F492&amp;"%2C"&amp;$E492&amp;"&amp;marker="&amp;$F492&amp;","&amp;$E492&amp;",4326&amp;level=16",IF(_xlfn.SINGLE(JobState)="WI","https://fema.maps.arcgis.com/apps/mapviewer/index.html?url=https://services5.arcgis.com/0pgGLzT0Nh7FVjon/arcgis/rest/services/Functional_Class_Local_Non_Prod/FeatureServer/1&amp;find="&amp;$F492&amp;"%2C"&amp;$E492&amp;"&amp;marker="&amp;$F492&amp;","&amp;$E492&amp;",4326&amp;level=16",IF(_xlfn.SINGLE(JobState)="MN","https://fema.maps.arcgis.com/apps/mapviewer/index.html?url=https%3A%2F%2Fdotapp9.dot.state.mn.us%2Fegis12%2Frest%2Fservices%2FBASEMAP%2Fmndot_commonlayers2%2FMapServer%2F11&amp;find="&amp;$F492&amp;"%2C"&amp;$E492&amp;"&amp;marker="&amp;$F492&amp;","&amp;$E492&amp;",4326&amp;level=16",IF(_xlfn.SINGLE(JobState)="IL","https://fema.maps.arcgis.com/apps/mapviewer/index.html?url=https%3A%2F%2Fgis1.dot.illinois.gov%2Farcgis%2Frest%2Fservices%2FAdministrativeData%2FFunctionalClass%2FMapServer%2F0&amp;find="&amp;$F492&amp;"%2C"&amp;$E492&amp;"&amp;marker="&amp;$F492&amp;","&amp;$E492&amp;",4326&amp;level=16",IF(_xlfn.SINGLE(JobState)="OH","https://fema.maps.arcgis.com/apps/mapviewer/index.html?url=https%3A%2F%2Ftims.dot.state.oh.us%2Fags%2Frest%2Fservices%2FRoadway_Information%2FFunctional_Class%2FMapServer%2F0&amp;find="&amp;$F492&amp;"%2C"&amp;$E492&amp;"&amp;marker="&amp;$F492&amp;","&amp;$E492&amp;",4326&amp;level=16","https://fema.maps.arcgis.com/apps/mapviewer/index.html?find="&amp;$F492&amp;"%2C"&amp;$E492&amp;"&amp;marker="&amp;$F492&amp;","&amp;$E492&amp;",4326&amp;level=16")))))),IF(_xlfn.SINGLE(JobState)="WI","Review Local Roads Layer","Review NFC AGOL Layer"))))</f>
        <v/>
      </c>
      <c r="N492" s="6" t="str">
        <f>IF(OR($E492="",$F492=""),"",IF(_xlfn.SINGLE(JobState)="",IF(ROW()=2,HYPERLINK("#JobState","Set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492&amp;"%2C"&amp;$E492&amp;"&amp;marker="&amp;$F492&amp;","&amp;$E492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2" s="6" t="str">
        <f>IF(OR($E492="", $F492=""),"",IF(_xlfn.SINGLE(JobAgolMap)="",HYPERLINK("https://fema.maps.arcgis.com/apps/mapviewer/index.html?find="&amp;$F492&amp;"%2C"&amp;$E492&amp;"&amp;marker="&amp;$F492&amp;","&amp;$E492&amp;",4326&amp;level=16","FEMA AGOL Map Viewer"),HYPERLINK(_xlfn.SINGLE(JobAgolMap)&amp;IF(ISNUMBER(FIND("?",_xlfn.SINGLE(JobAgolMap))),"&amp;","?")&amp;"center="&amp;$F492&amp;","&amp;$E492&amp;"&amp;level=16&amp;marker="&amp;$F492&amp;","&amp;$E492,"Open")))</f>
        <v/>
      </c>
      <c r="Q492" s="4"/>
      <c r="R492" s="4"/>
      <c r="W492" s="6" t="str">
        <f t="shared" si="42"/>
        <v/>
      </c>
      <c r="X492" s="6" t="str">
        <f t="shared" si="43"/>
        <v/>
      </c>
      <c r="Y492" s="6" t="str">
        <f t="shared" si="44"/>
        <v/>
      </c>
      <c r="Z492" s="6" t="str">
        <f t="shared" si="45"/>
        <v/>
      </c>
      <c r="AA492" s="6" t="str">
        <f t="shared" si="46"/>
        <v/>
      </c>
      <c r="AB492" s="6" t="str">
        <f t="shared" si="47"/>
        <v/>
      </c>
      <c r="AC492" s="4"/>
      <c r="AD492" s="4"/>
    </row>
    <row r="493" spans="1:30" x14ac:dyDescent="0.45">
      <c r="A493" s="3"/>
      <c r="B493" s="3"/>
      <c r="C493" s="5" t="str">
        <f>IF($E493="","",COUNT($E$2:$E493))</f>
        <v/>
      </c>
      <c r="D493" s="3"/>
      <c r="E493" s="3"/>
      <c r="F493" s="3"/>
      <c r="G493" s="3"/>
      <c r="H493" s="3"/>
      <c r="I493" s="3"/>
      <c r="J493" s="3"/>
      <c r="K493" s="3"/>
      <c r="L493" s="4"/>
      <c r="M493" s="6" t="str">
        <f>IF(OR($E493="",$F493=""),"",IF(_xlfn.SINGLE(JobState)="",IF(ROW()=2,HYPERLINK("#JobState","Set State →"),""),HYPERLINK(IF(OR(_xlfn.SINGLE(JobState)="MI",_xlfn.SINGLE(JobState)=""),"https://fema.maps.arcgis.com/apps/mapviewer/index.html?webmap=6a1702b9147243d1a5ee62cd614bc681&amp;center="&amp;$F493&amp;","&amp;$E493&amp;"&amp;level=16&amp;marker="&amp;$F493&amp;","&amp;$E493&amp;"",IF(_xlfn.SINGLE(JobState)="IN","https://fema.maps.arcgis.com/apps/mapviewer/index.html?url=https%3A%2F%2Fgis.indot.in.gov%2Fro%2Frest%2Fservices%2FRAH_GIO_Collaboration%2FLRSE_Functional_Class%2FFeatureServer%2F22&amp;find="&amp;$F493&amp;"%2C"&amp;$E493&amp;"&amp;marker="&amp;$F493&amp;","&amp;$E493&amp;",4326&amp;level=16",IF(_xlfn.SINGLE(JobState)="WI","https://fema.maps.arcgis.com/apps/mapviewer/index.html?url=https://services5.arcgis.com/0pgGLzT0Nh7FVjon/arcgis/rest/services/Functional_Class_Local_Non_Prod/FeatureServer/1&amp;find="&amp;$F493&amp;"%2C"&amp;$E493&amp;"&amp;marker="&amp;$F493&amp;","&amp;$E493&amp;",4326&amp;level=16",IF(_xlfn.SINGLE(JobState)="MN","https://fema.maps.arcgis.com/apps/mapviewer/index.html?url=https%3A%2F%2Fdotapp9.dot.state.mn.us%2Fegis12%2Frest%2Fservices%2FBASEMAP%2Fmndot_commonlayers2%2FMapServer%2F11&amp;find="&amp;$F493&amp;"%2C"&amp;$E493&amp;"&amp;marker="&amp;$F493&amp;","&amp;$E493&amp;",4326&amp;level=16",IF(_xlfn.SINGLE(JobState)="IL","https://fema.maps.arcgis.com/apps/mapviewer/index.html?url=https%3A%2F%2Fgis1.dot.illinois.gov%2Farcgis%2Frest%2Fservices%2FAdministrativeData%2FFunctionalClass%2FMapServer%2F0&amp;find="&amp;$F493&amp;"%2C"&amp;$E493&amp;"&amp;marker="&amp;$F493&amp;","&amp;$E493&amp;",4326&amp;level=16",IF(_xlfn.SINGLE(JobState)="OH","https://fema.maps.arcgis.com/apps/mapviewer/index.html?url=https%3A%2F%2Ftims.dot.state.oh.us%2Fags%2Frest%2Fservices%2FRoadway_Information%2FFunctional_Class%2FMapServer%2F0&amp;find="&amp;$F493&amp;"%2C"&amp;$E493&amp;"&amp;marker="&amp;$F493&amp;","&amp;$E493&amp;",4326&amp;level=16","https://fema.maps.arcgis.com/apps/mapviewer/index.html?find="&amp;$F493&amp;"%2C"&amp;$E493&amp;"&amp;marker="&amp;$F493&amp;","&amp;$E493&amp;",4326&amp;level=16")))))),IF(_xlfn.SINGLE(JobState)="WI","Review Local Roads Layer","Review NFC AGOL Layer"))))</f>
        <v/>
      </c>
      <c r="N493" s="6" t="str">
        <f>IF(OR($E493="",$F493=""),"",IF(_xlfn.SINGLE(JobState)="",IF(ROW()=2,HYPERLINK("#JobState","Set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493&amp;"%2C"&amp;$E493&amp;"&amp;marker="&amp;$F493&amp;","&amp;$E493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3" s="6" t="str">
        <f>IF(OR($E493="", $F493=""),"",IF(_xlfn.SINGLE(JobAgolMap)="",HYPERLINK("https://fema.maps.arcgis.com/apps/mapviewer/index.html?find="&amp;$F493&amp;"%2C"&amp;$E493&amp;"&amp;marker="&amp;$F493&amp;","&amp;$E493&amp;",4326&amp;level=16","FEMA AGOL Map Viewer"),HYPERLINK(_xlfn.SINGLE(JobAgolMap)&amp;IF(ISNUMBER(FIND("?",_xlfn.SINGLE(JobAgolMap))),"&amp;","?")&amp;"center="&amp;$F493&amp;","&amp;$E493&amp;"&amp;level=16&amp;marker="&amp;$F493&amp;","&amp;$E493,"Open")))</f>
        <v/>
      </c>
      <c r="Q493" s="4"/>
      <c r="R493" s="4"/>
      <c r="W493" s="6" t="str">
        <f t="shared" si="42"/>
        <v/>
      </c>
      <c r="X493" s="6" t="str">
        <f t="shared" si="43"/>
        <v/>
      </c>
      <c r="Y493" s="6" t="str">
        <f t="shared" si="44"/>
        <v/>
      </c>
      <c r="Z493" s="6" t="str">
        <f t="shared" si="45"/>
        <v/>
      </c>
      <c r="AA493" s="6" t="str">
        <f t="shared" si="46"/>
        <v/>
      </c>
      <c r="AB493" s="6" t="str">
        <f t="shared" si="47"/>
        <v/>
      </c>
      <c r="AC493" s="4"/>
      <c r="AD493" s="4"/>
    </row>
    <row r="494" spans="1:30" x14ac:dyDescent="0.45">
      <c r="A494" s="3"/>
      <c r="B494" s="3"/>
      <c r="C494" s="5" t="str">
        <f>IF($E494="","",COUNT($E$2:$E494))</f>
        <v/>
      </c>
      <c r="D494" s="3"/>
      <c r="E494" s="3"/>
      <c r="F494" s="3"/>
      <c r="G494" s="3"/>
      <c r="H494" s="3"/>
      <c r="I494" s="3"/>
      <c r="J494" s="3"/>
      <c r="K494" s="3"/>
      <c r="L494" s="4"/>
      <c r="M494" s="6" t="str">
        <f>IF(OR($E494="",$F494=""),"",IF(_xlfn.SINGLE(JobState)="",IF(ROW()=2,HYPERLINK("#JobState","Set State →"),""),HYPERLINK(IF(OR(_xlfn.SINGLE(JobState)="MI",_xlfn.SINGLE(JobState)=""),"https://fema.maps.arcgis.com/apps/mapviewer/index.html?webmap=6a1702b9147243d1a5ee62cd614bc681&amp;center="&amp;$F494&amp;","&amp;$E494&amp;"&amp;level=16&amp;marker="&amp;$F494&amp;","&amp;$E494&amp;"",IF(_xlfn.SINGLE(JobState)="IN","https://fema.maps.arcgis.com/apps/mapviewer/index.html?url=https%3A%2F%2Fgis.indot.in.gov%2Fro%2Frest%2Fservices%2FRAH_GIO_Collaboration%2FLRSE_Functional_Class%2FFeatureServer%2F22&amp;find="&amp;$F494&amp;"%2C"&amp;$E494&amp;"&amp;marker="&amp;$F494&amp;","&amp;$E494&amp;",4326&amp;level=16",IF(_xlfn.SINGLE(JobState)="WI","https://fema.maps.arcgis.com/apps/mapviewer/index.html?url=https://services5.arcgis.com/0pgGLzT0Nh7FVjon/arcgis/rest/services/Functional_Class_Local_Non_Prod/FeatureServer/1&amp;find="&amp;$F494&amp;"%2C"&amp;$E494&amp;"&amp;marker="&amp;$F494&amp;","&amp;$E494&amp;",4326&amp;level=16",IF(_xlfn.SINGLE(JobState)="MN","https://fema.maps.arcgis.com/apps/mapviewer/index.html?url=https%3A%2F%2Fdotapp9.dot.state.mn.us%2Fegis12%2Frest%2Fservices%2FBASEMAP%2Fmndot_commonlayers2%2FMapServer%2F11&amp;find="&amp;$F494&amp;"%2C"&amp;$E494&amp;"&amp;marker="&amp;$F494&amp;","&amp;$E494&amp;",4326&amp;level=16",IF(_xlfn.SINGLE(JobState)="IL","https://fema.maps.arcgis.com/apps/mapviewer/index.html?url=https%3A%2F%2Fgis1.dot.illinois.gov%2Farcgis%2Frest%2Fservices%2FAdministrativeData%2FFunctionalClass%2FMapServer%2F0&amp;find="&amp;$F494&amp;"%2C"&amp;$E494&amp;"&amp;marker="&amp;$F494&amp;","&amp;$E494&amp;",4326&amp;level=16",IF(_xlfn.SINGLE(JobState)="OH","https://fema.maps.arcgis.com/apps/mapviewer/index.html?url=https%3A%2F%2Ftims.dot.state.oh.us%2Fags%2Frest%2Fservices%2FRoadway_Information%2FFunctional_Class%2FMapServer%2F0&amp;find="&amp;$F494&amp;"%2C"&amp;$E494&amp;"&amp;marker="&amp;$F494&amp;","&amp;$E494&amp;",4326&amp;level=16","https://fema.maps.arcgis.com/apps/mapviewer/index.html?find="&amp;$F494&amp;"%2C"&amp;$E494&amp;"&amp;marker="&amp;$F494&amp;","&amp;$E494&amp;",4326&amp;level=16")))))),IF(_xlfn.SINGLE(JobState)="WI","Review Local Roads Layer","Review NFC AGOL Layer"))))</f>
        <v/>
      </c>
      <c r="N494" s="6" t="str">
        <f>IF(OR($E494="",$F494=""),"",IF(_xlfn.SINGLE(JobState)="",IF(ROW()=2,HYPERLINK("#JobState","Set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494&amp;"%2C"&amp;$E494&amp;"&amp;marker="&amp;$F494&amp;","&amp;$E494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4" s="6" t="str">
        <f>IF(OR($E494="", $F494=""),"",IF(_xlfn.SINGLE(JobAgolMap)="",HYPERLINK("https://fema.maps.arcgis.com/apps/mapviewer/index.html?find="&amp;$F494&amp;"%2C"&amp;$E494&amp;"&amp;marker="&amp;$F494&amp;","&amp;$E494&amp;",4326&amp;level=16","FEMA AGOL Map Viewer"),HYPERLINK(_xlfn.SINGLE(JobAgolMap)&amp;IF(ISNUMBER(FIND("?",_xlfn.SINGLE(JobAgolMap))),"&amp;","?")&amp;"center="&amp;$F494&amp;","&amp;$E494&amp;"&amp;level=16&amp;marker="&amp;$F494&amp;","&amp;$E494,"Open")))</f>
        <v/>
      </c>
      <c r="Q494" s="4"/>
      <c r="R494" s="4"/>
      <c r="W494" s="6" t="str">
        <f t="shared" si="42"/>
        <v/>
      </c>
      <c r="X494" s="6" t="str">
        <f t="shared" si="43"/>
        <v/>
      </c>
      <c r="Y494" s="6" t="str">
        <f t="shared" si="44"/>
        <v/>
      </c>
      <c r="Z494" s="6" t="str">
        <f t="shared" si="45"/>
        <v/>
      </c>
      <c r="AA494" s="6" t="str">
        <f t="shared" si="46"/>
        <v/>
      </c>
      <c r="AB494" s="6" t="str">
        <f t="shared" si="47"/>
        <v/>
      </c>
      <c r="AC494" s="4"/>
      <c r="AD494" s="4"/>
    </row>
    <row r="495" spans="1:30" x14ac:dyDescent="0.45">
      <c r="A495" s="3"/>
      <c r="B495" s="3"/>
      <c r="C495" s="5" t="str">
        <f>IF($E495="","",COUNT($E$2:$E495))</f>
        <v/>
      </c>
      <c r="D495" s="3"/>
      <c r="E495" s="3"/>
      <c r="F495" s="3"/>
      <c r="G495" s="3"/>
      <c r="H495" s="3"/>
      <c r="I495" s="3"/>
      <c r="J495" s="3"/>
      <c r="K495" s="3"/>
      <c r="L495" s="4"/>
      <c r="M495" s="6" t="str">
        <f>IF(OR($E495="",$F495=""),"",IF(_xlfn.SINGLE(JobState)="",IF(ROW()=2,HYPERLINK("#JobState","Set State →"),""),HYPERLINK(IF(OR(_xlfn.SINGLE(JobState)="MI",_xlfn.SINGLE(JobState)=""),"https://fema.maps.arcgis.com/apps/mapviewer/index.html?webmap=6a1702b9147243d1a5ee62cd614bc681&amp;center="&amp;$F495&amp;","&amp;$E495&amp;"&amp;level=16&amp;marker="&amp;$F495&amp;","&amp;$E495&amp;"",IF(_xlfn.SINGLE(JobState)="IN","https://fema.maps.arcgis.com/apps/mapviewer/index.html?url=https%3A%2F%2Fgis.indot.in.gov%2Fro%2Frest%2Fservices%2FRAH_GIO_Collaboration%2FLRSE_Functional_Class%2FFeatureServer%2F22&amp;find="&amp;$F495&amp;"%2C"&amp;$E495&amp;"&amp;marker="&amp;$F495&amp;","&amp;$E495&amp;",4326&amp;level=16",IF(_xlfn.SINGLE(JobState)="WI","https://fema.maps.arcgis.com/apps/mapviewer/index.html?url=https://services5.arcgis.com/0pgGLzT0Nh7FVjon/arcgis/rest/services/Functional_Class_Local_Non_Prod/FeatureServer/1&amp;find="&amp;$F495&amp;"%2C"&amp;$E495&amp;"&amp;marker="&amp;$F495&amp;","&amp;$E495&amp;",4326&amp;level=16",IF(_xlfn.SINGLE(JobState)="MN","https://fema.maps.arcgis.com/apps/mapviewer/index.html?url=https%3A%2F%2Fdotapp9.dot.state.mn.us%2Fegis12%2Frest%2Fservices%2FBASEMAP%2Fmndot_commonlayers2%2FMapServer%2F11&amp;find="&amp;$F495&amp;"%2C"&amp;$E495&amp;"&amp;marker="&amp;$F495&amp;","&amp;$E495&amp;",4326&amp;level=16",IF(_xlfn.SINGLE(JobState)="IL","https://fema.maps.arcgis.com/apps/mapviewer/index.html?url=https%3A%2F%2Fgis1.dot.illinois.gov%2Farcgis%2Frest%2Fservices%2FAdministrativeData%2FFunctionalClass%2FMapServer%2F0&amp;find="&amp;$F495&amp;"%2C"&amp;$E495&amp;"&amp;marker="&amp;$F495&amp;","&amp;$E495&amp;",4326&amp;level=16",IF(_xlfn.SINGLE(JobState)="OH","https://fema.maps.arcgis.com/apps/mapviewer/index.html?url=https%3A%2F%2Ftims.dot.state.oh.us%2Fags%2Frest%2Fservices%2FRoadway_Information%2FFunctional_Class%2FMapServer%2F0&amp;find="&amp;$F495&amp;"%2C"&amp;$E495&amp;"&amp;marker="&amp;$F495&amp;","&amp;$E495&amp;",4326&amp;level=16","https://fema.maps.arcgis.com/apps/mapviewer/index.html?find="&amp;$F495&amp;"%2C"&amp;$E495&amp;"&amp;marker="&amp;$F495&amp;","&amp;$E495&amp;",4326&amp;level=16")))))),IF(_xlfn.SINGLE(JobState)="WI","Review Local Roads Layer","Review NFC AGOL Layer"))))</f>
        <v/>
      </c>
      <c r="N495" s="6" t="str">
        <f>IF(OR($E495="",$F495=""),"",IF(_xlfn.SINGLE(JobState)="",IF(ROW()=2,HYPERLINK("#JobState","Set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495&amp;"%2C"&amp;$E495&amp;"&amp;marker="&amp;$F495&amp;","&amp;$E495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5" s="6" t="str">
        <f>IF(OR($E495="", $F495=""),"",IF(_xlfn.SINGLE(JobAgolMap)="",HYPERLINK("https://fema.maps.arcgis.com/apps/mapviewer/index.html?find="&amp;$F495&amp;"%2C"&amp;$E495&amp;"&amp;marker="&amp;$F495&amp;","&amp;$E495&amp;",4326&amp;level=16","FEMA AGOL Map Viewer"),HYPERLINK(_xlfn.SINGLE(JobAgolMap)&amp;IF(ISNUMBER(FIND("?",_xlfn.SINGLE(JobAgolMap))),"&amp;","?")&amp;"center="&amp;$F495&amp;","&amp;$E495&amp;"&amp;level=16&amp;marker="&amp;$F495&amp;","&amp;$E495,"Open")))</f>
        <v/>
      </c>
      <c r="Q495" s="4"/>
      <c r="R495" s="4"/>
      <c r="W495" s="6" t="str">
        <f t="shared" si="42"/>
        <v/>
      </c>
      <c r="X495" s="6" t="str">
        <f t="shared" si="43"/>
        <v/>
      </c>
      <c r="Y495" s="6" t="str">
        <f t="shared" si="44"/>
        <v/>
      </c>
      <c r="Z495" s="6" t="str">
        <f t="shared" si="45"/>
        <v/>
      </c>
      <c r="AA495" s="6" t="str">
        <f t="shared" si="46"/>
        <v/>
      </c>
      <c r="AB495" s="6" t="str">
        <f t="shared" si="47"/>
        <v/>
      </c>
      <c r="AC495" s="4"/>
      <c r="AD495" s="4"/>
    </row>
    <row r="496" spans="1:30" x14ac:dyDescent="0.45">
      <c r="A496" s="3"/>
      <c r="B496" s="3"/>
      <c r="C496" s="5" t="str">
        <f>IF($E496="","",COUNT($E$2:$E496))</f>
        <v/>
      </c>
      <c r="D496" s="3"/>
      <c r="E496" s="3"/>
      <c r="F496" s="3"/>
      <c r="G496" s="3"/>
      <c r="H496" s="3"/>
      <c r="I496" s="3"/>
      <c r="J496" s="3"/>
      <c r="K496" s="3"/>
      <c r="L496" s="4"/>
      <c r="M496" s="6" t="str">
        <f>IF(OR($E496="",$F496=""),"",IF(_xlfn.SINGLE(JobState)="",IF(ROW()=2,HYPERLINK("#JobState","Set State →"),""),HYPERLINK(IF(OR(_xlfn.SINGLE(JobState)="MI",_xlfn.SINGLE(JobState)=""),"https://fema.maps.arcgis.com/apps/mapviewer/index.html?webmap=6a1702b9147243d1a5ee62cd614bc681&amp;center="&amp;$F496&amp;","&amp;$E496&amp;"&amp;level=16&amp;marker="&amp;$F496&amp;","&amp;$E496&amp;"",IF(_xlfn.SINGLE(JobState)="IN","https://fema.maps.arcgis.com/apps/mapviewer/index.html?url=https%3A%2F%2Fgis.indot.in.gov%2Fro%2Frest%2Fservices%2FRAH_GIO_Collaboration%2FLRSE_Functional_Class%2FFeatureServer%2F22&amp;find="&amp;$F496&amp;"%2C"&amp;$E496&amp;"&amp;marker="&amp;$F496&amp;","&amp;$E496&amp;",4326&amp;level=16",IF(_xlfn.SINGLE(JobState)="WI","https://fema.maps.arcgis.com/apps/mapviewer/index.html?url=https://services5.arcgis.com/0pgGLzT0Nh7FVjon/arcgis/rest/services/Functional_Class_Local_Non_Prod/FeatureServer/1&amp;find="&amp;$F496&amp;"%2C"&amp;$E496&amp;"&amp;marker="&amp;$F496&amp;","&amp;$E496&amp;",4326&amp;level=16",IF(_xlfn.SINGLE(JobState)="MN","https://fema.maps.arcgis.com/apps/mapviewer/index.html?url=https%3A%2F%2Fdotapp9.dot.state.mn.us%2Fegis12%2Frest%2Fservices%2FBASEMAP%2Fmndot_commonlayers2%2FMapServer%2F11&amp;find="&amp;$F496&amp;"%2C"&amp;$E496&amp;"&amp;marker="&amp;$F496&amp;","&amp;$E496&amp;",4326&amp;level=16",IF(_xlfn.SINGLE(JobState)="IL","https://fema.maps.arcgis.com/apps/mapviewer/index.html?url=https%3A%2F%2Fgis1.dot.illinois.gov%2Farcgis%2Frest%2Fservices%2FAdministrativeData%2FFunctionalClass%2FMapServer%2F0&amp;find="&amp;$F496&amp;"%2C"&amp;$E496&amp;"&amp;marker="&amp;$F496&amp;","&amp;$E496&amp;",4326&amp;level=16",IF(_xlfn.SINGLE(JobState)="OH","https://fema.maps.arcgis.com/apps/mapviewer/index.html?url=https%3A%2F%2Ftims.dot.state.oh.us%2Fags%2Frest%2Fservices%2FRoadway_Information%2FFunctional_Class%2FMapServer%2F0&amp;find="&amp;$F496&amp;"%2C"&amp;$E496&amp;"&amp;marker="&amp;$F496&amp;","&amp;$E496&amp;",4326&amp;level=16","https://fema.maps.arcgis.com/apps/mapviewer/index.html?find="&amp;$F496&amp;"%2C"&amp;$E496&amp;"&amp;marker="&amp;$F496&amp;","&amp;$E496&amp;",4326&amp;level=16")))))),IF(_xlfn.SINGLE(JobState)="WI","Review Local Roads Layer","Review NFC AGOL Layer"))))</f>
        <v/>
      </c>
      <c r="N496" s="6" t="str">
        <f>IF(OR($E496="",$F496=""),"",IF(_xlfn.SINGLE(JobState)="",IF(ROW()=2,HYPERLINK("#JobState","Set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496&amp;"%2C"&amp;$E496&amp;"&amp;marker="&amp;$F496&amp;","&amp;$E496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6" s="6" t="str">
        <f>IF(OR($E496="", $F496=""),"",IF(_xlfn.SINGLE(JobAgolMap)="",HYPERLINK("https://fema.maps.arcgis.com/apps/mapviewer/index.html?find="&amp;$F496&amp;"%2C"&amp;$E496&amp;"&amp;marker="&amp;$F496&amp;","&amp;$E496&amp;",4326&amp;level=16","FEMA AGOL Map Viewer"),HYPERLINK(_xlfn.SINGLE(JobAgolMap)&amp;IF(ISNUMBER(FIND("?",_xlfn.SINGLE(JobAgolMap))),"&amp;","?")&amp;"center="&amp;$F496&amp;","&amp;$E496&amp;"&amp;level=16&amp;marker="&amp;$F496&amp;","&amp;$E496,"Open")))</f>
        <v/>
      </c>
      <c r="Q496" s="4"/>
      <c r="R496" s="4"/>
      <c r="W496" s="6" t="str">
        <f t="shared" si="42"/>
        <v/>
      </c>
      <c r="X496" s="6" t="str">
        <f t="shared" si="43"/>
        <v/>
      </c>
      <c r="Y496" s="6" t="str">
        <f t="shared" si="44"/>
        <v/>
      </c>
      <c r="Z496" s="6" t="str">
        <f t="shared" si="45"/>
        <v/>
      </c>
      <c r="AA496" s="6" t="str">
        <f t="shared" si="46"/>
        <v/>
      </c>
      <c r="AB496" s="6" t="str">
        <f t="shared" si="47"/>
        <v/>
      </c>
      <c r="AC496" s="4"/>
      <c r="AD496" s="4"/>
    </row>
    <row r="497" spans="1:30" x14ac:dyDescent="0.45">
      <c r="A497" s="3"/>
      <c r="B497" s="3"/>
      <c r="C497" s="5" t="str">
        <f>IF($E497="","",COUNT($E$2:$E497))</f>
        <v/>
      </c>
      <c r="D497" s="3"/>
      <c r="E497" s="3"/>
      <c r="F497" s="3"/>
      <c r="G497" s="3"/>
      <c r="H497" s="3"/>
      <c r="I497" s="3"/>
      <c r="J497" s="3"/>
      <c r="K497" s="3"/>
      <c r="L497" s="4"/>
      <c r="M497" s="6" t="str">
        <f>IF(OR($E497="",$F497=""),"",IF(_xlfn.SINGLE(JobState)="",IF(ROW()=2,HYPERLINK("#JobState","Set State →"),""),HYPERLINK(IF(OR(_xlfn.SINGLE(JobState)="MI",_xlfn.SINGLE(JobState)=""),"https://fema.maps.arcgis.com/apps/mapviewer/index.html?webmap=6a1702b9147243d1a5ee62cd614bc681&amp;center="&amp;$F497&amp;","&amp;$E497&amp;"&amp;level=16&amp;marker="&amp;$F497&amp;","&amp;$E497&amp;"",IF(_xlfn.SINGLE(JobState)="IN","https://fema.maps.arcgis.com/apps/mapviewer/index.html?url=https%3A%2F%2Fgis.indot.in.gov%2Fro%2Frest%2Fservices%2FRAH_GIO_Collaboration%2FLRSE_Functional_Class%2FFeatureServer%2F22&amp;find="&amp;$F497&amp;"%2C"&amp;$E497&amp;"&amp;marker="&amp;$F497&amp;","&amp;$E497&amp;",4326&amp;level=16",IF(_xlfn.SINGLE(JobState)="WI","https://fema.maps.arcgis.com/apps/mapviewer/index.html?url=https://services5.arcgis.com/0pgGLzT0Nh7FVjon/arcgis/rest/services/Functional_Class_Local_Non_Prod/FeatureServer/1&amp;find="&amp;$F497&amp;"%2C"&amp;$E497&amp;"&amp;marker="&amp;$F497&amp;","&amp;$E497&amp;",4326&amp;level=16",IF(_xlfn.SINGLE(JobState)="MN","https://fema.maps.arcgis.com/apps/mapviewer/index.html?url=https%3A%2F%2Fdotapp9.dot.state.mn.us%2Fegis12%2Frest%2Fservices%2FBASEMAP%2Fmndot_commonlayers2%2FMapServer%2F11&amp;find="&amp;$F497&amp;"%2C"&amp;$E497&amp;"&amp;marker="&amp;$F497&amp;","&amp;$E497&amp;",4326&amp;level=16",IF(_xlfn.SINGLE(JobState)="IL","https://fema.maps.arcgis.com/apps/mapviewer/index.html?url=https%3A%2F%2Fgis1.dot.illinois.gov%2Farcgis%2Frest%2Fservices%2FAdministrativeData%2FFunctionalClass%2FMapServer%2F0&amp;find="&amp;$F497&amp;"%2C"&amp;$E497&amp;"&amp;marker="&amp;$F497&amp;","&amp;$E497&amp;",4326&amp;level=16",IF(_xlfn.SINGLE(JobState)="OH","https://fema.maps.arcgis.com/apps/mapviewer/index.html?url=https%3A%2F%2Ftims.dot.state.oh.us%2Fags%2Frest%2Fservices%2FRoadway_Information%2FFunctional_Class%2FMapServer%2F0&amp;find="&amp;$F497&amp;"%2C"&amp;$E497&amp;"&amp;marker="&amp;$F497&amp;","&amp;$E497&amp;",4326&amp;level=16","https://fema.maps.arcgis.com/apps/mapviewer/index.html?find="&amp;$F497&amp;"%2C"&amp;$E497&amp;"&amp;marker="&amp;$F497&amp;","&amp;$E497&amp;",4326&amp;level=16")))))),IF(_xlfn.SINGLE(JobState)="WI","Review Local Roads Layer","Review NFC AGOL Layer"))))</f>
        <v/>
      </c>
      <c r="N497" s="6" t="str">
        <f>IF(OR($E497="",$F497=""),"",IF(_xlfn.SINGLE(JobState)="",IF(ROW()=2,HYPERLINK("#JobState","Set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497&amp;"%2C"&amp;$E497&amp;"&amp;marker="&amp;$F497&amp;","&amp;$E497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7" s="6" t="str">
        <f>IF(OR($E497="", $F497=""),"",IF(_xlfn.SINGLE(JobAgolMap)="",HYPERLINK("https://fema.maps.arcgis.com/apps/mapviewer/index.html?find="&amp;$F497&amp;"%2C"&amp;$E497&amp;"&amp;marker="&amp;$F497&amp;","&amp;$E497&amp;",4326&amp;level=16","FEMA AGOL Map Viewer"),HYPERLINK(_xlfn.SINGLE(JobAgolMap)&amp;IF(ISNUMBER(FIND("?",_xlfn.SINGLE(JobAgolMap))),"&amp;","?")&amp;"center="&amp;$F497&amp;","&amp;$E497&amp;"&amp;level=16&amp;marker="&amp;$F497&amp;","&amp;$E497,"Open")))</f>
        <v/>
      </c>
      <c r="Q497" s="4"/>
      <c r="R497" s="4"/>
      <c r="W497" s="6" t="str">
        <f t="shared" si="42"/>
        <v/>
      </c>
      <c r="X497" s="6" t="str">
        <f t="shared" si="43"/>
        <v/>
      </c>
      <c r="Y497" s="6" t="str">
        <f t="shared" si="44"/>
        <v/>
      </c>
      <c r="Z497" s="6" t="str">
        <f t="shared" si="45"/>
        <v/>
      </c>
      <c r="AA497" s="6" t="str">
        <f t="shared" si="46"/>
        <v/>
      </c>
      <c r="AB497" s="6" t="str">
        <f t="shared" si="47"/>
        <v/>
      </c>
      <c r="AC497" s="4"/>
      <c r="AD497" s="4"/>
    </row>
    <row r="498" spans="1:30" x14ac:dyDescent="0.45">
      <c r="A498" s="3"/>
      <c r="B498" s="3"/>
      <c r="C498" s="5" t="str">
        <f>IF($E498="","",COUNT($E$2:$E498))</f>
        <v/>
      </c>
      <c r="D498" s="3"/>
      <c r="E498" s="3"/>
      <c r="F498" s="3"/>
      <c r="G498" s="3"/>
      <c r="H498" s="3"/>
      <c r="I498" s="3"/>
      <c r="J498" s="3"/>
      <c r="K498" s="3"/>
      <c r="L498" s="4"/>
      <c r="M498" s="6" t="str">
        <f>IF(OR($E498="",$F498=""),"",IF(_xlfn.SINGLE(JobState)="",IF(ROW()=2,HYPERLINK("#JobState","Set State →"),""),HYPERLINK(IF(OR(_xlfn.SINGLE(JobState)="MI",_xlfn.SINGLE(JobState)=""),"https://fema.maps.arcgis.com/apps/mapviewer/index.html?webmap=6a1702b9147243d1a5ee62cd614bc681&amp;center="&amp;$F498&amp;","&amp;$E498&amp;"&amp;level=16&amp;marker="&amp;$F498&amp;","&amp;$E498&amp;"",IF(_xlfn.SINGLE(JobState)="IN","https://fema.maps.arcgis.com/apps/mapviewer/index.html?url=https%3A%2F%2Fgis.indot.in.gov%2Fro%2Frest%2Fservices%2FRAH_GIO_Collaboration%2FLRSE_Functional_Class%2FFeatureServer%2F22&amp;find="&amp;$F498&amp;"%2C"&amp;$E498&amp;"&amp;marker="&amp;$F498&amp;","&amp;$E498&amp;",4326&amp;level=16",IF(_xlfn.SINGLE(JobState)="WI","https://fema.maps.arcgis.com/apps/mapviewer/index.html?url=https://services5.arcgis.com/0pgGLzT0Nh7FVjon/arcgis/rest/services/Functional_Class_Local_Non_Prod/FeatureServer/1&amp;find="&amp;$F498&amp;"%2C"&amp;$E498&amp;"&amp;marker="&amp;$F498&amp;","&amp;$E498&amp;",4326&amp;level=16",IF(_xlfn.SINGLE(JobState)="MN","https://fema.maps.arcgis.com/apps/mapviewer/index.html?url=https%3A%2F%2Fdotapp9.dot.state.mn.us%2Fegis12%2Frest%2Fservices%2FBASEMAP%2Fmndot_commonlayers2%2FMapServer%2F11&amp;find="&amp;$F498&amp;"%2C"&amp;$E498&amp;"&amp;marker="&amp;$F498&amp;","&amp;$E498&amp;",4326&amp;level=16",IF(_xlfn.SINGLE(JobState)="IL","https://fema.maps.arcgis.com/apps/mapviewer/index.html?url=https%3A%2F%2Fgis1.dot.illinois.gov%2Farcgis%2Frest%2Fservices%2FAdministrativeData%2FFunctionalClass%2FMapServer%2F0&amp;find="&amp;$F498&amp;"%2C"&amp;$E498&amp;"&amp;marker="&amp;$F498&amp;","&amp;$E498&amp;",4326&amp;level=16",IF(_xlfn.SINGLE(JobState)="OH","https://fema.maps.arcgis.com/apps/mapviewer/index.html?url=https%3A%2F%2Ftims.dot.state.oh.us%2Fags%2Frest%2Fservices%2FRoadway_Information%2FFunctional_Class%2FMapServer%2F0&amp;find="&amp;$F498&amp;"%2C"&amp;$E498&amp;"&amp;marker="&amp;$F498&amp;","&amp;$E498&amp;",4326&amp;level=16","https://fema.maps.arcgis.com/apps/mapviewer/index.html?find="&amp;$F498&amp;"%2C"&amp;$E498&amp;"&amp;marker="&amp;$F498&amp;","&amp;$E498&amp;",4326&amp;level=16")))))),IF(_xlfn.SINGLE(JobState)="WI","Review Local Roads Layer","Review NFC AGOL Layer"))))</f>
        <v/>
      </c>
      <c r="N498" s="6" t="str">
        <f>IF(OR($E498="",$F498=""),"",IF(_xlfn.SINGLE(JobState)="",IF(ROW()=2,HYPERLINK("#JobState","Set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498&amp;"%2C"&amp;$E498&amp;"&amp;marker="&amp;$F498&amp;","&amp;$E498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8" s="6" t="str">
        <f>IF(OR($E498="", $F498=""),"",IF(_xlfn.SINGLE(JobAgolMap)="",HYPERLINK("https://fema.maps.arcgis.com/apps/mapviewer/index.html?find="&amp;$F498&amp;"%2C"&amp;$E498&amp;"&amp;marker="&amp;$F498&amp;","&amp;$E498&amp;",4326&amp;level=16","FEMA AGOL Map Viewer"),HYPERLINK(_xlfn.SINGLE(JobAgolMap)&amp;IF(ISNUMBER(FIND("?",_xlfn.SINGLE(JobAgolMap))),"&amp;","?")&amp;"center="&amp;$F498&amp;","&amp;$E498&amp;"&amp;level=16&amp;marker="&amp;$F498&amp;","&amp;$E498,"Open")))</f>
        <v/>
      </c>
      <c r="Q498" s="4"/>
      <c r="R498" s="4"/>
      <c r="W498" s="6" t="str">
        <f t="shared" si="42"/>
        <v/>
      </c>
      <c r="X498" s="6" t="str">
        <f t="shared" si="43"/>
        <v/>
      </c>
      <c r="Y498" s="6" t="str">
        <f t="shared" si="44"/>
        <v/>
      </c>
      <c r="Z498" s="6" t="str">
        <f t="shared" si="45"/>
        <v/>
      </c>
      <c r="AA498" s="6" t="str">
        <f t="shared" si="46"/>
        <v/>
      </c>
      <c r="AB498" s="6" t="str">
        <f t="shared" si="47"/>
        <v/>
      </c>
      <c r="AC498" s="4"/>
      <c r="AD498" s="4"/>
    </row>
    <row r="499" spans="1:30" x14ac:dyDescent="0.45">
      <c r="A499" s="3"/>
      <c r="B499" s="3"/>
      <c r="C499" s="5" t="str">
        <f>IF($E499="","",COUNT($E$2:$E499))</f>
        <v/>
      </c>
      <c r="D499" s="3"/>
      <c r="E499" s="3"/>
      <c r="F499" s="3"/>
      <c r="G499" s="3"/>
      <c r="H499" s="3"/>
      <c r="I499" s="3"/>
      <c r="J499" s="3"/>
      <c r="K499" s="3"/>
      <c r="L499" s="4"/>
      <c r="M499" s="6" t="str">
        <f>IF(OR($E499="",$F499=""),"",IF(_xlfn.SINGLE(JobState)="",IF(ROW()=2,HYPERLINK("#JobState","Set State →"),""),HYPERLINK(IF(OR(_xlfn.SINGLE(JobState)="MI",_xlfn.SINGLE(JobState)=""),"https://fema.maps.arcgis.com/apps/mapviewer/index.html?webmap=6a1702b9147243d1a5ee62cd614bc681&amp;center="&amp;$F499&amp;","&amp;$E499&amp;"&amp;level=16&amp;marker="&amp;$F499&amp;","&amp;$E499&amp;"",IF(_xlfn.SINGLE(JobState)="IN","https://fema.maps.arcgis.com/apps/mapviewer/index.html?url=https%3A%2F%2Fgis.indot.in.gov%2Fro%2Frest%2Fservices%2FRAH_GIO_Collaboration%2FLRSE_Functional_Class%2FFeatureServer%2F22&amp;find="&amp;$F499&amp;"%2C"&amp;$E499&amp;"&amp;marker="&amp;$F499&amp;","&amp;$E499&amp;",4326&amp;level=16",IF(_xlfn.SINGLE(JobState)="WI","https://fema.maps.arcgis.com/apps/mapviewer/index.html?url=https://services5.arcgis.com/0pgGLzT0Nh7FVjon/arcgis/rest/services/Functional_Class_Local_Non_Prod/FeatureServer/1&amp;find="&amp;$F499&amp;"%2C"&amp;$E499&amp;"&amp;marker="&amp;$F499&amp;","&amp;$E499&amp;",4326&amp;level=16",IF(_xlfn.SINGLE(JobState)="MN","https://fema.maps.arcgis.com/apps/mapviewer/index.html?url=https%3A%2F%2Fdotapp9.dot.state.mn.us%2Fegis12%2Frest%2Fservices%2FBASEMAP%2Fmndot_commonlayers2%2FMapServer%2F11&amp;find="&amp;$F499&amp;"%2C"&amp;$E499&amp;"&amp;marker="&amp;$F499&amp;","&amp;$E499&amp;",4326&amp;level=16",IF(_xlfn.SINGLE(JobState)="IL","https://fema.maps.arcgis.com/apps/mapviewer/index.html?url=https%3A%2F%2Fgis1.dot.illinois.gov%2Farcgis%2Frest%2Fservices%2FAdministrativeData%2FFunctionalClass%2FMapServer%2F0&amp;find="&amp;$F499&amp;"%2C"&amp;$E499&amp;"&amp;marker="&amp;$F499&amp;","&amp;$E499&amp;",4326&amp;level=16",IF(_xlfn.SINGLE(JobState)="OH","https://fema.maps.arcgis.com/apps/mapviewer/index.html?url=https%3A%2F%2Ftims.dot.state.oh.us%2Fags%2Frest%2Fservices%2FRoadway_Information%2FFunctional_Class%2FMapServer%2F0&amp;find="&amp;$F499&amp;"%2C"&amp;$E499&amp;"&amp;marker="&amp;$F499&amp;","&amp;$E499&amp;",4326&amp;level=16","https://fema.maps.arcgis.com/apps/mapviewer/index.html?find="&amp;$F499&amp;"%2C"&amp;$E499&amp;"&amp;marker="&amp;$F499&amp;","&amp;$E499&amp;",4326&amp;level=16")))))),IF(_xlfn.SINGLE(JobState)="WI","Review Local Roads Layer","Review NFC AGOL Layer"))))</f>
        <v/>
      </c>
      <c r="N499" s="6" t="str">
        <f>IF(OR($E499="",$F499=""),"",IF(_xlfn.SINGLE(JobState)="",IF(ROW()=2,HYPERLINK("#JobState","Set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499&amp;"%2C"&amp;$E499&amp;"&amp;marker="&amp;$F499&amp;","&amp;$E499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9" s="6" t="str">
        <f>IF(OR($E499="", $F499=""),"",IF(_xlfn.SINGLE(JobAgolMap)="",HYPERLINK("https://fema.maps.arcgis.com/apps/mapviewer/index.html?find="&amp;$F499&amp;"%2C"&amp;$E499&amp;"&amp;marker="&amp;$F499&amp;","&amp;$E499&amp;",4326&amp;level=16","FEMA AGOL Map Viewer"),HYPERLINK(_xlfn.SINGLE(JobAgolMap)&amp;IF(ISNUMBER(FIND("?",_xlfn.SINGLE(JobAgolMap))),"&amp;","?")&amp;"center="&amp;$F499&amp;","&amp;$E499&amp;"&amp;level=16&amp;marker="&amp;$F499&amp;","&amp;$E499,"Open")))</f>
        <v/>
      </c>
      <c r="Q499" s="4"/>
      <c r="R499" s="4"/>
      <c r="W499" s="6" t="str">
        <f t="shared" si="42"/>
        <v/>
      </c>
      <c r="X499" s="6" t="str">
        <f t="shared" si="43"/>
        <v/>
      </c>
      <c r="Y499" s="6" t="str">
        <f t="shared" si="44"/>
        <v/>
      </c>
      <c r="Z499" s="6" t="str">
        <f t="shared" si="45"/>
        <v/>
      </c>
      <c r="AA499" s="6" t="str">
        <f t="shared" si="46"/>
        <v/>
      </c>
      <c r="AB499" s="6" t="str">
        <f t="shared" si="47"/>
        <v/>
      </c>
      <c r="AC499" s="4"/>
      <c r="AD499" s="4"/>
    </row>
    <row r="500" spans="1:30" x14ac:dyDescent="0.45">
      <c r="A500" s="3"/>
      <c r="B500" s="3"/>
      <c r="C500" s="5" t="str">
        <f>IF($E500="","",COUNT($E$2:$E500))</f>
        <v/>
      </c>
      <c r="D500" s="3"/>
      <c r="E500" s="3"/>
      <c r="F500" s="3"/>
      <c r="G500" s="3"/>
      <c r="H500" s="3"/>
      <c r="I500" s="3"/>
      <c r="J500" s="3"/>
      <c r="K500" s="3"/>
      <c r="L500" s="4"/>
      <c r="M500" s="6" t="str">
        <f>IF(OR($E500="",$F500=""),"",IF(_xlfn.SINGLE(JobState)="",IF(ROW()=2,HYPERLINK("#JobState","Set State →"),""),HYPERLINK(IF(OR(_xlfn.SINGLE(JobState)="MI",_xlfn.SINGLE(JobState)=""),"https://fema.maps.arcgis.com/apps/mapviewer/index.html?webmap=6a1702b9147243d1a5ee62cd614bc681&amp;center="&amp;$F500&amp;","&amp;$E500&amp;"&amp;level=16&amp;marker="&amp;$F500&amp;","&amp;$E500&amp;"",IF(_xlfn.SINGLE(JobState)="IN","https://fema.maps.arcgis.com/apps/mapviewer/index.html?url=https%3A%2F%2Fgis.indot.in.gov%2Fro%2Frest%2Fservices%2FRAH_GIO_Collaboration%2FLRSE_Functional_Class%2FFeatureServer%2F22&amp;find="&amp;$F500&amp;"%2C"&amp;$E500&amp;"&amp;marker="&amp;$F500&amp;","&amp;$E500&amp;",4326&amp;level=16",IF(_xlfn.SINGLE(JobState)="WI","https://fema.maps.arcgis.com/apps/mapviewer/index.html?url=https://services5.arcgis.com/0pgGLzT0Nh7FVjon/arcgis/rest/services/Functional_Class_Local_Non_Prod/FeatureServer/1&amp;find="&amp;$F500&amp;"%2C"&amp;$E500&amp;"&amp;marker="&amp;$F500&amp;","&amp;$E500&amp;",4326&amp;level=16",IF(_xlfn.SINGLE(JobState)="MN","https://fema.maps.arcgis.com/apps/mapviewer/index.html?url=https%3A%2F%2Fdotapp9.dot.state.mn.us%2Fegis12%2Frest%2Fservices%2FBASEMAP%2Fmndot_commonlayers2%2FMapServer%2F11&amp;find="&amp;$F500&amp;"%2C"&amp;$E500&amp;"&amp;marker="&amp;$F500&amp;","&amp;$E500&amp;",4326&amp;level=16",IF(_xlfn.SINGLE(JobState)="IL","https://fema.maps.arcgis.com/apps/mapviewer/index.html?url=https%3A%2F%2Fgis1.dot.illinois.gov%2Farcgis%2Frest%2Fservices%2FAdministrativeData%2FFunctionalClass%2FMapServer%2F0&amp;find="&amp;$F500&amp;"%2C"&amp;$E500&amp;"&amp;marker="&amp;$F500&amp;","&amp;$E500&amp;",4326&amp;level=16",IF(_xlfn.SINGLE(JobState)="OH","https://fema.maps.arcgis.com/apps/mapviewer/index.html?url=https%3A%2F%2Ftims.dot.state.oh.us%2Fags%2Frest%2Fservices%2FRoadway_Information%2FFunctional_Class%2FMapServer%2F0&amp;find="&amp;$F500&amp;"%2C"&amp;$E500&amp;"&amp;marker="&amp;$F500&amp;","&amp;$E500&amp;",4326&amp;level=16","https://fema.maps.arcgis.com/apps/mapviewer/index.html?find="&amp;$F500&amp;"%2C"&amp;$E500&amp;"&amp;marker="&amp;$F500&amp;","&amp;$E500&amp;",4326&amp;level=16")))))),IF(_xlfn.SINGLE(JobState)="WI","Review Local Roads Layer","Review NFC AGOL Layer"))))</f>
        <v/>
      </c>
      <c r="N500" s="6" t="str">
        <f>IF(OR($E500="",$F500=""),"",IF(_xlfn.SINGLE(JobState)="",IF(ROW()=2,HYPERLINK("#JobState","Set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500&amp;"%2C"&amp;$E500&amp;"&amp;marker="&amp;$F500&amp;","&amp;$E500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00" s="6" t="str">
        <f>IF(OR($E500="", $F500=""),"",IF(_xlfn.SINGLE(JobAgolMap)="",HYPERLINK("https://fema.maps.arcgis.com/apps/mapviewer/index.html?find="&amp;$F500&amp;"%2C"&amp;$E500&amp;"&amp;marker="&amp;$F500&amp;","&amp;$E500&amp;",4326&amp;level=16","FEMA AGOL Map Viewer"),HYPERLINK(_xlfn.SINGLE(JobAgolMap)&amp;IF(ISNUMBER(FIND("?",_xlfn.SINGLE(JobAgolMap))),"&amp;","?")&amp;"center="&amp;$F500&amp;","&amp;$E500&amp;"&amp;level=16&amp;marker="&amp;$F500&amp;","&amp;$E500,"Open")))</f>
        <v/>
      </c>
      <c r="Q500" s="4"/>
      <c r="R500" s="4"/>
      <c r="W500" s="6" t="str">
        <f t="shared" si="42"/>
        <v/>
      </c>
      <c r="X500" s="6" t="str">
        <f t="shared" si="43"/>
        <v/>
      </c>
      <c r="Y500" s="6" t="str">
        <f t="shared" si="44"/>
        <v/>
      </c>
      <c r="Z500" s="6" t="str">
        <f t="shared" si="45"/>
        <v/>
      </c>
      <c r="AA500" s="6" t="str">
        <f t="shared" si="46"/>
        <v/>
      </c>
      <c r="AB500" s="6" t="str">
        <f t="shared" si="47"/>
        <v/>
      </c>
      <c r="AC500" s="4"/>
      <c r="AD500" s="4"/>
    </row>
    <row r="501" spans="1:30" x14ac:dyDescent="0.45">
      <c r="A501" s="3"/>
      <c r="B501" s="3"/>
      <c r="C501" s="5" t="str">
        <f>IF($E501="","",COUNT($E$2:$E501))</f>
        <v/>
      </c>
      <c r="D501" s="3"/>
      <c r="E501" s="3"/>
      <c r="F501" s="3"/>
      <c r="G501" s="3"/>
      <c r="H501" s="3"/>
      <c r="I501" s="3"/>
      <c r="J501" s="3"/>
      <c r="K501" s="3"/>
      <c r="L501" s="4"/>
      <c r="M501" s="6" t="str">
        <f>IF(OR($E501="",$F501=""),"",IF(_xlfn.SINGLE(JobState)="",IF(ROW()=2,HYPERLINK("#JobState","Set State →"),""),HYPERLINK(IF(OR(_xlfn.SINGLE(JobState)="MI",_xlfn.SINGLE(JobState)=""),"https://fema.maps.arcgis.com/apps/mapviewer/index.html?webmap=6a1702b9147243d1a5ee62cd614bc681&amp;center="&amp;$F501&amp;","&amp;$E501&amp;"&amp;level=16&amp;marker="&amp;$F501&amp;","&amp;$E501&amp;"",IF(_xlfn.SINGLE(JobState)="IN","https://fema.maps.arcgis.com/apps/mapviewer/index.html?url=https%3A%2F%2Fgis.indot.in.gov%2Fro%2Frest%2Fservices%2FRAH_GIO_Collaboration%2FLRSE_Functional_Class%2FFeatureServer%2F22&amp;find="&amp;$F501&amp;"%2C"&amp;$E501&amp;"&amp;marker="&amp;$F501&amp;","&amp;$E501&amp;",4326&amp;level=16",IF(_xlfn.SINGLE(JobState)="WI","https://fema.maps.arcgis.com/apps/mapviewer/index.html?url=https://services5.arcgis.com/0pgGLzT0Nh7FVjon/arcgis/rest/services/Functional_Class_Local_Non_Prod/FeatureServer/1&amp;find="&amp;$F501&amp;"%2C"&amp;$E501&amp;"&amp;marker="&amp;$F501&amp;","&amp;$E501&amp;",4326&amp;level=16",IF(_xlfn.SINGLE(JobState)="MN","https://fema.maps.arcgis.com/apps/mapviewer/index.html?url=https%3A%2F%2Fdotapp9.dot.state.mn.us%2Fegis12%2Frest%2Fservices%2FBASEMAP%2Fmndot_commonlayers2%2FMapServer%2F11&amp;find="&amp;$F501&amp;"%2C"&amp;$E501&amp;"&amp;marker="&amp;$F501&amp;","&amp;$E501&amp;",4326&amp;level=16",IF(_xlfn.SINGLE(JobState)="IL","https://fema.maps.arcgis.com/apps/mapviewer/index.html?url=https%3A%2F%2Fgis1.dot.illinois.gov%2Farcgis%2Frest%2Fservices%2FAdministrativeData%2FFunctionalClass%2FMapServer%2F0&amp;find="&amp;$F501&amp;"%2C"&amp;$E501&amp;"&amp;marker="&amp;$F501&amp;","&amp;$E501&amp;",4326&amp;level=16",IF(_xlfn.SINGLE(JobState)="OH","https://fema.maps.arcgis.com/apps/mapviewer/index.html?url=https%3A%2F%2Ftims.dot.state.oh.us%2Fags%2Frest%2Fservices%2FRoadway_Information%2FFunctional_Class%2FMapServer%2F0&amp;find="&amp;$F501&amp;"%2C"&amp;$E501&amp;"&amp;marker="&amp;$F501&amp;","&amp;$E501&amp;",4326&amp;level=16","https://fema.maps.arcgis.com/apps/mapviewer/index.html?find="&amp;$F501&amp;"%2C"&amp;$E501&amp;"&amp;marker="&amp;$F501&amp;","&amp;$E501&amp;",4326&amp;level=16")))))),IF(_xlfn.SINGLE(JobState)="WI","Review Local Roads Layer","Review NFC AGOL Layer"))))</f>
        <v/>
      </c>
      <c r="N501" s="6" t="str">
        <f>IF(OR($E501="",$F501=""),"",IF(_xlfn.SINGLE(JobState)="",IF(ROW()=2,HYPERLINK("#JobState","Set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501&amp;"%2C"&amp;$E501&amp;"&amp;marker="&amp;$F501&amp;","&amp;$E501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01" s="6" t="str">
        <f>IF(OR($E501="", $F501=""),"",IF(_xlfn.SINGLE(JobAgolMap)="",HYPERLINK("https://fema.maps.arcgis.com/apps/mapviewer/index.html?find="&amp;$F501&amp;"%2C"&amp;$E501&amp;"&amp;marker="&amp;$F501&amp;","&amp;$E501&amp;",4326&amp;level=16","FEMA AGOL Map Viewer"),HYPERLINK(_xlfn.SINGLE(JobAgolMap)&amp;IF(ISNUMBER(FIND("?",_xlfn.SINGLE(JobAgolMap))),"&amp;","?")&amp;"center="&amp;$F501&amp;","&amp;$E501&amp;"&amp;level=16&amp;marker="&amp;$F501&amp;","&amp;$E501,"Open")))</f>
        <v/>
      </c>
      <c r="Q501" s="4"/>
      <c r="R501" s="4"/>
      <c r="W501" s="6" t="str">
        <f t="shared" si="42"/>
        <v/>
      </c>
      <c r="X501" s="6" t="str">
        <f t="shared" si="43"/>
        <v/>
      </c>
      <c r="Y501" s="6" t="str">
        <f t="shared" si="44"/>
        <v/>
      </c>
      <c r="Z501" s="6" t="str">
        <f t="shared" si="45"/>
        <v/>
      </c>
      <c r="AA501" s="6" t="str">
        <f t="shared" si="46"/>
        <v/>
      </c>
      <c r="AB501" s="6" t="str">
        <f t="shared" si="47"/>
        <v/>
      </c>
      <c r="AC501" s="4"/>
      <c r="AD501" s="4"/>
    </row>
  </sheetData>
  <autoFilter ref="A1:AD1" xr:uid="{EB2B835C-76CC-4D4A-BA14-12AB24A2BB23}"/>
  <conditionalFormatting sqref="P2:V501">
    <cfRule type="expression" dxfId="2" priority="1" stopIfTrue="1">
      <formula>LEFT($P2,15)="Non-federal aid"</formula>
    </cfRule>
    <cfRule type="expression" dxfId="1" priority="2" stopIfTrue="1">
      <formula>LEFT($P2,11)="Federal aid"</formula>
    </cfRule>
    <cfRule type="expression" dxfId="0" priority="3" stopIfTrue="1">
      <formula>LEFT($P2,6)="Review"</formula>
    </cfRule>
  </conditionalFormatting>
  <dataValidations count="2">
    <dataValidation type="decimal" allowBlank="1" showInputMessage="1" showErrorMessage="1" error="Latitude must be between -90 and 90." sqref="E2:E501" xr:uid="{976BFA3B-DF48-4538-BD33-EE337D6ACF44}">
      <formula1>-90</formula1>
      <formula2>90</formula2>
    </dataValidation>
    <dataValidation type="decimal" allowBlank="1" showInputMessage="1" showErrorMessage="1" error="Longitude must be between -180 and 180." sqref="F2:F501" xr:uid="{D1B0D562-CB21-41CF-B745-71E68B662EA6}">
      <formula1>-180</formula1>
      <formula2>180</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2876CA-9C72-4500-9207-11771B529007}">
  <sheetPr>
    <tabColor rgb="FF3C3C3C"/>
  </sheetPr>
  <dimension ref="A1:M22"/>
  <sheetViews>
    <sheetView workbookViewId="0"/>
  </sheetViews>
  <sheetFormatPr defaultRowHeight="14.25" x14ac:dyDescent="0.45"/>
  <cols>
    <col min="1" max="12" width="10.3984375" customWidth="1"/>
    <col min="13" max="13" width="10.33203125" customWidth="1"/>
  </cols>
  <sheetData>
    <row r="1" spans="1:13" ht="17" customHeight="1" x14ac:dyDescent="0.45">
      <c r="A1" s="7"/>
      <c r="B1" s="7"/>
      <c r="C1" s="7"/>
      <c r="D1" s="7"/>
      <c r="E1" s="7"/>
      <c r="F1" s="7"/>
      <c r="G1" s="7"/>
      <c r="H1" s="7"/>
      <c r="I1" s="7"/>
      <c r="J1" s="7"/>
      <c r="K1" s="7"/>
      <c r="L1" s="7"/>
      <c r="M1" s="7"/>
    </row>
    <row r="2" spans="1:13" ht="17" customHeight="1" x14ac:dyDescent="0.45">
      <c r="A2" s="7"/>
      <c r="B2" s="7"/>
      <c r="C2" s="7"/>
      <c r="D2" s="7"/>
      <c r="E2" s="7"/>
      <c r="F2" s="7"/>
      <c r="G2" s="7"/>
      <c r="H2" s="7"/>
      <c r="I2" s="7"/>
      <c r="J2" s="7"/>
      <c r="K2" s="7"/>
      <c r="L2" s="7"/>
      <c r="M2" s="7"/>
    </row>
    <row r="3" spans="1:13" ht="17" customHeight="1" x14ac:dyDescent="0.45">
      <c r="A3" s="7"/>
      <c r="B3" s="7"/>
      <c r="C3" s="7"/>
      <c r="D3" s="7"/>
      <c r="E3" s="7"/>
      <c r="F3" s="7"/>
      <c r="G3" s="7"/>
      <c r="H3" s="7"/>
      <c r="I3" s="7"/>
      <c r="J3" s="7"/>
      <c r="K3" s="7"/>
      <c r="L3" s="7"/>
      <c r="M3" s="7"/>
    </row>
    <row r="4" spans="1:13" ht="17" customHeight="1" x14ac:dyDescent="0.45">
      <c r="A4" s="7"/>
      <c r="B4" s="7"/>
      <c r="C4" s="7"/>
      <c r="D4" s="7"/>
      <c r="E4" s="7"/>
      <c r="F4" s="7"/>
      <c r="G4" s="7"/>
      <c r="H4" s="7"/>
      <c r="I4" s="7"/>
      <c r="J4" s="7"/>
      <c r="K4" s="7"/>
      <c r="L4" s="7"/>
      <c r="M4" s="7"/>
    </row>
    <row r="5" spans="1:13" ht="17" customHeight="1" x14ac:dyDescent="0.45">
      <c r="A5" s="7"/>
      <c r="B5" s="7"/>
      <c r="C5" s="7"/>
      <c r="D5" s="7"/>
      <c r="E5" s="7"/>
      <c r="F5" s="7"/>
      <c r="G5" s="7"/>
      <c r="H5" s="7"/>
      <c r="I5" s="7"/>
      <c r="J5" s="7"/>
      <c r="K5" s="7"/>
      <c r="L5" s="7"/>
      <c r="M5" s="7"/>
    </row>
    <row r="6" spans="1:13" ht="17" customHeight="1" x14ac:dyDescent="0.45">
      <c r="A6" s="7"/>
      <c r="B6" s="7"/>
      <c r="C6" s="7"/>
      <c r="D6" s="7"/>
      <c r="E6" s="7"/>
      <c r="F6" s="7"/>
      <c r="G6" s="7"/>
      <c r="H6" s="7"/>
      <c r="I6" s="7"/>
      <c r="J6" s="7"/>
      <c r="K6" s="7"/>
      <c r="L6" s="7"/>
      <c r="M6" s="7"/>
    </row>
    <row r="7" spans="1:13" ht="17" customHeight="1" x14ac:dyDescent="0.45">
      <c r="A7" s="7"/>
      <c r="B7" s="7"/>
      <c r="C7" s="7"/>
      <c r="D7" s="7"/>
      <c r="E7" s="7"/>
      <c r="F7" s="7"/>
      <c r="G7" s="7"/>
      <c r="H7" s="7"/>
      <c r="I7" s="7"/>
      <c r="J7" s="7"/>
      <c r="K7" s="7"/>
      <c r="L7" s="7"/>
      <c r="M7" s="7"/>
    </row>
    <row r="8" spans="1:13" ht="17" customHeight="1" x14ac:dyDescent="0.45">
      <c r="A8" s="7"/>
      <c r="B8" s="7"/>
      <c r="C8" s="7"/>
      <c r="D8" s="7"/>
      <c r="E8" s="7"/>
      <c r="F8" s="7"/>
      <c r="G8" s="7"/>
      <c r="H8" s="7"/>
      <c r="I8" s="7"/>
      <c r="J8" s="7"/>
      <c r="K8" s="7"/>
      <c r="L8" s="7"/>
      <c r="M8" s="7"/>
    </row>
    <row r="9" spans="1:13" ht="17" customHeight="1" x14ac:dyDescent="0.45">
      <c r="A9" s="7"/>
      <c r="B9" s="7"/>
      <c r="C9" s="7"/>
      <c r="D9" s="7"/>
      <c r="E9" s="7"/>
      <c r="F9" s="7"/>
      <c r="G9" s="7"/>
      <c r="H9" s="7"/>
      <c r="I9" s="7"/>
      <c r="J9" s="7"/>
      <c r="K9" s="7"/>
      <c r="L9" s="7"/>
      <c r="M9" s="7"/>
    </row>
    <row r="10" spans="1:13" ht="17" customHeight="1" x14ac:dyDescent="0.45">
      <c r="A10" s="7"/>
      <c r="B10" s="7"/>
      <c r="C10" s="7"/>
      <c r="D10" s="7"/>
      <c r="E10" s="7"/>
      <c r="F10" s="7"/>
      <c r="G10" s="7"/>
      <c r="H10" s="7"/>
      <c r="I10" s="7"/>
      <c r="J10" s="7"/>
      <c r="K10" s="7"/>
      <c r="L10" s="7"/>
      <c r="M10" s="7"/>
    </row>
    <row r="11" spans="1:13" ht="17" customHeight="1" x14ac:dyDescent="0.45">
      <c r="A11" s="7"/>
      <c r="B11" s="7"/>
      <c r="C11" s="7"/>
      <c r="D11" s="7"/>
      <c r="E11" s="7"/>
      <c r="F11" s="7"/>
      <c r="G11" s="7"/>
      <c r="H11" s="7"/>
      <c r="I11" s="7"/>
      <c r="J11" s="7"/>
      <c r="K11" s="7"/>
      <c r="L11" s="7"/>
      <c r="M11" s="7"/>
    </row>
    <row r="12" spans="1:13" ht="17" customHeight="1" x14ac:dyDescent="0.45">
      <c r="A12" s="7"/>
      <c r="B12" s="7"/>
      <c r="C12" s="7"/>
      <c r="D12" s="7"/>
      <c r="E12" s="7"/>
      <c r="F12" s="7"/>
      <c r="G12" s="7"/>
      <c r="H12" s="7"/>
      <c r="I12" s="7"/>
      <c r="J12" s="7"/>
      <c r="K12" s="7"/>
      <c r="L12" s="7"/>
      <c r="M12" s="7"/>
    </row>
    <row r="13" spans="1:13" ht="17" customHeight="1" x14ac:dyDescent="0.45">
      <c r="A13" s="9" t="s">
        <v>30</v>
      </c>
      <c r="B13" s="7"/>
      <c r="C13" s="7"/>
      <c r="D13" s="7"/>
      <c r="E13" s="7"/>
      <c r="F13" s="7"/>
      <c r="G13" s="7"/>
      <c r="H13" s="7"/>
      <c r="I13" s="14" t="s">
        <v>37</v>
      </c>
      <c r="J13" s="7"/>
      <c r="K13" s="7"/>
      <c r="L13" s="7"/>
      <c r="M13" s="7"/>
    </row>
    <row r="14" spans="1:13" ht="17" customHeight="1" x14ac:dyDescent="0.45">
      <c r="A14" s="11" t="s">
        <v>31</v>
      </c>
      <c r="B14" s="11"/>
      <c r="C14" s="12"/>
      <c r="D14" s="12"/>
      <c r="E14" s="12"/>
      <c r="F14" s="12"/>
      <c r="G14" s="7"/>
      <c r="H14" s="7"/>
      <c r="I14" s="15" t="str">
        <f>IF(LEN(IF(TRIM(IF(IF(Sites!$A$2&lt;&gt;"",Sites!$A$2,JobWO)&lt;&gt;"","WO #"&amp;IF(Sites!$A$2&lt;&gt;"",Sites!$A$2,JobWO),"")&amp;" "&amp;IF(IF(Sites!$B$2&lt;&gt;"",Sites!$B$2,JobDI)&lt;&gt;"","DI #"&amp;IF(Sites!$B$2&lt;&gt;"",Sites!$B$2,JobDI),""))&lt;&gt;"",CHAR(10)&amp;TRIM(IF(IF(Sites!$A$2&lt;&gt;"",Sites!$A$2,JobWO)&lt;&gt;"","WO #"&amp;IF(Sites!$A$2&lt;&gt;"",Sites!$A$2,JobWO),"")&amp;" "&amp;IF(IF(Sites!$B$2&lt;&gt;"",Sites!$B$2,JobDI)&lt;&gt;"","DI #"&amp;IF(Sites!$B$2&lt;&gt;"",Sites!$B$2,JobDI),"")),"")&amp;IF(JobApplicant&lt;&gt;"",CHAR(10)&amp;JobApplicant,"")&amp;IF(IF(Sites!$C$2&lt;&gt;"","Site "&amp;Sites!$C$2&amp;" "&amp;Sites!$D$2,Sites!$D$2)&lt;&gt;"",CHAR(10)&amp;IF(Sites!$C$2&lt;&gt;"","Site "&amp;Sites!$C$2&amp;" "&amp;Sites!$D$2,Sites!$D$2),"")&amp;IF(IF(AND(Sites!$E$2&lt;&gt;"",Sites!$F$2&lt;&gt;""),TEXT(Sites!$E$2,"0.00000")&amp;", "&amp;TEXT(Sites!$F$2,"0.00000"),"")&lt;&gt;"",CHAR(10)&amp;IF(AND(Sites!$E$2&lt;&gt;"",Sites!$F$2&lt;&gt;""),TEXT(Sites!$E$2,"0.00000")&amp;", "&amp;TEXT(Sites!$F$2,"0.00000"),""),"")&amp;IF(IF(AND(Sites!$I$2&lt;&gt;"",Sites!$G$2&lt;&gt;""),"Cat "&amp;Sites!$I$2&amp;", "&amp;Sites!$G$2,IF(Sites!$I$2&lt;&gt;"","Cat "&amp;Sites!$I$2,IF(Sites!$G$2&lt;&gt;"",Sites!$G$2,"")))&lt;&gt;"",CHAR(10)&amp;IF(AND(Sites!$I$2&lt;&gt;"",Sites!$G$2&lt;&gt;""),"Cat "&amp;Sites!$I$2&amp;", "&amp;Sites!$G$2,IF(Sites!$I$2&lt;&gt;"","Cat "&amp;Sites!$I$2,IF(Sites!$G$2&lt;&gt;"",Sites!$G$2,""))),"")&amp;IF(IF(Sites!$J$2&lt;&gt;"","Cost: "&amp;IF(ISNUMBER(Sites!$J$2),IF(Sites!$J$2=INT(Sites!$J$2),TEXT(Sites!$J$2,"$#,##0"),TEXT(Sites!$J$2,"$#,##0.00")),Sites!$J$2),"")&lt;&gt;"",CHAR(10)&amp;IF(Sites!$J$2&lt;&gt;"","Cost: "&amp;IF(ISNUMBER(Sites!$J$2),IF(Sites!$J$2=INT(Sites!$J$2),TEXT(Sites!$J$2,"$#,##0"),TEXT(Sites!$J$2,"$#,##0.00")),Sites!$J$2),""),"")&amp;IF(IF(Sites!$K$2&lt;&gt;"",IF(ISNUMBER(Sites!$K$2),TEXT(ROUND(Sites!$K$2,0),"0")&amp;"% Work Completed",Sites!$K$2),"")&lt;&gt;"",CHAR(10)&amp;IF(Sites!$K$2&lt;&gt;"",IF(ISNUMBER(Sites!$K$2),TEXT(ROUND(Sites!$K$2,0),"0")&amp;"% Work Completed",Sites!$K$2),""),""))=0,"(fill in the job info + first Sites row)",MID(IF(TRIM(IF(IF(Sites!$A$2&lt;&gt;"",Sites!$A$2,JobWO)&lt;&gt;"","WO #"&amp;IF(Sites!$A$2&lt;&gt;"",Sites!$A$2,JobWO),"")&amp;" "&amp;IF(IF(Sites!$B$2&lt;&gt;"",Sites!$B$2,JobDI)&lt;&gt;"","DI #"&amp;IF(Sites!$B$2&lt;&gt;"",Sites!$B$2,JobDI),""))&lt;&gt;"",CHAR(10)&amp;TRIM(IF(IF(Sites!$A$2&lt;&gt;"",Sites!$A$2,JobWO)&lt;&gt;"","WO #"&amp;IF(Sites!$A$2&lt;&gt;"",Sites!$A$2,JobWO),"")&amp;" "&amp;IF(IF(Sites!$B$2&lt;&gt;"",Sites!$B$2,JobDI)&lt;&gt;"","DI #"&amp;IF(Sites!$B$2&lt;&gt;"",Sites!$B$2,JobDI),"")),"")&amp;IF(JobApplicant&lt;&gt;"",CHAR(10)&amp;JobApplicant,"")&amp;IF(IF(Sites!$C$2&lt;&gt;"","Site "&amp;Sites!$C$2&amp;" "&amp;Sites!$D$2,Sites!$D$2)&lt;&gt;"",CHAR(10)&amp;IF(Sites!$C$2&lt;&gt;"","Site "&amp;Sites!$C$2&amp;" "&amp;Sites!$D$2,Sites!$D$2),"")&amp;IF(IF(AND(Sites!$E$2&lt;&gt;"",Sites!$F$2&lt;&gt;""),TEXT(Sites!$E$2,"0.00000")&amp;", "&amp;TEXT(Sites!$F$2,"0.00000"),"")&lt;&gt;"",CHAR(10)&amp;IF(AND(Sites!$E$2&lt;&gt;"",Sites!$F$2&lt;&gt;""),TEXT(Sites!$E$2,"0.00000")&amp;", "&amp;TEXT(Sites!$F$2,"0.00000"),""),"")&amp;IF(IF(AND(Sites!$I$2&lt;&gt;"",Sites!$G$2&lt;&gt;""),"Cat "&amp;Sites!$I$2&amp;", "&amp;Sites!$G$2,IF(Sites!$I$2&lt;&gt;"","Cat "&amp;Sites!$I$2,IF(Sites!$G$2&lt;&gt;"",Sites!$G$2,"")))&lt;&gt;"",CHAR(10)&amp;IF(AND(Sites!$I$2&lt;&gt;"",Sites!$G$2&lt;&gt;""),"Cat "&amp;Sites!$I$2&amp;", "&amp;Sites!$G$2,IF(Sites!$I$2&lt;&gt;"","Cat "&amp;Sites!$I$2,IF(Sites!$G$2&lt;&gt;"",Sites!$G$2,""))),"")&amp;IF(IF(Sites!$J$2&lt;&gt;"","Cost: "&amp;IF(ISNUMBER(Sites!$J$2),IF(Sites!$J$2=INT(Sites!$J$2),TEXT(Sites!$J$2,"$#,##0"),TEXT(Sites!$J$2,"$#,##0.00")),Sites!$J$2),"")&lt;&gt;"",CHAR(10)&amp;IF(Sites!$J$2&lt;&gt;"","Cost: "&amp;IF(ISNUMBER(Sites!$J$2),IF(Sites!$J$2=INT(Sites!$J$2),TEXT(Sites!$J$2,"$#,##0"),TEXT(Sites!$J$2,"$#,##0.00")),Sites!$J$2),""),"")&amp;IF(IF(Sites!$K$2&lt;&gt;"",IF(ISNUMBER(Sites!$K$2),TEXT(ROUND(Sites!$K$2,0),"0")&amp;"% Work Completed",Sites!$K$2),"")&lt;&gt;"",CHAR(10)&amp;IF(Sites!$K$2&lt;&gt;"",IF(ISNUMBER(Sites!$K$2),TEXT(ROUND(Sites!$K$2,0),"0")&amp;"% Work Completed",Sites!$K$2),""),""),2,32767))</f>
        <v>(fill in the job info + first Sites row)</v>
      </c>
      <c r="J14" s="15"/>
      <c r="K14" s="15"/>
      <c r="L14" s="15"/>
      <c r="M14" s="15"/>
    </row>
    <row r="15" spans="1:13" ht="17" customHeight="1" x14ac:dyDescent="0.45">
      <c r="A15" s="11" t="s">
        <v>32</v>
      </c>
      <c r="B15" s="11"/>
      <c r="C15" s="12"/>
      <c r="D15" s="12"/>
      <c r="E15" s="12"/>
      <c r="F15" s="12"/>
      <c r="G15" s="7"/>
      <c r="H15" s="7"/>
      <c r="I15" s="15"/>
      <c r="J15" s="15"/>
      <c r="K15" s="15"/>
      <c r="L15" s="15"/>
      <c r="M15" s="15"/>
    </row>
    <row r="16" spans="1:13" ht="17" customHeight="1" x14ac:dyDescent="0.45">
      <c r="A16" s="11" t="s">
        <v>33</v>
      </c>
      <c r="B16" s="11"/>
      <c r="C16" s="12"/>
      <c r="D16" s="12"/>
      <c r="E16" s="12"/>
      <c r="F16" s="12"/>
      <c r="G16" s="7"/>
      <c r="H16" s="7"/>
      <c r="I16" s="15"/>
      <c r="J16" s="15"/>
      <c r="K16" s="15"/>
      <c r="L16" s="15"/>
      <c r="M16" s="15"/>
    </row>
    <row r="17" spans="1:13" ht="17" customHeight="1" x14ac:dyDescent="0.45">
      <c r="A17" s="11" t="s">
        <v>34</v>
      </c>
      <c r="B17" s="11"/>
      <c r="C17" s="12"/>
      <c r="D17" s="12"/>
      <c r="E17" s="12"/>
      <c r="F17" s="12"/>
      <c r="G17" s="7"/>
      <c r="H17" s="7"/>
      <c r="I17" s="15"/>
      <c r="J17" s="15"/>
      <c r="K17" s="15"/>
      <c r="L17" s="15"/>
      <c r="M17" s="15"/>
    </row>
    <row r="18" spans="1:13" ht="17" customHeight="1" x14ac:dyDescent="0.45">
      <c r="A18" s="10" t="s">
        <v>35</v>
      </c>
      <c r="B18" s="10"/>
      <c r="C18" s="13" t="str">
        <f ca="1">_xlfn.SINGLE(IF(_xlfn.SINGLE(JobOutputFolder)="","(set on Start Here)",JobOutputFolder))</f>
        <v>(set on Start Here)</v>
      </c>
      <c r="D18" s="13"/>
      <c r="E18" s="13"/>
      <c r="F18" s="13"/>
      <c r="G18" s="7"/>
      <c r="H18" s="7"/>
      <c r="I18" s="15"/>
      <c r="J18" s="15"/>
      <c r="K18" s="15"/>
      <c r="L18" s="15"/>
      <c r="M18" s="15"/>
    </row>
    <row r="19" spans="1:13" ht="17" customHeight="1" x14ac:dyDescent="0.45">
      <c r="A19" s="11" t="s">
        <v>36</v>
      </c>
      <c r="B19" s="11"/>
      <c r="C19" s="12"/>
      <c r="D19" s="12"/>
      <c r="E19" s="12"/>
      <c r="F19" s="12"/>
      <c r="G19" s="7"/>
      <c r="H19" s="7"/>
      <c r="I19" s="15"/>
      <c r="J19" s="15"/>
      <c r="K19" s="15"/>
      <c r="L19" s="15"/>
      <c r="M19" s="15"/>
    </row>
    <row r="20" spans="1:13" ht="17" customHeight="1" x14ac:dyDescent="0.45">
      <c r="A20" s="7"/>
      <c r="B20" s="7"/>
      <c r="C20" s="7"/>
      <c r="D20" s="7"/>
      <c r="E20" s="7"/>
      <c r="F20" s="7"/>
      <c r="G20" s="7"/>
      <c r="H20" s="7"/>
      <c r="I20" s="16" t="str">
        <f t="shared" ref="I20:M20" ca="1" si="0">"File name:   "&amp;FirmettePreview()</f>
        <v>File name:   2026-07-16 1549 - (site name) FIRMette.pdf</v>
      </c>
      <c r="J20" s="16"/>
      <c r="K20" s="16"/>
      <c r="L20" s="16"/>
      <c r="M20" s="16"/>
    </row>
    <row r="21" spans="1:13" ht="17" customHeight="1" x14ac:dyDescent="0.45">
      <c r="A21" s="17" t="s">
        <v>38</v>
      </c>
      <c r="B21" s="17"/>
      <c r="C21" s="17"/>
      <c r="D21" s="17"/>
      <c r="E21" s="17"/>
      <c r="F21" s="17"/>
      <c r="G21" s="17"/>
      <c r="H21" s="17"/>
      <c r="I21" s="7"/>
      <c r="J21" s="7"/>
      <c r="K21" s="7"/>
      <c r="L21" s="7"/>
      <c r="M21" s="7"/>
    </row>
    <row r="22" spans="1:13" ht="17" customHeight="1" x14ac:dyDescent="0.45">
      <c r="A22" s="17"/>
      <c r="B22" s="17"/>
      <c r="C22" s="17"/>
      <c r="D22" s="17"/>
      <c r="E22" s="17"/>
      <c r="F22" s="17"/>
      <c r="G22" s="17"/>
      <c r="H22" s="17"/>
      <c r="I22" s="7"/>
      <c r="J22" s="7"/>
      <c r="K22" s="7"/>
      <c r="L22" s="7"/>
      <c r="M22" s="7"/>
    </row>
  </sheetData>
  <mergeCells count="15">
    <mergeCell ref="I14:M19"/>
    <mergeCell ref="I20:M20"/>
    <mergeCell ref="A21:H22"/>
    <mergeCell ref="A17:B17"/>
    <mergeCell ref="C17:F17"/>
    <mergeCell ref="A18:B18"/>
    <mergeCell ref="C18:F18"/>
    <mergeCell ref="A19:B19"/>
    <mergeCell ref="C19:F19"/>
    <mergeCell ref="A14:B14"/>
    <mergeCell ref="C14:F14"/>
    <mergeCell ref="A15:B15"/>
    <mergeCell ref="C15:F15"/>
    <mergeCell ref="A16:B16"/>
    <mergeCell ref="C16:F16"/>
  </mergeCells>
  <printOptions horizontalCentered="1" verticalCentered="1"/>
  <pageMargins left="0" right="0" top="0" bottom="0" header="0" footer="0"/>
  <pageSetup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8B8F5-1CCB-4275-9B27-BDEF5740B5F2}">
  <sheetPr>
    <tabColor rgb="FF787878"/>
  </sheetPr>
  <dimension ref="B2:C67"/>
  <sheetViews>
    <sheetView showGridLines="0" workbookViewId="0"/>
  </sheetViews>
  <sheetFormatPr defaultRowHeight="14.25" x14ac:dyDescent="0.45"/>
  <cols>
    <col min="1" max="1" width="2.59765625" customWidth="1"/>
    <col min="2" max="2" width="120.59765625" customWidth="1"/>
    <col min="3" max="3" width="90.59765625" customWidth="1"/>
  </cols>
  <sheetData>
    <row r="2" spans="2:2" ht="19.5" x14ac:dyDescent="0.6">
      <c r="B2" s="19" t="s">
        <v>39</v>
      </c>
    </row>
    <row r="3" spans="2:2" ht="28.5" x14ac:dyDescent="0.45">
      <c r="B3" s="20" t="s">
        <v>40</v>
      </c>
    </row>
    <row r="5" spans="2:2" ht="15.75" x14ac:dyDescent="0.5">
      <c r="B5" s="21" t="s">
        <v>41</v>
      </c>
    </row>
    <row r="6" spans="2:2" ht="26.25" x14ac:dyDescent="0.45">
      <c r="B6" s="22" t="s">
        <v>42</v>
      </c>
    </row>
    <row r="7" spans="2:2" ht="26.25" x14ac:dyDescent="0.45">
      <c r="B7" s="22" t="s">
        <v>43</v>
      </c>
    </row>
    <row r="8" spans="2:2" ht="15.75" x14ac:dyDescent="0.5">
      <c r="B8" s="21" t="s">
        <v>44</v>
      </c>
    </row>
    <row r="9" spans="2:2" ht="26.25" x14ac:dyDescent="0.45">
      <c r="B9" s="22" t="s">
        <v>45</v>
      </c>
    </row>
    <row r="10" spans="2:2" ht="39.4" x14ac:dyDescent="0.45">
      <c r="B10" s="22" t="s">
        <v>46</v>
      </c>
    </row>
    <row r="11" spans="2:2" ht="15.75" x14ac:dyDescent="0.5">
      <c r="B11" s="21" t="s">
        <v>47</v>
      </c>
    </row>
    <row r="12" spans="2:2" ht="26.25" x14ac:dyDescent="0.45">
      <c r="B12" s="22" t="s">
        <v>48</v>
      </c>
    </row>
    <row r="13" spans="2:2" ht="26.25" x14ac:dyDescent="0.45">
      <c r="B13" s="22" t="s">
        <v>49</v>
      </c>
    </row>
    <row r="14" spans="2:2" ht="26.25" x14ac:dyDescent="0.45">
      <c r="B14" s="22" t="s">
        <v>50</v>
      </c>
    </row>
    <row r="15" spans="2:2" ht="15.75" x14ac:dyDescent="0.5">
      <c r="B15" s="21" t="s">
        <v>51</v>
      </c>
    </row>
    <row r="16" spans="2:2" ht="26.25" x14ac:dyDescent="0.45">
      <c r="B16" s="22" t="s">
        <v>52</v>
      </c>
    </row>
    <row r="17" spans="2:2" ht="26.25" x14ac:dyDescent="0.45">
      <c r="B17" s="22" t="s">
        <v>53</v>
      </c>
    </row>
    <row r="18" spans="2:2" ht="15.75" x14ac:dyDescent="0.5">
      <c r="B18" s="21" t="s">
        <v>54</v>
      </c>
    </row>
    <row r="19" spans="2:2" ht="26.25" x14ac:dyDescent="0.45">
      <c r="B19" s="22" t="s">
        <v>55</v>
      </c>
    </row>
    <row r="20" spans="2:2" ht="26.25" x14ac:dyDescent="0.45">
      <c r="B20" s="22" t="s">
        <v>56</v>
      </c>
    </row>
    <row r="21" spans="2:2" ht="15.75" x14ac:dyDescent="0.5">
      <c r="B21" s="21" t="s">
        <v>57</v>
      </c>
    </row>
    <row r="22" spans="2:2" x14ac:dyDescent="0.45">
      <c r="B22" s="22" t="s">
        <v>58</v>
      </c>
    </row>
    <row r="23" spans="2:2" ht="26.25" x14ac:dyDescent="0.45">
      <c r="B23" s="22" t="s">
        <v>59</v>
      </c>
    </row>
    <row r="24" spans="2:2" ht="15.75" x14ac:dyDescent="0.5">
      <c r="B24" s="21" t="s">
        <v>60</v>
      </c>
    </row>
    <row r="25" spans="2:2" ht="26.25" x14ac:dyDescent="0.45">
      <c r="B25" s="22" t="s">
        <v>61</v>
      </c>
    </row>
    <row r="26" spans="2:2" ht="26.25" x14ac:dyDescent="0.45">
      <c r="B26" s="22" t="s">
        <v>62</v>
      </c>
    </row>
    <row r="27" spans="2:2" ht="26.25" x14ac:dyDescent="0.45">
      <c r="B27" s="22" t="s">
        <v>63</v>
      </c>
    </row>
    <row r="28" spans="2:2" ht="26.25" x14ac:dyDescent="0.45">
      <c r="B28" s="22" t="s">
        <v>64</v>
      </c>
    </row>
    <row r="30" spans="2:2" ht="19.5" x14ac:dyDescent="0.6">
      <c r="B30" s="19" t="s">
        <v>65</v>
      </c>
    </row>
    <row r="31" spans="2:2" ht="15.75" x14ac:dyDescent="0.5">
      <c r="B31" s="21" t="s">
        <v>66</v>
      </c>
    </row>
    <row r="32" spans="2:2" ht="42.75" x14ac:dyDescent="0.45">
      <c r="B32" s="20" t="s">
        <v>67</v>
      </c>
    </row>
    <row r="33" spans="2:2" ht="15.75" x14ac:dyDescent="0.5">
      <c r="B33" s="21" t="s">
        <v>68</v>
      </c>
    </row>
    <row r="34" spans="2:2" ht="42.75" x14ac:dyDescent="0.45">
      <c r="B34" s="20" t="s">
        <v>69</v>
      </c>
    </row>
    <row r="35" spans="2:2" ht="15.75" x14ac:dyDescent="0.5">
      <c r="B35" s="21" t="s">
        <v>70</v>
      </c>
    </row>
    <row r="36" spans="2:2" ht="57" x14ac:dyDescent="0.45">
      <c r="B36" s="20" t="s">
        <v>71</v>
      </c>
    </row>
    <row r="37" spans="2:2" ht="15.75" x14ac:dyDescent="0.5">
      <c r="B37" s="21" t="s">
        <v>72</v>
      </c>
    </row>
    <row r="38" spans="2:2" ht="28.5" x14ac:dyDescent="0.45">
      <c r="B38" s="20" t="s">
        <v>73</v>
      </c>
    </row>
    <row r="39" spans="2:2" ht="15.75" x14ac:dyDescent="0.5">
      <c r="B39" s="21" t="s">
        <v>74</v>
      </c>
    </row>
    <row r="40" spans="2:2" ht="42.75" x14ac:dyDescent="0.45">
      <c r="B40" s="20" t="s">
        <v>75</v>
      </c>
    </row>
    <row r="41" spans="2:2" ht="15.75" x14ac:dyDescent="0.5">
      <c r="B41" s="21" t="s">
        <v>76</v>
      </c>
    </row>
    <row r="42" spans="2:2" ht="85.5" x14ac:dyDescent="0.45">
      <c r="B42" s="20" t="s">
        <v>77</v>
      </c>
    </row>
    <row r="43" spans="2:2" ht="15.75" x14ac:dyDescent="0.5">
      <c r="B43" s="21" t="s">
        <v>78</v>
      </c>
    </row>
    <row r="44" spans="2:2" ht="42.75" x14ac:dyDescent="0.45">
      <c r="B44" s="20" t="s">
        <v>79</v>
      </c>
    </row>
    <row r="45" spans="2:2" ht="15.75" x14ac:dyDescent="0.5">
      <c r="B45" s="21" t="s">
        <v>80</v>
      </c>
    </row>
    <row r="46" spans="2:2" ht="28.5" x14ac:dyDescent="0.45">
      <c r="B46" s="20" t="s">
        <v>81</v>
      </c>
    </row>
    <row r="48" spans="2:2" ht="19.5" x14ac:dyDescent="0.6">
      <c r="B48" s="19" t="s">
        <v>82</v>
      </c>
    </row>
    <row r="49" spans="2:3" ht="71.25" x14ac:dyDescent="0.45">
      <c r="B49" s="20" t="s">
        <v>83</v>
      </c>
    </row>
    <row r="51" spans="2:3" x14ac:dyDescent="0.45">
      <c r="B51" s="18" t="s">
        <v>84</v>
      </c>
      <c r="C51" s="18" t="s">
        <v>85</v>
      </c>
    </row>
    <row r="52" spans="2:3" ht="24" x14ac:dyDescent="0.45">
      <c r="B52" s="23" t="s">
        <v>86</v>
      </c>
      <c r="C52" s="24"/>
    </row>
    <row r="53" spans="2:3" x14ac:dyDescent="0.45">
      <c r="B53" s="23" t="s">
        <v>87</v>
      </c>
      <c r="C53" s="24"/>
    </row>
    <row r="54" spans="2:3" x14ac:dyDescent="0.45">
      <c r="B54" s="23" t="s">
        <v>88</v>
      </c>
      <c r="C54" s="24"/>
    </row>
    <row r="55" spans="2:3" x14ac:dyDescent="0.45">
      <c r="B55" s="23" t="s">
        <v>89</v>
      </c>
      <c r="C55" s="24"/>
    </row>
    <row r="56" spans="2:3" x14ac:dyDescent="0.45">
      <c r="B56" s="23" t="s">
        <v>90</v>
      </c>
      <c r="C56" s="24"/>
    </row>
    <row r="57" spans="2:3" x14ac:dyDescent="0.45">
      <c r="B57" s="23" t="s">
        <v>91</v>
      </c>
      <c r="C57" s="24"/>
    </row>
    <row r="58" spans="2:3" ht="24" x14ac:dyDescent="0.45">
      <c r="B58" s="23" t="s">
        <v>92</v>
      </c>
      <c r="C58" s="24"/>
    </row>
    <row r="59" spans="2:3" x14ac:dyDescent="0.45">
      <c r="B59" s="23" t="s">
        <v>93</v>
      </c>
      <c r="C59" s="24"/>
    </row>
    <row r="60" spans="2:3" x14ac:dyDescent="0.45">
      <c r="B60" s="23" t="s">
        <v>94</v>
      </c>
      <c r="C60" s="24"/>
    </row>
    <row r="61" spans="2:3" x14ac:dyDescent="0.45">
      <c r="B61" s="23" t="s">
        <v>95</v>
      </c>
      <c r="C61" s="24"/>
    </row>
    <row r="62" spans="2:3" x14ac:dyDescent="0.45">
      <c r="B62" s="23" t="s">
        <v>96</v>
      </c>
      <c r="C62" s="24"/>
    </row>
    <row r="63" spans="2:3" x14ac:dyDescent="0.45">
      <c r="B63" s="23" t="s">
        <v>97</v>
      </c>
      <c r="C63" s="24"/>
    </row>
    <row r="65" spans="2:2" x14ac:dyDescent="0.45">
      <c r="B65" s="20" t="s">
        <v>98</v>
      </c>
    </row>
    <row r="67" spans="2:2" x14ac:dyDescent="0.45">
      <c r="B67" s="25" t="s">
        <v>99</v>
      </c>
    </row>
  </sheetData>
  <hyperlinks>
    <hyperlink ref="B6" r:id="rId1" xr:uid="{155B4D27-E927-4DFB-BF64-787D69FAF132}"/>
    <hyperlink ref="B7" r:id="rId2" display="    Michigan Department of Transportation, Functional System, ArcGIS REST feature service layer 353 (NextGen PR Finder; road names from companion layer 543) - queried by this tool, available at: https://mdotgis.state.mi.us/arcgis/rest/services/Widget/NextGenPrFinderPub/FeatureServer/353" xr:uid="{F3E1246D-8CEB-47EA-95F2-DA62A597A091}"/>
    <hyperlink ref="B9" r:id="rId3" xr:uid="{60E64AE0-009C-4F33-B211-C1652A7371FD}"/>
    <hyperlink ref="B10" r:id="rId4" display="    Indiana Department of Transportation, LRSE_Functional_Class (Roads_and_Highways collaboration service - the authoritative layer behind INDOT's official Functional Class Map; road names from the 2021 centerlines layer) - queried by this tool, available at: https://gis.indot.in.gov/ro/rest/services/RAH_GIO_Collaboration/LRSE_Functional_Class/FeatureServer/22" xr:uid="{3B0BAC7E-3055-4CF0-B781-CF6DF4F51B99}"/>
    <hyperlink ref="B12" r:id="rId5" display="    Wisconsin Department of Transportation, Functional Classification (official page; static county and urban-area PDF maps - WisDOT publishes no statewide interactive map), available at: https://wisconsindot.gov/Pages/projects/data-plan/plan-res/function.aspx" xr:uid="{504584B7-EE12-4E56-ACC3-525A66B13EA5}"/>
    <hyperlink ref="B13" r:id="rId6" display="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 xr:uid="{32BE4414-F2B5-40EB-BD38-6B9ABD6388A1}"/>
    <hyperlink ref="B14" r:id="rId7" display="    Wisconsin Department of Transportation, Functional Class - State Trunk Network, ArcGIS REST feature service layer 3 (state highways and interstates; queried when the local layer has no class), available at: https://services5.arcgis.com/0pgGLzT0Nh7FVjon/arcgis/rest/services/FFCL_gdb/FeatureServer/3" xr:uid="{D2F6B8CB-E94E-4548-B9E4-77C5EDF922D5}"/>
    <hyperlink ref="B16" r:id="rId8" xr:uid="{3D3E9495-61AD-47F3-9A0B-A453A3F29D62}"/>
    <hyperlink ref="B17" r:id="rId9" xr:uid="{50C58D0F-53BE-4F75-B168-323D1334EF37}"/>
    <hyperlink ref="B19" r:id="rId10" xr:uid="{3AB71372-8DBF-4180-A769-E99CD4F2F3C0}"/>
    <hyperlink ref="B20" r:id="rId11" xr:uid="{0CFED817-51AD-49C8-93D7-5FBF6D5891B6}"/>
    <hyperlink ref="B22" r:id="rId12" xr:uid="{2AC80977-89C7-40C7-BAE6-3AE5049414E6}"/>
    <hyperlink ref="B23" r:id="rId13" display="    Ohio Department of Transportation, Functional Class, ArcGIS REST map service layer 0 (route names for IR/US/SR routes from the same layer) - queried by this tool, available at: https://tims.dot.state.oh.us/ags/rest/services/Roadway_Information/Functional_Class/MapServer/0" xr:uid="{819DEECD-17EF-4437-81D6-F02A53D05325}"/>
    <hyperlink ref="B25" r:id="rId14" display="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 xr:uid="{4502573B-6C00-46B8-8B7A-17122702138C}"/>
    <hyperlink ref="B26" r:id="rId15" xr:uid="{B9974B03-B77E-41AC-A75F-023980C53D72}"/>
    <hyperlink ref="B27" r:id="rId16" xr:uid="{E6E282A1-5242-44CF-BBDA-798AEA4F60D7}"/>
    <hyperlink ref="B28" r:id="rId17" xr:uid="{A73071D0-23DB-41AC-BBD6-3A5CB1DEEB22}"/>
    <hyperlink ref="B67" r:id="rId18" xr:uid="{40EDAE24-C8FF-43E1-A102-CCC954F17748}"/>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23</vt:i4>
      </vt:variant>
    </vt:vector>
  </HeadingPairs>
  <TitlesOfParts>
    <vt:vector size="27" baseType="lpstr">
      <vt:lpstr>Start Here</vt:lpstr>
      <vt:lpstr>Sites</vt:lpstr>
      <vt:lpstr>Map Pages</vt:lpstr>
      <vt:lpstr>Sources</vt:lpstr>
      <vt:lpstr>JobAgolMap</vt:lpstr>
      <vt:lpstr>JobApplicant</vt:lpstr>
      <vt:lpstr>JobBufferFeet</vt:lpstr>
      <vt:lpstr>JobDI</vt:lpstr>
      <vt:lpstr>JobDisaster</vt:lpstr>
      <vt:lpstr>JobImagerySvc</vt:lpstr>
      <vt:lpstr>JobOutputFolder</vt:lpstr>
      <vt:lpstr>JobState</vt:lpstr>
      <vt:lpstr>JobWO</vt:lpstr>
      <vt:lpstr>'Map Pages'!Print_Area</vt:lpstr>
      <vt:lpstr>'Start Here'!Print_Area</vt:lpstr>
      <vt:lpstr>Svc_ACUB</vt:lpstr>
      <vt:lpstr>Svc_IL_NFC</vt:lpstr>
      <vt:lpstr>Svc_IN_NFC</vt:lpstr>
      <vt:lpstr>Svc_IN_ROADNAME</vt:lpstr>
      <vt:lpstr>Svc_MI_NFC</vt:lpstr>
      <vt:lpstr>Svc_MI_ROUTE</vt:lpstr>
      <vt:lpstr>Svc_MN_NFC</vt:lpstr>
      <vt:lpstr>Svc_OH_NFC</vt:lpstr>
      <vt:lpstr>Svc_TIGER_ROADS</vt:lpstr>
      <vt:lpstr>Svc_WI_LOCAL_ROADS</vt:lpstr>
      <vt:lpstr>Svc_WI_STATE_TRUNK</vt:lpstr>
      <vt:lpstr>Svc_WORLD_IMAGERY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Smith</dc:creator>
  <cp:lastModifiedBy>Caleb Smith</cp:lastModifiedBy>
  <dcterms:created xsi:type="dcterms:W3CDTF">2026-07-16T20:49:18Z</dcterms:created>
  <dcterms:modified xsi:type="dcterms:W3CDTF">2026-07-16T20:49:27Z</dcterms:modified>
</cp:coreProperties>
</file>