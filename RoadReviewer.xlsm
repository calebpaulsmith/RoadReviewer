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39" documentId="8_{67E10933-16DE-4580-BEF2-29EEAE61ECC2}" xr6:coauthVersionLast="47" xr6:coauthVersionMax="47" xr10:uidLastSave="{4B0B05C5-8937-4177-8AD3-F83E438D2480}"/>
  <bookViews>
    <workbookView xWindow="0" yWindow="2287" windowWidth="16200" windowHeight="9428" xr2:uid="{907736AF-C8D8-40B5-8C9B-F142979C2806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Sites!$A$1:$AA$1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A2" i="2" l="1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<sst xmlns="http://schemas.openxmlformats.org/spreadsheetml/2006/main" count="63" uniqueCount="63">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</sst>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7F2DDC-21FB-6E6F-92A2-7A82C515E9C2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AFA6B4-17C4-32BA-D41B-CEFA9F79E009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0B316F2-6EE4-3EB6-441B-EE2D04D9B761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EBD2B57-3A73-8389-0994-4B887EA80C66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391486-0338-0666-89C0-E6FF34370E7A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15BEDBC-CB2F-F73D-3C5E-321C22793EC6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DF85638-BBF3-F0DD-7441-AB865E0C69FE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0C828D-5780-D64B-70EA-F1FE952712A8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E4285A-BB41-31D1-A95D-671A1EC32C3A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4CF7D68-AB55-A1C7-B9AB-1C56C039C6CC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B685B9-C8C0-6DB7-DABB-E5A78C761A5C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379B3DB-4E43-7FBB-4659-6A6126F65BD9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6E497E-72A0-6AA6-6C91-46C728260DDB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2B6C26-7C32-1965-565B-5CD4A0109BB3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3302FD2-1F3D-1C1A-E852-4688917CEF82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5A08E05-A267-E73C-2E62-B22BE9278327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59A2A82-3B97-F36C-117C-E58BE5BA4CBB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B1CD1C5-8C81-F2A0-5A2B-3F8CD4510DDE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1F23-1926-4946-9C9C-8A937EE1CF01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57</v>
      </c>
    </row>
    <row r="3" spans="2:5" x14ac:dyDescent="0.45">
      <c r="B3" s="10" t="s">
        <v>58</v>
      </c>
    </row>
    <row r="5" spans="2:5" x14ac:dyDescent="0.45">
      <c r="B5" s="11" t="s">
        <v>59</v>
      </c>
    </row>
    <row r="11" spans="2:5" x14ac:dyDescent="0.45">
      <c r="E11" s="12" t="s">
        <v>60</v>
      </c>
    </row>
    <row r="13" spans="2:5" x14ac:dyDescent="0.45">
      <c r="E13" s="8" t="s">
        <v>61</v>
      </c>
    </row>
    <row r="16" spans="2:5" x14ac:dyDescent="0.45">
      <c r="E16" s="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2D4A9-88C9-427D-801B-92DFA214BBF7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27</v>
      </c>
    </row>
    <row r="3" spans="1:2" x14ac:dyDescent="0.45">
      <c r="B3" s="4" t="s">
        <v>28</v>
      </c>
    </row>
    <row r="5" spans="1:2" x14ac:dyDescent="0.45">
      <c r="A5" s="5" t="s">
        <v>29</v>
      </c>
      <c r="B5" s="6"/>
    </row>
    <row r="6" spans="1:2" x14ac:dyDescent="0.45">
      <c r="A6" s="5" t="s">
        <v>30</v>
      </c>
      <c r="B6" s="6"/>
    </row>
    <row r="7" spans="1:2" x14ac:dyDescent="0.45">
      <c r="A7" s="5" t="s">
        <v>31</v>
      </c>
      <c r="B7" s="6"/>
    </row>
    <row r="8" spans="1:2" x14ac:dyDescent="0.45">
      <c r="A8" s="5" t="s">
        <v>32</v>
      </c>
      <c r="B8" s="6"/>
    </row>
    <row r="9" spans="1:2" x14ac:dyDescent="0.45">
      <c r="A9" s="5" t="s">
        <v>33</v>
      </c>
      <c r="B9" s="6" t="s">
        <v>34</v>
      </c>
    </row>
    <row r="10" spans="1:2" x14ac:dyDescent="0.45">
      <c r="A10" s="5" t="s">
        <v>35</v>
      </c>
      <c r="B10" s="6"/>
    </row>
    <row r="11" spans="1:2" x14ac:dyDescent="0.45">
      <c r="A11" s="5" t="s">
        <v>36</v>
      </c>
      <c r="B11" s="6"/>
    </row>
    <row r="12" spans="1:2" x14ac:dyDescent="0.45">
      <c r="A12" s="5" t="s">
        <v>37</v>
      </c>
      <c r="B12" s="6">
        <v>200</v>
      </c>
    </row>
    <row r="14" spans="1:2" x14ac:dyDescent="0.45">
      <c r="A14" s="4" t="s">
        <v>38</v>
      </c>
    </row>
    <row r="15" spans="1:2" x14ac:dyDescent="0.45">
      <c r="A15" s="4" t="s">
        <v>39</v>
      </c>
    </row>
    <row r="16" spans="1:2" x14ac:dyDescent="0.45">
      <c r="A16" s="4" t="s">
        <v>40</v>
      </c>
    </row>
  </sheetData>
  <dataValidations count="2">
    <dataValidation type="list" allowBlank="1" showInputMessage="1" showErrorMessage="1" sqref="B9" xr:uid="{237B6FDA-EE7E-419B-99AD-3A63270045FB}">
      <formula1>"WI,IN,MI,MN,IL,OH"</formula1>
    </dataValidation>
    <dataValidation type="whole" allowBlank="1" showInputMessage="1" showErrorMessage="1" error="Enter a whole number between 1 and 1000 ft." sqref="B12" xr:uid="{D2B5AFB1-5890-4B35-B0B5-B167BAC4BC8F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AC512-07FA-4E3D-8457-5F236C7E7EC5}">
  <sheetPr>
    <tabColor rgb="FF3C3C3C"/>
  </sheetPr>
  <dimension ref="A1:AA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2.59765625" style="1" customWidth="1"/>
    <col min="24" max="24" width="24.59765625" style="1" customWidth="1"/>
    <col min="25" max="25" width="18.59765625" style="1" customWidth="1"/>
    <col min="26" max="26" width="16.59765625" style="1" customWidth="1"/>
    <col min="27" max="27" width="10.59765625" style="1" customWidth="1"/>
    <col min="28" max="16384" width="9.06640625" style="1"/>
  </cols>
  <sheetData>
    <row r="1" spans="1:27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</row>
    <row r="2" spans="1:27" x14ac:dyDescent="0.45">
      <c r="M2" s="1" t="str">
        <f t="shared" ref="M2:M65" si="0">IF(OR($F2="",$G2=""),"",HYPERLINK("https://www.google.com/maps?q="&amp;$F2&amp;","&amp;$G2&amp;"","Map"))</f>
        <v/>
      </c>
      <c r="N2" s="1" t="str">
        <f t="shared" ref="N2:N65" si="1">IF(OR($F2="",$G2=""),"",HYPERLINK("https://www.google.com/maps?q&amp;layer=c&amp;cbll="&amp;$F2&amp;","&amp;$G2&amp;"","Street"))</f>
        <v/>
      </c>
      <c r="O2" s="1" t="str">
        <f t="shared" ref="O2:O65" si="2">IF(OR($F2="",$G2=""),"",HYPERLINK("https://www.bing.com/maps?cp="&amp;$F2&amp;"~"&amp;$G2&amp;"&amp;lvl=18&amp;style=h","Bing"))</f>
        <v/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/>
      </c>
      <c r="Q2" s="1" t="str">
        <f t="shared" ref="Q2:Q65" si="4">IF(OR($F2="",$G2=""),"",HYPERLINK("https://msc.fema.gov/portal/firmette?latitude="&amp;$F2&amp;"&amp;longitude="&amp;$G2&amp;"","FIRMette"))</f>
        <v/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&amp;visibleLayers=NfcNhsPub_8332%2C193df725e5e-layer-20","Open"))</f>
        <v/>
      </c>
      <c r="AA2" s="1" t="str">
        <f>IF(OR(JobAgolMap="", $F2="", $G2=""),"",HYPERLINK(JobAgolMap&amp;IF(ISNUMBER(FIND("?",JobAgolMap)),"&amp;","?")&amp;"center="&amp;$G2&amp;","&amp;$F2&amp;"&amp;level=16&amp;marker="&amp;$G2&amp;","&amp;$F2,"Open"))</f>
        <v/>
      </c>
    </row>
    <row r="3" spans="1:27" x14ac:dyDescent="0.45">
      <c r="M3" s="1" t="str">
        <f t="shared" si="0"/>
        <v/>
      </c>
      <c r="N3" s="1" t="str">
        <f t="shared" si="1"/>
        <v/>
      </c>
      <c r="O3" s="1" t="str">
        <f t="shared" si="2"/>
        <v/>
      </c>
      <c r="P3" s="1" t="str">
        <f t="shared" si="3"/>
        <v/>
      </c>
      <c r="Q3" s="1" t="str">
        <f t="shared" si="4"/>
        <v/>
      </c>
      <c r="R3" s="1" t="str">
        <f t="shared" si="5"/>
        <v/>
      </c>
      <c r="AA3" s="1" t="str">
        <f>IF(OR(JobAgolMap="", $F3="", $G3=""),"",HYPERLINK(JobAgolMap&amp;IF(ISNUMBER(FIND("?",JobAgolMap)),"&amp;","?")&amp;"center="&amp;$G3&amp;","&amp;$F3&amp;"&amp;level=16&amp;marker="&amp;$G3&amp;","&amp;$F3,"Open"))</f>
        <v/>
      </c>
    </row>
    <row r="4" spans="1:27" x14ac:dyDescent="0.45"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AA4" s="1" t="str">
        <f>IF(OR(JobAgolMap="", $F4="", $G4=""),"",HYPERLINK(JobAgolMap&amp;IF(ISNUMBER(FIND("?",JobAgolMap)),"&amp;","?")&amp;"center="&amp;$G4&amp;","&amp;$F4&amp;"&amp;level=16&amp;marker="&amp;$G4&amp;","&amp;$F4,"Open"))</f>
        <v/>
      </c>
    </row>
    <row r="5" spans="1:27" x14ac:dyDescent="0.45"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AA5" s="1" t="str">
        <f>IF(OR(JobAgolMap="", $F5="", $G5=""),"",HYPERLINK(JobAgolMap&amp;IF(ISNUMBER(FIND("?",JobAgolMap)),"&amp;","?")&amp;"center="&amp;$G5&amp;","&amp;$F5&amp;"&amp;level=16&amp;marker="&amp;$G5&amp;","&amp;$F5,"Open"))</f>
        <v/>
      </c>
    </row>
    <row r="6" spans="1:27" x14ac:dyDescent="0.45"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AA6" s="1" t="str">
        <f>IF(OR(JobAgolMap="", $F6="", $G6=""),"",HYPERLINK(JobAgolMap&amp;IF(ISNUMBER(FIND("?",JobAgolMap)),"&amp;","?")&amp;"center="&amp;$G6&amp;","&amp;$F6&amp;"&amp;level=16&amp;marker="&amp;$G6&amp;","&amp;$F6,"Open"))</f>
        <v/>
      </c>
    </row>
    <row r="7" spans="1:27" x14ac:dyDescent="0.45"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AA7" s="1" t="str">
        <f>IF(OR(JobAgolMap="", $F7="", $G7=""),"",HYPERLINK(JobAgolMap&amp;IF(ISNUMBER(FIND("?",JobAgolMap)),"&amp;","?")&amp;"center="&amp;$G7&amp;","&amp;$F7&amp;"&amp;level=16&amp;marker="&amp;$G7&amp;","&amp;$F7,"Open"))</f>
        <v/>
      </c>
    </row>
    <row r="8" spans="1:27" x14ac:dyDescent="0.45"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AA8" s="1" t="str">
        <f>IF(OR(JobAgolMap="", $F8="", $G8=""),"",HYPERLINK(JobAgolMap&amp;IF(ISNUMBER(FIND("?",JobAgolMap)),"&amp;","?")&amp;"center="&amp;$G8&amp;","&amp;$F8&amp;"&amp;level=16&amp;marker="&amp;$G8&amp;","&amp;$F8,"Open"))</f>
        <v/>
      </c>
    </row>
    <row r="9" spans="1:27" x14ac:dyDescent="0.45"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AA9" s="1" t="str">
        <f>IF(OR(JobAgolMap="", $F9="", $G9=""),"",HYPERLINK(JobAgolMap&amp;IF(ISNUMBER(FIND("?",JobAgolMap)),"&amp;","?")&amp;"center="&amp;$G9&amp;","&amp;$F9&amp;"&amp;level=16&amp;marker="&amp;$G9&amp;","&amp;$F9,"Open"))</f>
        <v/>
      </c>
    </row>
    <row r="10" spans="1:27" x14ac:dyDescent="0.45"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AA10" s="1" t="str">
        <f>IF(OR(JobAgolMap="", $F10="", $G10=""),"",HYPERLINK(JobAgolMap&amp;IF(ISNUMBER(FIND("?",JobAgolMap)),"&amp;","?")&amp;"center="&amp;$G10&amp;","&amp;$F10&amp;"&amp;level=16&amp;marker="&amp;$G10&amp;","&amp;$F10,"Open"))</f>
        <v/>
      </c>
    </row>
    <row r="11" spans="1:27" x14ac:dyDescent="0.45"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AA11" s="1" t="str">
        <f>IF(OR(JobAgolMap="", $F11="", $G11=""),"",HYPERLINK(JobAgolMap&amp;IF(ISNUMBER(FIND("?",JobAgolMap)),"&amp;","?")&amp;"center="&amp;$G11&amp;","&amp;$F11&amp;"&amp;level=16&amp;marker="&amp;$G11&amp;","&amp;$F11,"Open"))</f>
        <v/>
      </c>
    </row>
    <row r="12" spans="1:27" x14ac:dyDescent="0.45"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AA12" s="1" t="str">
        <f>IF(OR(JobAgolMap="", $F12="", $G12=""),"",HYPERLINK(JobAgolMap&amp;IF(ISNUMBER(FIND("?",JobAgolMap)),"&amp;","?")&amp;"center="&amp;$G12&amp;","&amp;$F12&amp;"&amp;level=16&amp;marker="&amp;$G12&amp;","&amp;$F12,"Open"))</f>
        <v/>
      </c>
    </row>
    <row r="13" spans="1:27" x14ac:dyDescent="0.45"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AA13" s="1" t="str">
        <f>IF(OR(JobAgolMap="", $F13="", $G13=""),"",HYPERLINK(JobAgolMap&amp;IF(ISNUMBER(FIND("?",JobAgolMap)),"&amp;","?")&amp;"center="&amp;$G13&amp;","&amp;$F13&amp;"&amp;level=16&amp;marker="&amp;$G13&amp;","&amp;$F13,"Open"))</f>
        <v/>
      </c>
    </row>
    <row r="14" spans="1:27" x14ac:dyDescent="0.45"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AA14" s="1" t="str">
        <f>IF(OR(JobAgolMap="", $F14="", $G14=""),"",HYPERLINK(JobAgolMap&amp;IF(ISNUMBER(FIND("?",JobAgolMap)),"&amp;","?")&amp;"center="&amp;$G14&amp;","&amp;$F14&amp;"&amp;level=16&amp;marker="&amp;$G14&amp;","&amp;$F14,"Open"))</f>
        <v/>
      </c>
    </row>
    <row r="15" spans="1:27" x14ac:dyDescent="0.45"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AA15" s="1" t="str">
        <f>IF(OR(JobAgolMap="", $F15="", $G15=""),"",HYPERLINK(JobAgolMap&amp;IF(ISNUMBER(FIND("?",JobAgolMap)),"&amp;","?")&amp;"center="&amp;$G15&amp;","&amp;$F15&amp;"&amp;level=16&amp;marker="&amp;$G15&amp;","&amp;$F15,"Open"))</f>
        <v/>
      </c>
    </row>
    <row r="16" spans="1:27" x14ac:dyDescent="0.45"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AA16" s="1" t="str">
        <f>IF(OR(JobAgolMap="", $F16="", $G16=""),"",HYPERLINK(JobAgolMap&amp;IF(ISNUMBER(FIND("?",JobAgolMap)),"&amp;","?")&amp;"center="&amp;$G16&amp;","&amp;$F16&amp;"&amp;level=16&amp;marker="&amp;$G16&amp;","&amp;$F16,"Open"))</f>
        <v/>
      </c>
    </row>
    <row r="17" spans="13:27" x14ac:dyDescent="0.45"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AA17" s="1" t="str">
        <f>IF(OR(JobAgolMap="", $F17="", $G17=""),"",HYPERLINK(JobAgolMap&amp;IF(ISNUMBER(FIND("?",JobAgolMap)),"&amp;","?")&amp;"center="&amp;$G17&amp;","&amp;$F17&amp;"&amp;level=16&amp;marker="&amp;$G17&amp;","&amp;$F17,"Open"))</f>
        <v/>
      </c>
    </row>
    <row r="18" spans="13:27" x14ac:dyDescent="0.45"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AA18" s="1" t="str">
        <f>IF(OR(JobAgolMap="", $F18="", $G18=""),"",HYPERLINK(JobAgolMap&amp;IF(ISNUMBER(FIND("?",JobAgolMap)),"&amp;","?")&amp;"center="&amp;$G18&amp;","&amp;$F18&amp;"&amp;level=16&amp;marker="&amp;$G18&amp;","&amp;$F18,"Open"))</f>
        <v/>
      </c>
    </row>
    <row r="19" spans="13:27" x14ac:dyDescent="0.45"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AA19" s="1" t="str">
        <f>IF(OR(JobAgolMap="", $F19="", $G19=""),"",HYPERLINK(JobAgolMap&amp;IF(ISNUMBER(FIND("?",JobAgolMap)),"&amp;","?")&amp;"center="&amp;$G19&amp;","&amp;$F19&amp;"&amp;level=16&amp;marker="&amp;$G19&amp;","&amp;$F19,"Open"))</f>
        <v/>
      </c>
    </row>
    <row r="20" spans="13:27" x14ac:dyDescent="0.45"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AA20" s="1" t="str">
        <f>IF(OR(JobAgolMap="", $F20="", $G20=""),"",HYPERLINK(JobAgolMap&amp;IF(ISNUMBER(FIND("?",JobAgolMap)),"&amp;","?")&amp;"center="&amp;$G20&amp;","&amp;$F20&amp;"&amp;level=16&amp;marker="&amp;$G20&amp;","&amp;$F20,"Open"))</f>
        <v/>
      </c>
    </row>
    <row r="21" spans="13:27" x14ac:dyDescent="0.45"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AA21" s="1" t="str">
        <f>IF(OR(JobAgolMap="", $F21="", $G21=""),"",HYPERLINK(JobAgolMap&amp;IF(ISNUMBER(FIND("?",JobAgolMap)),"&amp;","?")&amp;"center="&amp;$G21&amp;","&amp;$F21&amp;"&amp;level=16&amp;marker="&amp;$G21&amp;","&amp;$F21,"Open"))</f>
        <v/>
      </c>
    </row>
    <row r="22" spans="13:27" x14ac:dyDescent="0.45"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AA22" s="1" t="str">
        <f>IF(OR(JobAgolMap="", $F22="", $G22=""),"",HYPERLINK(JobAgolMap&amp;IF(ISNUMBER(FIND("?",JobAgolMap)),"&amp;","?")&amp;"center="&amp;$G22&amp;","&amp;$F22&amp;"&amp;level=16&amp;marker="&amp;$G22&amp;","&amp;$F22,"Open"))</f>
        <v/>
      </c>
    </row>
    <row r="23" spans="13:27" x14ac:dyDescent="0.45"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AA23" s="1" t="str">
        <f>IF(OR(JobAgolMap="", $F23="", $G23=""),"",HYPERLINK(JobAgolMap&amp;IF(ISNUMBER(FIND("?",JobAgolMap)),"&amp;","?")&amp;"center="&amp;$G23&amp;","&amp;$F23&amp;"&amp;level=16&amp;marker="&amp;$G23&amp;","&amp;$F23,"Open"))</f>
        <v/>
      </c>
    </row>
    <row r="24" spans="13:27" x14ac:dyDescent="0.45"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AA24" s="1" t="str">
        <f>IF(OR(JobAgolMap="", $F24="", $G24=""),"",HYPERLINK(JobAgolMap&amp;IF(ISNUMBER(FIND("?",JobAgolMap)),"&amp;","?")&amp;"center="&amp;$G24&amp;","&amp;$F24&amp;"&amp;level=16&amp;marker="&amp;$G24&amp;","&amp;$F24,"Open"))</f>
        <v/>
      </c>
    </row>
    <row r="25" spans="13:27" x14ac:dyDescent="0.45"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AA25" s="1" t="str">
        <f>IF(OR(JobAgolMap="", $F25="", $G25=""),"",HYPERLINK(JobAgolMap&amp;IF(ISNUMBER(FIND("?",JobAgolMap)),"&amp;","?")&amp;"center="&amp;$G25&amp;","&amp;$F25&amp;"&amp;level=16&amp;marker="&amp;$G25&amp;","&amp;$F25,"Open"))</f>
        <v/>
      </c>
    </row>
    <row r="26" spans="13:27" x14ac:dyDescent="0.45"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AA26" s="1" t="str">
        <f>IF(OR(JobAgolMap="", $F26="", $G26=""),"",HYPERLINK(JobAgolMap&amp;IF(ISNUMBER(FIND("?",JobAgolMap)),"&amp;","?")&amp;"center="&amp;$G26&amp;","&amp;$F26&amp;"&amp;level=16&amp;marker="&amp;$G26&amp;","&amp;$F26,"Open"))</f>
        <v/>
      </c>
    </row>
    <row r="27" spans="13:27" x14ac:dyDescent="0.45"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AA27" s="1" t="str">
        <f>IF(OR(JobAgolMap="", $F27="", $G27=""),"",HYPERLINK(JobAgolMap&amp;IF(ISNUMBER(FIND("?",JobAgolMap)),"&amp;","?")&amp;"center="&amp;$G27&amp;","&amp;$F27&amp;"&amp;level=16&amp;marker="&amp;$G27&amp;","&amp;$F27,"Open"))</f>
        <v/>
      </c>
    </row>
    <row r="28" spans="13:27" x14ac:dyDescent="0.45"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AA28" s="1" t="str">
        <f>IF(OR(JobAgolMap="", $F28="", $G28=""),"",HYPERLINK(JobAgolMap&amp;IF(ISNUMBER(FIND("?",JobAgolMap)),"&amp;","?")&amp;"center="&amp;$G28&amp;","&amp;$F28&amp;"&amp;level=16&amp;marker="&amp;$G28&amp;","&amp;$F28,"Open"))</f>
        <v/>
      </c>
    </row>
    <row r="29" spans="13:27" x14ac:dyDescent="0.45"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AA29" s="1" t="str">
        <f>IF(OR(JobAgolMap="", $F29="", $G29=""),"",HYPERLINK(JobAgolMap&amp;IF(ISNUMBER(FIND("?",JobAgolMap)),"&amp;","?")&amp;"center="&amp;$G29&amp;","&amp;$F29&amp;"&amp;level=16&amp;marker="&amp;$G29&amp;","&amp;$F29,"Open"))</f>
        <v/>
      </c>
    </row>
    <row r="30" spans="13:27" x14ac:dyDescent="0.45"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AA30" s="1" t="str">
        <f>IF(OR(JobAgolMap="", $F30="", $G30=""),"",HYPERLINK(JobAgolMap&amp;IF(ISNUMBER(FIND("?",JobAgolMap)),"&amp;","?")&amp;"center="&amp;$G30&amp;","&amp;$F30&amp;"&amp;level=16&amp;marker="&amp;$G30&amp;","&amp;$F30,"Open"))</f>
        <v/>
      </c>
    </row>
    <row r="31" spans="13:27" x14ac:dyDescent="0.45"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AA31" s="1" t="str">
        <f>IF(OR(JobAgolMap="", $F31="", $G31=""),"",HYPERLINK(JobAgolMap&amp;IF(ISNUMBER(FIND("?",JobAgolMap)),"&amp;","?")&amp;"center="&amp;$G31&amp;","&amp;$F31&amp;"&amp;level=16&amp;marker="&amp;$G31&amp;","&amp;$F31,"Open"))</f>
        <v/>
      </c>
    </row>
    <row r="32" spans="13:27" x14ac:dyDescent="0.45"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AA32" s="1" t="str">
        <f>IF(OR(JobAgolMap="", $F32="", $G32=""),"",HYPERLINK(JobAgolMap&amp;IF(ISNUMBER(FIND("?",JobAgolMap)),"&amp;","?")&amp;"center="&amp;$G32&amp;","&amp;$F32&amp;"&amp;level=16&amp;marker="&amp;$G32&amp;","&amp;$F32,"Open"))</f>
        <v/>
      </c>
    </row>
    <row r="33" spans="13:27" x14ac:dyDescent="0.45"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AA33" s="1" t="str">
        <f>IF(OR(JobAgolMap="", $F33="", $G33=""),"",HYPERLINK(JobAgolMap&amp;IF(ISNUMBER(FIND("?",JobAgolMap)),"&amp;","?")&amp;"center="&amp;$G33&amp;","&amp;$F33&amp;"&amp;level=16&amp;marker="&amp;$G33&amp;","&amp;$F33,"Open"))</f>
        <v/>
      </c>
    </row>
    <row r="34" spans="13:27" x14ac:dyDescent="0.45"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AA34" s="1" t="str">
        <f>IF(OR(JobAgolMap="", $F34="", $G34=""),"",HYPERLINK(JobAgolMap&amp;IF(ISNUMBER(FIND("?",JobAgolMap)),"&amp;","?")&amp;"center="&amp;$G34&amp;","&amp;$F34&amp;"&amp;level=16&amp;marker="&amp;$G34&amp;","&amp;$F34,"Open"))</f>
        <v/>
      </c>
    </row>
    <row r="35" spans="13:27" x14ac:dyDescent="0.45"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AA35" s="1" t="str">
        <f>IF(OR(JobAgolMap="", $F35="", $G35=""),"",HYPERLINK(JobAgolMap&amp;IF(ISNUMBER(FIND("?",JobAgolMap)),"&amp;","?")&amp;"center="&amp;$G35&amp;","&amp;$F35&amp;"&amp;level=16&amp;marker="&amp;$G35&amp;","&amp;$F35,"Open"))</f>
        <v/>
      </c>
    </row>
    <row r="36" spans="13:27" x14ac:dyDescent="0.45"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AA36" s="1" t="str">
        <f>IF(OR(JobAgolMap="", $F36="", $G36=""),"",HYPERLINK(JobAgolMap&amp;IF(ISNUMBER(FIND("?",JobAgolMap)),"&amp;","?")&amp;"center="&amp;$G36&amp;","&amp;$F36&amp;"&amp;level=16&amp;marker="&amp;$G36&amp;","&amp;$F36,"Open"))</f>
        <v/>
      </c>
    </row>
    <row r="37" spans="13:27" x14ac:dyDescent="0.45"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AA37" s="1" t="str">
        <f>IF(OR(JobAgolMap="", $F37="", $G37=""),"",HYPERLINK(JobAgolMap&amp;IF(ISNUMBER(FIND("?",JobAgolMap)),"&amp;","?")&amp;"center="&amp;$G37&amp;","&amp;$F37&amp;"&amp;level=16&amp;marker="&amp;$G37&amp;","&amp;$F37,"Open"))</f>
        <v/>
      </c>
    </row>
    <row r="38" spans="13:27" x14ac:dyDescent="0.45"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AA38" s="1" t="str">
        <f>IF(OR(JobAgolMap="", $F38="", $G38=""),"",HYPERLINK(JobAgolMap&amp;IF(ISNUMBER(FIND("?",JobAgolMap)),"&amp;","?")&amp;"center="&amp;$G38&amp;","&amp;$F38&amp;"&amp;level=16&amp;marker="&amp;$G38&amp;","&amp;$F38,"Open"))</f>
        <v/>
      </c>
    </row>
    <row r="39" spans="13:27" x14ac:dyDescent="0.45"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AA39" s="1" t="str">
        <f>IF(OR(JobAgolMap="", $F39="", $G39=""),"",HYPERLINK(JobAgolMap&amp;IF(ISNUMBER(FIND("?",JobAgolMap)),"&amp;","?")&amp;"center="&amp;$G39&amp;","&amp;$F39&amp;"&amp;level=16&amp;marker="&amp;$G39&amp;","&amp;$F39,"Open"))</f>
        <v/>
      </c>
    </row>
    <row r="40" spans="13:27" x14ac:dyDescent="0.45"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AA40" s="1" t="str">
        <f>IF(OR(JobAgolMap="", $F40="", $G40=""),"",HYPERLINK(JobAgolMap&amp;IF(ISNUMBER(FIND("?",JobAgolMap)),"&amp;","?")&amp;"center="&amp;$G40&amp;","&amp;$F40&amp;"&amp;level=16&amp;marker="&amp;$G40&amp;","&amp;$F40,"Open"))</f>
        <v/>
      </c>
    </row>
    <row r="41" spans="13:27" x14ac:dyDescent="0.45"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AA41" s="1" t="str">
        <f>IF(OR(JobAgolMap="", $F41="", $G41=""),"",HYPERLINK(JobAgolMap&amp;IF(ISNUMBER(FIND("?",JobAgolMap)),"&amp;","?")&amp;"center="&amp;$G41&amp;","&amp;$F41&amp;"&amp;level=16&amp;marker="&amp;$G41&amp;","&amp;$F41,"Open"))</f>
        <v/>
      </c>
    </row>
    <row r="42" spans="13:27" x14ac:dyDescent="0.45"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AA42" s="1" t="str">
        <f>IF(OR(JobAgolMap="", $F42="", $G42=""),"",HYPERLINK(JobAgolMap&amp;IF(ISNUMBER(FIND("?",JobAgolMap)),"&amp;","?")&amp;"center="&amp;$G42&amp;","&amp;$F42&amp;"&amp;level=16&amp;marker="&amp;$G42&amp;","&amp;$F42,"Open"))</f>
        <v/>
      </c>
    </row>
    <row r="43" spans="13:27" x14ac:dyDescent="0.45"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AA43" s="1" t="str">
        <f>IF(OR(JobAgolMap="", $F43="", $G43=""),"",HYPERLINK(JobAgolMap&amp;IF(ISNUMBER(FIND("?",JobAgolMap)),"&amp;","?")&amp;"center="&amp;$G43&amp;","&amp;$F43&amp;"&amp;level=16&amp;marker="&amp;$G43&amp;","&amp;$F43,"Open"))</f>
        <v/>
      </c>
    </row>
    <row r="44" spans="13:27" x14ac:dyDescent="0.45"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AA44" s="1" t="str">
        <f>IF(OR(JobAgolMap="", $F44="", $G44=""),"",HYPERLINK(JobAgolMap&amp;IF(ISNUMBER(FIND("?",JobAgolMap)),"&amp;","?")&amp;"center="&amp;$G44&amp;","&amp;$F44&amp;"&amp;level=16&amp;marker="&amp;$G44&amp;","&amp;$F44,"Open"))</f>
        <v/>
      </c>
    </row>
    <row r="45" spans="13:27" x14ac:dyDescent="0.45"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AA45" s="1" t="str">
        <f>IF(OR(JobAgolMap="", $F45="", $G45=""),"",HYPERLINK(JobAgolMap&amp;IF(ISNUMBER(FIND("?",JobAgolMap)),"&amp;","?")&amp;"center="&amp;$G45&amp;","&amp;$F45&amp;"&amp;level=16&amp;marker="&amp;$G45&amp;","&amp;$F45,"Open"))</f>
        <v/>
      </c>
    </row>
    <row r="46" spans="13:27" x14ac:dyDescent="0.45"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AA46" s="1" t="str">
        <f>IF(OR(JobAgolMap="", $F46="", $G46=""),"",HYPERLINK(JobAgolMap&amp;IF(ISNUMBER(FIND("?",JobAgolMap)),"&amp;","?")&amp;"center="&amp;$G46&amp;","&amp;$F46&amp;"&amp;level=16&amp;marker="&amp;$G46&amp;","&amp;$F46,"Open"))</f>
        <v/>
      </c>
    </row>
    <row r="47" spans="13:27" x14ac:dyDescent="0.45"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AA47" s="1" t="str">
        <f>IF(OR(JobAgolMap="", $F47="", $G47=""),"",HYPERLINK(JobAgolMap&amp;IF(ISNUMBER(FIND("?",JobAgolMap)),"&amp;","?")&amp;"center="&amp;$G47&amp;","&amp;$F47&amp;"&amp;level=16&amp;marker="&amp;$G47&amp;","&amp;$F47,"Open"))</f>
        <v/>
      </c>
    </row>
    <row r="48" spans="13:27" x14ac:dyDescent="0.45"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AA48" s="1" t="str">
        <f>IF(OR(JobAgolMap="", $F48="", $G48=""),"",HYPERLINK(JobAgolMap&amp;IF(ISNUMBER(FIND("?",JobAgolMap)),"&amp;","?")&amp;"center="&amp;$G48&amp;","&amp;$F48&amp;"&amp;level=16&amp;marker="&amp;$G48&amp;","&amp;$F48,"Open"))</f>
        <v/>
      </c>
    </row>
    <row r="49" spans="13:27" x14ac:dyDescent="0.45"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AA49" s="1" t="str">
        <f>IF(OR(JobAgolMap="", $F49="", $G49=""),"",HYPERLINK(JobAgolMap&amp;IF(ISNUMBER(FIND("?",JobAgolMap)),"&amp;","?")&amp;"center="&amp;$G49&amp;","&amp;$F49&amp;"&amp;level=16&amp;marker="&amp;$G49&amp;","&amp;$F49,"Open"))</f>
        <v/>
      </c>
    </row>
    <row r="50" spans="13:27" x14ac:dyDescent="0.45"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AA50" s="1" t="str">
        <f>IF(OR(JobAgolMap="", $F50="", $G50=""),"",HYPERLINK(JobAgolMap&amp;IF(ISNUMBER(FIND("?",JobAgolMap)),"&amp;","?")&amp;"center="&amp;$G50&amp;","&amp;$F50&amp;"&amp;level=16&amp;marker="&amp;$G50&amp;","&amp;$F50,"Open"))</f>
        <v/>
      </c>
    </row>
    <row r="51" spans="13:27" x14ac:dyDescent="0.45"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AA51" s="1" t="str">
        <f>IF(OR(JobAgolMap="", $F51="", $G51=""),"",HYPERLINK(JobAgolMap&amp;IF(ISNUMBER(FIND("?",JobAgolMap)),"&amp;","?")&amp;"center="&amp;$G51&amp;","&amp;$F51&amp;"&amp;level=16&amp;marker="&amp;$G51&amp;","&amp;$F51,"Open"))</f>
        <v/>
      </c>
    </row>
    <row r="52" spans="13:27" x14ac:dyDescent="0.45"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AA52" s="1" t="str">
        <f>IF(OR(JobAgolMap="", $F52="", $G52=""),"",HYPERLINK(JobAgolMap&amp;IF(ISNUMBER(FIND("?",JobAgolMap)),"&amp;","?")&amp;"center="&amp;$G52&amp;","&amp;$F52&amp;"&amp;level=16&amp;marker="&amp;$G52&amp;","&amp;$F52,"Open"))</f>
        <v/>
      </c>
    </row>
    <row r="53" spans="13:27" x14ac:dyDescent="0.45"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AA53" s="1" t="str">
        <f>IF(OR(JobAgolMap="", $F53="", $G53=""),"",HYPERLINK(JobAgolMap&amp;IF(ISNUMBER(FIND("?",JobAgolMap)),"&amp;","?")&amp;"center="&amp;$G53&amp;","&amp;$F53&amp;"&amp;level=16&amp;marker="&amp;$G53&amp;","&amp;$F53,"Open"))</f>
        <v/>
      </c>
    </row>
    <row r="54" spans="13:27" x14ac:dyDescent="0.45"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AA54" s="1" t="str">
        <f>IF(OR(JobAgolMap="", $F54="", $G54=""),"",HYPERLINK(JobAgolMap&amp;IF(ISNUMBER(FIND("?",JobAgolMap)),"&amp;","?")&amp;"center="&amp;$G54&amp;","&amp;$F54&amp;"&amp;level=16&amp;marker="&amp;$G54&amp;","&amp;$F54,"Open"))</f>
        <v/>
      </c>
    </row>
    <row r="55" spans="13:27" x14ac:dyDescent="0.45"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AA55" s="1" t="str">
        <f>IF(OR(JobAgolMap="", $F55="", $G55=""),"",HYPERLINK(JobAgolMap&amp;IF(ISNUMBER(FIND("?",JobAgolMap)),"&amp;","?")&amp;"center="&amp;$G55&amp;","&amp;$F55&amp;"&amp;level=16&amp;marker="&amp;$G55&amp;","&amp;$F55,"Open"))</f>
        <v/>
      </c>
    </row>
    <row r="56" spans="13:27" x14ac:dyDescent="0.45"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AA56" s="1" t="str">
        <f>IF(OR(JobAgolMap="", $F56="", $G56=""),"",HYPERLINK(JobAgolMap&amp;IF(ISNUMBER(FIND("?",JobAgolMap)),"&amp;","?")&amp;"center="&amp;$G56&amp;","&amp;$F56&amp;"&amp;level=16&amp;marker="&amp;$G56&amp;","&amp;$F56,"Open"))</f>
        <v/>
      </c>
    </row>
    <row r="57" spans="13:27" x14ac:dyDescent="0.45"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AA57" s="1" t="str">
        <f>IF(OR(JobAgolMap="", $F57="", $G57=""),"",HYPERLINK(JobAgolMap&amp;IF(ISNUMBER(FIND("?",JobAgolMap)),"&amp;","?")&amp;"center="&amp;$G57&amp;","&amp;$F57&amp;"&amp;level=16&amp;marker="&amp;$G57&amp;","&amp;$F57,"Open"))</f>
        <v/>
      </c>
    </row>
    <row r="58" spans="13:27" x14ac:dyDescent="0.45"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AA58" s="1" t="str">
        <f>IF(OR(JobAgolMap="", $F58="", $G58=""),"",HYPERLINK(JobAgolMap&amp;IF(ISNUMBER(FIND("?",JobAgolMap)),"&amp;","?")&amp;"center="&amp;$G58&amp;","&amp;$F58&amp;"&amp;level=16&amp;marker="&amp;$G58&amp;","&amp;$F58,"Open"))</f>
        <v/>
      </c>
    </row>
    <row r="59" spans="13:27" x14ac:dyDescent="0.45"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AA59" s="1" t="str">
        <f>IF(OR(JobAgolMap="", $F59="", $G59=""),"",HYPERLINK(JobAgolMap&amp;IF(ISNUMBER(FIND("?",JobAgolMap)),"&amp;","?")&amp;"center="&amp;$G59&amp;","&amp;$F59&amp;"&amp;level=16&amp;marker="&amp;$G59&amp;","&amp;$F59,"Open"))</f>
        <v/>
      </c>
    </row>
    <row r="60" spans="13:27" x14ac:dyDescent="0.45"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AA60" s="1" t="str">
        <f>IF(OR(JobAgolMap="", $F60="", $G60=""),"",HYPERLINK(JobAgolMap&amp;IF(ISNUMBER(FIND("?",JobAgolMap)),"&amp;","?")&amp;"center="&amp;$G60&amp;","&amp;$F60&amp;"&amp;level=16&amp;marker="&amp;$G60&amp;","&amp;$F60,"Open"))</f>
        <v/>
      </c>
    </row>
    <row r="61" spans="13:27" x14ac:dyDescent="0.45"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AA61" s="1" t="str">
        <f>IF(OR(JobAgolMap="", $F61="", $G61=""),"",HYPERLINK(JobAgolMap&amp;IF(ISNUMBER(FIND("?",JobAgolMap)),"&amp;","?")&amp;"center="&amp;$G61&amp;","&amp;$F61&amp;"&amp;level=16&amp;marker="&amp;$G61&amp;","&amp;$F61,"Open"))</f>
        <v/>
      </c>
    </row>
    <row r="62" spans="13:27" x14ac:dyDescent="0.45"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AA62" s="1" t="str">
        <f>IF(OR(JobAgolMap="", $F62="", $G62=""),"",HYPERLINK(JobAgolMap&amp;IF(ISNUMBER(FIND("?",JobAgolMap)),"&amp;","?")&amp;"center="&amp;$G62&amp;","&amp;$F62&amp;"&amp;level=16&amp;marker="&amp;$G62&amp;","&amp;$F62,"Open"))</f>
        <v/>
      </c>
    </row>
    <row r="63" spans="13:27" x14ac:dyDescent="0.45"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AA63" s="1" t="str">
        <f>IF(OR(JobAgolMap="", $F63="", $G63=""),"",HYPERLINK(JobAgolMap&amp;IF(ISNUMBER(FIND("?",JobAgolMap)),"&amp;","?")&amp;"center="&amp;$G63&amp;","&amp;$F63&amp;"&amp;level=16&amp;marker="&amp;$G63&amp;","&amp;$F63,"Open"))</f>
        <v/>
      </c>
    </row>
    <row r="64" spans="13:27" x14ac:dyDescent="0.45"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AA64" s="1" t="str">
        <f>IF(OR(JobAgolMap="", $F64="", $G64=""),"",HYPERLINK(JobAgolMap&amp;IF(ISNUMBER(FIND("?",JobAgolMap)),"&amp;","?")&amp;"center="&amp;$G64&amp;","&amp;$F64&amp;"&amp;level=16&amp;marker="&amp;$G64&amp;","&amp;$F64,"Open"))</f>
        <v/>
      </c>
    </row>
    <row r="65" spans="13:27" x14ac:dyDescent="0.45"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AA65" s="1" t="str">
        <f>IF(OR(JobAgolMap="", $F65="", $G65=""),"",HYPERLINK(JobAgolMap&amp;IF(ISNUMBER(FIND("?",JobAgolMap)),"&amp;","?")&amp;"center="&amp;$G65&amp;","&amp;$F65&amp;"&amp;level=16&amp;marker="&amp;$G65&amp;","&amp;$F65,"Open"))</f>
        <v/>
      </c>
    </row>
    <row r="66" spans="13:27" x14ac:dyDescent="0.45">
      <c r="M66" s="1" t="str">
        <f t="shared" ref="M66:M129" si="6">IF(OR($F66="",$G66=""),"",HYPERLINK("https://www.google.com/maps?q="&amp;$F66&amp;","&amp;$G66&amp;"","Map"))</f>
        <v/>
      </c>
      <c r="N66" s="1" t="str">
        <f t="shared" ref="N66:N129" si="7">IF(OR($F66="",$G66=""),"",HYPERLINK("https://www.google.com/maps?q&amp;layer=c&amp;cbll="&amp;$F66&amp;","&amp;$G66&amp;"","Street"))</f>
        <v/>
      </c>
      <c r="O66" s="1" t="str">
        <f t="shared" ref="O66:O129" si="8">IF(OR($F66="",$G66=""),"",HYPERLINK("https://www.bing.com/maps?cp="&amp;$F66&amp;"~"&amp;$G66&amp;"&amp;lvl=18&amp;style=h","Bing"))</f>
        <v/>
      </c>
      <c r="P66" s="1" t="str">
        <f t="shared" ref="P66:P129" si="9">IF(OR($F66="",$G66=""),"",HYPERLINK("https://fema.maps.arcgis.com/apps/mapviewer/index.html?find="&amp;$G66&amp;"%2C"&amp;$F66&amp;"&amp;marker="&amp;$G66&amp;","&amp;$F66&amp;",4326&amp;level=16","FEMA"))</f>
        <v/>
      </c>
      <c r="Q66" s="1" t="str">
        <f t="shared" ref="Q66:Q129" si="10">IF(OR($F66="",$G66=""),"",HYPERLINK("https://msc.fema.gov/portal/firmette?latitude="&amp;$F66&amp;"&amp;longitude="&amp;$G66&amp;"","FIRMette"))</f>
        <v/>
      </c>
      <c r="R66" s="1" t="str">
        <f t="shared" ref="R66:R129" si="11">IF(OR($F66="",$G66=""),"",HYPERLINK("https://fema.maps.arcgis.com/apps/mapviewer/index.html?webmap=6a1702b9147243d1a5ee62cd614bc681&amp;center="&amp;$G66&amp;","&amp;$F66&amp;"&amp;level=16&amp;marker="&amp;$G66&amp;","&amp;$F66&amp;"&amp;visibleLayers=NfcNhsPub_8332%2C193df725e5e-layer-20","Open"))</f>
        <v/>
      </c>
      <c r="AA66" s="1" t="str">
        <f>IF(OR(JobAgolMap="", $F66="", $G66=""),"",HYPERLINK(JobAgolMap&amp;IF(ISNUMBER(FIND("?",JobAgolMap)),"&amp;","?")&amp;"center="&amp;$G66&amp;","&amp;$F66&amp;"&amp;level=16&amp;marker="&amp;$G66&amp;","&amp;$F66,"Open"))</f>
        <v/>
      </c>
    </row>
    <row r="67" spans="13:27" x14ac:dyDescent="0.45">
      <c r="M67" s="1" t="str">
        <f t="shared" si="6"/>
        <v/>
      </c>
      <c r="N67" s="1" t="str">
        <f t="shared" si="7"/>
        <v/>
      </c>
      <c r="O67" s="1" t="str">
        <f t="shared" si="8"/>
        <v/>
      </c>
      <c r="P67" s="1" t="str">
        <f t="shared" si="9"/>
        <v/>
      </c>
      <c r="Q67" s="1" t="str">
        <f t="shared" si="10"/>
        <v/>
      </c>
      <c r="R67" s="1" t="str">
        <f t="shared" si="11"/>
        <v/>
      </c>
      <c r="AA67" s="1" t="str">
        <f>IF(OR(JobAgolMap="", $F67="", $G67=""),"",HYPERLINK(JobAgolMap&amp;IF(ISNUMBER(FIND("?",JobAgolMap)),"&amp;","?")&amp;"center="&amp;$G67&amp;","&amp;$F67&amp;"&amp;level=16&amp;marker="&amp;$G67&amp;","&amp;$F67,"Open"))</f>
        <v/>
      </c>
    </row>
    <row r="68" spans="13:27" x14ac:dyDescent="0.45"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AA68" s="1" t="str">
        <f>IF(OR(JobAgolMap="", $F68="", $G68=""),"",HYPERLINK(JobAgolMap&amp;IF(ISNUMBER(FIND("?",JobAgolMap)),"&amp;","?")&amp;"center="&amp;$G68&amp;","&amp;$F68&amp;"&amp;level=16&amp;marker="&amp;$G68&amp;","&amp;$F68,"Open"))</f>
        <v/>
      </c>
    </row>
    <row r="69" spans="13:27" x14ac:dyDescent="0.45"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AA69" s="1" t="str">
        <f>IF(OR(JobAgolMap="", $F69="", $G69=""),"",HYPERLINK(JobAgolMap&amp;IF(ISNUMBER(FIND("?",JobAgolMap)),"&amp;","?")&amp;"center="&amp;$G69&amp;","&amp;$F69&amp;"&amp;level=16&amp;marker="&amp;$G69&amp;","&amp;$F69,"Open"))</f>
        <v/>
      </c>
    </row>
    <row r="70" spans="13:27" x14ac:dyDescent="0.45"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AA70" s="1" t="str">
        <f>IF(OR(JobAgolMap="", $F70="", $G70=""),"",HYPERLINK(JobAgolMap&amp;IF(ISNUMBER(FIND("?",JobAgolMap)),"&amp;","?")&amp;"center="&amp;$G70&amp;","&amp;$F70&amp;"&amp;level=16&amp;marker="&amp;$G70&amp;","&amp;$F70,"Open"))</f>
        <v/>
      </c>
    </row>
    <row r="71" spans="13:27" x14ac:dyDescent="0.45"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AA71" s="1" t="str">
        <f>IF(OR(JobAgolMap="", $F71="", $G71=""),"",HYPERLINK(JobAgolMap&amp;IF(ISNUMBER(FIND("?",JobAgolMap)),"&amp;","?")&amp;"center="&amp;$G71&amp;","&amp;$F71&amp;"&amp;level=16&amp;marker="&amp;$G71&amp;","&amp;$F71,"Open"))</f>
        <v/>
      </c>
    </row>
    <row r="72" spans="13:27" x14ac:dyDescent="0.45"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AA72" s="1" t="str">
        <f>IF(OR(JobAgolMap="", $F72="", $G72=""),"",HYPERLINK(JobAgolMap&amp;IF(ISNUMBER(FIND("?",JobAgolMap)),"&amp;","?")&amp;"center="&amp;$G72&amp;","&amp;$F72&amp;"&amp;level=16&amp;marker="&amp;$G72&amp;","&amp;$F72,"Open"))</f>
        <v/>
      </c>
    </row>
    <row r="73" spans="13:27" x14ac:dyDescent="0.45"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AA73" s="1" t="str">
        <f>IF(OR(JobAgolMap="", $F73="", $G73=""),"",HYPERLINK(JobAgolMap&amp;IF(ISNUMBER(FIND("?",JobAgolMap)),"&amp;","?")&amp;"center="&amp;$G73&amp;","&amp;$F73&amp;"&amp;level=16&amp;marker="&amp;$G73&amp;","&amp;$F73,"Open"))</f>
        <v/>
      </c>
    </row>
    <row r="74" spans="13:27" x14ac:dyDescent="0.45"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AA74" s="1" t="str">
        <f>IF(OR(JobAgolMap="", $F74="", $G74=""),"",HYPERLINK(JobAgolMap&amp;IF(ISNUMBER(FIND("?",JobAgolMap)),"&amp;","?")&amp;"center="&amp;$G74&amp;","&amp;$F74&amp;"&amp;level=16&amp;marker="&amp;$G74&amp;","&amp;$F74,"Open"))</f>
        <v/>
      </c>
    </row>
    <row r="75" spans="13:27" x14ac:dyDescent="0.45"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AA75" s="1" t="str">
        <f>IF(OR(JobAgolMap="", $F75="", $G75=""),"",HYPERLINK(JobAgolMap&amp;IF(ISNUMBER(FIND("?",JobAgolMap)),"&amp;","?")&amp;"center="&amp;$G75&amp;","&amp;$F75&amp;"&amp;level=16&amp;marker="&amp;$G75&amp;","&amp;$F75,"Open"))</f>
        <v/>
      </c>
    </row>
    <row r="76" spans="13:27" x14ac:dyDescent="0.45"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AA76" s="1" t="str">
        <f>IF(OR(JobAgolMap="", $F76="", $G76=""),"",HYPERLINK(JobAgolMap&amp;IF(ISNUMBER(FIND("?",JobAgolMap)),"&amp;","?")&amp;"center="&amp;$G76&amp;","&amp;$F76&amp;"&amp;level=16&amp;marker="&amp;$G76&amp;","&amp;$F76,"Open"))</f>
        <v/>
      </c>
    </row>
    <row r="77" spans="13:27" x14ac:dyDescent="0.45"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AA77" s="1" t="str">
        <f>IF(OR(JobAgolMap="", $F77="", $G77=""),"",HYPERLINK(JobAgolMap&amp;IF(ISNUMBER(FIND("?",JobAgolMap)),"&amp;","?")&amp;"center="&amp;$G77&amp;","&amp;$F77&amp;"&amp;level=16&amp;marker="&amp;$G77&amp;","&amp;$F77,"Open"))</f>
        <v/>
      </c>
    </row>
    <row r="78" spans="13:27" x14ac:dyDescent="0.45"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AA78" s="1" t="str">
        <f>IF(OR(JobAgolMap="", $F78="", $G78=""),"",HYPERLINK(JobAgolMap&amp;IF(ISNUMBER(FIND("?",JobAgolMap)),"&amp;","?")&amp;"center="&amp;$G78&amp;","&amp;$F78&amp;"&amp;level=16&amp;marker="&amp;$G78&amp;","&amp;$F78,"Open"))</f>
        <v/>
      </c>
    </row>
    <row r="79" spans="13:27" x14ac:dyDescent="0.45"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AA79" s="1" t="str">
        <f>IF(OR(JobAgolMap="", $F79="", $G79=""),"",HYPERLINK(JobAgolMap&amp;IF(ISNUMBER(FIND("?",JobAgolMap)),"&amp;","?")&amp;"center="&amp;$G79&amp;","&amp;$F79&amp;"&amp;level=16&amp;marker="&amp;$G79&amp;","&amp;$F79,"Open"))</f>
        <v/>
      </c>
    </row>
    <row r="80" spans="13:27" x14ac:dyDescent="0.45"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AA80" s="1" t="str">
        <f>IF(OR(JobAgolMap="", $F80="", $G80=""),"",HYPERLINK(JobAgolMap&amp;IF(ISNUMBER(FIND("?",JobAgolMap)),"&amp;","?")&amp;"center="&amp;$G80&amp;","&amp;$F80&amp;"&amp;level=16&amp;marker="&amp;$G80&amp;","&amp;$F80,"Open"))</f>
        <v/>
      </c>
    </row>
    <row r="81" spans="13:27" x14ac:dyDescent="0.45"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AA81" s="1" t="str">
        <f>IF(OR(JobAgolMap="", $F81="", $G81=""),"",HYPERLINK(JobAgolMap&amp;IF(ISNUMBER(FIND("?",JobAgolMap)),"&amp;","?")&amp;"center="&amp;$G81&amp;","&amp;$F81&amp;"&amp;level=16&amp;marker="&amp;$G81&amp;","&amp;$F81,"Open"))</f>
        <v/>
      </c>
    </row>
    <row r="82" spans="13:27" x14ac:dyDescent="0.45"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AA82" s="1" t="str">
        <f>IF(OR(JobAgolMap="", $F82="", $G82=""),"",HYPERLINK(JobAgolMap&amp;IF(ISNUMBER(FIND("?",JobAgolMap)),"&amp;","?")&amp;"center="&amp;$G82&amp;","&amp;$F82&amp;"&amp;level=16&amp;marker="&amp;$G82&amp;","&amp;$F82,"Open"))</f>
        <v/>
      </c>
    </row>
    <row r="83" spans="13:27" x14ac:dyDescent="0.45"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AA83" s="1" t="str">
        <f>IF(OR(JobAgolMap="", $F83="", $G83=""),"",HYPERLINK(JobAgolMap&amp;IF(ISNUMBER(FIND("?",JobAgolMap)),"&amp;","?")&amp;"center="&amp;$G83&amp;","&amp;$F83&amp;"&amp;level=16&amp;marker="&amp;$G83&amp;","&amp;$F83,"Open"))</f>
        <v/>
      </c>
    </row>
    <row r="84" spans="13:27" x14ac:dyDescent="0.45"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AA84" s="1" t="str">
        <f>IF(OR(JobAgolMap="", $F84="", $G84=""),"",HYPERLINK(JobAgolMap&amp;IF(ISNUMBER(FIND("?",JobAgolMap)),"&amp;","?")&amp;"center="&amp;$G84&amp;","&amp;$F84&amp;"&amp;level=16&amp;marker="&amp;$G84&amp;","&amp;$F84,"Open"))</f>
        <v/>
      </c>
    </row>
    <row r="85" spans="13:27" x14ac:dyDescent="0.45"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AA85" s="1" t="str">
        <f>IF(OR(JobAgolMap="", $F85="", $G85=""),"",HYPERLINK(JobAgolMap&amp;IF(ISNUMBER(FIND("?",JobAgolMap)),"&amp;","?")&amp;"center="&amp;$G85&amp;","&amp;$F85&amp;"&amp;level=16&amp;marker="&amp;$G85&amp;","&amp;$F85,"Open"))</f>
        <v/>
      </c>
    </row>
    <row r="86" spans="13:27" x14ac:dyDescent="0.45"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AA86" s="1" t="str">
        <f>IF(OR(JobAgolMap="", $F86="", $G86=""),"",HYPERLINK(JobAgolMap&amp;IF(ISNUMBER(FIND("?",JobAgolMap)),"&amp;","?")&amp;"center="&amp;$G86&amp;","&amp;$F86&amp;"&amp;level=16&amp;marker="&amp;$G86&amp;","&amp;$F86,"Open"))</f>
        <v/>
      </c>
    </row>
    <row r="87" spans="13:27" x14ac:dyDescent="0.45"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AA87" s="1" t="str">
        <f>IF(OR(JobAgolMap="", $F87="", $G87=""),"",HYPERLINK(JobAgolMap&amp;IF(ISNUMBER(FIND("?",JobAgolMap)),"&amp;","?")&amp;"center="&amp;$G87&amp;","&amp;$F87&amp;"&amp;level=16&amp;marker="&amp;$G87&amp;","&amp;$F87,"Open"))</f>
        <v/>
      </c>
    </row>
    <row r="88" spans="13:27" x14ac:dyDescent="0.45"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AA88" s="1" t="str">
        <f>IF(OR(JobAgolMap="", $F88="", $G88=""),"",HYPERLINK(JobAgolMap&amp;IF(ISNUMBER(FIND("?",JobAgolMap)),"&amp;","?")&amp;"center="&amp;$G88&amp;","&amp;$F88&amp;"&amp;level=16&amp;marker="&amp;$G88&amp;","&amp;$F88,"Open"))</f>
        <v/>
      </c>
    </row>
    <row r="89" spans="13:27" x14ac:dyDescent="0.45"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AA89" s="1" t="str">
        <f>IF(OR(JobAgolMap="", $F89="", $G89=""),"",HYPERLINK(JobAgolMap&amp;IF(ISNUMBER(FIND("?",JobAgolMap)),"&amp;","?")&amp;"center="&amp;$G89&amp;","&amp;$F89&amp;"&amp;level=16&amp;marker="&amp;$G89&amp;","&amp;$F89,"Open"))</f>
        <v/>
      </c>
    </row>
    <row r="90" spans="13:27" x14ac:dyDescent="0.45"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AA90" s="1" t="str">
        <f>IF(OR(JobAgolMap="", $F90="", $G90=""),"",HYPERLINK(JobAgolMap&amp;IF(ISNUMBER(FIND("?",JobAgolMap)),"&amp;","?")&amp;"center="&amp;$G90&amp;","&amp;$F90&amp;"&amp;level=16&amp;marker="&amp;$G90&amp;","&amp;$F90,"Open"))</f>
        <v/>
      </c>
    </row>
    <row r="91" spans="13:27" x14ac:dyDescent="0.45"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AA91" s="1" t="str">
        <f>IF(OR(JobAgolMap="", $F91="", $G91=""),"",HYPERLINK(JobAgolMap&amp;IF(ISNUMBER(FIND("?",JobAgolMap)),"&amp;","?")&amp;"center="&amp;$G91&amp;","&amp;$F91&amp;"&amp;level=16&amp;marker="&amp;$G91&amp;","&amp;$F91,"Open"))</f>
        <v/>
      </c>
    </row>
    <row r="92" spans="13:27" x14ac:dyDescent="0.45"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AA92" s="1" t="str">
        <f>IF(OR(JobAgolMap="", $F92="", $G92=""),"",HYPERLINK(JobAgolMap&amp;IF(ISNUMBER(FIND("?",JobAgolMap)),"&amp;","?")&amp;"center="&amp;$G92&amp;","&amp;$F92&amp;"&amp;level=16&amp;marker="&amp;$G92&amp;","&amp;$F92,"Open"))</f>
        <v/>
      </c>
    </row>
    <row r="93" spans="13:27" x14ac:dyDescent="0.45"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AA93" s="1" t="str">
        <f>IF(OR(JobAgolMap="", $F93="", $G93=""),"",HYPERLINK(JobAgolMap&amp;IF(ISNUMBER(FIND("?",JobAgolMap)),"&amp;","?")&amp;"center="&amp;$G93&amp;","&amp;$F93&amp;"&amp;level=16&amp;marker="&amp;$G93&amp;","&amp;$F93,"Open"))</f>
        <v/>
      </c>
    </row>
    <row r="94" spans="13:27" x14ac:dyDescent="0.45"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AA94" s="1" t="str">
        <f>IF(OR(JobAgolMap="", $F94="", $G94=""),"",HYPERLINK(JobAgolMap&amp;IF(ISNUMBER(FIND("?",JobAgolMap)),"&amp;","?")&amp;"center="&amp;$G94&amp;","&amp;$F94&amp;"&amp;level=16&amp;marker="&amp;$G94&amp;","&amp;$F94,"Open"))</f>
        <v/>
      </c>
    </row>
    <row r="95" spans="13:27" x14ac:dyDescent="0.45"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AA95" s="1" t="str">
        <f>IF(OR(JobAgolMap="", $F95="", $G95=""),"",HYPERLINK(JobAgolMap&amp;IF(ISNUMBER(FIND("?",JobAgolMap)),"&amp;","?")&amp;"center="&amp;$G95&amp;","&amp;$F95&amp;"&amp;level=16&amp;marker="&amp;$G95&amp;","&amp;$F95,"Open"))</f>
        <v/>
      </c>
    </row>
    <row r="96" spans="13:27" x14ac:dyDescent="0.45"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AA96" s="1" t="str">
        <f>IF(OR(JobAgolMap="", $F96="", $G96=""),"",HYPERLINK(JobAgolMap&amp;IF(ISNUMBER(FIND("?",JobAgolMap)),"&amp;","?")&amp;"center="&amp;$G96&amp;","&amp;$F96&amp;"&amp;level=16&amp;marker="&amp;$G96&amp;","&amp;$F96,"Open"))</f>
        <v/>
      </c>
    </row>
    <row r="97" spans="13:27" x14ac:dyDescent="0.45"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AA97" s="1" t="str">
        <f>IF(OR(JobAgolMap="", $F97="", $G97=""),"",HYPERLINK(JobAgolMap&amp;IF(ISNUMBER(FIND("?",JobAgolMap)),"&amp;","?")&amp;"center="&amp;$G97&amp;","&amp;$F97&amp;"&amp;level=16&amp;marker="&amp;$G97&amp;","&amp;$F97,"Open"))</f>
        <v/>
      </c>
    </row>
    <row r="98" spans="13:27" x14ac:dyDescent="0.45"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AA98" s="1" t="str">
        <f>IF(OR(JobAgolMap="", $F98="", $G98=""),"",HYPERLINK(JobAgolMap&amp;IF(ISNUMBER(FIND("?",JobAgolMap)),"&amp;","?")&amp;"center="&amp;$G98&amp;","&amp;$F98&amp;"&amp;level=16&amp;marker="&amp;$G98&amp;","&amp;$F98,"Open"))</f>
        <v/>
      </c>
    </row>
    <row r="99" spans="13:27" x14ac:dyDescent="0.45"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AA99" s="1" t="str">
        <f>IF(OR(JobAgolMap="", $F99="", $G99=""),"",HYPERLINK(JobAgolMap&amp;IF(ISNUMBER(FIND("?",JobAgolMap)),"&amp;","?")&amp;"center="&amp;$G99&amp;","&amp;$F99&amp;"&amp;level=16&amp;marker="&amp;$G99&amp;","&amp;$F99,"Open"))</f>
        <v/>
      </c>
    </row>
    <row r="100" spans="13:27" x14ac:dyDescent="0.45"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AA100" s="1" t="str">
        <f>IF(OR(JobAgolMap="", $F100="", $G100=""),"",HYPERLINK(JobAgolMap&amp;IF(ISNUMBER(FIND("?",JobAgolMap)),"&amp;","?")&amp;"center="&amp;$G100&amp;","&amp;$F100&amp;"&amp;level=16&amp;marker="&amp;$G100&amp;","&amp;$F100,"Open"))</f>
        <v/>
      </c>
    </row>
    <row r="101" spans="13:27" x14ac:dyDescent="0.45"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AA101" s="1" t="str">
        <f>IF(OR(JobAgolMap="", $F101="", $G101=""),"",HYPERLINK(JobAgolMap&amp;IF(ISNUMBER(FIND("?",JobAgolMap)),"&amp;","?")&amp;"center="&amp;$G101&amp;","&amp;$F101&amp;"&amp;level=16&amp;marker="&amp;$G101&amp;","&amp;$F101,"Open"))</f>
        <v/>
      </c>
    </row>
    <row r="102" spans="13:27" x14ac:dyDescent="0.45"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AA102" s="1" t="str">
        <f>IF(OR(JobAgolMap="", $F102="", $G102=""),"",HYPERLINK(JobAgolMap&amp;IF(ISNUMBER(FIND("?",JobAgolMap)),"&amp;","?")&amp;"center="&amp;$G102&amp;","&amp;$F102&amp;"&amp;level=16&amp;marker="&amp;$G102&amp;","&amp;$F102,"Open"))</f>
        <v/>
      </c>
    </row>
    <row r="103" spans="13:27" x14ac:dyDescent="0.45"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AA103" s="1" t="str">
        <f>IF(OR(JobAgolMap="", $F103="", $G103=""),"",HYPERLINK(JobAgolMap&amp;IF(ISNUMBER(FIND("?",JobAgolMap)),"&amp;","?")&amp;"center="&amp;$G103&amp;","&amp;$F103&amp;"&amp;level=16&amp;marker="&amp;$G103&amp;","&amp;$F103,"Open"))</f>
        <v/>
      </c>
    </row>
    <row r="104" spans="13:27" x14ac:dyDescent="0.45"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AA104" s="1" t="str">
        <f>IF(OR(JobAgolMap="", $F104="", $G104=""),"",HYPERLINK(JobAgolMap&amp;IF(ISNUMBER(FIND("?",JobAgolMap)),"&amp;","?")&amp;"center="&amp;$G104&amp;","&amp;$F104&amp;"&amp;level=16&amp;marker="&amp;$G104&amp;","&amp;$F104,"Open"))</f>
        <v/>
      </c>
    </row>
    <row r="105" spans="13:27" x14ac:dyDescent="0.45"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AA105" s="1" t="str">
        <f>IF(OR(JobAgolMap="", $F105="", $G105=""),"",HYPERLINK(JobAgolMap&amp;IF(ISNUMBER(FIND("?",JobAgolMap)),"&amp;","?")&amp;"center="&amp;$G105&amp;","&amp;$F105&amp;"&amp;level=16&amp;marker="&amp;$G105&amp;","&amp;$F105,"Open"))</f>
        <v/>
      </c>
    </row>
    <row r="106" spans="13:27" x14ac:dyDescent="0.45"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AA106" s="1" t="str">
        <f>IF(OR(JobAgolMap="", $F106="", $G106=""),"",HYPERLINK(JobAgolMap&amp;IF(ISNUMBER(FIND("?",JobAgolMap)),"&amp;","?")&amp;"center="&amp;$G106&amp;","&amp;$F106&amp;"&amp;level=16&amp;marker="&amp;$G106&amp;","&amp;$F106,"Open"))</f>
        <v/>
      </c>
    </row>
    <row r="107" spans="13:27" x14ac:dyDescent="0.45"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AA107" s="1" t="str">
        <f>IF(OR(JobAgolMap="", $F107="", $G107=""),"",HYPERLINK(JobAgolMap&amp;IF(ISNUMBER(FIND("?",JobAgolMap)),"&amp;","?")&amp;"center="&amp;$G107&amp;","&amp;$F107&amp;"&amp;level=16&amp;marker="&amp;$G107&amp;","&amp;$F107,"Open"))</f>
        <v/>
      </c>
    </row>
    <row r="108" spans="13:27" x14ac:dyDescent="0.45"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AA108" s="1" t="str">
        <f>IF(OR(JobAgolMap="", $F108="", $G108=""),"",HYPERLINK(JobAgolMap&amp;IF(ISNUMBER(FIND("?",JobAgolMap)),"&amp;","?")&amp;"center="&amp;$G108&amp;","&amp;$F108&amp;"&amp;level=16&amp;marker="&amp;$G108&amp;","&amp;$F108,"Open"))</f>
        <v/>
      </c>
    </row>
    <row r="109" spans="13:27" x14ac:dyDescent="0.45"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AA109" s="1" t="str">
        <f>IF(OR(JobAgolMap="", $F109="", $G109=""),"",HYPERLINK(JobAgolMap&amp;IF(ISNUMBER(FIND("?",JobAgolMap)),"&amp;","?")&amp;"center="&amp;$G109&amp;","&amp;$F109&amp;"&amp;level=16&amp;marker="&amp;$G109&amp;","&amp;$F109,"Open"))</f>
        <v/>
      </c>
    </row>
    <row r="110" spans="13:27" x14ac:dyDescent="0.45"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AA110" s="1" t="str">
        <f>IF(OR(JobAgolMap="", $F110="", $G110=""),"",HYPERLINK(JobAgolMap&amp;IF(ISNUMBER(FIND("?",JobAgolMap)),"&amp;","?")&amp;"center="&amp;$G110&amp;","&amp;$F110&amp;"&amp;level=16&amp;marker="&amp;$G110&amp;","&amp;$F110,"Open"))</f>
        <v/>
      </c>
    </row>
    <row r="111" spans="13:27" x14ac:dyDescent="0.45"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AA111" s="1" t="str">
        <f>IF(OR(JobAgolMap="", $F111="", $G111=""),"",HYPERLINK(JobAgolMap&amp;IF(ISNUMBER(FIND("?",JobAgolMap)),"&amp;","?")&amp;"center="&amp;$G111&amp;","&amp;$F111&amp;"&amp;level=16&amp;marker="&amp;$G111&amp;","&amp;$F111,"Open"))</f>
        <v/>
      </c>
    </row>
    <row r="112" spans="13:27" x14ac:dyDescent="0.45"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AA112" s="1" t="str">
        <f>IF(OR(JobAgolMap="", $F112="", $G112=""),"",HYPERLINK(JobAgolMap&amp;IF(ISNUMBER(FIND("?",JobAgolMap)),"&amp;","?")&amp;"center="&amp;$G112&amp;","&amp;$F112&amp;"&amp;level=16&amp;marker="&amp;$G112&amp;","&amp;$F112,"Open"))</f>
        <v/>
      </c>
    </row>
    <row r="113" spans="13:27" x14ac:dyDescent="0.45"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AA113" s="1" t="str">
        <f>IF(OR(JobAgolMap="", $F113="", $G113=""),"",HYPERLINK(JobAgolMap&amp;IF(ISNUMBER(FIND("?",JobAgolMap)),"&amp;","?")&amp;"center="&amp;$G113&amp;","&amp;$F113&amp;"&amp;level=16&amp;marker="&amp;$G113&amp;","&amp;$F113,"Open"))</f>
        <v/>
      </c>
    </row>
    <row r="114" spans="13:27" x14ac:dyDescent="0.45"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AA114" s="1" t="str">
        <f>IF(OR(JobAgolMap="", $F114="", $G114=""),"",HYPERLINK(JobAgolMap&amp;IF(ISNUMBER(FIND("?",JobAgolMap)),"&amp;","?")&amp;"center="&amp;$G114&amp;","&amp;$F114&amp;"&amp;level=16&amp;marker="&amp;$G114&amp;","&amp;$F114,"Open"))</f>
        <v/>
      </c>
    </row>
    <row r="115" spans="13:27" x14ac:dyDescent="0.45"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AA115" s="1" t="str">
        <f>IF(OR(JobAgolMap="", $F115="", $G115=""),"",HYPERLINK(JobAgolMap&amp;IF(ISNUMBER(FIND("?",JobAgolMap)),"&amp;","?")&amp;"center="&amp;$G115&amp;","&amp;$F115&amp;"&amp;level=16&amp;marker="&amp;$G115&amp;","&amp;$F115,"Open"))</f>
        <v/>
      </c>
    </row>
    <row r="116" spans="13:27" x14ac:dyDescent="0.45"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AA116" s="1" t="str">
        <f>IF(OR(JobAgolMap="", $F116="", $G116=""),"",HYPERLINK(JobAgolMap&amp;IF(ISNUMBER(FIND("?",JobAgolMap)),"&amp;","?")&amp;"center="&amp;$G116&amp;","&amp;$F116&amp;"&amp;level=16&amp;marker="&amp;$G116&amp;","&amp;$F116,"Open"))</f>
        <v/>
      </c>
    </row>
    <row r="117" spans="13:27" x14ac:dyDescent="0.45"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AA117" s="1" t="str">
        <f>IF(OR(JobAgolMap="", $F117="", $G117=""),"",HYPERLINK(JobAgolMap&amp;IF(ISNUMBER(FIND("?",JobAgolMap)),"&amp;","?")&amp;"center="&amp;$G117&amp;","&amp;$F117&amp;"&amp;level=16&amp;marker="&amp;$G117&amp;","&amp;$F117,"Open"))</f>
        <v/>
      </c>
    </row>
    <row r="118" spans="13:27" x14ac:dyDescent="0.45"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AA118" s="1" t="str">
        <f>IF(OR(JobAgolMap="", $F118="", $G118=""),"",HYPERLINK(JobAgolMap&amp;IF(ISNUMBER(FIND("?",JobAgolMap)),"&amp;","?")&amp;"center="&amp;$G118&amp;","&amp;$F118&amp;"&amp;level=16&amp;marker="&amp;$G118&amp;","&amp;$F118,"Open"))</f>
        <v/>
      </c>
    </row>
    <row r="119" spans="13:27" x14ac:dyDescent="0.45"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AA119" s="1" t="str">
        <f>IF(OR(JobAgolMap="", $F119="", $G119=""),"",HYPERLINK(JobAgolMap&amp;IF(ISNUMBER(FIND("?",JobAgolMap)),"&amp;","?")&amp;"center="&amp;$G119&amp;","&amp;$F119&amp;"&amp;level=16&amp;marker="&amp;$G119&amp;","&amp;$F119,"Open"))</f>
        <v/>
      </c>
    </row>
    <row r="120" spans="13:27" x14ac:dyDescent="0.45"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AA120" s="1" t="str">
        <f>IF(OR(JobAgolMap="", $F120="", $G120=""),"",HYPERLINK(JobAgolMap&amp;IF(ISNUMBER(FIND("?",JobAgolMap)),"&amp;","?")&amp;"center="&amp;$G120&amp;","&amp;$F120&amp;"&amp;level=16&amp;marker="&amp;$G120&amp;","&amp;$F120,"Open"))</f>
        <v/>
      </c>
    </row>
    <row r="121" spans="13:27" x14ac:dyDescent="0.45"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AA121" s="1" t="str">
        <f>IF(OR(JobAgolMap="", $F121="", $G121=""),"",HYPERLINK(JobAgolMap&amp;IF(ISNUMBER(FIND("?",JobAgolMap)),"&amp;","?")&amp;"center="&amp;$G121&amp;","&amp;$F121&amp;"&amp;level=16&amp;marker="&amp;$G121&amp;","&amp;$F121,"Open"))</f>
        <v/>
      </c>
    </row>
    <row r="122" spans="13:27" x14ac:dyDescent="0.45"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AA122" s="1" t="str">
        <f>IF(OR(JobAgolMap="", $F122="", $G122=""),"",HYPERLINK(JobAgolMap&amp;IF(ISNUMBER(FIND("?",JobAgolMap)),"&amp;","?")&amp;"center="&amp;$G122&amp;","&amp;$F122&amp;"&amp;level=16&amp;marker="&amp;$G122&amp;","&amp;$F122,"Open"))</f>
        <v/>
      </c>
    </row>
    <row r="123" spans="13:27" x14ac:dyDescent="0.45"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AA123" s="1" t="str">
        <f>IF(OR(JobAgolMap="", $F123="", $G123=""),"",HYPERLINK(JobAgolMap&amp;IF(ISNUMBER(FIND("?",JobAgolMap)),"&amp;","?")&amp;"center="&amp;$G123&amp;","&amp;$F123&amp;"&amp;level=16&amp;marker="&amp;$G123&amp;","&amp;$F123,"Open"))</f>
        <v/>
      </c>
    </row>
    <row r="124" spans="13:27" x14ac:dyDescent="0.45"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AA124" s="1" t="str">
        <f>IF(OR(JobAgolMap="", $F124="", $G124=""),"",HYPERLINK(JobAgolMap&amp;IF(ISNUMBER(FIND("?",JobAgolMap)),"&amp;","?")&amp;"center="&amp;$G124&amp;","&amp;$F124&amp;"&amp;level=16&amp;marker="&amp;$G124&amp;","&amp;$F124,"Open"))</f>
        <v/>
      </c>
    </row>
    <row r="125" spans="13:27" x14ac:dyDescent="0.45"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AA125" s="1" t="str">
        <f>IF(OR(JobAgolMap="", $F125="", $G125=""),"",HYPERLINK(JobAgolMap&amp;IF(ISNUMBER(FIND("?",JobAgolMap)),"&amp;","?")&amp;"center="&amp;$G125&amp;","&amp;$F125&amp;"&amp;level=16&amp;marker="&amp;$G125&amp;","&amp;$F125,"Open"))</f>
        <v/>
      </c>
    </row>
    <row r="126" spans="13:27" x14ac:dyDescent="0.45"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AA126" s="1" t="str">
        <f>IF(OR(JobAgolMap="", $F126="", $G126=""),"",HYPERLINK(JobAgolMap&amp;IF(ISNUMBER(FIND("?",JobAgolMap)),"&amp;","?")&amp;"center="&amp;$G126&amp;","&amp;$F126&amp;"&amp;level=16&amp;marker="&amp;$G126&amp;","&amp;$F126,"Open"))</f>
        <v/>
      </c>
    </row>
    <row r="127" spans="13:27" x14ac:dyDescent="0.45"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AA127" s="1" t="str">
        <f>IF(OR(JobAgolMap="", $F127="", $G127=""),"",HYPERLINK(JobAgolMap&amp;IF(ISNUMBER(FIND("?",JobAgolMap)),"&amp;","?")&amp;"center="&amp;$G127&amp;","&amp;$F127&amp;"&amp;level=16&amp;marker="&amp;$G127&amp;","&amp;$F127,"Open"))</f>
        <v/>
      </c>
    </row>
    <row r="128" spans="13:27" x14ac:dyDescent="0.45"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AA128" s="1" t="str">
        <f>IF(OR(JobAgolMap="", $F128="", $G128=""),"",HYPERLINK(JobAgolMap&amp;IF(ISNUMBER(FIND("?",JobAgolMap)),"&amp;","?")&amp;"center="&amp;$G128&amp;","&amp;$F128&amp;"&amp;level=16&amp;marker="&amp;$G128&amp;","&amp;$F128,"Open"))</f>
        <v/>
      </c>
    </row>
    <row r="129" spans="13:27" x14ac:dyDescent="0.45"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AA129" s="1" t="str">
        <f>IF(OR(JobAgolMap="", $F129="", $G129=""),"",HYPERLINK(JobAgolMap&amp;IF(ISNUMBER(FIND("?",JobAgolMap)),"&amp;","?")&amp;"center="&amp;$G129&amp;","&amp;$F129&amp;"&amp;level=16&amp;marker="&amp;$G129&amp;","&amp;$F129,"Open"))</f>
        <v/>
      </c>
    </row>
    <row r="130" spans="13:27" x14ac:dyDescent="0.45">
      <c r="M130" s="1" t="str">
        <f t="shared" ref="M130:M193" si="12">IF(OR($F130="",$G130=""),"",HYPERLINK("https://www.google.com/maps?q="&amp;$F130&amp;","&amp;$G130&amp;"","Map"))</f>
        <v/>
      </c>
      <c r="N130" s="1" t="str">
        <f t="shared" ref="N130:N193" si="13">IF(OR($F130="",$G130=""),"",HYPERLINK("https://www.google.com/maps?q&amp;layer=c&amp;cbll="&amp;$F130&amp;","&amp;$G130&amp;"","Street"))</f>
        <v/>
      </c>
      <c r="O130" s="1" t="str">
        <f t="shared" ref="O130:O193" si="14">IF(OR($F130="",$G130=""),"",HYPERLINK("https://www.bing.com/maps?cp="&amp;$F130&amp;"~"&amp;$G130&amp;"&amp;lvl=18&amp;style=h","Bing"))</f>
        <v/>
      </c>
      <c r="P130" s="1" t="str">
        <f t="shared" ref="P130:P193" si="15">IF(OR($F130="",$G130=""),"",HYPERLINK("https://fema.maps.arcgis.com/apps/mapviewer/index.html?find="&amp;$G130&amp;"%2C"&amp;$F130&amp;"&amp;marker="&amp;$G130&amp;","&amp;$F130&amp;",4326&amp;level=16","FEMA"))</f>
        <v/>
      </c>
      <c r="Q130" s="1" t="str">
        <f t="shared" ref="Q130:Q193" si="16">IF(OR($F130="",$G130=""),"",HYPERLINK("https://msc.fema.gov/portal/firmette?latitude="&amp;$F130&amp;"&amp;longitude="&amp;$G130&amp;"","FIRMette"))</f>
        <v/>
      </c>
      <c r="R130" s="1" t="str">
        <f t="shared" ref="R130:R193" si="17">IF(OR($F130="",$G130=""),"",HYPERLINK("https://fema.maps.arcgis.com/apps/mapviewer/index.html?webmap=6a1702b9147243d1a5ee62cd614bc681&amp;center="&amp;$G130&amp;","&amp;$F130&amp;"&amp;level=16&amp;marker="&amp;$G130&amp;","&amp;$F130&amp;"&amp;visibleLayers=NfcNhsPub_8332%2C193df725e5e-layer-20","Open"))</f>
        <v/>
      </c>
      <c r="AA130" s="1" t="str">
        <f>IF(OR(JobAgolMap="", $F130="", $G130=""),"",HYPERLINK(JobAgolMap&amp;IF(ISNUMBER(FIND("?",JobAgolMap)),"&amp;","?")&amp;"center="&amp;$G130&amp;","&amp;$F130&amp;"&amp;level=16&amp;marker="&amp;$G130&amp;","&amp;$F130,"Open"))</f>
        <v/>
      </c>
    </row>
    <row r="131" spans="13:27" x14ac:dyDescent="0.45">
      <c r="M131" s="1" t="str">
        <f t="shared" si="12"/>
        <v/>
      </c>
      <c r="N131" s="1" t="str">
        <f t="shared" si="13"/>
        <v/>
      </c>
      <c r="O131" s="1" t="str">
        <f t="shared" si="14"/>
        <v/>
      </c>
      <c r="P131" s="1" t="str">
        <f t="shared" si="15"/>
        <v/>
      </c>
      <c r="Q131" s="1" t="str">
        <f t="shared" si="16"/>
        <v/>
      </c>
      <c r="R131" s="1" t="str">
        <f t="shared" si="17"/>
        <v/>
      </c>
      <c r="AA131" s="1" t="str">
        <f>IF(OR(JobAgolMap="", $F131="", $G131=""),"",HYPERLINK(JobAgolMap&amp;IF(ISNUMBER(FIND("?",JobAgolMap)),"&amp;","?")&amp;"center="&amp;$G131&amp;","&amp;$F131&amp;"&amp;level=16&amp;marker="&amp;$G131&amp;","&amp;$F131,"Open"))</f>
        <v/>
      </c>
    </row>
    <row r="132" spans="13:27" x14ac:dyDescent="0.45"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AA132" s="1" t="str">
        <f>IF(OR(JobAgolMap="", $F132="", $G132=""),"",HYPERLINK(JobAgolMap&amp;IF(ISNUMBER(FIND("?",JobAgolMap)),"&amp;","?")&amp;"center="&amp;$G132&amp;","&amp;$F132&amp;"&amp;level=16&amp;marker="&amp;$G132&amp;","&amp;$F132,"Open"))</f>
        <v/>
      </c>
    </row>
    <row r="133" spans="13:27" x14ac:dyDescent="0.45"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AA133" s="1" t="str">
        <f>IF(OR(JobAgolMap="", $F133="", $G133=""),"",HYPERLINK(JobAgolMap&amp;IF(ISNUMBER(FIND("?",JobAgolMap)),"&amp;","?")&amp;"center="&amp;$G133&amp;","&amp;$F133&amp;"&amp;level=16&amp;marker="&amp;$G133&amp;","&amp;$F133,"Open"))</f>
        <v/>
      </c>
    </row>
    <row r="134" spans="13:27" x14ac:dyDescent="0.45"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AA134" s="1" t="str">
        <f>IF(OR(JobAgolMap="", $F134="", $G134=""),"",HYPERLINK(JobAgolMap&amp;IF(ISNUMBER(FIND("?",JobAgolMap)),"&amp;","?")&amp;"center="&amp;$G134&amp;","&amp;$F134&amp;"&amp;level=16&amp;marker="&amp;$G134&amp;","&amp;$F134,"Open"))</f>
        <v/>
      </c>
    </row>
    <row r="135" spans="13:27" x14ac:dyDescent="0.45"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AA135" s="1" t="str">
        <f>IF(OR(JobAgolMap="", $F135="", $G135=""),"",HYPERLINK(JobAgolMap&amp;IF(ISNUMBER(FIND("?",JobAgolMap)),"&amp;","?")&amp;"center="&amp;$G135&amp;","&amp;$F135&amp;"&amp;level=16&amp;marker="&amp;$G135&amp;","&amp;$F135,"Open"))</f>
        <v/>
      </c>
    </row>
    <row r="136" spans="13:27" x14ac:dyDescent="0.45"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AA136" s="1" t="str">
        <f>IF(OR(JobAgolMap="", $F136="", $G136=""),"",HYPERLINK(JobAgolMap&amp;IF(ISNUMBER(FIND("?",JobAgolMap)),"&amp;","?")&amp;"center="&amp;$G136&amp;","&amp;$F136&amp;"&amp;level=16&amp;marker="&amp;$G136&amp;","&amp;$F136,"Open"))</f>
        <v/>
      </c>
    </row>
    <row r="137" spans="13:27" x14ac:dyDescent="0.45"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AA137" s="1" t="str">
        <f>IF(OR(JobAgolMap="", $F137="", $G137=""),"",HYPERLINK(JobAgolMap&amp;IF(ISNUMBER(FIND("?",JobAgolMap)),"&amp;","?")&amp;"center="&amp;$G137&amp;","&amp;$F137&amp;"&amp;level=16&amp;marker="&amp;$G137&amp;","&amp;$F137,"Open"))</f>
        <v/>
      </c>
    </row>
    <row r="138" spans="13:27" x14ac:dyDescent="0.45"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AA138" s="1" t="str">
        <f>IF(OR(JobAgolMap="", $F138="", $G138=""),"",HYPERLINK(JobAgolMap&amp;IF(ISNUMBER(FIND("?",JobAgolMap)),"&amp;","?")&amp;"center="&amp;$G138&amp;","&amp;$F138&amp;"&amp;level=16&amp;marker="&amp;$G138&amp;","&amp;$F138,"Open"))</f>
        <v/>
      </c>
    </row>
    <row r="139" spans="13:27" x14ac:dyDescent="0.45"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AA139" s="1" t="str">
        <f>IF(OR(JobAgolMap="", $F139="", $G139=""),"",HYPERLINK(JobAgolMap&amp;IF(ISNUMBER(FIND("?",JobAgolMap)),"&amp;","?")&amp;"center="&amp;$G139&amp;","&amp;$F139&amp;"&amp;level=16&amp;marker="&amp;$G139&amp;","&amp;$F139,"Open"))</f>
        <v/>
      </c>
    </row>
    <row r="140" spans="13:27" x14ac:dyDescent="0.45"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AA140" s="1" t="str">
        <f>IF(OR(JobAgolMap="", $F140="", $G140=""),"",HYPERLINK(JobAgolMap&amp;IF(ISNUMBER(FIND("?",JobAgolMap)),"&amp;","?")&amp;"center="&amp;$G140&amp;","&amp;$F140&amp;"&amp;level=16&amp;marker="&amp;$G140&amp;","&amp;$F140,"Open"))</f>
        <v/>
      </c>
    </row>
    <row r="141" spans="13:27" x14ac:dyDescent="0.45"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AA141" s="1" t="str">
        <f>IF(OR(JobAgolMap="", $F141="", $G141=""),"",HYPERLINK(JobAgolMap&amp;IF(ISNUMBER(FIND("?",JobAgolMap)),"&amp;","?")&amp;"center="&amp;$G141&amp;","&amp;$F141&amp;"&amp;level=16&amp;marker="&amp;$G141&amp;","&amp;$F141,"Open"))</f>
        <v/>
      </c>
    </row>
    <row r="142" spans="13:27" x14ac:dyDescent="0.45"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AA142" s="1" t="str">
        <f>IF(OR(JobAgolMap="", $F142="", $G142=""),"",HYPERLINK(JobAgolMap&amp;IF(ISNUMBER(FIND("?",JobAgolMap)),"&amp;","?")&amp;"center="&amp;$G142&amp;","&amp;$F142&amp;"&amp;level=16&amp;marker="&amp;$G142&amp;","&amp;$F142,"Open"))</f>
        <v/>
      </c>
    </row>
    <row r="143" spans="13:27" x14ac:dyDescent="0.45"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AA143" s="1" t="str">
        <f>IF(OR(JobAgolMap="", $F143="", $G143=""),"",HYPERLINK(JobAgolMap&amp;IF(ISNUMBER(FIND("?",JobAgolMap)),"&amp;","?")&amp;"center="&amp;$G143&amp;","&amp;$F143&amp;"&amp;level=16&amp;marker="&amp;$G143&amp;","&amp;$F143,"Open"))</f>
        <v/>
      </c>
    </row>
    <row r="144" spans="13:27" x14ac:dyDescent="0.45"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AA144" s="1" t="str">
        <f>IF(OR(JobAgolMap="", $F144="", $G144=""),"",HYPERLINK(JobAgolMap&amp;IF(ISNUMBER(FIND("?",JobAgolMap)),"&amp;","?")&amp;"center="&amp;$G144&amp;","&amp;$F144&amp;"&amp;level=16&amp;marker="&amp;$G144&amp;","&amp;$F144,"Open"))</f>
        <v/>
      </c>
    </row>
    <row r="145" spans="13:27" x14ac:dyDescent="0.45"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AA145" s="1" t="str">
        <f>IF(OR(JobAgolMap="", $F145="", $G145=""),"",HYPERLINK(JobAgolMap&amp;IF(ISNUMBER(FIND("?",JobAgolMap)),"&amp;","?")&amp;"center="&amp;$G145&amp;","&amp;$F145&amp;"&amp;level=16&amp;marker="&amp;$G145&amp;","&amp;$F145,"Open"))</f>
        <v/>
      </c>
    </row>
    <row r="146" spans="13:27" x14ac:dyDescent="0.45"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AA146" s="1" t="str">
        <f>IF(OR(JobAgolMap="", $F146="", $G146=""),"",HYPERLINK(JobAgolMap&amp;IF(ISNUMBER(FIND("?",JobAgolMap)),"&amp;","?")&amp;"center="&amp;$G146&amp;","&amp;$F146&amp;"&amp;level=16&amp;marker="&amp;$G146&amp;","&amp;$F146,"Open"))</f>
        <v/>
      </c>
    </row>
    <row r="147" spans="13:27" x14ac:dyDescent="0.45"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AA147" s="1" t="str">
        <f>IF(OR(JobAgolMap="", $F147="", $G147=""),"",HYPERLINK(JobAgolMap&amp;IF(ISNUMBER(FIND("?",JobAgolMap)),"&amp;","?")&amp;"center="&amp;$G147&amp;","&amp;$F147&amp;"&amp;level=16&amp;marker="&amp;$G147&amp;","&amp;$F147,"Open"))</f>
        <v/>
      </c>
    </row>
    <row r="148" spans="13:27" x14ac:dyDescent="0.45"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AA148" s="1" t="str">
        <f>IF(OR(JobAgolMap="", $F148="", $G148=""),"",HYPERLINK(JobAgolMap&amp;IF(ISNUMBER(FIND("?",JobAgolMap)),"&amp;","?")&amp;"center="&amp;$G148&amp;","&amp;$F148&amp;"&amp;level=16&amp;marker="&amp;$G148&amp;","&amp;$F148,"Open"))</f>
        <v/>
      </c>
    </row>
    <row r="149" spans="13:27" x14ac:dyDescent="0.45"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AA149" s="1" t="str">
        <f>IF(OR(JobAgolMap="", $F149="", $G149=""),"",HYPERLINK(JobAgolMap&amp;IF(ISNUMBER(FIND("?",JobAgolMap)),"&amp;","?")&amp;"center="&amp;$G149&amp;","&amp;$F149&amp;"&amp;level=16&amp;marker="&amp;$G149&amp;","&amp;$F149,"Open"))</f>
        <v/>
      </c>
    </row>
    <row r="150" spans="13:27" x14ac:dyDescent="0.45"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AA150" s="1" t="str">
        <f>IF(OR(JobAgolMap="", $F150="", $G150=""),"",HYPERLINK(JobAgolMap&amp;IF(ISNUMBER(FIND("?",JobAgolMap)),"&amp;","?")&amp;"center="&amp;$G150&amp;","&amp;$F150&amp;"&amp;level=16&amp;marker="&amp;$G150&amp;","&amp;$F150,"Open"))</f>
        <v/>
      </c>
    </row>
    <row r="151" spans="13:27" x14ac:dyDescent="0.45"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AA151" s="1" t="str">
        <f>IF(OR(JobAgolMap="", $F151="", $G151=""),"",HYPERLINK(JobAgolMap&amp;IF(ISNUMBER(FIND("?",JobAgolMap)),"&amp;","?")&amp;"center="&amp;$G151&amp;","&amp;$F151&amp;"&amp;level=16&amp;marker="&amp;$G151&amp;","&amp;$F151,"Open"))</f>
        <v/>
      </c>
    </row>
    <row r="152" spans="13:27" x14ac:dyDescent="0.45"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AA152" s="1" t="str">
        <f>IF(OR(JobAgolMap="", $F152="", $G152=""),"",HYPERLINK(JobAgolMap&amp;IF(ISNUMBER(FIND("?",JobAgolMap)),"&amp;","?")&amp;"center="&amp;$G152&amp;","&amp;$F152&amp;"&amp;level=16&amp;marker="&amp;$G152&amp;","&amp;$F152,"Open"))</f>
        <v/>
      </c>
    </row>
    <row r="153" spans="13:27" x14ac:dyDescent="0.45"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AA153" s="1" t="str">
        <f>IF(OR(JobAgolMap="", $F153="", $G153=""),"",HYPERLINK(JobAgolMap&amp;IF(ISNUMBER(FIND("?",JobAgolMap)),"&amp;","?")&amp;"center="&amp;$G153&amp;","&amp;$F153&amp;"&amp;level=16&amp;marker="&amp;$G153&amp;","&amp;$F153,"Open"))</f>
        <v/>
      </c>
    </row>
    <row r="154" spans="13:27" x14ac:dyDescent="0.45"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AA154" s="1" t="str">
        <f>IF(OR(JobAgolMap="", $F154="", $G154=""),"",HYPERLINK(JobAgolMap&amp;IF(ISNUMBER(FIND("?",JobAgolMap)),"&amp;","?")&amp;"center="&amp;$G154&amp;","&amp;$F154&amp;"&amp;level=16&amp;marker="&amp;$G154&amp;","&amp;$F154,"Open"))</f>
        <v/>
      </c>
    </row>
    <row r="155" spans="13:27" x14ac:dyDescent="0.45"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AA155" s="1" t="str">
        <f>IF(OR(JobAgolMap="", $F155="", $G155=""),"",HYPERLINK(JobAgolMap&amp;IF(ISNUMBER(FIND("?",JobAgolMap)),"&amp;","?")&amp;"center="&amp;$G155&amp;","&amp;$F155&amp;"&amp;level=16&amp;marker="&amp;$G155&amp;","&amp;$F155,"Open"))</f>
        <v/>
      </c>
    </row>
    <row r="156" spans="13:27" x14ac:dyDescent="0.45"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AA156" s="1" t="str">
        <f>IF(OR(JobAgolMap="", $F156="", $G156=""),"",HYPERLINK(JobAgolMap&amp;IF(ISNUMBER(FIND("?",JobAgolMap)),"&amp;","?")&amp;"center="&amp;$G156&amp;","&amp;$F156&amp;"&amp;level=16&amp;marker="&amp;$G156&amp;","&amp;$F156,"Open"))</f>
        <v/>
      </c>
    </row>
    <row r="157" spans="13:27" x14ac:dyDescent="0.45"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AA157" s="1" t="str">
        <f>IF(OR(JobAgolMap="", $F157="", $G157=""),"",HYPERLINK(JobAgolMap&amp;IF(ISNUMBER(FIND("?",JobAgolMap)),"&amp;","?")&amp;"center="&amp;$G157&amp;","&amp;$F157&amp;"&amp;level=16&amp;marker="&amp;$G157&amp;","&amp;$F157,"Open"))</f>
        <v/>
      </c>
    </row>
    <row r="158" spans="13:27" x14ac:dyDescent="0.45"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AA158" s="1" t="str">
        <f>IF(OR(JobAgolMap="", $F158="", $G158=""),"",HYPERLINK(JobAgolMap&amp;IF(ISNUMBER(FIND("?",JobAgolMap)),"&amp;","?")&amp;"center="&amp;$G158&amp;","&amp;$F158&amp;"&amp;level=16&amp;marker="&amp;$G158&amp;","&amp;$F158,"Open"))</f>
        <v/>
      </c>
    </row>
    <row r="159" spans="13:27" x14ac:dyDescent="0.45"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AA159" s="1" t="str">
        <f>IF(OR(JobAgolMap="", $F159="", $G159=""),"",HYPERLINK(JobAgolMap&amp;IF(ISNUMBER(FIND("?",JobAgolMap)),"&amp;","?")&amp;"center="&amp;$G159&amp;","&amp;$F159&amp;"&amp;level=16&amp;marker="&amp;$G159&amp;","&amp;$F159,"Open"))</f>
        <v/>
      </c>
    </row>
    <row r="160" spans="13:27" x14ac:dyDescent="0.45"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AA160" s="1" t="str">
        <f>IF(OR(JobAgolMap="", $F160="", $G160=""),"",HYPERLINK(JobAgolMap&amp;IF(ISNUMBER(FIND("?",JobAgolMap)),"&amp;","?")&amp;"center="&amp;$G160&amp;","&amp;$F160&amp;"&amp;level=16&amp;marker="&amp;$G160&amp;","&amp;$F160,"Open"))</f>
        <v/>
      </c>
    </row>
    <row r="161" spans="13:27" x14ac:dyDescent="0.45"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AA161" s="1" t="str">
        <f>IF(OR(JobAgolMap="", $F161="", $G161=""),"",HYPERLINK(JobAgolMap&amp;IF(ISNUMBER(FIND("?",JobAgolMap)),"&amp;","?")&amp;"center="&amp;$G161&amp;","&amp;$F161&amp;"&amp;level=16&amp;marker="&amp;$G161&amp;","&amp;$F161,"Open"))</f>
        <v/>
      </c>
    </row>
    <row r="162" spans="13:27" x14ac:dyDescent="0.45"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AA162" s="1" t="str">
        <f>IF(OR(JobAgolMap="", $F162="", $G162=""),"",HYPERLINK(JobAgolMap&amp;IF(ISNUMBER(FIND("?",JobAgolMap)),"&amp;","?")&amp;"center="&amp;$G162&amp;","&amp;$F162&amp;"&amp;level=16&amp;marker="&amp;$G162&amp;","&amp;$F162,"Open"))</f>
        <v/>
      </c>
    </row>
    <row r="163" spans="13:27" x14ac:dyDescent="0.45"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AA163" s="1" t="str">
        <f>IF(OR(JobAgolMap="", $F163="", $G163=""),"",HYPERLINK(JobAgolMap&amp;IF(ISNUMBER(FIND("?",JobAgolMap)),"&amp;","?")&amp;"center="&amp;$G163&amp;","&amp;$F163&amp;"&amp;level=16&amp;marker="&amp;$G163&amp;","&amp;$F163,"Open"))</f>
        <v/>
      </c>
    </row>
    <row r="164" spans="13:27" x14ac:dyDescent="0.45"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AA164" s="1" t="str">
        <f>IF(OR(JobAgolMap="", $F164="", $G164=""),"",HYPERLINK(JobAgolMap&amp;IF(ISNUMBER(FIND("?",JobAgolMap)),"&amp;","?")&amp;"center="&amp;$G164&amp;","&amp;$F164&amp;"&amp;level=16&amp;marker="&amp;$G164&amp;","&amp;$F164,"Open"))</f>
        <v/>
      </c>
    </row>
    <row r="165" spans="13:27" x14ac:dyDescent="0.45"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AA165" s="1" t="str">
        <f>IF(OR(JobAgolMap="", $F165="", $G165=""),"",HYPERLINK(JobAgolMap&amp;IF(ISNUMBER(FIND("?",JobAgolMap)),"&amp;","?")&amp;"center="&amp;$G165&amp;","&amp;$F165&amp;"&amp;level=16&amp;marker="&amp;$G165&amp;","&amp;$F165,"Open"))</f>
        <v/>
      </c>
    </row>
    <row r="166" spans="13:27" x14ac:dyDescent="0.45"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AA166" s="1" t="str">
        <f>IF(OR(JobAgolMap="", $F166="", $G166=""),"",HYPERLINK(JobAgolMap&amp;IF(ISNUMBER(FIND("?",JobAgolMap)),"&amp;","?")&amp;"center="&amp;$G166&amp;","&amp;$F166&amp;"&amp;level=16&amp;marker="&amp;$G166&amp;","&amp;$F166,"Open"))</f>
        <v/>
      </c>
    </row>
    <row r="167" spans="13:27" x14ac:dyDescent="0.45"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AA167" s="1" t="str">
        <f>IF(OR(JobAgolMap="", $F167="", $G167=""),"",HYPERLINK(JobAgolMap&amp;IF(ISNUMBER(FIND("?",JobAgolMap)),"&amp;","?")&amp;"center="&amp;$G167&amp;","&amp;$F167&amp;"&amp;level=16&amp;marker="&amp;$G167&amp;","&amp;$F167,"Open"))</f>
        <v/>
      </c>
    </row>
    <row r="168" spans="13:27" x14ac:dyDescent="0.45"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AA168" s="1" t="str">
        <f>IF(OR(JobAgolMap="", $F168="", $G168=""),"",HYPERLINK(JobAgolMap&amp;IF(ISNUMBER(FIND("?",JobAgolMap)),"&amp;","?")&amp;"center="&amp;$G168&amp;","&amp;$F168&amp;"&amp;level=16&amp;marker="&amp;$G168&amp;","&amp;$F168,"Open"))</f>
        <v/>
      </c>
    </row>
    <row r="169" spans="13:27" x14ac:dyDescent="0.45"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AA169" s="1" t="str">
        <f>IF(OR(JobAgolMap="", $F169="", $G169=""),"",HYPERLINK(JobAgolMap&amp;IF(ISNUMBER(FIND("?",JobAgolMap)),"&amp;","?")&amp;"center="&amp;$G169&amp;","&amp;$F169&amp;"&amp;level=16&amp;marker="&amp;$G169&amp;","&amp;$F169,"Open"))</f>
        <v/>
      </c>
    </row>
    <row r="170" spans="13:27" x14ac:dyDescent="0.45"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AA170" s="1" t="str">
        <f>IF(OR(JobAgolMap="", $F170="", $G170=""),"",HYPERLINK(JobAgolMap&amp;IF(ISNUMBER(FIND("?",JobAgolMap)),"&amp;","?")&amp;"center="&amp;$G170&amp;","&amp;$F170&amp;"&amp;level=16&amp;marker="&amp;$G170&amp;","&amp;$F170,"Open"))</f>
        <v/>
      </c>
    </row>
    <row r="171" spans="13:27" x14ac:dyDescent="0.45"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AA171" s="1" t="str">
        <f>IF(OR(JobAgolMap="", $F171="", $G171=""),"",HYPERLINK(JobAgolMap&amp;IF(ISNUMBER(FIND("?",JobAgolMap)),"&amp;","?")&amp;"center="&amp;$G171&amp;","&amp;$F171&amp;"&amp;level=16&amp;marker="&amp;$G171&amp;","&amp;$F171,"Open"))</f>
        <v/>
      </c>
    </row>
    <row r="172" spans="13:27" x14ac:dyDescent="0.45"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AA172" s="1" t="str">
        <f>IF(OR(JobAgolMap="", $F172="", $G172=""),"",HYPERLINK(JobAgolMap&amp;IF(ISNUMBER(FIND("?",JobAgolMap)),"&amp;","?")&amp;"center="&amp;$G172&amp;","&amp;$F172&amp;"&amp;level=16&amp;marker="&amp;$G172&amp;","&amp;$F172,"Open"))</f>
        <v/>
      </c>
    </row>
    <row r="173" spans="13:27" x14ac:dyDescent="0.45"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AA173" s="1" t="str">
        <f>IF(OR(JobAgolMap="", $F173="", $G173=""),"",HYPERLINK(JobAgolMap&amp;IF(ISNUMBER(FIND("?",JobAgolMap)),"&amp;","?")&amp;"center="&amp;$G173&amp;","&amp;$F173&amp;"&amp;level=16&amp;marker="&amp;$G173&amp;","&amp;$F173,"Open"))</f>
        <v/>
      </c>
    </row>
    <row r="174" spans="13:27" x14ac:dyDescent="0.45"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AA174" s="1" t="str">
        <f>IF(OR(JobAgolMap="", $F174="", $G174=""),"",HYPERLINK(JobAgolMap&amp;IF(ISNUMBER(FIND("?",JobAgolMap)),"&amp;","?")&amp;"center="&amp;$G174&amp;","&amp;$F174&amp;"&amp;level=16&amp;marker="&amp;$G174&amp;","&amp;$F174,"Open"))</f>
        <v/>
      </c>
    </row>
    <row r="175" spans="13:27" x14ac:dyDescent="0.45"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AA175" s="1" t="str">
        <f>IF(OR(JobAgolMap="", $F175="", $G175=""),"",HYPERLINK(JobAgolMap&amp;IF(ISNUMBER(FIND("?",JobAgolMap)),"&amp;","?")&amp;"center="&amp;$G175&amp;","&amp;$F175&amp;"&amp;level=16&amp;marker="&amp;$G175&amp;","&amp;$F175,"Open"))</f>
        <v/>
      </c>
    </row>
    <row r="176" spans="13:27" x14ac:dyDescent="0.45"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AA176" s="1" t="str">
        <f>IF(OR(JobAgolMap="", $F176="", $G176=""),"",HYPERLINK(JobAgolMap&amp;IF(ISNUMBER(FIND("?",JobAgolMap)),"&amp;","?")&amp;"center="&amp;$G176&amp;","&amp;$F176&amp;"&amp;level=16&amp;marker="&amp;$G176&amp;","&amp;$F176,"Open"))</f>
        <v/>
      </c>
    </row>
    <row r="177" spans="13:27" x14ac:dyDescent="0.45"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AA177" s="1" t="str">
        <f>IF(OR(JobAgolMap="", $F177="", $G177=""),"",HYPERLINK(JobAgolMap&amp;IF(ISNUMBER(FIND("?",JobAgolMap)),"&amp;","?")&amp;"center="&amp;$G177&amp;","&amp;$F177&amp;"&amp;level=16&amp;marker="&amp;$G177&amp;","&amp;$F177,"Open"))</f>
        <v/>
      </c>
    </row>
    <row r="178" spans="13:27" x14ac:dyDescent="0.45"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AA178" s="1" t="str">
        <f>IF(OR(JobAgolMap="", $F178="", $G178=""),"",HYPERLINK(JobAgolMap&amp;IF(ISNUMBER(FIND("?",JobAgolMap)),"&amp;","?")&amp;"center="&amp;$G178&amp;","&amp;$F178&amp;"&amp;level=16&amp;marker="&amp;$G178&amp;","&amp;$F178,"Open"))</f>
        <v/>
      </c>
    </row>
    <row r="179" spans="13:27" x14ac:dyDescent="0.45"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AA179" s="1" t="str">
        <f>IF(OR(JobAgolMap="", $F179="", $G179=""),"",HYPERLINK(JobAgolMap&amp;IF(ISNUMBER(FIND("?",JobAgolMap)),"&amp;","?")&amp;"center="&amp;$G179&amp;","&amp;$F179&amp;"&amp;level=16&amp;marker="&amp;$G179&amp;","&amp;$F179,"Open"))</f>
        <v/>
      </c>
    </row>
    <row r="180" spans="13:27" x14ac:dyDescent="0.45"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AA180" s="1" t="str">
        <f>IF(OR(JobAgolMap="", $F180="", $G180=""),"",HYPERLINK(JobAgolMap&amp;IF(ISNUMBER(FIND("?",JobAgolMap)),"&amp;","?")&amp;"center="&amp;$G180&amp;","&amp;$F180&amp;"&amp;level=16&amp;marker="&amp;$G180&amp;","&amp;$F180,"Open"))</f>
        <v/>
      </c>
    </row>
    <row r="181" spans="13:27" x14ac:dyDescent="0.45"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AA181" s="1" t="str">
        <f>IF(OR(JobAgolMap="", $F181="", $G181=""),"",HYPERLINK(JobAgolMap&amp;IF(ISNUMBER(FIND("?",JobAgolMap)),"&amp;","?")&amp;"center="&amp;$G181&amp;","&amp;$F181&amp;"&amp;level=16&amp;marker="&amp;$G181&amp;","&amp;$F181,"Open"))</f>
        <v/>
      </c>
    </row>
    <row r="182" spans="13:27" x14ac:dyDescent="0.45"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AA182" s="1" t="str">
        <f>IF(OR(JobAgolMap="", $F182="", $G182=""),"",HYPERLINK(JobAgolMap&amp;IF(ISNUMBER(FIND("?",JobAgolMap)),"&amp;","?")&amp;"center="&amp;$G182&amp;","&amp;$F182&amp;"&amp;level=16&amp;marker="&amp;$G182&amp;","&amp;$F182,"Open"))</f>
        <v/>
      </c>
    </row>
    <row r="183" spans="13:27" x14ac:dyDescent="0.45"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AA183" s="1" t="str">
        <f>IF(OR(JobAgolMap="", $F183="", $G183=""),"",HYPERLINK(JobAgolMap&amp;IF(ISNUMBER(FIND("?",JobAgolMap)),"&amp;","?")&amp;"center="&amp;$G183&amp;","&amp;$F183&amp;"&amp;level=16&amp;marker="&amp;$G183&amp;","&amp;$F183,"Open"))</f>
        <v/>
      </c>
    </row>
    <row r="184" spans="13:27" x14ac:dyDescent="0.45"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AA184" s="1" t="str">
        <f>IF(OR(JobAgolMap="", $F184="", $G184=""),"",HYPERLINK(JobAgolMap&amp;IF(ISNUMBER(FIND("?",JobAgolMap)),"&amp;","?")&amp;"center="&amp;$G184&amp;","&amp;$F184&amp;"&amp;level=16&amp;marker="&amp;$G184&amp;","&amp;$F184,"Open"))</f>
        <v/>
      </c>
    </row>
    <row r="185" spans="13:27" x14ac:dyDescent="0.45"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AA185" s="1" t="str">
        <f>IF(OR(JobAgolMap="", $F185="", $G185=""),"",HYPERLINK(JobAgolMap&amp;IF(ISNUMBER(FIND("?",JobAgolMap)),"&amp;","?")&amp;"center="&amp;$G185&amp;","&amp;$F185&amp;"&amp;level=16&amp;marker="&amp;$G185&amp;","&amp;$F185,"Open"))</f>
        <v/>
      </c>
    </row>
    <row r="186" spans="13:27" x14ac:dyDescent="0.45"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AA186" s="1" t="str">
        <f>IF(OR(JobAgolMap="", $F186="", $G186=""),"",HYPERLINK(JobAgolMap&amp;IF(ISNUMBER(FIND("?",JobAgolMap)),"&amp;","?")&amp;"center="&amp;$G186&amp;","&amp;$F186&amp;"&amp;level=16&amp;marker="&amp;$G186&amp;","&amp;$F186,"Open"))</f>
        <v/>
      </c>
    </row>
    <row r="187" spans="13:27" x14ac:dyDescent="0.45"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AA187" s="1" t="str">
        <f>IF(OR(JobAgolMap="", $F187="", $G187=""),"",HYPERLINK(JobAgolMap&amp;IF(ISNUMBER(FIND("?",JobAgolMap)),"&amp;","?")&amp;"center="&amp;$G187&amp;","&amp;$F187&amp;"&amp;level=16&amp;marker="&amp;$G187&amp;","&amp;$F187,"Open"))</f>
        <v/>
      </c>
    </row>
    <row r="188" spans="13:27" x14ac:dyDescent="0.45"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AA188" s="1" t="str">
        <f>IF(OR(JobAgolMap="", $F188="", $G188=""),"",HYPERLINK(JobAgolMap&amp;IF(ISNUMBER(FIND("?",JobAgolMap)),"&amp;","?")&amp;"center="&amp;$G188&amp;","&amp;$F188&amp;"&amp;level=16&amp;marker="&amp;$G188&amp;","&amp;$F188,"Open"))</f>
        <v/>
      </c>
    </row>
    <row r="189" spans="13:27" x14ac:dyDescent="0.45"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AA189" s="1" t="str">
        <f>IF(OR(JobAgolMap="", $F189="", $G189=""),"",HYPERLINK(JobAgolMap&amp;IF(ISNUMBER(FIND("?",JobAgolMap)),"&amp;","?")&amp;"center="&amp;$G189&amp;","&amp;$F189&amp;"&amp;level=16&amp;marker="&amp;$G189&amp;","&amp;$F189,"Open"))</f>
        <v/>
      </c>
    </row>
    <row r="190" spans="13:27" x14ac:dyDescent="0.45"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AA190" s="1" t="str">
        <f>IF(OR(JobAgolMap="", $F190="", $G190=""),"",HYPERLINK(JobAgolMap&amp;IF(ISNUMBER(FIND("?",JobAgolMap)),"&amp;","?")&amp;"center="&amp;$G190&amp;","&amp;$F190&amp;"&amp;level=16&amp;marker="&amp;$G190&amp;","&amp;$F190,"Open"))</f>
        <v/>
      </c>
    </row>
    <row r="191" spans="13:27" x14ac:dyDescent="0.45"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AA191" s="1" t="str">
        <f>IF(OR(JobAgolMap="", $F191="", $G191=""),"",HYPERLINK(JobAgolMap&amp;IF(ISNUMBER(FIND("?",JobAgolMap)),"&amp;","?")&amp;"center="&amp;$G191&amp;","&amp;$F191&amp;"&amp;level=16&amp;marker="&amp;$G191&amp;","&amp;$F191,"Open"))</f>
        <v/>
      </c>
    </row>
    <row r="192" spans="13:27" x14ac:dyDescent="0.45"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AA192" s="1" t="str">
        <f>IF(OR(JobAgolMap="", $F192="", $G192=""),"",HYPERLINK(JobAgolMap&amp;IF(ISNUMBER(FIND("?",JobAgolMap)),"&amp;","?")&amp;"center="&amp;$G192&amp;","&amp;$F192&amp;"&amp;level=16&amp;marker="&amp;$G192&amp;","&amp;$F192,"Open"))</f>
        <v/>
      </c>
    </row>
    <row r="193" spans="13:27" x14ac:dyDescent="0.45"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AA193" s="1" t="str">
        <f>IF(OR(JobAgolMap="", $F193="", $G193=""),"",HYPERLINK(JobAgolMap&amp;IF(ISNUMBER(FIND("?",JobAgolMap)),"&amp;","?")&amp;"center="&amp;$G193&amp;","&amp;$F193&amp;"&amp;level=16&amp;marker="&amp;$G193&amp;","&amp;$F193,"Open"))</f>
        <v/>
      </c>
    </row>
    <row r="194" spans="13:27" x14ac:dyDescent="0.45">
      <c r="M194" s="1" t="str">
        <f t="shared" ref="M194:M257" si="18">IF(OR($F194="",$G194=""),"",HYPERLINK("https://www.google.com/maps?q="&amp;$F194&amp;","&amp;$G194&amp;"","Map"))</f>
        <v/>
      </c>
      <c r="N194" s="1" t="str">
        <f t="shared" ref="N194:N257" si="19">IF(OR($F194="",$G194=""),"",HYPERLINK("https://www.google.com/maps?q&amp;layer=c&amp;cbll="&amp;$F194&amp;","&amp;$G194&amp;"","Street"))</f>
        <v/>
      </c>
      <c r="O194" s="1" t="str">
        <f t="shared" ref="O194:O257" si="20">IF(OR($F194="",$G194=""),"",HYPERLINK("https://www.bing.com/maps?cp="&amp;$F194&amp;"~"&amp;$G194&amp;"&amp;lvl=18&amp;style=h","Bing"))</f>
        <v/>
      </c>
      <c r="P194" s="1" t="str">
        <f t="shared" ref="P194:P257" si="21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2">IF(OR($F194="",$G194=""),"",HYPERLINK("https://msc.fema.gov/portal/firmette?latitude="&amp;$F194&amp;"&amp;longitude="&amp;$G194&amp;"","FIRMette"))</f>
        <v/>
      </c>
      <c r="R194" s="1" t="str">
        <f t="shared" ref="R194:R257" si="23">IF(OR($F194="",$G194=""),"",HYPERLINK("https://fema.maps.arcgis.com/apps/mapviewer/index.html?webmap=6a1702b9147243d1a5ee62cd614bc681&amp;center="&amp;$G194&amp;","&amp;$F194&amp;"&amp;level=16&amp;marker="&amp;$G194&amp;","&amp;$F194&amp;"&amp;visibleLayers=NfcNhsPub_8332%2C193df725e5e-layer-20","Open"))</f>
        <v/>
      </c>
      <c r="AA194" s="1" t="str">
        <f>IF(OR(JobAgolMap="", $F194="", $G194=""),"",HYPERLINK(JobAgolMap&amp;IF(ISNUMBER(FIND("?",JobAgolMap)),"&amp;","?")&amp;"center="&amp;$G194&amp;","&amp;$F194&amp;"&amp;level=16&amp;marker="&amp;$G194&amp;","&amp;$F194,"Open"))</f>
        <v/>
      </c>
    </row>
    <row r="195" spans="13:27" x14ac:dyDescent="0.45">
      <c r="M195" s="1" t="str">
        <f t="shared" si="18"/>
        <v/>
      </c>
      <c r="N195" s="1" t="str">
        <f t="shared" si="19"/>
        <v/>
      </c>
      <c r="O195" s="1" t="str">
        <f t="shared" si="20"/>
        <v/>
      </c>
      <c r="P195" s="1" t="str">
        <f t="shared" si="21"/>
        <v/>
      </c>
      <c r="Q195" s="1" t="str">
        <f t="shared" si="22"/>
        <v/>
      </c>
      <c r="R195" s="1" t="str">
        <f t="shared" si="23"/>
        <v/>
      </c>
      <c r="AA195" s="1" t="str">
        <f>IF(OR(JobAgolMap="", $F195="", $G195=""),"",HYPERLINK(JobAgolMap&amp;IF(ISNUMBER(FIND("?",JobAgolMap)),"&amp;","?")&amp;"center="&amp;$G195&amp;","&amp;$F195&amp;"&amp;level=16&amp;marker="&amp;$G195&amp;","&amp;$F195,"Open"))</f>
        <v/>
      </c>
    </row>
    <row r="196" spans="13:27" x14ac:dyDescent="0.45"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AA196" s="1" t="str">
        <f>IF(OR(JobAgolMap="", $F196="", $G196=""),"",HYPERLINK(JobAgolMap&amp;IF(ISNUMBER(FIND("?",JobAgolMap)),"&amp;","?")&amp;"center="&amp;$G196&amp;","&amp;$F196&amp;"&amp;level=16&amp;marker="&amp;$G196&amp;","&amp;$F196,"Open"))</f>
        <v/>
      </c>
    </row>
    <row r="197" spans="13:27" x14ac:dyDescent="0.45"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AA197" s="1" t="str">
        <f>IF(OR(JobAgolMap="", $F197="", $G197=""),"",HYPERLINK(JobAgolMap&amp;IF(ISNUMBER(FIND("?",JobAgolMap)),"&amp;","?")&amp;"center="&amp;$G197&amp;","&amp;$F197&amp;"&amp;level=16&amp;marker="&amp;$G197&amp;","&amp;$F197,"Open"))</f>
        <v/>
      </c>
    </row>
    <row r="198" spans="13:27" x14ac:dyDescent="0.45"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AA198" s="1" t="str">
        <f>IF(OR(JobAgolMap="", $F198="", $G198=""),"",HYPERLINK(JobAgolMap&amp;IF(ISNUMBER(FIND("?",JobAgolMap)),"&amp;","?")&amp;"center="&amp;$G198&amp;","&amp;$F198&amp;"&amp;level=16&amp;marker="&amp;$G198&amp;","&amp;$F198,"Open"))</f>
        <v/>
      </c>
    </row>
    <row r="199" spans="13:27" x14ac:dyDescent="0.45"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AA199" s="1" t="str">
        <f>IF(OR(JobAgolMap="", $F199="", $G199=""),"",HYPERLINK(JobAgolMap&amp;IF(ISNUMBER(FIND("?",JobAgolMap)),"&amp;","?")&amp;"center="&amp;$G199&amp;","&amp;$F199&amp;"&amp;level=16&amp;marker="&amp;$G199&amp;","&amp;$F199,"Open"))</f>
        <v/>
      </c>
    </row>
    <row r="200" spans="13:27" x14ac:dyDescent="0.45"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AA200" s="1" t="str">
        <f>IF(OR(JobAgolMap="", $F200="", $G200=""),"",HYPERLINK(JobAgolMap&amp;IF(ISNUMBER(FIND("?",JobAgolMap)),"&amp;","?")&amp;"center="&amp;$G200&amp;","&amp;$F200&amp;"&amp;level=16&amp;marker="&amp;$G200&amp;","&amp;$F200,"Open"))</f>
        <v/>
      </c>
    </row>
    <row r="201" spans="13:27" x14ac:dyDescent="0.45"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AA201" s="1" t="str">
        <f>IF(OR(JobAgolMap="", $F201="", $G201=""),"",HYPERLINK(JobAgolMap&amp;IF(ISNUMBER(FIND("?",JobAgolMap)),"&amp;","?")&amp;"center="&amp;$G201&amp;","&amp;$F201&amp;"&amp;level=16&amp;marker="&amp;$G201&amp;","&amp;$F201,"Open"))</f>
        <v/>
      </c>
    </row>
    <row r="202" spans="13:27" x14ac:dyDescent="0.45"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AA202" s="1" t="str">
        <f>IF(OR(JobAgolMap="", $F202="", $G202=""),"",HYPERLINK(JobAgolMap&amp;IF(ISNUMBER(FIND("?",JobAgolMap)),"&amp;","?")&amp;"center="&amp;$G202&amp;","&amp;$F202&amp;"&amp;level=16&amp;marker="&amp;$G202&amp;","&amp;$F202,"Open"))</f>
        <v/>
      </c>
    </row>
    <row r="203" spans="13:27" x14ac:dyDescent="0.45"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AA203" s="1" t="str">
        <f>IF(OR(JobAgolMap="", $F203="", $G203=""),"",HYPERLINK(JobAgolMap&amp;IF(ISNUMBER(FIND("?",JobAgolMap)),"&amp;","?")&amp;"center="&amp;$G203&amp;","&amp;$F203&amp;"&amp;level=16&amp;marker="&amp;$G203&amp;","&amp;$F203,"Open"))</f>
        <v/>
      </c>
    </row>
    <row r="204" spans="13:27" x14ac:dyDescent="0.45"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AA204" s="1" t="str">
        <f>IF(OR(JobAgolMap="", $F204="", $G204=""),"",HYPERLINK(JobAgolMap&amp;IF(ISNUMBER(FIND("?",JobAgolMap)),"&amp;","?")&amp;"center="&amp;$G204&amp;","&amp;$F204&amp;"&amp;level=16&amp;marker="&amp;$G204&amp;","&amp;$F204,"Open"))</f>
        <v/>
      </c>
    </row>
    <row r="205" spans="13:27" x14ac:dyDescent="0.45"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AA205" s="1" t="str">
        <f>IF(OR(JobAgolMap="", $F205="", $G205=""),"",HYPERLINK(JobAgolMap&amp;IF(ISNUMBER(FIND("?",JobAgolMap)),"&amp;","?")&amp;"center="&amp;$G205&amp;","&amp;$F205&amp;"&amp;level=16&amp;marker="&amp;$G205&amp;","&amp;$F205,"Open"))</f>
        <v/>
      </c>
    </row>
    <row r="206" spans="13:27" x14ac:dyDescent="0.45"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AA206" s="1" t="str">
        <f>IF(OR(JobAgolMap="", $F206="", $G206=""),"",HYPERLINK(JobAgolMap&amp;IF(ISNUMBER(FIND("?",JobAgolMap)),"&amp;","?")&amp;"center="&amp;$G206&amp;","&amp;$F206&amp;"&amp;level=16&amp;marker="&amp;$G206&amp;","&amp;$F206,"Open"))</f>
        <v/>
      </c>
    </row>
    <row r="207" spans="13:27" x14ac:dyDescent="0.45"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AA207" s="1" t="str">
        <f>IF(OR(JobAgolMap="", $F207="", $G207=""),"",HYPERLINK(JobAgolMap&amp;IF(ISNUMBER(FIND("?",JobAgolMap)),"&amp;","?")&amp;"center="&amp;$G207&amp;","&amp;$F207&amp;"&amp;level=16&amp;marker="&amp;$G207&amp;","&amp;$F207,"Open"))</f>
        <v/>
      </c>
    </row>
    <row r="208" spans="13:27" x14ac:dyDescent="0.45"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AA208" s="1" t="str">
        <f>IF(OR(JobAgolMap="", $F208="", $G208=""),"",HYPERLINK(JobAgolMap&amp;IF(ISNUMBER(FIND("?",JobAgolMap)),"&amp;","?")&amp;"center="&amp;$G208&amp;","&amp;$F208&amp;"&amp;level=16&amp;marker="&amp;$G208&amp;","&amp;$F208,"Open"))</f>
        <v/>
      </c>
    </row>
    <row r="209" spans="13:27" x14ac:dyDescent="0.45"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AA209" s="1" t="str">
        <f>IF(OR(JobAgolMap="", $F209="", $G209=""),"",HYPERLINK(JobAgolMap&amp;IF(ISNUMBER(FIND("?",JobAgolMap)),"&amp;","?")&amp;"center="&amp;$G209&amp;","&amp;$F209&amp;"&amp;level=16&amp;marker="&amp;$G209&amp;","&amp;$F209,"Open"))</f>
        <v/>
      </c>
    </row>
    <row r="210" spans="13:27" x14ac:dyDescent="0.45"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AA210" s="1" t="str">
        <f>IF(OR(JobAgolMap="", $F210="", $G210=""),"",HYPERLINK(JobAgolMap&amp;IF(ISNUMBER(FIND("?",JobAgolMap)),"&amp;","?")&amp;"center="&amp;$G210&amp;","&amp;$F210&amp;"&amp;level=16&amp;marker="&amp;$G210&amp;","&amp;$F210,"Open"))</f>
        <v/>
      </c>
    </row>
    <row r="211" spans="13:27" x14ac:dyDescent="0.45"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AA211" s="1" t="str">
        <f>IF(OR(JobAgolMap="", $F211="", $G211=""),"",HYPERLINK(JobAgolMap&amp;IF(ISNUMBER(FIND("?",JobAgolMap)),"&amp;","?")&amp;"center="&amp;$G211&amp;","&amp;$F211&amp;"&amp;level=16&amp;marker="&amp;$G211&amp;","&amp;$F211,"Open"))</f>
        <v/>
      </c>
    </row>
    <row r="212" spans="13:27" x14ac:dyDescent="0.45"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AA212" s="1" t="str">
        <f>IF(OR(JobAgolMap="", $F212="", $G212=""),"",HYPERLINK(JobAgolMap&amp;IF(ISNUMBER(FIND("?",JobAgolMap)),"&amp;","?")&amp;"center="&amp;$G212&amp;","&amp;$F212&amp;"&amp;level=16&amp;marker="&amp;$G212&amp;","&amp;$F212,"Open"))</f>
        <v/>
      </c>
    </row>
    <row r="213" spans="13:27" x14ac:dyDescent="0.45"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AA213" s="1" t="str">
        <f>IF(OR(JobAgolMap="", $F213="", $G213=""),"",HYPERLINK(JobAgolMap&amp;IF(ISNUMBER(FIND("?",JobAgolMap)),"&amp;","?")&amp;"center="&amp;$G213&amp;","&amp;$F213&amp;"&amp;level=16&amp;marker="&amp;$G213&amp;","&amp;$F213,"Open"))</f>
        <v/>
      </c>
    </row>
    <row r="214" spans="13:27" x14ac:dyDescent="0.45"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AA214" s="1" t="str">
        <f>IF(OR(JobAgolMap="", $F214="", $G214=""),"",HYPERLINK(JobAgolMap&amp;IF(ISNUMBER(FIND("?",JobAgolMap)),"&amp;","?")&amp;"center="&amp;$G214&amp;","&amp;$F214&amp;"&amp;level=16&amp;marker="&amp;$G214&amp;","&amp;$F214,"Open"))</f>
        <v/>
      </c>
    </row>
    <row r="215" spans="13:27" x14ac:dyDescent="0.45"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AA215" s="1" t="str">
        <f>IF(OR(JobAgolMap="", $F215="", $G215=""),"",HYPERLINK(JobAgolMap&amp;IF(ISNUMBER(FIND("?",JobAgolMap)),"&amp;","?")&amp;"center="&amp;$G215&amp;","&amp;$F215&amp;"&amp;level=16&amp;marker="&amp;$G215&amp;","&amp;$F215,"Open"))</f>
        <v/>
      </c>
    </row>
    <row r="216" spans="13:27" x14ac:dyDescent="0.45"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AA216" s="1" t="str">
        <f>IF(OR(JobAgolMap="", $F216="", $G216=""),"",HYPERLINK(JobAgolMap&amp;IF(ISNUMBER(FIND("?",JobAgolMap)),"&amp;","?")&amp;"center="&amp;$G216&amp;","&amp;$F216&amp;"&amp;level=16&amp;marker="&amp;$G216&amp;","&amp;$F216,"Open"))</f>
        <v/>
      </c>
    </row>
    <row r="217" spans="13:27" x14ac:dyDescent="0.45"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AA217" s="1" t="str">
        <f>IF(OR(JobAgolMap="", $F217="", $G217=""),"",HYPERLINK(JobAgolMap&amp;IF(ISNUMBER(FIND("?",JobAgolMap)),"&amp;","?")&amp;"center="&amp;$G217&amp;","&amp;$F217&amp;"&amp;level=16&amp;marker="&amp;$G217&amp;","&amp;$F217,"Open"))</f>
        <v/>
      </c>
    </row>
    <row r="218" spans="13:27" x14ac:dyDescent="0.45"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AA218" s="1" t="str">
        <f>IF(OR(JobAgolMap="", $F218="", $G218=""),"",HYPERLINK(JobAgolMap&amp;IF(ISNUMBER(FIND("?",JobAgolMap)),"&amp;","?")&amp;"center="&amp;$G218&amp;","&amp;$F218&amp;"&amp;level=16&amp;marker="&amp;$G218&amp;","&amp;$F218,"Open"))</f>
        <v/>
      </c>
    </row>
    <row r="219" spans="13:27" x14ac:dyDescent="0.45"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AA219" s="1" t="str">
        <f>IF(OR(JobAgolMap="", $F219="", $G219=""),"",HYPERLINK(JobAgolMap&amp;IF(ISNUMBER(FIND("?",JobAgolMap)),"&amp;","?")&amp;"center="&amp;$G219&amp;","&amp;$F219&amp;"&amp;level=16&amp;marker="&amp;$G219&amp;","&amp;$F219,"Open"))</f>
        <v/>
      </c>
    </row>
    <row r="220" spans="13:27" x14ac:dyDescent="0.45"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AA220" s="1" t="str">
        <f>IF(OR(JobAgolMap="", $F220="", $G220=""),"",HYPERLINK(JobAgolMap&amp;IF(ISNUMBER(FIND("?",JobAgolMap)),"&amp;","?")&amp;"center="&amp;$G220&amp;","&amp;$F220&amp;"&amp;level=16&amp;marker="&amp;$G220&amp;","&amp;$F220,"Open"))</f>
        <v/>
      </c>
    </row>
    <row r="221" spans="13:27" x14ac:dyDescent="0.45"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AA221" s="1" t="str">
        <f>IF(OR(JobAgolMap="", $F221="", $G221=""),"",HYPERLINK(JobAgolMap&amp;IF(ISNUMBER(FIND("?",JobAgolMap)),"&amp;","?")&amp;"center="&amp;$G221&amp;","&amp;$F221&amp;"&amp;level=16&amp;marker="&amp;$G221&amp;","&amp;$F221,"Open"))</f>
        <v/>
      </c>
    </row>
    <row r="222" spans="13:27" x14ac:dyDescent="0.45"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AA222" s="1" t="str">
        <f>IF(OR(JobAgolMap="", $F222="", $G222=""),"",HYPERLINK(JobAgolMap&amp;IF(ISNUMBER(FIND("?",JobAgolMap)),"&amp;","?")&amp;"center="&amp;$G222&amp;","&amp;$F222&amp;"&amp;level=16&amp;marker="&amp;$G222&amp;","&amp;$F222,"Open"))</f>
        <v/>
      </c>
    </row>
    <row r="223" spans="13:27" x14ac:dyDescent="0.45"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AA223" s="1" t="str">
        <f>IF(OR(JobAgolMap="", $F223="", $G223=""),"",HYPERLINK(JobAgolMap&amp;IF(ISNUMBER(FIND("?",JobAgolMap)),"&amp;","?")&amp;"center="&amp;$G223&amp;","&amp;$F223&amp;"&amp;level=16&amp;marker="&amp;$G223&amp;","&amp;$F223,"Open"))</f>
        <v/>
      </c>
    </row>
    <row r="224" spans="13:27" x14ac:dyDescent="0.45"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AA224" s="1" t="str">
        <f>IF(OR(JobAgolMap="", $F224="", $G224=""),"",HYPERLINK(JobAgolMap&amp;IF(ISNUMBER(FIND("?",JobAgolMap)),"&amp;","?")&amp;"center="&amp;$G224&amp;","&amp;$F224&amp;"&amp;level=16&amp;marker="&amp;$G224&amp;","&amp;$F224,"Open"))</f>
        <v/>
      </c>
    </row>
    <row r="225" spans="13:27" x14ac:dyDescent="0.45"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AA225" s="1" t="str">
        <f>IF(OR(JobAgolMap="", $F225="", $G225=""),"",HYPERLINK(JobAgolMap&amp;IF(ISNUMBER(FIND("?",JobAgolMap)),"&amp;","?")&amp;"center="&amp;$G225&amp;","&amp;$F225&amp;"&amp;level=16&amp;marker="&amp;$G225&amp;","&amp;$F225,"Open"))</f>
        <v/>
      </c>
    </row>
    <row r="226" spans="13:27" x14ac:dyDescent="0.45"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AA226" s="1" t="str">
        <f>IF(OR(JobAgolMap="", $F226="", $G226=""),"",HYPERLINK(JobAgolMap&amp;IF(ISNUMBER(FIND("?",JobAgolMap)),"&amp;","?")&amp;"center="&amp;$G226&amp;","&amp;$F226&amp;"&amp;level=16&amp;marker="&amp;$G226&amp;","&amp;$F226,"Open"))</f>
        <v/>
      </c>
    </row>
    <row r="227" spans="13:27" x14ac:dyDescent="0.45"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AA227" s="1" t="str">
        <f>IF(OR(JobAgolMap="", $F227="", $G227=""),"",HYPERLINK(JobAgolMap&amp;IF(ISNUMBER(FIND("?",JobAgolMap)),"&amp;","?")&amp;"center="&amp;$G227&amp;","&amp;$F227&amp;"&amp;level=16&amp;marker="&amp;$G227&amp;","&amp;$F227,"Open"))</f>
        <v/>
      </c>
    </row>
    <row r="228" spans="13:27" x14ac:dyDescent="0.45"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AA228" s="1" t="str">
        <f>IF(OR(JobAgolMap="", $F228="", $G228=""),"",HYPERLINK(JobAgolMap&amp;IF(ISNUMBER(FIND("?",JobAgolMap)),"&amp;","?")&amp;"center="&amp;$G228&amp;","&amp;$F228&amp;"&amp;level=16&amp;marker="&amp;$G228&amp;","&amp;$F228,"Open"))</f>
        <v/>
      </c>
    </row>
    <row r="229" spans="13:27" x14ac:dyDescent="0.45"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AA229" s="1" t="str">
        <f>IF(OR(JobAgolMap="", $F229="", $G229=""),"",HYPERLINK(JobAgolMap&amp;IF(ISNUMBER(FIND("?",JobAgolMap)),"&amp;","?")&amp;"center="&amp;$G229&amp;","&amp;$F229&amp;"&amp;level=16&amp;marker="&amp;$G229&amp;","&amp;$F229,"Open"))</f>
        <v/>
      </c>
    </row>
    <row r="230" spans="13:27" x14ac:dyDescent="0.45"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AA230" s="1" t="str">
        <f>IF(OR(JobAgolMap="", $F230="", $G230=""),"",HYPERLINK(JobAgolMap&amp;IF(ISNUMBER(FIND("?",JobAgolMap)),"&amp;","?")&amp;"center="&amp;$G230&amp;","&amp;$F230&amp;"&amp;level=16&amp;marker="&amp;$G230&amp;","&amp;$F230,"Open"))</f>
        <v/>
      </c>
    </row>
    <row r="231" spans="13:27" x14ac:dyDescent="0.45"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AA231" s="1" t="str">
        <f>IF(OR(JobAgolMap="", $F231="", $G231=""),"",HYPERLINK(JobAgolMap&amp;IF(ISNUMBER(FIND("?",JobAgolMap)),"&amp;","?")&amp;"center="&amp;$G231&amp;","&amp;$F231&amp;"&amp;level=16&amp;marker="&amp;$G231&amp;","&amp;$F231,"Open"))</f>
        <v/>
      </c>
    </row>
    <row r="232" spans="13:27" x14ac:dyDescent="0.45"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AA232" s="1" t="str">
        <f>IF(OR(JobAgolMap="", $F232="", $G232=""),"",HYPERLINK(JobAgolMap&amp;IF(ISNUMBER(FIND("?",JobAgolMap)),"&amp;","?")&amp;"center="&amp;$G232&amp;","&amp;$F232&amp;"&amp;level=16&amp;marker="&amp;$G232&amp;","&amp;$F232,"Open"))</f>
        <v/>
      </c>
    </row>
    <row r="233" spans="13:27" x14ac:dyDescent="0.45"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AA233" s="1" t="str">
        <f>IF(OR(JobAgolMap="", $F233="", $G233=""),"",HYPERLINK(JobAgolMap&amp;IF(ISNUMBER(FIND("?",JobAgolMap)),"&amp;","?")&amp;"center="&amp;$G233&amp;","&amp;$F233&amp;"&amp;level=16&amp;marker="&amp;$G233&amp;","&amp;$F233,"Open"))</f>
        <v/>
      </c>
    </row>
    <row r="234" spans="13:27" x14ac:dyDescent="0.45"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AA234" s="1" t="str">
        <f>IF(OR(JobAgolMap="", $F234="", $G234=""),"",HYPERLINK(JobAgolMap&amp;IF(ISNUMBER(FIND("?",JobAgolMap)),"&amp;","?")&amp;"center="&amp;$G234&amp;","&amp;$F234&amp;"&amp;level=16&amp;marker="&amp;$G234&amp;","&amp;$F234,"Open"))</f>
        <v/>
      </c>
    </row>
    <row r="235" spans="13:27" x14ac:dyDescent="0.45"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AA235" s="1" t="str">
        <f>IF(OR(JobAgolMap="", $F235="", $G235=""),"",HYPERLINK(JobAgolMap&amp;IF(ISNUMBER(FIND("?",JobAgolMap)),"&amp;","?")&amp;"center="&amp;$G235&amp;","&amp;$F235&amp;"&amp;level=16&amp;marker="&amp;$G235&amp;","&amp;$F235,"Open"))</f>
        <v/>
      </c>
    </row>
    <row r="236" spans="13:27" x14ac:dyDescent="0.45"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AA236" s="1" t="str">
        <f>IF(OR(JobAgolMap="", $F236="", $G236=""),"",HYPERLINK(JobAgolMap&amp;IF(ISNUMBER(FIND("?",JobAgolMap)),"&amp;","?")&amp;"center="&amp;$G236&amp;","&amp;$F236&amp;"&amp;level=16&amp;marker="&amp;$G236&amp;","&amp;$F236,"Open"))</f>
        <v/>
      </c>
    </row>
    <row r="237" spans="13:27" x14ac:dyDescent="0.45"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AA237" s="1" t="str">
        <f>IF(OR(JobAgolMap="", $F237="", $G237=""),"",HYPERLINK(JobAgolMap&amp;IF(ISNUMBER(FIND("?",JobAgolMap)),"&amp;","?")&amp;"center="&amp;$G237&amp;","&amp;$F237&amp;"&amp;level=16&amp;marker="&amp;$G237&amp;","&amp;$F237,"Open"))</f>
        <v/>
      </c>
    </row>
    <row r="238" spans="13:27" x14ac:dyDescent="0.45"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AA238" s="1" t="str">
        <f>IF(OR(JobAgolMap="", $F238="", $G238=""),"",HYPERLINK(JobAgolMap&amp;IF(ISNUMBER(FIND("?",JobAgolMap)),"&amp;","?")&amp;"center="&amp;$G238&amp;","&amp;$F238&amp;"&amp;level=16&amp;marker="&amp;$G238&amp;","&amp;$F238,"Open"))</f>
        <v/>
      </c>
    </row>
    <row r="239" spans="13:27" x14ac:dyDescent="0.45"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AA239" s="1" t="str">
        <f>IF(OR(JobAgolMap="", $F239="", $G239=""),"",HYPERLINK(JobAgolMap&amp;IF(ISNUMBER(FIND("?",JobAgolMap)),"&amp;","?")&amp;"center="&amp;$G239&amp;","&amp;$F239&amp;"&amp;level=16&amp;marker="&amp;$G239&amp;","&amp;$F239,"Open"))</f>
        <v/>
      </c>
    </row>
    <row r="240" spans="13:27" x14ac:dyDescent="0.45"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AA240" s="1" t="str">
        <f>IF(OR(JobAgolMap="", $F240="", $G240=""),"",HYPERLINK(JobAgolMap&amp;IF(ISNUMBER(FIND("?",JobAgolMap)),"&amp;","?")&amp;"center="&amp;$G240&amp;","&amp;$F240&amp;"&amp;level=16&amp;marker="&amp;$G240&amp;","&amp;$F240,"Open"))</f>
        <v/>
      </c>
    </row>
    <row r="241" spans="13:27" x14ac:dyDescent="0.45"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AA241" s="1" t="str">
        <f>IF(OR(JobAgolMap="", $F241="", $G241=""),"",HYPERLINK(JobAgolMap&amp;IF(ISNUMBER(FIND("?",JobAgolMap)),"&amp;","?")&amp;"center="&amp;$G241&amp;","&amp;$F241&amp;"&amp;level=16&amp;marker="&amp;$G241&amp;","&amp;$F241,"Open"))</f>
        <v/>
      </c>
    </row>
    <row r="242" spans="13:27" x14ac:dyDescent="0.45"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AA242" s="1" t="str">
        <f>IF(OR(JobAgolMap="", $F242="", $G242=""),"",HYPERLINK(JobAgolMap&amp;IF(ISNUMBER(FIND("?",JobAgolMap)),"&amp;","?")&amp;"center="&amp;$G242&amp;","&amp;$F242&amp;"&amp;level=16&amp;marker="&amp;$G242&amp;","&amp;$F242,"Open"))</f>
        <v/>
      </c>
    </row>
    <row r="243" spans="13:27" x14ac:dyDescent="0.45"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AA243" s="1" t="str">
        <f>IF(OR(JobAgolMap="", $F243="", $G243=""),"",HYPERLINK(JobAgolMap&amp;IF(ISNUMBER(FIND("?",JobAgolMap)),"&amp;","?")&amp;"center="&amp;$G243&amp;","&amp;$F243&amp;"&amp;level=16&amp;marker="&amp;$G243&amp;","&amp;$F243,"Open"))</f>
        <v/>
      </c>
    </row>
    <row r="244" spans="13:27" x14ac:dyDescent="0.45"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AA244" s="1" t="str">
        <f>IF(OR(JobAgolMap="", $F244="", $G244=""),"",HYPERLINK(JobAgolMap&amp;IF(ISNUMBER(FIND("?",JobAgolMap)),"&amp;","?")&amp;"center="&amp;$G244&amp;","&amp;$F244&amp;"&amp;level=16&amp;marker="&amp;$G244&amp;","&amp;$F244,"Open"))</f>
        <v/>
      </c>
    </row>
    <row r="245" spans="13:27" x14ac:dyDescent="0.45"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AA245" s="1" t="str">
        <f>IF(OR(JobAgolMap="", $F245="", $G245=""),"",HYPERLINK(JobAgolMap&amp;IF(ISNUMBER(FIND("?",JobAgolMap)),"&amp;","?")&amp;"center="&amp;$G245&amp;","&amp;$F245&amp;"&amp;level=16&amp;marker="&amp;$G245&amp;","&amp;$F245,"Open"))</f>
        <v/>
      </c>
    </row>
    <row r="246" spans="13:27" x14ac:dyDescent="0.45"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AA246" s="1" t="str">
        <f>IF(OR(JobAgolMap="", $F246="", $G246=""),"",HYPERLINK(JobAgolMap&amp;IF(ISNUMBER(FIND("?",JobAgolMap)),"&amp;","?")&amp;"center="&amp;$G246&amp;","&amp;$F246&amp;"&amp;level=16&amp;marker="&amp;$G246&amp;","&amp;$F246,"Open"))</f>
        <v/>
      </c>
    </row>
    <row r="247" spans="13:27" x14ac:dyDescent="0.45"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AA247" s="1" t="str">
        <f>IF(OR(JobAgolMap="", $F247="", $G247=""),"",HYPERLINK(JobAgolMap&amp;IF(ISNUMBER(FIND("?",JobAgolMap)),"&amp;","?")&amp;"center="&amp;$G247&amp;","&amp;$F247&amp;"&amp;level=16&amp;marker="&amp;$G247&amp;","&amp;$F247,"Open"))</f>
        <v/>
      </c>
    </row>
    <row r="248" spans="13:27" x14ac:dyDescent="0.45"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AA248" s="1" t="str">
        <f>IF(OR(JobAgolMap="", $F248="", $G248=""),"",HYPERLINK(JobAgolMap&amp;IF(ISNUMBER(FIND("?",JobAgolMap)),"&amp;","?")&amp;"center="&amp;$G248&amp;","&amp;$F248&amp;"&amp;level=16&amp;marker="&amp;$G248&amp;","&amp;$F248,"Open"))</f>
        <v/>
      </c>
    </row>
    <row r="249" spans="13:27" x14ac:dyDescent="0.45"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AA249" s="1" t="str">
        <f>IF(OR(JobAgolMap="", $F249="", $G249=""),"",HYPERLINK(JobAgolMap&amp;IF(ISNUMBER(FIND("?",JobAgolMap)),"&amp;","?")&amp;"center="&amp;$G249&amp;","&amp;$F249&amp;"&amp;level=16&amp;marker="&amp;$G249&amp;","&amp;$F249,"Open"))</f>
        <v/>
      </c>
    </row>
    <row r="250" spans="13:27" x14ac:dyDescent="0.45"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AA250" s="1" t="str">
        <f>IF(OR(JobAgolMap="", $F250="", $G250=""),"",HYPERLINK(JobAgolMap&amp;IF(ISNUMBER(FIND("?",JobAgolMap)),"&amp;","?")&amp;"center="&amp;$G250&amp;","&amp;$F250&amp;"&amp;level=16&amp;marker="&amp;$G250&amp;","&amp;$F250,"Open"))</f>
        <v/>
      </c>
    </row>
    <row r="251" spans="13:27" x14ac:dyDescent="0.45"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AA251" s="1" t="str">
        <f>IF(OR(JobAgolMap="", $F251="", $G251=""),"",HYPERLINK(JobAgolMap&amp;IF(ISNUMBER(FIND("?",JobAgolMap)),"&amp;","?")&amp;"center="&amp;$G251&amp;","&amp;$F251&amp;"&amp;level=16&amp;marker="&amp;$G251&amp;","&amp;$F251,"Open"))</f>
        <v/>
      </c>
    </row>
    <row r="252" spans="13:27" x14ac:dyDescent="0.45"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AA252" s="1" t="str">
        <f>IF(OR(JobAgolMap="", $F252="", $G252=""),"",HYPERLINK(JobAgolMap&amp;IF(ISNUMBER(FIND("?",JobAgolMap)),"&amp;","?")&amp;"center="&amp;$G252&amp;","&amp;$F252&amp;"&amp;level=16&amp;marker="&amp;$G252&amp;","&amp;$F252,"Open"))</f>
        <v/>
      </c>
    </row>
    <row r="253" spans="13:27" x14ac:dyDescent="0.45"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AA253" s="1" t="str">
        <f>IF(OR(JobAgolMap="", $F253="", $G253=""),"",HYPERLINK(JobAgolMap&amp;IF(ISNUMBER(FIND("?",JobAgolMap)),"&amp;","?")&amp;"center="&amp;$G253&amp;","&amp;$F253&amp;"&amp;level=16&amp;marker="&amp;$G253&amp;","&amp;$F253,"Open"))</f>
        <v/>
      </c>
    </row>
    <row r="254" spans="13:27" x14ac:dyDescent="0.45"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AA254" s="1" t="str">
        <f>IF(OR(JobAgolMap="", $F254="", $G254=""),"",HYPERLINK(JobAgolMap&amp;IF(ISNUMBER(FIND("?",JobAgolMap)),"&amp;","?")&amp;"center="&amp;$G254&amp;","&amp;$F254&amp;"&amp;level=16&amp;marker="&amp;$G254&amp;","&amp;$F254,"Open"))</f>
        <v/>
      </c>
    </row>
    <row r="255" spans="13:27" x14ac:dyDescent="0.45"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AA255" s="1" t="str">
        <f>IF(OR(JobAgolMap="", $F255="", $G255=""),"",HYPERLINK(JobAgolMap&amp;IF(ISNUMBER(FIND("?",JobAgolMap)),"&amp;","?")&amp;"center="&amp;$G255&amp;","&amp;$F255&amp;"&amp;level=16&amp;marker="&amp;$G255&amp;","&amp;$F255,"Open"))</f>
        <v/>
      </c>
    </row>
    <row r="256" spans="13:27" x14ac:dyDescent="0.45"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AA256" s="1" t="str">
        <f>IF(OR(JobAgolMap="", $F256="", $G256=""),"",HYPERLINK(JobAgolMap&amp;IF(ISNUMBER(FIND("?",JobAgolMap)),"&amp;","?")&amp;"center="&amp;$G256&amp;","&amp;$F256&amp;"&amp;level=16&amp;marker="&amp;$G256&amp;","&amp;$F256,"Open"))</f>
        <v/>
      </c>
    </row>
    <row r="257" spans="13:27" x14ac:dyDescent="0.45"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AA257" s="1" t="str">
        <f>IF(OR(JobAgolMap="", $F257="", $G257=""),"",HYPERLINK(JobAgolMap&amp;IF(ISNUMBER(FIND("?",JobAgolMap)),"&amp;","?")&amp;"center="&amp;$G257&amp;","&amp;$F257&amp;"&amp;level=16&amp;marker="&amp;$G257&amp;","&amp;$F257,"Open"))</f>
        <v/>
      </c>
    </row>
    <row r="258" spans="13:27" x14ac:dyDescent="0.45">
      <c r="M258" s="1" t="str">
        <f t="shared" ref="M258:M321" si="24">IF(OR($F258="",$G258=""),"",HYPERLINK("https://www.google.com/maps?q="&amp;$F258&amp;","&amp;$G258&amp;"","Map"))</f>
        <v/>
      </c>
      <c r="N258" s="1" t="str">
        <f t="shared" ref="N258:N321" si="25">IF(OR($F258="",$G258=""),"",HYPERLINK("https://www.google.com/maps?q&amp;layer=c&amp;cbll="&amp;$F258&amp;","&amp;$G258&amp;"","Street"))</f>
        <v/>
      </c>
      <c r="O258" s="1" t="str">
        <f t="shared" ref="O258:O321" si="26">IF(OR($F258="",$G258=""),"",HYPERLINK("https://www.bing.com/maps?cp="&amp;$F258&amp;"~"&amp;$G258&amp;"&amp;lvl=18&amp;style=h","Bing"))</f>
        <v/>
      </c>
      <c r="P258" s="1" t="str">
        <f t="shared" ref="P258:P321" si="27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28">IF(OR($F258="",$G258=""),"",HYPERLINK("https://msc.fema.gov/portal/firmette?latitude="&amp;$F258&amp;"&amp;longitude="&amp;$G258&amp;"","FIRMette"))</f>
        <v/>
      </c>
      <c r="R258" s="1" t="str">
        <f t="shared" ref="R258:R321" si="29">IF(OR($F258="",$G258=""),"",HYPERLINK("https://fema.maps.arcgis.com/apps/mapviewer/index.html?webmap=6a1702b9147243d1a5ee62cd614bc681&amp;center="&amp;$G258&amp;","&amp;$F258&amp;"&amp;level=16&amp;marker="&amp;$G258&amp;","&amp;$F258&amp;"&amp;visibleLayers=NfcNhsPub_8332%2C193df725e5e-layer-20","Open"))</f>
        <v/>
      </c>
      <c r="AA258" s="1" t="str">
        <f>IF(OR(JobAgolMap="", $F258="", $G258=""),"",HYPERLINK(JobAgolMap&amp;IF(ISNUMBER(FIND("?",JobAgolMap)),"&amp;","?")&amp;"center="&amp;$G258&amp;","&amp;$F258&amp;"&amp;level=16&amp;marker="&amp;$G258&amp;","&amp;$F258,"Open"))</f>
        <v/>
      </c>
    </row>
    <row r="259" spans="13:27" x14ac:dyDescent="0.45">
      <c r="M259" s="1" t="str">
        <f t="shared" si="24"/>
        <v/>
      </c>
      <c r="N259" s="1" t="str">
        <f t="shared" si="25"/>
        <v/>
      </c>
      <c r="O259" s="1" t="str">
        <f t="shared" si="26"/>
        <v/>
      </c>
      <c r="P259" s="1" t="str">
        <f t="shared" si="27"/>
        <v/>
      </c>
      <c r="Q259" s="1" t="str">
        <f t="shared" si="28"/>
        <v/>
      </c>
      <c r="R259" s="1" t="str">
        <f t="shared" si="29"/>
        <v/>
      </c>
      <c r="AA259" s="1" t="str">
        <f>IF(OR(JobAgolMap="", $F259="", $G259=""),"",HYPERLINK(JobAgolMap&amp;IF(ISNUMBER(FIND("?",JobAgolMap)),"&amp;","?")&amp;"center="&amp;$G259&amp;","&amp;$F259&amp;"&amp;level=16&amp;marker="&amp;$G259&amp;","&amp;$F259,"Open"))</f>
        <v/>
      </c>
    </row>
    <row r="260" spans="13:27" x14ac:dyDescent="0.45"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AA260" s="1" t="str">
        <f>IF(OR(JobAgolMap="", $F260="", $G260=""),"",HYPERLINK(JobAgolMap&amp;IF(ISNUMBER(FIND("?",JobAgolMap)),"&amp;","?")&amp;"center="&amp;$G260&amp;","&amp;$F260&amp;"&amp;level=16&amp;marker="&amp;$G260&amp;","&amp;$F260,"Open"))</f>
        <v/>
      </c>
    </row>
    <row r="261" spans="13:27" x14ac:dyDescent="0.45"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AA261" s="1" t="str">
        <f>IF(OR(JobAgolMap="", $F261="", $G261=""),"",HYPERLINK(JobAgolMap&amp;IF(ISNUMBER(FIND("?",JobAgolMap)),"&amp;","?")&amp;"center="&amp;$G261&amp;","&amp;$F261&amp;"&amp;level=16&amp;marker="&amp;$G261&amp;","&amp;$F261,"Open"))</f>
        <v/>
      </c>
    </row>
    <row r="262" spans="13:27" x14ac:dyDescent="0.45"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AA262" s="1" t="str">
        <f>IF(OR(JobAgolMap="", $F262="", $G262=""),"",HYPERLINK(JobAgolMap&amp;IF(ISNUMBER(FIND("?",JobAgolMap)),"&amp;","?")&amp;"center="&amp;$G262&amp;","&amp;$F262&amp;"&amp;level=16&amp;marker="&amp;$G262&amp;","&amp;$F262,"Open"))</f>
        <v/>
      </c>
    </row>
    <row r="263" spans="13:27" x14ac:dyDescent="0.45"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AA263" s="1" t="str">
        <f>IF(OR(JobAgolMap="", $F263="", $G263=""),"",HYPERLINK(JobAgolMap&amp;IF(ISNUMBER(FIND("?",JobAgolMap)),"&amp;","?")&amp;"center="&amp;$G263&amp;","&amp;$F263&amp;"&amp;level=16&amp;marker="&amp;$G263&amp;","&amp;$F263,"Open"))</f>
        <v/>
      </c>
    </row>
    <row r="264" spans="13:27" x14ac:dyDescent="0.45"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AA264" s="1" t="str">
        <f>IF(OR(JobAgolMap="", $F264="", $G264=""),"",HYPERLINK(JobAgolMap&amp;IF(ISNUMBER(FIND("?",JobAgolMap)),"&amp;","?")&amp;"center="&amp;$G264&amp;","&amp;$F264&amp;"&amp;level=16&amp;marker="&amp;$G264&amp;","&amp;$F264,"Open"))</f>
        <v/>
      </c>
    </row>
    <row r="265" spans="13:27" x14ac:dyDescent="0.45"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AA265" s="1" t="str">
        <f>IF(OR(JobAgolMap="", $F265="", $G265=""),"",HYPERLINK(JobAgolMap&amp;IF(ISNUMBER(FIND("?",JobAgolMap)),"&amp;","?")&amp;"center="&amp;$G265&amp;","&amp;$F265&amp;"&amp;level=16&amp;marker="&amp;$G265&amp;","&amp;$F265,"Open"))</f>
        <v/>
      </c>
    </row>
    <row r="266" spans="13:27" x14ac:dyDescent="0.45"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AA266" s="1" t="str">
        <f>IF(OR(JobAgolMap="", $F266="", $G266=""),"",HYPERLINK(JobAgolMap&amp;IF(ISNUMBER(FIND("?",JobAgolMap)),"&amp;","?")&amp;"center="&amp;$G266&amp;","&amp;$F266&amp;"&amp;level=16&amp;marker="&amp;$G266&amp;","&amp;$F266,"Open"))</f>
        <v/>
      </c>
    </row>
    <row r="267" spans="13:27" x14ac:dyDescent="0.45"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AA267" s="1" t="str">
        <f>IF(OR(JobAgolMap="", $F267="", $G267=""),"",HYPERLINK(JobAgolMap&amp;IF(ISNUMBER(FIND("?",JobAgolMap)),"&amp;","?")&amp;"center="&amp;$G267&amp;","&amp;$F267&amp;"&amp;level=16&amp;marker="&amp;$G267&amp;","&amp;$F267,"Open"))</f>
        <v/>
      </c>
    </row>
    <row r="268" spans="13:27" x14ac:dyDescent="0.45"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AA268" s="1" t="str">
        <f>IF(OR(JobAgolMap="", $F268="", $G268=""),"",HYPERLINK(JobAgolMap&amp;IF(ISNUMBER(FIND("?",JobAgolMap)),"&amp;","?")&amp;"center="&amp;$G268&amp;","&amp;$F268&amp;"&amp;level=16&amp;marker="&amp;$G268&amp;","&amp;$F268,"Open"))</f>
        <v/>
      </c>
    </row>
    <row r="269" spans="13:27" x14ac:dyDescent="0.45"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AA269" s="1" t="str">
        <f>IF(OR(JobAgolMap="", $F269="", $G269=""),"",HYPERLINK(JobAgolMap&amp;IF(ISNUMBER(FIND("?",JobAgolMap)),"&amp;","?")&amp;"center="&amp;$G269&amp;","&amp;$F269&amp;"&amp;level=16&amp;marker="&amp;$G269&amp;","&amp;$F269,"Open"))</f>
        <v/>
      </c>
    </row>
    <row r="270" spans="13:27" x14ac:dyDescent="0.45"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AA270" s="1" t="str">
        <f>IF(OR(JobAgolMap="", $F270="", $G270=""),"",HYPERLINK(JobAgolMap&amp;IF(ISNUMBER(FIND("?",JobAgolMap)),"&amp;","?")&amp;"center="&amp;$G270&amp;","&amp;$F270&amp;"&amp;level=16&amp;marker="&amp;$G270&amp;","&amp;$F270,"Open"))</f>
        <v/>
      </c>
    </row>
    <row r="271" spans="13:27" x14ac:dyDescent="0.45"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AA271" s="1" t="str">
        <f>IF(OR(JobAgolMap="", $F271="", $G271=""),"",HYPERLINK(JobAgolMap&amp;IF(ISNUMBER(FIND("?",JobAgolMap)),"&amp;","?")&amp;"center="&amp;$G271&amp;","&amp;$F271&amp;"&amp;level=16&amp;marker="&amp;$G271&amp;","&amp;$F271,"Open"))</f>
        <v/>
      </c>
    </row>
    <row r="272" spans="13:27" x14ac:dyDescent="0.45"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AA272" s="1" t="str">
        <f>IF(OR(JobAgolMap="", $F272="", $G272=""),"",HYPERLINK(JobAgolMap&amp;IF(ISNUMBER(FIND("?",JobAgolMap)),"&amp;","?")&amp;"center="&amp;$G272&amp;","&amp;$F272&amp;"&amp;level=16&amp;marker="&amp;$G272&amp;","&amp;$F272,"Open"))</f>
        <v/>
      </c>
    </row>
    <row r="273" spans="13:27" x14ac:dyDescent="0.45"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AA273" s="1" t="str">
        <f>IF(OR(JobAgolMap="", $F273="", $G273=""),"",HYPERLINK(JobAgolMap&amp;IF(ISNUMBER(FIND("?",JobAgolMap)),"&amp;","?")&amp;"center="&amp;$G273&amp;","&amp;$F273&amp;"&amp;level=16&amp;marker="&amp;$G273&amp;","&amp;$F273,"Open"))</f>
        <v/>
      </c>
    </row>
    <row r="274" spans="13:27" x14ac:dyDescent="0.45"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AA274" s="1" t="str">
        <f>IF(OR(JobAgolMap="", $F274="", $G274=""),"",HYPERLINK(JobAgolMap&amp;IF(ISNUMBER(FIND("?",JobAgolMap)),"&amp;","?")&amp;"center="&amp;$G274&amp;","&amp;$F274&amp;"&amp;level=16&amp;marker="&amp;$G274&amp;","&amp;$F274,"Open"))</f>
        <v/>
      </c>
    </row>
    <row r="275" spans="13:27" x14ac:dyDescent="0.45"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AA275" s="1" t="str">
        <f>IF(OR(JobAgolMap="", $F275="", $G275=""),"",HYPERLINK(JobAgolMap&amp;IF(ISNUMBER(FIND("?",JobAgolMap)),"&amp;","?")&amp;"center="&amp;$G275&amp;","&amp;$F275&amp;"&amp;level=16&amp;marker="&amp;$G275&amp;","&amp;$F275,"Open"))</f>
        <v/>
      </c>
    </row>
    <row r="276" spans="13:27" x14ac:dyDescent="0.45"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AA276" s="1" t="str">
        <f>IF(OR(JobAgolMap="", $F276="", $G276=""),"",HYPERLINK(JobAgolMap&amp;IF(ISNUMBER(FIND("?",JobAgolMap)),"&amp;","?")&amp;"center="&amp;$G276&amp;","&amp;$F276&amp;"&amp;level=16&amp;marker="&amp;$G276&amp;","&amp;$F276,"Open"))</f>
        <v/>
      </c>
    </row>
    <row r="277" spans="13:27" x14ac:dyDescent="0.45"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AA277" s="1" t="str">
        <f>IF(OR(JobAgolMap="", $F277="", $G277=""),"",HYPERLINK(JobAgolMap&amp;IF(ISNUMBER(FIND("?",JobAgolMap)),"&amp;","?")&amp;"center="&amp;$G277&amp;","&amp;$F277&amp;"&amp;level=16&amp;marker="&amp;$G277&amp;","&amp;$F277,"Open"))</f>
        <v/>
      </c>
    </row>
    <row r="278" spans="13:27" x14ac:dyDescent="0.45"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AA278" s="1" t="str">
        <f>IF(OR(JobAgolMap="", $F278="", $G278=""),"",HYPERLINK(JobAgolMap&amp;IF(ISNUMBER(FIND("?",JobAgolMap)),"&amp;","?")&amp;"center="&amp;$G278&amp;","&amp;$F278&amp;"&amp;level=16&amp;marker="&amp;$G278&amp;","&amp;$F278,"Open"))</f>
        <v/>
      </c>
    </row>
    <row r="279" spans="13:27" x14ac:dyDescent="0.45"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AA279" s="1" t="str">
        <f>IF(OR(JobAgolMap="", $F279="", $G279=""),"",HYPERLINK(JobAgolMap&amp;IF(ISNUMBER(FIND("?",JobAgolMap)),"&amp;","?")&amp;"center="&amp;$G279&amp;","&amp;$F279&amp;"&amp;level=16&amp;marker="&amp;$G279&amp;","&amp;$F279,"Open"))</f>
        <v/>
      </c>
    </row>
    <row r="280" spans="13:27" x14ac:dyDescent="0.45"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AA280" s="1" t="str">
        <f>IF(OR(JobAgolMap="", $F280="", $G280=""),"",HYPERLINK(JobAgolMap&amp;IF(ISNUMBER(FIND("?",JobAgolMap)),"&amp;","?")&amp;"center="&amp;$G280&amp;","&amp;$F280&amp;"&amp;level=16&amp;marker="&amp;$G280&amp;","&amp;$F280,"Open"))</f>
        <v/>
      </c>
    </row>
    <row r="281" spans="13:27" x14ac:dyDescent="0.45"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AA281" s="1" t="str">
        <f>IF(OR(JobAgolMap="", $F281="", $G281=""),"",HYPERLINK(JobAgolMap&amp;IF(ISNUMBER(FIND("?",JobAgolMap)),"&amp;","?")&amp;"center="&amp;$G281&amp;","&amp;$F281&amp;"&amp;level=16&amp;marker="&amp;$G281&amp;","&amp;$F281,"Open"))</f>
        <v/>
      </c>
    </row>
    <row r="282" spans="13:27" x14ac:dyDescent="0.45"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AA282" s="1" t="str">
        <f>IF(OR(JobAgolMap="", $F282="", $G282=""),"",HYPERLINK(JobAgolMap&amp;IF(ISNUMBER(FIND("?",JobAgolMap)),"&amp;","?")&amp;"center="&amp;$G282&amp;","&amp;$F282&amp;"&amp;level=16&amp;marker="&amp;$G282&amp;","&amp;$F282,"Open"))</f>
        <v/>
      </c>
    </row>
    <row r="283" spans="13:27" x14ac:dyDescent="0.45"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AA283" s="1" t="str">
        <f>IF(OR(JobAgolMap="", $F283="", $G283=""),"",HYPERLINK(JobAgolMap&amp;IF(ISNUMBER(FIND("?",JobAgolMap)),"&amp;","?")&amp;"center="&amp;$G283&amp;","&amp;$F283&amp;"&amp;level=16&amp;marker="&amp;$G283&amp;","&amp;$F283,"Open"))</f>
        <v/>
      </c>
    </row>
    <row r="284" spans="13:27" x14ac:dyDescent="0.45"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AA284" s="1" t="str">
        <f>IF(OR(JobAgolMap="", $F284="", $G284=""),"",HYPERLINK(JobAgolMap&amp;IF(ISNUMBER(FIND("?",JobAgolMap)),"&amp;","?")&amp;"center="&amp;$G284&amp;","&amp;$F284&amp;"&amp;level=16&amp;marker="&amp;$G284&amp;","&amp;$F284,"Open"))</f>
        <v/>
      </c>
    </row>
    <row r="285" spans="13:27" x14ac:dyDescent="0.45"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AA285" s="1" t="str">
        <f>IF(OR(JobAgolMap="", $F285="", $G285=""),"",HYPERLINK(JobAgolMap&amp;IF(ISNUMBER(FIND("?",JobAgolMap)),"&amp;","?")&amp;"center="&amp;$G285&amp;","&amp;$F285&amp;"&amp;level=16&amp;marker="&amp;$G285&amp;","&amp;$F285,"Open"))</f>
        <v/>
      </c>
    </row>
    <row r="286" spans="13:27" x14ac:dyDescent="0.45"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AA286" s="1" t="str">
        <f>IF(OR(JobAgolMap="", $F286="", $G286=""),"",HYPERLINK(JobAgolMap&amp;IF(ISNUMBER(FIND("?",JobAgolMap)),"&amp;","?")&amp;"center="&amp;$G286&amp;","&amp;$F286&amp;"&amp;level=16&amp;marker="&amp;$G286&amp;","&amp;$F286,"Open"))</f>
        <v/>
      </c>
    </row>
    <row r="287" spans="13:27" x14ac:dyDescent="0.45"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AA287" s="1" t="str">
        <f>IF(OR(JobAgolMap="", $F287="", $G287=""),"",HYPERLINK(JobAgolMap&amp;IF(ISNUMBER(FIND("?",JobAgolMap)),"&amp;","?")&amp;"center="&amp;$G287&amp;","&amp;$F287&amp;"&amp;level=16&amp;marker="&amp;$G287&amp;","&amp;$F287,"Open"))</f>
        <v/>
      </c>
    </row>
    <row r="288" spans="13:27" x14ac:dyDescent="0.45"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AA288" s="1" t="str">
        <f>IF(OR(JobAgolMap="", $F288="", $G288=""),"",HYPERLINK(JobAgolMap&amp;IF(ISNUMBER(FIND("?",JobAgolMap)),"&amp;","?")&amp;"center="&amp;$G288&amp;","&amp;$F288&amp;"&amp;level=16&amp;marker="&amp;$G288&amp;","&amp;$F288,"Open"))</f>
        <v/>
      </c>
    </row>
    <row r="289" spans="13:27" x14ac:dyDescent="0.45"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AA289" s="1" t="str">
        <f>IF(OR(JobAgolMap="", $F289="", $G289=""),"",HYPERLINK(JobAgolMap&amp;IF(ISNUMBER(FIND("?",JobAgolMap)),"&amp;","?")&amp;"center="&amp;$G289&amp;","&amp;$F289&amp;"&amp;level=16&amp;marker="&amp;$G289&amp;","&amp;$F289,"Open"))</f>
        <v/>
      </c>
    </row>
    <row r="290" spans="13:27" x14ac:dyDescent="0.45"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AA290" s="1" t="str">
        <f>IF(OR(JobAgolMap="", $F290="", $G290=""),"",HYPERLINK(JobAgolMap&amp;IF(ISNUMBER(FIND("?",JobAgolMap)),"&amp;","?")&amp;"center="&amp;$G290&amp;","&amp;$F290&amp;"&amp;level=16&amp;marker="&amp;$G290&amp;","&amp;$F290,"Open"))</f>
        <v/>
      </c>
    </row>
    <row r="291" spans="13:27" x14ac:dyDescent="0.45"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AA291" s="1" t="str">
        <f>IF(OR(JobAgolMap="", $F291="", $G291=""),"",HYPERLINK(JobAgolMap&amp;IF(ISNUMBER(FIND("?",JobAgolMap)),"&amp;","?")&amp;"center="&amp;$G291&amp;","&amp;$F291&amp;"&amp;level=16&amp;marker="&amp;$G291&amp;","&amp;$F291,"Open"))</f>
        <v/>
      </c>
    </row>
    <row r="292" spans="13:27" x14ac:dyDescent="0.45"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AA292" s="1" t="str">
        <f>IF(OR(JobAgolMap="", $F292="", $G292=""),"",HYPERLINK(JobAgolMap&amp;IF(ISNUMBER(FIND("?",JobAgolMap)),"&amp;","?")&amp;"center="&amp;$G292&amp;","&amp;$F292&amp;"&amp;level=16&amp;marker="&amp;$G292&amp;","&amp;$F292,"Open"))</f>
        <v/>
      </c>
    </row>
    <row r="293" spans="13:27" x14ac:dyDescent="0.45"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AA293" s="1" t="str">
        <f>IF(OR(JobAgolMap="", $F293="", $G293=""),"",HYPERLINK(JobAgolMap&amp;IF(ISNUMBER(FIND("?",JobAgolMap)),"&amp;","?")&amp;"center="&amp;$G293&amp;","&amp;$F293&amp;"&amp;level=16&amp;marker="&amp;$G293&amp;","&amp;$F293,"Open"))</f>
        <v/>
      </c>
    </row>
    <row r="294" spans="13:27" x14ac:dyDescent="0.45"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AA294" s="1" t="str">
        <f>IF(OR(JobAgolMap="", $F294="", $G294=""),"",HYPERLINK(JobAgolMap&amp;IF(ISNUMBER(FIND("?",JobAgolMap)),"&amp;","?")&amp;"center="&amp;$G294&amp;","&amp;$F294&amp;"&amp;level=16&amp;marker="&amp;$G294&amp;","&amp;$F294,"Open"))</f>
        <v/>
      </c>
    </row>
    <row r="295" spans="13:27" x14ac:dyDescent="0.45"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AA295" s="1" t="str">
        <f>IF(OR(JobAgolMap="", $F295="", $G295=""),"",HYPERLINK(JobAgolMap&amp;IF(ISNUMBER(FIND("?",JobAgolMap)),"&amp;","?")&amp;"center="&amp;$G295&amp;","&amp;$F295&amp;"&amp;level=16&amp;marker="&amp;$G295&amp;","&amp;$F295,"Open"))</f>
        <v/>
      </c>
    </row>
    <row r="296" spans="13:27" x14ac:dyDescent="0.45"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AA296" s="1" t="str">
        <f>IF(OR(JobAgolMap="", $F296="", $G296=""),"",HYPERLINK(JobAgolMap&amp;IF(ISNUMBER(FIND("?",JobAgolMap)),"&amp;","?")&amp;"center="&amp;$G296&amp;","&amp;$F296&amp;"&amp;level=16&amp;marker="&amp;$G296&amp;","&amp;$F296,"Open"))</f>
        <v/>
      </c>
    </row>
    <row r="297" spans="13:27" x14ac:dyDescent="0.45"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AA297" s="1" t="str">
        <f>IF(OR(JobAgolMap="", $F297="", $G297=""),"",HYPERLINK(JobAgolMap&amp;IF(ISNUMBER(FIND("?",JobAgolMap)),"&amp;","?")&amp;"center="&amp;$G297&amp;","&amp;$F297&amp;"&amp;level=16&amp;marker="&amp;$G297&amp;","&amp;$F297,"Open"))</f>
        <v/>
      </c>
    </row>
    <row r="298" spans="13:27" x14ac:dyDescent="0.45"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AA298" s="1" t="str">
        <f>IF(OR(JobAgolMap="", $F298="", $G298=""),"",HYPERLINK(JobAgolMap&amp;IF(ISNUMBER(FIND("?",JobAgolMap)),"&amp;","?")&amp;"center="&amp;$G298&amp;","&amp;$F298&amp;"&amp;level=16&amp;marker="&amp;$G298&amp;","&amp;$F298,"Open"))</f>
        <v/>
      </c>
    </row>
    <row r="299" spans="13:27" x14ac:dyDescent="0.45"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AA299" s="1" t="str">
        <f>IF(OR(JobAgolMap="", $F299="", $G299=""),"",HYPERLINK(JobAgolMap&amp;IF(ISNUMBER(FIND("?",JobAgolMap)),"&amp;","?")&amp;"center="&amp;$G299&amp;","&amp;$F299&amp;"&amp;level=16&amp;marker="&amp;$G299&amp;","&amp;$F299,"Open"))</f>
        <v/>
      </c>
    </row>
    <row r="300" spans="13:27" x14ac:dyDescent="0.45"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AA300" s="1" t="str">
        <f>IF(OR(JobAgolMap="", $F300="", $G300=""),"",HYPERLINK(JobAgolMap&amp;IF(ISNUMBER(FIND("?",JobAgolMap)),"&amp;","?")&amp;"center="&amp;$G300&amp;","&amp;$F300&amp;"&amp;level=16&amp;marker="&amp;$G300&amp;","&amp;$F300,"Open"))</f>
        <v/>
      </c>
    </row>
    <row r="301" spans="13:27" x14ac:dyDescent="0.45"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AA301" s="1" t="str">
        <f>IF(OR(JobAgolMap="", $F301="", $G301=""),"",HYPERLINK(JobAgolMap&amp;IF(ISNUMBER(FIND("?",JobAgolMap)),"&amp;","?")&amp;"center="&amp;$G301&amp;","&amp;$F301&amp;"&amp;level=16&amp;marker="&amp;$G301&amp;","&amp;$F301,"Open"))</f>
        <v/>
      </c>
    </row>
    <row r="302" spans="13:27" x14ac:dyDescent="0.45"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AA302" s="1" t="str">
        <f>IF(OR(JobAgolMap="", $F302="", $G302=""),"",HYPERLINK(JobAgolMap&amp;IF(ISNUMBER(FIND("?",JobAgolMap)),"&amp;","?")&amp;"center="&amp;$G302&amp;","&amp;$F302&amp;"&amp;level=16&amp;marker="&amp;$G302&amp;","&amp;$F302,"Open"))</f>
        <v/>
      </c>
    </row>
    <row r="303" spans="13:27" x14ac:dyDescent="0.45"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AA303" s="1" t="str">
        <f>IF(OR(JobAgolMap="", $F303="", $G303=""),"",HYPERLINK(JobAgolMap&amp;IF(ISNUMBER(FIND("?",JobAgolMap)),"&amp;","?")&amp;"center="&amp;$G303&amp;","&amp;$F303&amp;"&amp;level=16&amp;marker="&amp;$G303&amp;","&amp;$F303,"Open"))</f>
        <v/>
      </c>
    </row>
    <row r="304" spans="13:27" x14ac:dyDescent="0.45"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AA304" s="1" t="str">
        <f>IF(OR(JobAgolMap="", $F304="", $G304=""),"",HYPERLINK(JobAgolMap&amp;IF(ISNUMBER(FIND("?",JobAgolMap)),"&amp;","?")&amp;"center="&amp;$G304&amp;","&amp;$F304&amp;"&amp;level=16&amp;marker="&amp;$G304&amp;","&amp;$F304,"Open"))</f>
        <v/>
      </c>
    </row>
    <row r="305" spans="13:27" x14ac:dyDescent="0.45"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AA305" s="1" t="str">
        <f>IF(OR(JobAgolMap="", $F305="", $G305=""),"",HYPERLINK(JobAgolMap&amp;IF(ISNUMBER(FIND("?",JobAgolMap)),"&amp;","?")&amp;"center="&amp;$G305&amp;","&amp;$F305&amp;"&amp;level=16&amp;marker="&amp;$G305&amp;","&amp;$F305,"Open"))</f>
        <v/>
      </c>
    </row>
    <row r="306" spans="13:27" x14ac:dyDescent="0.45"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AA306" s="1" t="str">
        <f>IF(OR(JobAgolMap="", $F306="", $G306=""),"",HYPERLINK(JobAgolMap&amp;IF(ISNUMBER(FIND("?",JobAgolMap)),"&amp;","?")&amp;"center="&amp;$G306&amp;","&amp;$F306&amp;"&amp;level=16&amp;marker="&amp;$G306&amp;","&amp;$F306,"Open"))</f>
        <v/>
      </c>
    </row>
    <row r="307" spans="13:27" x14ac:dyDescent="0.45"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AA307" s="1" t="str">
        <f>IF(OR(JobAgolMap="", $F307="", $G307=""),"",HYPERLINK(JobAgolMap&amp;IF(ISNUMBER(FIND("?",JobAgolMap)),"&amp;","?")&amp;"center="&amp;$G307&amp;","&amp;$F307&amp;"&amp;level=16&amp;marker="&amp;$G307&amp;","&amp;$F307,"Open"))</f>
        <v/>
      </c>
    </row>
    <row r="308" spans="13:27" x14ac:dyDescent="0.45"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AA308" s="1" t="str">
        <f>IF(OR(JobAgolMap="", $F308="", $G308=""),"",HYPERLINK(JobAgolMap&amp;IF(ISNUMBER(FIND("?",JobAgolMap)),"&amp;","?")&amp;"center="&amp;$G308&amp;","&amp;$F308&amp;"&amp;level=16&amp;marker="&amp;$G308&amp;","&amp;$F308,"Open"))</f>
        <v/>
      </c>
    </row>
    <row r="309" spans="13:27" x14ac:dyDescent="0.45"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AA309" s="1" t="str">
        <f>IF(OR(JobAgolMap="", $F309="", $G309=""),"",HYPERLINK(JobAgolMap&amp;IF(ISNUMBER(FIND("?",JobAgolMap)),"&amp;","?")&amp;"center="&amp;$G309&amp;","&amp;$F309&amp;"&amp;level=16&amp;marker="&amp;$G309&amp;","&amp;$F309,"Open"))</f>
        <v/>
      </c>
    </row>
    <row r="310" spans="13:27" x14ac:dyDescent="0.45"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AA310" s="1" t="str">
        <f>IF(OR(JobAgolMap="", $F310="", $G310=""),"",HYPERLINK(JobAgolMap&amp;IF(ISNUMBER(FIND("?",JobAgolMap)),"&amp;","?")&amp;"center="&amp;$G310&amp;","&amp;$F310&amp;"&amp;level=16&amp;marker="&amp;$G310&amp;","&amp;$F310,"Open"))</f>
        <v/>
      </c>
    </row>
    <row r="311" spans="13:27" x14ac:dyDescent="0.45"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AA311" s="1" t="str">
        <f>IF(OR(JobAgolMap="", $F311="", $G311=""),"",HYPERLINK(JobAgolMap&amp;IF(ISNUMBER(FIND("?",JobAgolMap)),"&amp;","?")&amp;"center="&amp;$G311&amp;","&amp;$F311&amp;"&amp;level=16&amp;marker="&amp;$G311&amp;","&amp;$F311,"Open"))</f>
        <v/>
      </c>
    </row>
    <row r="312" spans="13:27" x14ac:dyDescent="0.45"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AA312" s="1" t="str">
        <f>IF(OR(JobAgolMap="", $F312="", $G312=""),"",HYPERLINK(JobAgolMap&amp;IF(ISNUMBER(FIND("?",JobAgolMap)),"&amp;","?")&amp;"center="&amp;$G312&amp;","&amp;$F312&amp;"&amp;level=16&amp;marker="&amp;$G312&amp;","&amp;$F312,"Open"))</f>
        <v/>
      </c>
    </row>
    <row r="313" spans="13:27" x14ac:dyDescent="0.45"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AA313" s="1" t="str">
        <f>IF(OR(JobAgolMap="", $F313="", $G313=""),"",HYPERLINK(JobAgolMap&amp;IF(ISNUMBER(FIND("?",JobAgolMap)),"&amp;","?")&amp;"center="&amp;$G313&amp;","&amp;$F313&amp;"&amp;level=16&amp;marker="&amp;$G313&amp;","&amp;$F313,"Open"))</f>
        <v/>
      </c>
    </row>
    <row r="314" spans="13:27" x14ac:dyDescent="0.45"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AA314" s="1" t="str">
        <f>IF(OR(JobAgolMap="", $F314="", $G314=""),"",HYPERLINK(JobAgolMap&amp;IF(ISNUMBER(FIND("?",JobAgolMap)),"&amp;","?")&amp;"center="&amp;$G314&amp;","&amp;$F314&amp;"&amp;level=16&amp;marker="&amp;$G314&amp;","&amp;$F314,"Open"))</f>
        <v/>
      </c>
    </row>
    <row r="315" spans="13:27" x14ac:dyDescent="0.45"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AA315" s="1" t="str">
        <f>IF(OR(JobAgolMap="", $F315="", $G315=""),"",HYPERLINK(JobAgolMap&amp;IF(ISNUMBER(FIND("?",JobAgolMap)),"&amp;","?")&amp;"center="&amp;$G315&amp;","&amp;$F315&amp;"&amp;level=16&amp;marker="&amp;$G315&amp;","&amp;$F315,"Open"))</f>
        <v/>
      </c>
    </row>
    <row r="316" spans="13:27" x14ac:dyDescent="0.45"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AA316" s="1" t="str">
        <f>IF(OR(JobAgolMap="", $F316="", $G316=""),"",HYPERLINK(JobAgolMap&amp;IF(ISNUMBER(FIND("?",JobAgolMap)),"&amp;","?")&amp;"center="&amp;$G316&amp;","&amp;$F316&amp;"&amp;level=16&amp;marker="&amp;$G316&amp;","&amp;$F316,"Open"))</f>
        <v/>
      </c>
    </row>
    <row r="317" spans="13:27" x14ac:dyDescent="0.45"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AA317" s="1" t="str">
        <f>IF(OR(JobAgolMap="", $F317="", $G317=""),"",HYPERLINK(JobAgolMap&amp;IF(ISNUMBER(FIND("?",JobAgolMap)),"&amp;","?")&amp;"center="&amp;$G317&amp;","&amp;$F317&amp;"&amp;level=16&amp;marker="&amp;$G317&amp;","&amp;$F317,"Open"))</f>
        <v/>
      </c>
    </row>
    <row r="318" spans="13:27" x14ac:dyDescent="0.45"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AA318" s="1" t="str">
        <f>IF(OR(JobAgolMap="", $F318="", $G318=""),"",HYPERLINK(JobAgolMap&amp;IF(ISNUMBER(FIND("?",JobAgolMap)),"&amp;","?")&amp;"center="&amp;$G318&amp;","&amp;$F318&amp;"&amp;level=16&amp;marker="&amp;$G318&amp;","&amp;$F318,"Open"))</f>
        <v/>
      </c>
    </row>
    <row r="319" spans="13:27" x14ac:dyDescent="0.45"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AA319" s="1" t="str">
        <f>IF(OR(JobAgolMap="", $F319="", $G319=""),"",HYPERLINK(JobAgolMap&amp;IF(ISNUMBER(FIND("?",JobAgolMap)),"&amp;","?")&amp;"center="&amp;$G319&amp;","&amp;$F319&amp;"&amp;level=16&amp;marker="&amp;$G319&amp;","&amp;$F319,"Open"))</f>
        <v/>
      </c>
    </row>
    <row r="320" spans="13:27" x14ac:dyDescent="0.45"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AA320" s="1" t="str">
        <f>IF(OR(JobAgolMap="", $F320="", $G320=""),"",HYPERLINK(JobAgolMap&amp;IF(ISNUMBER(FIND("?",JobAgolMap)),"&amp;","?")&amp;"center="&amp;$G320&amp;","&amp;$F320&amp;"&amp;level=16&amp;marker="&amp;$G320&amp;","&amp;$F320,"Open"))</f>
        <v/>
      </c>
    </row>
    <row r="321" spans="13:27" x14ac:dyDescent="0.45"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AA321" s="1" t="str">
        <f>IF(OR(JobAgolMap="", $F321="", $G321=""),"",HYPERLINK(JobAgolMap&amp;IF(ISNUMBER(FIND("?",JobAgolMap)),"&amp;","?")&amp;"center="&amp;$G321&amp;","&amp;$F321&amp;"&amp;level=16&amp;marker="&amp;$G321&amp;","&amp;$F321,"Open"))</f>
        <v/>
      </c>
    </row>
    <row r="322" spans="13:27" x14ac:dyDescent="0.45">
      <c r="M322" s="1" t="str">
        <f t="shared" ref="M322:M385" si="30">IF(OR($F322="",$G322=""),"",HYPERLINK("https://www.google.com/maps?q="&amp;$F322&amp;","&amp;$G322&amp;"","Map"))</f>
        <v/>
      </c>
      <c r="N322" s="1" t="str">
        <f t="shared" ref="N322:N385" si="31">IF(OR($F322="",$G322=""),"",HYPERLINK("https://www.google.com/maps?q&amp;layer=c&amp;cbll="&amp;$F322&amp;","&amp;$G322&amp;"","Street"))</f>
        <v/>
      </c>
      <c r="O322" s="1" t="str">
        <f t="shared" ref="O322:O385" si="32">IF(OR($F322="",$G322=""),"",HYPERLINK("https://www.bing.com/maps?cp="&amp;$F322&amp;"~"&amp;$G322&amp;"&amp;lvl=18&amp;style=h","Bing"))</f>
        <v/>
      </c>
      <c r="P322" s="1" t="str">
        <f t="shared" ref="P322:P385" si="33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4">IF(OR($F322="",$G322=""),"",HYPERLINK("https://msc.fema.gov/portal/firmette?latitude="&amp;$F322&amp;"&amp;longitude="&amp;$G322&amp;"","FIRMette"))</f>
        <v/>
      </c>
      <c r="R322" s="1" t="str">
        <f t="shared" ref="R322:R385" si="35">IF(OR($F322="",$G322=""),"",HYPERLINK("https://fema.maps.arcgis.com/apps/mapviewer/index.html?webmap=6a1702b9147243d1a5ee62cd614bc681&amp;center="&amp;$G322&amp;","&amp;$F322&amp;"&amp;level=16&amp;marker="&amp;$G322&amp;","&amp;$F322&amp;"&amp;visibleLayers=NfcNhsPub_8332%2C193df725e5e-layer-20","Open"))</f>
        <v/>
      </c>
      <c r="AA322" s="1" t="str">
        <f>IF(OR(JobAgolMap="", $F322="", $G322=""),"",HYPERLINK(JobAgolMap&amp;IF(ISNUMBER(FIND("?",JobAgolMap)),"&amp;","?")&amp;"center="&amp;$G322&amp;","&amp;$F322&amp;"&amp;level=16&amp;marker="&amp;$G322&amp;","&amp;$F322,"Open"))</f>
        <v/>
      </c>
    </row>
    <row r="323" spans="13:27" x14ac:dyDescent="0.45">
      <c r="M323" s="1" t="str">
        <f t="shared" si="30"/>
        <v/>
      </c>
      <c r="N323" s="1" t="str">
        <f t="shared" si="31"/>
        <v/>
      </c>
      <c r="O323" s="1" t="str">
        <f t="shared" si="32"/>
        <v/>
      </c>
      <c r="P323" s="1" t="str">
        <f t="shared" si="33"/>
        <v/>
      </c>
      <c r="Q323" s="1" t="str">
        <f t="shared" si="34"/>
        <v/>
      </c>
      <c r="R323" s="1" t="str">
        <f t="shared" si="35"/>
        <v/>
      </c>
      <c r="AA323" s="1" t="str">
        <f>IF(OR(JobAgolMap="", $F323="", $G323=""),"",HYPERLINK(JobAgolMap&amp;IF(ISNUMBER(FIND("?",JobAgolMap)),"&amp;","?")&amp;"center="&amp;$G323&amp;","&amp;$F323&amp;"&amp;level=16&amp;marker="&amp;$G323&amp;","&amp;$F323,"Open"))</f>
        <v/>
      </c>
    </row>
    <row r="324" spans="13:27" x14ac:dyDescent="0.45"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AA324" s="1" t="str">
        <f>IF(OR(JobAgolMap="", $F324="", $G324=""),"",HYPERLINK(JobAgolMap&amp;IF(ISNUMBER(FIND("?",JobAgolMap)),"&amp;","?")&amp;"center="&amp;$G324&amp;","&amp;$F324&amp;"&amp;level=16&amp;marker="&amp;$G324&amp;","&amp;$F324,"Open"))</f>
        <v/>
      </c>
    </row>
    <row r="325" spans="13:27" x14ac:dyDescent="0.45"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AA325" s="1" t="str">
        <f>IF(OR(JobAgolMap="", $F325="", $G325=""),"",HYPERLINK(JobAgolMap&amp;IF(ISNUMBER(FIND("?",JobAgolMap)),"&amp;","?")&amp;"center="&amp;$G325&amp;","&amp;$F325&amp;"&amp;level=16&amp;marker="&amp;$G325&amp;","&amp;$F325,"Open"))</f>
        <v/>
      </c>
    </row>
    <row r="326" spans="13:27" x14ac:dyDescent="0.45"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AA326" s="1" t="str">
        <f>IF(OR(JobAgolMap="", $F326="", $G326=""),"",HYPERLINK(JobAgolMap&amp;IF(ISNUMBER(FIND("?",JobAgolMap)),"&amp;","?")&amp;"center="&amp;$G326&amp;","&amp;$F326&amp;"&amp;level=16&amp;marker="&amp;$G326&amp;","&amp;$F326,"Open"))</f>
        <v/>
      </c>
    </row>
    <row r="327" spans="13:27" x14ac:dyDescent="0.45"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AA327" s="1" t="str">
        <f>IF(OR(JobAgolMap="", $F327="", $G327=""),"",HYPERLINK(JobAgolMap&amp;IF(ISNUMBER(FIND("?",JobAgolMap)),"&amp;","?")&amp;"center="&amp;$G327&amp;","&amp;$F327&amp;"&amp;level=16&amp;marker="&amp;$G327&amp;","&amp;$F327,"Open"))</f>
        <v/>
      </c>
    </row>
    <row r="328" spans="13:27" x14ac:dyDescent="0.45"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AA328" s="1" t="str">
        <f>IF(OR(JobAgolMap="", $F328="", $G328=""),"",HYPERLINK(JobAgolMap&amp;IF(ISNUMBER(FIND("?",JobAgolMap)),"&amp;","?")&amp;"center="&amp;$G328&amp;","&amp;$F328&amp;"&amp;level=16&amp;marker="&amp;$G328&amp;","&amp;$F328,"Open"))</f>
        <v/>
      </c>
    </row>
    <row r="329" spans="13:27" x14ac:dyDescent="0.45"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AA329" s="1" t="str">
        <f>IF(OR(JobAgolMap="", $F329="", $G329=""),"",HYPERLINK(JobAgolMap&amp;IF(ISNUMBER(FIND("?",JobAgolMap)),"&amp;","?")&amp;"center="&amp;$G329&amp;","&amp;$F329&amp;"&amp;level=16&amp;marker="&amp;$G329&amp;","&amp;$F329,"Open"))</f>
        <v/>
      </c>
    </row>
    <row r="330" spans="13:27" x14ac:dyDescent="0.45"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AA330" s="1" t="str">
        <f>IF(OR(JobAgolMap="", $F330="", $G330=""),"",HYPERLINK(JobAgolMap&amp;IF(ISNUMBER(FIND("?",JobAgolMap)),"&amp;","?")&amp;"center="&amp;$G330&amp;","&amp;$F330&amp;"&amp;level=16&amp;marker="&amp;$G330&amp;","&amp;$F330,"Open"))</f>
        <v/>
      </c>
    </row>
    <row r="331" spans="13:27" x14ac:dyDescent="0.45"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AA331" s="1" t="str">
        <f>IF(OR(JobAgolMap="", $F331="", $G331=""),"",HYPERLINK(JobAgolMap&amp;IF(ISNUMBER(FIND("?",JobAgolMap)),"&amp;","?")&amp;"center="&amp;$G331&amp;","&amp;$F331&amp;"&amp;level=16&amp;marker="&amp;$G331&amp;","&amp;$F331,"Open"))</f>
        <v/>
      </c>
    </row>
    <row r="332" spans="13:27" x14ac:dyDescent="0.45"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AA332" s="1" t="str">
        <f>IF(OR(JobAgolMap="", $F332="", $G332=""),"",HYPERLINK(JobAgolMap&amp;IF(ISNUMBER(FIND("?",JobAgolMap)),"&amp;","?")&amp;"center="&amp;$G332&amp;","&amp;$F332&amp;"&amp;level=16&amp;marker="&amp;$G332&amp;","&amp;$F332,"Open"))</f>
        <v/>
      </c>
    </row>
    <row r="333" spans="13:27" x14ac:dyDescent="0.45"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AA333" s="1" t="str">
        <f>IF(OR(JobAgolMap="", $F333="", $G333=""),"",HYPERLINK(JobAgolMap&amp;IF(ISNUMBER(FIND("?",JobAgolMap)),"&amp;","?")&amp;"center="&amp;$G333&amp;","&amp;$F333&amp;"&amp;level=16&amp;marker="&amp;$G333&amp;","&amp;$F333,"Open"))</f>
        <v/>
      </c>
    </row>
    <row r="334" spans="13:27" x14ac:dyDescent="0.45"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AA334" s="1" t="str">
        <f>IF(OR(JobAgolMap="", $F334="", $G334=""),"",HYPERLINK(JobAgolMap&amp;IF(ISNUMBER(FIND("?",JobAgolMap)),"&amp;","?")&amp;"center="&amp;$G334&amp;","&amp;$F334&amp;"&amp;level=16&amp;marker="&amp;$G334&amp;","&amp;$F334,"Open"))</f>
        <v/>
      </c>
    </row>
    <row r="335" spans="13:27" x14ac:dyDescent="0.45"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AA335" s="1" t="str">
        <f>IF(OR(JobAgolMap="", $F335="", $G335=""),"",HYPERLINK(JobAgolMap&amp;IF(ISNUMBER(FIND("?",JobAgolMap)),"&amp;","?")&amp;"center="&amp;$G335&amp;","&amp;$F335&amp;"&amp;level=16&amp;marker="&amp;$G335&amp;","&amp;$F335,"Open"))</f>
        <v/>
      </c>
    </row>
    <row r="336" spans="13:27" x14ac:dyDescent="0.45"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AA336" s="1" t="str">
        <f>IF(OR(JobAgolMap="", $F336="", $G336=""),"",HYPERLINK(JobAgolMap&amp;IF(ISNUMBER(FIND("?",JobAgolMap)),"&amp;","?")&amp;"center="&amp;$G336&amp;","&amp;$F336&amp;"&amp;level=16&amp;marker="&amp;$G336&amp;","&amp;$F336,"Open"))</f>
        <v/>
      </c>
    </row>
    <row r="337" spans="13:27" x14ac:dyDescent="0.45"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AA337" s="1" t="str">
        <f>IF(OR(JobAgolMap="", $F337="", $G337=""),"",HYPERLINK(JobAgolMap&amp;IF(ISNUMBER(FIND("?",JobAgolMap)),"&amp;","?")&amp;"center="&amp;$G337&amp;","&amp;$F337&amp;"&amp;level=16&amp;marker="&amp;$G337&amp;","&amp;$F337,"Open"))</f>
        <v/>
      </c>
    </row>
    <row r="338" spans="13:27" x14ac:dyDescent="0.45"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AA338" s="1" t="str">
        <f>IF(OR(JobAgolMap="", $F338="", $G338=""),"",HYPERLINK(JobAgolMap&amp;IF(ISNUMBER(FIND("?",JobAgolMap)),"&amp;","?")&amp;"center="&amp;$G338&amp;","&amp;$F338&amp;"&amp;level=16&amp;marker="&amp;$G338&amp;","&amp;$F338,"Open"))</f>
        <v/>
      </c>
    </row>
    <row r="339" spans="13:27" x14ac:dyDescent="0.45"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AA339" s="1" t="str">
        <f>IF(OR(JobAgolMap="", $F339="", $G339=""),"",HYPERLINK(JobAgolMap&amp;IF(ISNUMBER(FIND("?",JobAgolMap)),"&amp;","?")&amp;"center="&amp;$G339&amp;","&amp;$F339&amp;"&amp;level=16&amp;marker="&amp;$G339&amp;","&amp;$F339,"Open"))</f>
        <v/>
      </c>
    </row>
    <row r="340" spans="13:27" x14ac:dyDescent="0.45"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AA340" s="1" t="str">
        <f>IF(OR(JobAgolMap="", $F340="", $G340=""),"",HYPERLINK(JobAgolMap&amp;IF(ISNUMBER(FIND("?",JobAgolMap)),"&amp;","?")&amp;"center="&amp;$G340&amp;","&amp;$F340&amp;"&amp;level=16&amp;marker="&amp;$G340&amp;","&amp;$F340,"Open"))</f>
        <v/>
      </c>
    </row>
    <row r="341" spans="13:27" x14ac:dyDescent="0.45"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AA341" s="1" t="str">
        <f>IF(OR(JobAgolMap="", $F341="", $G341=""),"",HYPERLINK(JobAgolMap&amp;IF(ISNUMBER(FIND("?",JobAgolMap)),"&amp;","?")&amp;"center="&amp;$G341&amp;","&amp;$F341&amp;"&amp;level=16&amp;marker="&amp;$G341&amp;","&amp;$F341,"Open"))</f>
        <v/>
      </c>
    </row>
    <row r="342" spans="13:27" x14ac:dyDescent="0.45"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AA342" s="1" t="str">
        <f>IF(OR(JobAgolMap="", $F342="", $G342=""),"",HYPERLINK(JobAgolMap&amp;IF(ISNUMBER(FIND("?",JobAgolMap)),"&amp;","?")&amp;"center="&amp;$G342&amp;","&amp;$F342&amp;"&amp;level=16&amp;marker="&amp;$G342&amp;","&amp;$F342,"Open"))</f>
        <v/>
      </c>
    </row>
    <row r="343" spans="13:27" x14ac:dyDescent="0.45"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AA343" s="1" t="str">
        <f>IF(OR(JobAgolMap="", $F343="", $G343=""),"",HYPERLINK(JobAgolMap&amp;IF(ISNUMBER(FIND("?",JobAgolMap)),"&amp;","?")&amp;"center="&amp;$G343&amp;","&amp;$F343&amp;"&amp;level=16&amp;marker="&amp;$G343&amp;","&amp;$F343,"Open"))</f>
        <v/>
      </c>
    </row>
    <row r="344" spans="13:27" x14ac:dyDescent="0.45"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AA344" s="1" t="str">
        <f>IF(OR(JobAgolMap="", $F344="", $G344=""),"",HYPERLINK(JobAgolMap&amp;IF(ISNUMBER(FIND("?",JobAgolMap)),"&amp;","?")&amp;"center="&amp;$G344&amp;","&amp;$F344&amp;"&amp;level=16&amp;marker="&amp;$G344&amp;","&amp;$F344,"Open"))</f>
        <v/>
      </c>
    </row>
    <row r="345" spans="13:27" x14ac:dyDescent="0.45"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AA345" s="1" t="str">
        <f>IF(OR(JobAgolMap="", $F345="", $G345=""),"",HYPERLINK(JobAgolMap&amp;IF(ISNUMBER(FIND("?",JobAgolMap)),"&amp;","?")&amp;"center="&amp;$G345&amp;","&amp;$F345&amp;"&amp;level=16&amp;marker="&amp;$G345&amp;","&amp;$F345,"Open"))</f>
        <v/>
      </c>
    </row>
    <row r="346" spans="13:27" x14ac:dyDescent="0.45"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AA346" s="1" t="str">
        <f>IF(OR(JobAgolMap="", $F346="", $G346=""),"",HYPERLINK(JobAgolMap&amp;IF(ISNUMBER(FIND("?",JobAgolMap)),"&amp;","?")&amp;"center="&amp;$G346&amp;","&amp;$F346&amp;"&amp;level=16&amp;marker="&amp;$G346&amp;","&amp;$F346,"Open"))</f>
        <v/>
      </c>
    </row>
    <row r="347" spans="13:27" x14ac:dyDescent="0.45"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AA347" s="1" t="str">
        <f>IF(OR(JobAgolMap="", $F347="", $G347=""),"",HYPERLINK(JobAgolMap&amp;IF(ISNUMBER(FIND("?",JobAgolMap)),"&amp;","?")&amp;"center="&amp;$G347&amp;","&amp;$F347&amp;"&amp;level=16&amp;marker="&amp;$G347&amp;","&amp;$F347,"Open"))</f>
        <v/>
      </c>
    </row>
    <row r="348" spans="13:27" x14ac:dyDescent="0.45"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AA348" s="1" t="str">
        <f>IF(OR(JobAgolMap="", $F348="", $G348=""),"",HYPERLINK(JobAgolMap&amp;IF(ISNUMBER(FIND("?",JobAgolMap)),"&amp;","?")&amp;"center="&amp;$G348&amp;","&amp;$F348&amp;"&amp;level=16&amp;marker="&amp;$G348&amp;","&amp;$F348,"Open"))</f>
        <v/>
      </c>
    </row>
    <row r="349" spans="13:27" x14ac:dyDescent="0.45"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AA349" s="1" t="str">
        <f>IF(OR(JobAgolMap="", $F349="", $G349=""),"",HYPERLINK(JobAgolMap&amp;IF(ISNUMBER(FIND("?",JobAgolMap)),"&amp;","?")&amp;"center="&amp;$G349&amp;","&amp;$F349&amp;"&amp;level=16&amp;marker="&amp;$G349&amp;","&amp;$F349,"Open"))</f>
        <v/>
      </c>
    </row>
    <row r="350" spans="13:27" x14ac:dyDescent="0.45"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AA350" s="1" t="str">
        <f>IF(OR(JobAgolMap="", $F350="", $G350=""),"",HYPERLINK(JobAgolMap&amp;IF(ISNUMBER(FIND("?",JobAgolMap)),"&amp;","?")&amp;"center="&amp;$G350&amp;","&amp;$F350&amp;"&amp;level=16&amp;marker="&amp;$G350&amp;","&amp;$F350,"Open"))</f>
        <v/>
      </c>
    </row>
    <row r="351" spans="13:27" x14ac:dyDescent="0.45"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AA351" s="1" t="str">
        <f>IF(OR(JobAgolMap="", $F351="", $G351=""),"",HYPERLINK(JobAgolMap&amp;IF(ISNUMBER(FIND("?",JobAgolMap)),"&amp;","?")&amp;"center="&amp;$G351&amp;","&amp;$F351&amp;"&amp;level=16&amp;marker="&amp;$G351&amp;","&amp;$F351,"Open"))</f>
        <v/>
      </c>
    </row>
    <row r="352" spans="13:27" x14ac:dyDescent="0.45"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AA352" s="1" t="str">
        <f>IF(OR(JobAgolMap="", $F352="", $G352=""),"",HYPERLINK(JobAgolMap&amp;IF(ISNUMBER(FIND("?",JobAgolMap)),"&amp;","?")&amp;"center="&amp;$G352&amp;","&amp;$F352&amp;"&amp;level=16&amp;marker="&amp;$G352&amp;","&amp;$F352,"Open"))</f>
        <v/>
      </c>
    </row>
    <row r="353" spans="13:27" x14ac:dyDescent="0.45"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AA353" s="1" t="str">
        <f>IF(OR(JobAgolMap="", $F353="", $G353=""),"",HYPERLINK(JobAgolMap&amp;IF(ISNUMBER(FIND("?",JobAgolMap)),"&amp;","?")&amp;"center="&amp;$G353&amp;","&amp;$F353&amp;"&amp;level=16&amp;marker="&amp;$G353&amp;","&amp;$F353,"Open"))</f>
        <v/>
      </c>
    </row>
    <row r="354" spans="13:27" x14ac:dyDescent="0.45"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AA354" s="1" t="str">
        <f>IF(OR(JobAgolMap="", $F354="", $G354=""),"",HYPERLINK(JobAgolMap&amp;IF(ISNUMBER(FIND("?",JobAgolMap)),"&amp;","?")&amp;"center="&amp;$G354&amp;","&amp;$F354&amp;"&amp;level=16&amp;marker="&amp;$G354&amp;","&amp;$F354,"Open"))</f>
        <v/>
      </c>
    </row>
    <row r="355" spans="13:27" x14ac:dyDescent="0.45"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AA355" s="1" t="str">
        <f>IF(OR(JobAgolMap="", $F355="", $G355=""),"",HYPERLINK(JobAgolMap&amp;IF(ISNUMBER(FIND("?",JobAgolMap)),"&amp;","?")&amp;"center="&amp;$G355&amp;","&amp;$F355&amp;"&amp;level=16&amp;marker="&amp;$G355&amp;","&amp;$F355,"Open"))</f>
        <v/>
      </c>
    </row>
    <row r="356" spans="13:27" x14ac:dyDescent="0.45"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AA356" s="1" t="str">
        <f>IF(OR(JobAgolMap="", $F356="", $G356=""),"",HYPERLINK(JobAgolMap&amp;IF(ISNUMBER(FIND("?",JobAgolMap)),"&amp;","?")&amp;"center="&amp;$G356&amp;","&amp;$F356&amp;"&amp;level=16&amp;marker="&amp;$G356&amp;","&amp;$F356,"Open"))</f>
        <v/>
      </c>
    </row>
    <row r="357" spans="13:27" x14ac:dyDescent="0.45"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AA357" s="1" t="str">
        <f>IF(OR(JobAgolMap="", $F357="", $G357=""),"",HYPERLINK(JobAgolMap&amp;IF(ISNUMBER(FIND("?",JobAgolMap)),"&amp;","?")&amp;"center="&amp;$G357&amp;","&amp;$F357&amp;"&amp;level=16&amp;marker="&amp;$G357&amp;","&amp;$F357,"Open"))</f>
        <v/>
      </c>
    </row>
    <row r="358" spans="13:27" x14ac:dyDescent="0.45"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AA358" s="1" t="str">
        <f>IF(OR(JobAgolMap="", $F358="", $G358=""),"",HYPERLINK(JobAgolMap&amp;IF(ISNUMBER(FIND("?",JobAgolMap)),"&amp;","?")&amp;"center="&amp;$G358&amp;","&amp;$F358&amp;"&amp;level=16&amp;marker="&amp;$G358&amp;","&amp;$F358,"Open"))</f>
        <v/>
      </c>
    </row>
    <row r="359" spans="13:27" x14ac:dyDescent="0.45"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AA359" s="1" t="str">
        <f>IF(OR(JobAgolMap="", $F359="", $G359=""),"",HYPERLINK(JobAgolMap&amp;IF(ISNUMBER(FIND("?",JobAgolMap)),"&amp;","?")&amp;"center="&amp;$G359&amp;","&amp;$F359&amp;"&amp;level=16&amp;marker="&amp;$G359&amp;","&amp;$F359,"Open"))</f>
        <v/>
      </c>
    </row>
    <row r="360" spans="13:27" x14ac:dyDescent="0.45"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AA360" s="1" t="str">
        <f>IF(OR(JobAgolMap="", $F360="", $G360=""),"",HYPERLINK(JobAgolMap&amp;IF(ISNUMBER(FIND("?",JobAgolMap)),"&amp;","?")&amp;"center="&amp;$G360&amp;","&amp;$F360&amp;"&amp;level=16&amp;marker="&amp;$G360&amp;","&amp;$F360,"Open"))</f>
        <v/>
      </c>
    </row>
    <row r="361" spans="13:27" x14ac:dyDescent="0.45"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AA361" s="1" t="str">
        <f>IF(OR(JobAgolMap="", $F361="", $G361=""),"",HYPERLINK(JobAgolMap&amp;IF(ISNUMBER(FIND("?",JobAgolMap)),"&amp;","?")&amp;"center="&amp;$G361&amp;","&amp;$F361&amp;"&amp;level=16&amp;marker="&amp;$G361&amp;","&amp;$F361,"Open"))</f>
        <v/>
      </c>
    </row>
    <row r="362" spans="13:27" x14ac:dyDescent="0.45"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AA362" s="1" t="str">
        <f>IF(OR(JobAgolMap="", $F362="", $G362=""),"",HYPERLINK(JobAgolMap&amp;IF(ISNUMBER(FIND("?",JobAgolMap)),"&amp;","?")&amp;"center="&amp;$G362&amp;","&amp;$F362&amp;"&amp;level=16&amp;marker="&amp;$G362&amp;","&amp;$F362,"Open"))</f>
        <v/>
      </c>
    </row>
    <row r="363" spans="13:27" x14ac:dyDescent="0.45"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AA363" s="1" t="str">
        <f>IF(OR(JobAgolMap="", $F363="", $G363=""),"",HYPERLINK(JobAgolMap&amp;IF(ISNUMBER(FIND("?",JobAgolMap)),"&amp;","?")&amp;"center="&amp;$G363&amp;","&amp;$F363&amp;"&amp;level=16&amp;marker="&amp;$G363&amp;","&amp;$F363,"Open"))</f>
        <v/>
      </c>
    </row>
    <row r="364" spans="13:27" x14ac:dyDescent="0.45"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AA364" s="1" t="str">
        <f>IF(OR(JobAgolMap="", $F364="", $G364=""),"",HYPERLINK(JobAgolMap&amp;IF(ISNUMBER(FIND("?",JobAgolMap)),"&amp;","?")&amp;"center="&amp;$G364&amp;","&amp;$F364&amp;"&amp;level=16&amp;marker="&amp;$G364&amp;","&amp;$F364,"Open"))</f>
        <v/>
      </c>
    </row>
    <row r="365" spans="13:27" x14ac:dyDescent="0.45"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AA365" s="1" t="str">
        <f>IF(OR(JobAgolMap="", $F365="", $G365=""),"",HYPERLINK(JobAgolMap&amp;IF(ISNUMBER(FIND("?",JobAgolMap)),"&amp;","?")&amp;"center="&amp;$G365&amp;","&amp;$F365&amp;"&amp;level=16&amp;marker="&amp;$G365&amp;","&amp;$F365,"Open"))</f>
        <v/>
      </c>
    </row>
    <row r="366" spans="13:27" x14ac:dyDescent="0.45"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AA366" s="1" t="str">
        <f>IF(OR(JobAgolMap="", $F366="", $G366=""),"",HYPERLINK(JobAgolMap&amp;IF(ISNUMBER(FIND("?",JobAgolMap)),"&amp;","?")&amp;"center="&amp;$G366&amp;","&amp;$F366&amp;"&amp;level=16&amp;marker="&amp;$G366&amp;","&amp;$F366,"Open"))</f>
        <v/>
      </c>
    </row>
    <row r="367" spans="13:27" x14ac:dyDescent="0.45"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AA367" s="1" t="str">
        <f>IF(OR(JobAgolMap="", $F367="", $G367=""),"",HYPERLINK(JobAgolMap&amp;IF(ISNUMBER(FIND("?",JobAgolMap)),"&amp;","?")&amp;"center="&amp;$G367&amp;","&amp;$F367&amp;"&amp;level=16&amp;marker="&amp;$G367&amp;","&amp;$F367,"Open"))</f>
        <v/>
      </c>
    </row>
    <row r="368" spans="13:27" x14ac:dyDescent="0.45"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AA368" s="1" t="str">
        <f>IF(OR(JobAgolMap="", $F368="", $G368=""),"",HYPERLINK(JobAgolMap&amp;IF(ISNUMBER(FIND("?",JobAgolMap)),"&amp;","?")&amp;"center="&amp;$G368&amp;","&amp;$F368&amp;"&amp;level=16&amp;marker="&amp;$G368&amp;","&amp;$F368,"Open"))</f>
        <v/>
      </c>
    </row>
    <row r="369" spans="13:27" x14ac:dyDescent="0.45"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AA369" s="1" t="str">
        <f>IF(OR(JobAgolMap="", $F369="", $G369=""),"",HYPERLINK(JobAgolMap&amp;IF(ISNUMBER(FIND("?",JobAgolMap)),"&amp;","?")&amp;"center="&amp;$G369&amp;","&amp;$F369&amp;"&amp;level=16&amp;marker="&amp;$G369&amp;","&amp;$F369,"Open"))</f>
        <v/>
      </c>
    </row>
    <row r="370" spans="13:27" x14ac:dyDescent="0.45"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AA370" s="1" t="str">
        <f>IF(OR(JobAgolMap="", $F370="", $G370=""),"",HYPERLINK(JobAgolMap&amp;IF(ISNUMBER(FIND("?",JobAgolMap)),"&amp;","?")&amp;"center="&amp;$G370&amp;","&amp;$F370&amp;"&amp;level=16&amp;marker="&amp;$G370&amp;","&amp;$F370,"Open"))</f>
        <v/>
      </c>
    </row>
    <row r="371" spans="13:27" x14ac:dyDescent="0.45"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AA371" s="1" t="str">
        <f>IF(OR(JobAgolMap="", $F371="", $G371=""),"",HYPERLINK(JobAgolMap&amp;IF(ISNUMBER(FIND("?",JobAgolMap)),"&amp;","?")&amp;"center="&amp;$G371&amp;","&amp;$F371&amp;"&amp;level=16&amp;marker="&amp;$G371&amp;","&amp;$F371,"Open"))</f>
        <v/>
      </c>
    </row>
    <row r="372" spans="13:27" x14ac:dyDescent="0.45"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AA372" s="1" t="str">
        <f>IF(OR(JobAgolMap="", $F372="", $G372=""),"",HYPERLINK(JobAgolMap&amp;IF(ISNUMBER(FIND("?",JobAgolMap)),"&amp;","?")&amp;"center="&amp;$G372&amp;","&amp;$F372&amp;"&amp;level=16&amp;marker="&amp;$G372&amp;","&amp;$F372,"Open"))</f>
        <v/>
      </c>
    </row>
    <row r="373" spans="13:27" x14ac:dyDescent="0.45"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AA373" s="1" t="str">
        <f>IF(OR(JobAgolMap="", $F373="", $G373=""),"",HYPERLINK(JobAgolMap&amp;IF(ISNUMBER(FIND("?",JobAgolMap)),"&amp;","?")&amp;"center="&amp;$G373&amp;","&amp;$F373&amp;"&amp;level=16&amp;marker="&amp;$G373&amp;","&amp;$F373,"Open"))</f>
        <v/>
      </c>
    </row>
    <row r="374" spans="13:27" x14ac:dyDescent="0.45"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AA374" s="1" t="str">
        <f>IF(OR(JobAgolMap="", $F374="", $G374=""),"",HYPERLINK(JobAgolMap&amp;IF(ISNUMBER(FIND("?",JobAgolMap)),"&amp;","?")&amp;"center="&amp;$G374&amp;","&amp;$F374&amp;"&amp;level=16&amp;marker="&amp;$G374&amp;","&amp;$F374,"Open"))</f>
        <v/>
      </c>
    </row>
    <row r="375" spans="13:27" x14ac:dyDescent="0.45"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AA375" s="1" t="str">
        <f>IF(OR(JobAgolMap="", $F375="", $G375=""),"",HYPERLINK(JobAgolMap&amp;IF(ISNUMBER(FIND("?",JobAgolMap)),"&amp;","?")&amp;"center="&amp;$G375&amp;","&amp;$F375&amp;"&amp;level=16&amp;marker="&amp;$G375&amp;","&amp;$F375,"Open"))</f>
        <v/>
      </c>
    </row>
    <row r="376" spans="13:27" x14ac:dyDescent="0.45"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AA376" s="1" t="str">
        <f>IF(OR(JobAgolMap="", $F376="", $G376=""),"",HYPERLINK(JobAgolMap&amp;IF(ISNUMBER(FIND("?",JobAgolMap)),"&amp;","?")&amp;"center="&amp;$G376&amp;","&amp;$F376&amp;"&amp;level=16&amp;marker="&amp;$G376&amp;","&amp;$F376,"Open"))</f>
        <v/>
      </c>
    </row>
    <row r="377" spans="13:27" x14ac:dyDescent="0.45"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AA377" s="1" t="str">
        <f>IF(OR(JobAgolMap="", $F377="", $G377=""),"",HYPERLINK(JobAgolMap&amp;IF(ISNUMBER(FIND("?",JobAgolMap)),"&amp;","?")&amp;"center="&amp;$G377&amp;","&amp;$F377&amp;"&amp;level=16&amp;marker="&amp;$G377&amp;","&amp;$F377,"Open"))</f>
        <v/>
      </c>
    </row>
    <row r="378" spans="13:27" x14ac:dyDescent="0.45"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AA378" s="1" t="str">
        <f>IF(OR(JobAgolMap="", $F378="", $G378=""),"",HYPERLINK(JobAgolMap&amp;IF(ISNUMBER(FIND("?",JobAgolMap)),"&amp;","?")&amp;"center="&amp;$G378&amp;","&amp;$F378&amp;"&amp;level=16&amp;marker="&amp;$G378&amp;","&amp;$F378,"Open"))</f>
        <v/>
      </c>
    </row>
    <row r="379" spans="13:27" x14ac:dyDescent="0.45"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AA379" s="1" t="str">
        <f>IF(OR(JobAgolMap="", $F379="", $G379=""),"",HYPERLINK(JobAgolMap&amp;IF(ISNUMBER(FIND("?",JobAgolMap)),"&amp;","?")&amp;"center="&amp;$G379&amp;","&amp;$F379&amp;"&amp;level=16&amp;marker="&amp;$G379&amp;","&amp;$F379,"Open"))</f>
        <v/>
      </c>
    </row>
    <row r="380" spans="13:27" x14ac:dyDescent="0.45"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AA380" s="1" t="str">
        <f>IF(OR(JobAgolMap="", $F380="", $G380=""),"",HYPERLINK(JobAgolMap&amp;IF(ISNUMBER(FIND("?",JobAgolMap)),"&amp;","?")&amp;"center="&amp;$G380&amp;","&amp;$F380&amp;"&amp;level=16&amp;marker="&amp;$G380&amp;","&amp;$F380,"Open"))</f>
        <v/>
      </c>
    </row>
    <row r="381" spans="13:27" x14ac:dyDescent="0.45"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AA381" s="1" t="str">
        <f>IF(OR(JobAgolMap="", $F381="", $G381=""),"",HYPERLINK(JobAgolMap&amp;IF(ISNUMBER(FIND("?",JobAgolMap)),"&amp;","?")&amp;"center="&amp;$G381&amp;","&amp;$F381&amp;"&amp;level=16&amp;marker="&amp;$G381&amp;","&amp;$F381,"Open"))</f>
        <v/>
      </c>
    </row>
    <row r="382" spans="13:27" x14ac:dyDescent="0.45"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AA382" s="1" t="str">
        <f>IF(OR(JobAgolMap="", $F382="", $G382=""),"",HYPERLINK(JobAgolMap&amp;IF(ISNUMBER(FIND("?",JobAgolMap)),"&amp;","?")&amp;"center="&amp;$G382&amp;","&amp;$F382&amp;"&amp;level=16&amp;marker="&amp;$G382&amp;","&amp;$F382,"Open"))</f>
        <v/>
      </c>
    </row>
    <row r="383" spans="13:27" x14ac:dyDescent="0.45"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AA383" s="1" t="str">
        <f>IF(OR(JobAgolMap="", $F383="", $G383=""),"",HYPERLINK(JobAgolMap&amp;IF(ISNUMBER(FIND("?",JobAgolMap)),"&amp;","?")&amp;"center="&amp;$G383&amp;","&amp;$F383&amp;"&amp;level=16&amp;marker="&amp;$G383&amp;","&amp;$F383,"Open"))</f>
        <v/>
      </c>
    </row>
    <row r="384" spans="13:27" x14ac:dyDescent="0.45"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AA384" s="1" t="str">
        <f>IF(OR(JobAgolMap="", $F384="", $G384=""),"",HYPERLINK(JobAgolMap&amp;IF(ISNUMBER(FIND("?",JobAgolMap)),"&amp;","?")&amp;"center="&amp;$G384&amp;","&amp;$F384&amp;"&amp;level=16&amp;marker="&amp;$G384&amp;","&amp;$F384,"Open"))</f>
        <v/>
      </c>
    </row>
    <row r="385" spans="13:27" x14ac:dyDescent="0.45"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AA385" s="1" t="str">
        <f>IF(OR(JobAgolMap="", $F385="", $G385=""),"",HYPERLINK(JobAgolMap&amp;IF(ISNUMBER(FIND("?",JobAgolMap)),"&amp;","?")&amp;"center="&amp;$G385&amp;","&amp;$F385&amp;"&amp;level=16&amp;marker="&amp;$G385&amp;","&amp;$F385,"Open"))</f>
        <v/>
      </c>
    </row>
    <row r="386" spans="13:27" x14ac:dyDescent="0.45">
      <c r="M386" s="1" t="str">
        <f t="shared" ref="M386:M449" si="36">IF(OR($F386="",$G386=""),"",HYPERLINK("https://www.google.com/maps?q="&amp;$F386&amp;","&amp;$G386&amp;"","Map"))</f>
        <v/>
      </c>
      <c r="N386" s="1" t="str">
        <f t="shared" ref="N386:N449" si="37">IF(OR($F386="",$G386=""),"",HYPERLINK("https://www.google.com/maps?q&amp;layer=c&amp;cbll="&amp;$F386&amp;","&amp;$G386&amp;"","Street"))</f>
        <v/>
      </c>
      <c r="O386" s="1" t="str">
        <f t="shared" ref="O386:O449" si="38">IF(OR($F386="",$G386=""),"",HYPERLINK("https://www.bing.com/maps?cp="&amp;$F386&amp;"~"&amp;$G386&amp;"&amp;lvl=18&amp;style=h","Bing"))</f>
        <v/>
      </c>
      <c r="P386" s="1" t="str">
        <f t="shared" ref="P386:P449" si="39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0">IF(OR($F386="",$G386=""),"",HYPERLINK("https://msc.fema.gov/portal/firmette?latitude="&amp;$F386&amp;"&amp;longitude="&amp;$G386&amp;"","FIRMette"))</f>
        <v/>
      </c>
      <c r="R386" s="1" t="str">
        <f t="shared" ref="R386:R449" si="41">IF(OR($F386="",$G386=""),"",HYPERLINK("https://fema.maps.arcgis.com/apps/mapviewer/index.html?webmap=6a1702b9147243d1a5ee62cd614bc681&amp;center="&amp;$G386&amp;","&amp;$F386&amp;"&amp;level=16&amp;marker="&amp;$G386&amp;","&amp;$F386&amp;"&amp;visibleLayers=NfcNhsPub_8332%2C193df725e5e-layer-20","Open"))</f>
        <v/>
      </c>
      <c r="AA386" s="1" t="str">
        <f>IF(OR(JobAgolMap="", $F386="", $G386=""),"",HYPERLINK(JobAgolMap&amp;IF(ISNUMBER(FIND("?",JobAgolMap)),"&amp;","?")&amp;"center="&amp;$G386&amp;","&amp;$F386&amp;"&amp;level=16&amp;marker="&amp;$G386&amp;","&amp;$F386,"Open"))</f>
        <v/>
      </c>
    </row>
    <row r="387" spans="13:27" x14ac:dyDescent="0.45">
      <c r="M387" s="1" t="str">
        <f t="shared" si="36"/>
        <v/>
      </c>
      <c r="N387" s="1" t="str">
        <f t="shared" si="37"/>
        <v/>
      </c>
      <c r="O387" s="1" t="str">
        <f t="shared" si="38"/>
        <v/>
      </c>
      <c r="P387" s="1" t="str">
        <f t="shared" si="39"/>
        <v/>
      </c>
      <c r="Q387" s="1" t="str">
        <f t="shared" si="40"/>
        <v/>
      </c>
      <c r="R387" s="1" t="str">
        <f t="shared" si="41"/>
        <v/>
      </c>
      <c r="AA387" s="1" t="str">
        <f>IF(OR(JobAgolMap="", $F387="", $G387=""),"",HYPERLINK(JobAgolMap&amp;IF(ISNUMBER(FIND("?",JobAgolMap)),"&amp;","?")&amp;"center="&amp;$G387&amp;","&amp;$F387&amp;"&amp;level=16&amp;marker="&amp;$G387&amp;","&amp;$F387,"Open"))</f>
        <v/>
      </c>
    </row>
    <row r="388" spans="13:27" x14ac:dyDescent="0.45"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AA388" s="1" t="str">
        <f>IF(OR(JobAgolMap="", $F388="", $G388=""),"",HYPERLINK(JobAgolMap&amp;IF(ISNUMBER(FIND("?",JobAgolMap)),"&amp;","?")&amp;"center="&amp;$G388&amp;","&amp;$F388&amp;"&amp;level=16&amp;marker="&amp;$G388&amp;","&amp;$F388,"Open"))</f>
        <v/>
      </c>
    </row>
    <row r="389" spans="13:27" x14ac:dyDescent="0.45"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AA389" s="1" t="str">
        <f>IF(OR(JobAgolMap="", $F389="", $G389=""),"",HYPERLINK(JobAgolMap&amp;IF(ISNUMBER(FIND("?",JobAgolMap)),"&amp;","?")&amp;"center="&amp;$G389&amp;","&amp;$F389&amp;"&amp;level=16&amp;marker="&amp;$G389&amp;","&amp;$F389,"Open"))</f>
        <v/>
      </c>
    </row>
    <row r="390" spans="13:27" x14ac:dyDescent="0.45"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AA390" s="1" t="str">
        <f>IF(OR(JobAgolMap="", $F390="", $G390=""),"",HYPERLINK(JobAgolMap&amp;IF(ISNUMBER(FIND("?",JobAgolMap)),"&amp;","?")&amp;"center="&amp;$G390&amp;","&amp;$F390&amp;"&amp;level=16&amp;marker="&amp;$G390&amp;","&amp;$F390,"Open"))</f>
        <v/>
      </c>
    </row>
    <row r="391" spans="13:27" x14ac:dyDescent="0.45"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AA391" s="1" t="str">
        <f>IF(OR(JobAgolMap="", $F391="", $G391=""),"",HYPERLINK(JobAgolMap&amp;IF(ISNUMBER(FIND("?",JobAgolMap)),"&amp;","?")&amp;"center="&amp;$G391&amp;","&amp;$F391&amp;"&amp;level=16&amp;marker="&amp;$G391&amp;","&amp;$F391,"Open"))</f>
        <v/>
      </c>
    </row>
    <row r="392" spans="13:27" x14ac:dyDescent="0.45"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AA392" s="1" t="str">
        <f>IF(OR(JobAgolMap="", $F392="", $G392=""),"",HYPERLINK(JobAgolMap&amp;IF(ISNUMBER(FIND("?",JobAgolMap)),"&amp;","?")&amp;"center="&amp;$G392&amp;","&amp;$F392&amp;"&amp;level=16&amp;marker="&amp;$G392&amp;","&amp;$F392,"Open"))</f>
        <v/>
      </c>
    </row>
    <row r="393" spans="13:27" x14ac:dyDescent="0.45"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AA393" s="1" t="str">
        <f>IF(OR(JobAgolMap="", $F393="", $G393=""),"",HYPERLINK(JobAgolMap&amp;IF(ISNUMBER(FIND("?",JobAgolMap)),"&amp;","?")&amp;"center="&amp;$G393&amp;","&amp;$F393&amp;"&amp;level=16&amp;marker="&amp;$G393&amp;","&amp;$F393,"Open"))</f>
        <v/>
      </c>
    </row>
    <row r="394" spans="13:27" x14ac:dyDescent="0.45"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AA394" s="1" t="str">
        <f>IF(OR(JobAgolMap="", $F394="", $G394=""),"",HYPERLINK(JobAgolMap&amp;IF(ISNUMBER(FIND("?",JobAgolMap)),"&amp;","?")&amp;"center="&amp;$G394&amp;","&amp;$F394&amp;"&amp;level=16&amp;marker="&amp;$G394&amp;","&amp;$F394,"Open"))</f>
        <v/>
      </c>
    </row>
    <row r="395" spans="13:27" x14ac:dyDescent="0.45"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AA395" s="1" t="str">
        <f>IF(OR(JobAgolMap="", $F395="", $G395=""),"",HYPERLINK(JobAgolMap&amp;IF(ISNUMBER(FIND("?",JobAgolMap)),"&amp;","?")&amp;"center="&amp;$G395&amp;","&amp;$F395&amp;"&amp;level=16&amp;marker="&amp;$G395&amp;","&amp;$F395,"Open"))</f>
        <v/>
      </c>
    </row>
    <row r="396" spans="13:27" x14ac:dyDescent="0.45"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AA396" s="1" t="str">
        <f>IF(OR(JobAgolMap="", $F396="", $G396=""),"",HYPERLINK(JobAgolMap&amp;IF(ISNUMBER(FIND("?",JobAgolMap)),"&amp;","?")&amp;"center="&amp;$G396&amp;","&amp;$F396&amp;"&amp;level=16&amp;marker="&amp;$G396&amp;","&amp;$F396,"Open"))</f>
        <v/>
      </c>
    </row>
    <row r="397" spans="13:27" x14ac:dyDescent="0.45"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AA397" s="1" t="str">
        <f>IF(OR(JobAgolMap="", $F397="", $G397=""),"",HYPERLINK(JobAgolMap&amp;IF(ISNUMBER(FIND("?",JobAgolMap)),"&amp;","?")&amp;"center="&amp;$G397&amp;","&amp;$F397&amp;"&amp;level=16&amp;marker="&amp;$G397&amp;","&amp;$F397,"Open"))</f>
        <v/>
      </c>
    </row>
    <row r="398" spans="13:27" x14ac:dyDescent="0.45"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AA398" s="1" t="str">
        <f>IF(OR(JobAgolMap="", $F398="", $G398=""),"",HYPERLINK(JobAgolMap&amp;IF(ISNUMBER(FIND("?",JobAgolMap)),"&amp;","?")&amp;"center="&amp;$G398&amp;","&amp;$F398&amp;"&amp;level=16&amp;marker="&amp;$G398&amp;","&amp;$F398,"Open"))</f>
        <v/>
      </c>
    </row>
    <row r="399" spans="13:27" x14ac:dyDescent="0.45"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AA399" s="1" t="str">
        <f>IF(OR(JobAgolMap="", $F399="", $G399=""),"",HYPERLINK(JobAgolMap&amp;IF(ISNUMBER(FIND("?",JobAgolMap)),"&amp;","?")&amp;"center="&amp;$G399&amp;","&amp;$F399&amp;"&amp;level=16&amp;marker="&amp;$G399&amp;","&amp;$F399,"Open"))</f>
        <v/>
      </c>
    </row>
    <row r="400" spans="13:27" x14ac:dyDescent="0.45"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AA400" s="1" t="str">
        <f>IF(OR(JobAgolMap="", $F400="", $G400=""),"",HYPERLINK(JobAgolMap&amp;IF(ISNUMBER(FIND("?",JobAgolMap)),"&amp;","?")&amp;"center="&amp;$G400&amp;","&amp;$F400&amp;"&amp;level=16&amp;marker="&amp;$G400&amp;","&amp;$F400,"Open"))</f>
        <v/>
      </c>
    </row>
    <row r="401" spans="13:27" x14ac:dyDescent="0.45"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AA401" s="1" t="str">
        <f>IF(OR(JobAgolMap="", $F401="", $G401=""),"",HYPERLINK(JobAgolMap&amp;IF(ISNUMBER(FIND("?",JobAgolMap)),"&amp;","?")&amp;"center="&amp;$G401&amp;","&amp;$F401&amp;"&amp;level=16&amp;marker="&amp;$G401&amp;","&amp;$F401,"Open"))</f>
        <v/>
      </c>
    </row>
    <row r="402" spans="13:27" x14ac:dyDescent="0.45"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AA402" s="1" t="str">
        <f>IF(OR(JobAgolMap="", $F402="", $G402=""),"",HYPERLINK(JobAgolMap&amp;IF(ISNUMBER(FIND("?",JobAgolMap)),"&amp;","?")&amp;"center="&amp;$G402&amp;","&amp;$F402&amp;"&amp;level=16&amp;marker="&amp;$G402&amp;","&amp;$F402,"Open"))</f>
        <v/>
      </c>
    </row>
    <row r="403" spans="13:27" x14ac:dyDescent="0.45"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AA403" s="1" t="str">
        <f>IF(OR(JobAgolMap="", $F403="", $G403=""),"",HYPERLINK(JobAgolMap&amp;IF(ISNUMBER(FIND("?",JobAgolMap)),"&amp;","?")&amp;"center="&amp;$G403&amp;","&amp;$F403&amp;"&amp;level=16&amp;marker="&amp;$G403&amp;","&amp;$F403,"Open"))</f>
        <v/>
      </c>
    </row>
    <row r="404" spans="13:27" x14ac:dyDescent="0.45"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AA404" s="1" t="str">
        <f>IF(OR(JobAgolMap="", $F404="", $G404=""),"",HYPERLINK(JobAgolMap&amp;IF(ISNUMBER(FIND("?",JobAgolMap)),"&amp;","?")&amp;"center="&amp;$G404&amp;","&amp;$F404&amp;"&amp;level=16&amp;marker="&amp;$G404&amp;","&amp;$F404,"Open"))</f>
        <v/>
      </c>
    </row>
    <row r="405" spans="13:27" x14ac:dyDescent="0.45"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AA405" s="1" t="str">
        <f>IF(OR(JobAgolMap="", $F405="", $G405=""),"",HYPERLINK(JobAgolMap&amp;IF(ISNUMBER(FIND("?",JobAgolMap)),"&amp;","?")&amp;"center="&amp;$G405&amp;","&amp;$F405&amp;"&amp;level=16&amp;marker="&amp;$G405&amp;","&amp;$F405,"Open"))</f>
        <v/>
      </c>
    </row>
    <row r="406" spans="13:27" x14ac:dyDescent="0.45"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AA406" s="1" t="str">
        <f>IF(OR(JobAgolMap="", $F406="", $G406=""),"",HYPERLINK(JobAgolMap&amp;IF(ISNUMBER(FIND("?",JobAgolMap)),"&amp;","?")&amp;"center="&amp;$G406&amp;","&amp;$F406&amp;"&amp;level=16&amp;marker="&amp;$G406&amp;","&amp;$F406,"Open"))</f>
        <v/>
      </c>
    </row>
    <row r="407" spans="13:27" x14ac:dyDescent="0.45"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AA407" s="1" t="str">
        <f>IF(OR(JobAgolMap="", $F407="", $G407=""),"",HYPERLINK(JobAgolMap&amp;IF(ISNUMBER(FIND("?",JobAgolMap)),"&amp;","?")&amp;"center="&amp;$G407&amp;","&amp;$F407&amp;"&amp;level=16&amp;marker="&amp;$G407&amp;","&amp;$F407,"Open"))</f>
        <v/>
      </c>
    </row>
    <row r="408" spans="13:27" x14ac:dyDescent="0.45"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AA408" s="1" t="str">
        <f>IF(OR(JobAgolMap="", $F408="", $G408=""),"",HYPERLINK(JobAgolMap&amp;IF(ISNUMBER(FIND("?",JobAgolMap)),"&amp;","?")&amp;"center="&amp;$G408&amp;","&amp;$F408&amp;"&amp;level=16&amp;marker="&amp;$G408&amp;","&amp;$F408,"Open"))</f>
        <v/>
      </c>
    </row>
    <row r="409" spans="13:27" x14ac:dyDescent="0.45"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AA409" s="1" t="str">
        <f>IF(OR(JobAgolMap="", $F409="", $G409=""),"",HYPERLINK(JobAgolMap&amp;IF(ISNUMBER(FIND("?",JobAgolMap)),"&amp;","?")&amp;"center="&amp;$G409&amp;","&amp;$F409&amp;"&amp;level=16&amp;marker="&amp;$G409&amp;","&amp;$F409,"Open"))</f>
        <v/>
      </c>
    </row>
    <row r="410" spans="13:27" x14ac:dyDescent="0.45"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AA410" s="1" t="str">
        <f>IF(OR(JobAgolMap="", $F410="", $G410=""),"",HYPERLINK(JobAgolMap&amp;IF(ISNUMBER(FIND("?",JobAgolMap)),"&amp;","?")&amp;"center="&amp;$G410&amp;","&amp;$F410&amp;"&amp;level=16&amp;marker="&amp;$G410&amp;","&amp;$F410,"Open"))</f>
        <v/>
      </c>
    </row>
    <row r="411" spans="13:27" x14ac:dyDescent="0.45"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AA411" s="1" t="str">
        <f>IF(OR(JobAgolMap="", $F411="", $G411=""),"",HYPERLINK(JobAgolMap&amp;IF(ISNUMBER(FIND("?",JobAgolMap)),"&amp;","?")&amp;"center="&amp;$G411&amp;","&amp;$F411&amp;"&amp;level=16&amp;marker="&amp;$G411&amp;","&amp;$F411,"Open"))</f>
        <v/>
      </c>
    </row>
    <row r="412" spans="13:27" x14ac:dyDescent="0.45"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AA412" s="1" t="str">
        <f>IF(OR(JobAgolMap="", $F412="", $G412=""),"",HYPERLINK(JobAgolMap&amp;IF(ISNUMBER(FIND("?",JobAgolMap)),"&amp;","?")&amp;"center="&amp;$G412&amp;","&amp;$F412&amp;"&amp;level=16&amp;marker="&amp;$G412&amp;","&amp;$F412,"Open"))</f>
        <v/>
      </c>
    </row>
    <row r="413" spans="13:27" x14ac:dyDescent="0.45"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AA413" s="1" t="str">
        <f>IF(OR(JobAgolMap="", $F413="", $G413=""),"",HYPERLINK(JobAgolMap&amp;IF(ISNUMBER(FIND("?",JobAgolMap)),"&amp;","?")&amp;"center="&amp;$G413&amp;","&amp;$F413&amp;"&amp;level=16&amp;marker="&amp;$G413&amp;","&amp;$F413,"Open"))</f>
        <v/>
      </c>
    </row>
    <row r="414" spans="13:27" x14ac:dyDescent="0.45"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AA414" s="1" t="str">
        <f>IF(OR(JobAgolMap="", $F414="", $G414=""),"",HYPERLINK(JobAgolMap&amp;IF(ISNUMBER(FIND("?",JobAgolMap)),"&amp;","?")&amp;"center="&amp;$G414&amp;","&amp;$F414&amp;"&amp;level=16&amp;marker="&amp;$G414&amp;","&amp;$F414,"Open"))</f>
        <v/>
      </c>
    </row>
    <row r="415" spans="13:27" x14ac:dyDescent="0.45"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AA415" s="1" t="str">
        <f>IF(OR(JobAgolMap="", $F415="", $G415=""),"",HYPERLINK(JobAgolMap&amp;IF(ISNUMBER(FIND("?",JobAgolMap)),"&amp;","?")&amp;"center="&amp;$G415&amp;","&amp;$F415&amp;"&amp;level=16&amp;marker="&amp;$G415&amp;","&amp;$F415,"Open"))</f>
        <v/>
      </c>
    </row>
    <row r="416" spans="13:27" x14ac:dyDescent="0.45"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AA416" s="1" t="str">
        <f>IF(OR(JobAgolMap="", $F416="", $G416=""),"",HYPERLINK(JobAgolMap&amp;IF(ISNUMBER(FIND("?",JobAgolMap)),"&amp;","?")&amp;"center="&amp;$G416&amp;","&amp;$F416&amp;"&amp;level=16&amp;marker="&amp;$G416&amp;","&amp;$F416,"Open"))</f>
        <v/>
      </c>
    </row>
    <row r="417" spans="13:27" x14ac:dyDescent="0.45"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AA417" s="1" t="str">
        <f>IF(OR(JobAgolMap="", $F417="", $G417=""),"",HYPERLINK(JobAgolMap&amp;IF(ISNUMBER(FIND("?",JobAgolMap)),"&amp;","?")&amp;"center="&amp;$G417&amp;","&amp;$F417&amp;"&amp;level=16&amp;marker="&amp;$G417&amp;","&amp;$F417,"Open"))</f>
        <v/>
      </c>
    </row>
    <row r="418" spans="13:27" x14ac:dyDescent="0.45"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AA418" s="1" t="str">
        <f>IF(OR(JobAgolMap="", $F418="", $G418=""),"",HYPERLINK(JobAgolMap&amp;IF(ISNUMBER(FIND("?",JobAgolMap)),"&amp;","?")&amp;"center="&amp;$G418&amp;","&amp;$F418&amp;"&amp;level=16&amp;marker="&amp;$G418&amp;","&amp;$F418,"Open"))</f>
        <v/>
      </c>
    </row>
    <row r="419" spans="13:27" x14ac:dyDescent="0.45"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AA419" s="1" t="str">
        <f>IF(OR(JobAgolMap="", $F419="", $G419=""),"",HYPERLINK(JobAgolMap&amp;IF(ISNUMBER(FIND("?",JobAgolMap)),"&amp;","?")&amp;"center="&amp;$G419&amp;","&amp;$F419&amp;"&amp;level=16&amp;marker="&amp;$G419&amp;","&amp;$F419,"Open"))</f>
        <v/>
      </c>
    </row>
    <row r="420" spans="13:27" x14ac:dyDescent="0.45"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AA420" s="1" t="str">
        <f>IF(OR(JobAgolMap="", $F420="", $G420=""),"",HYPERLINK(JobAgolMap&amp;IF(ISNUMBER(FIND("?",JobAgolMap)),"&amp;","?")&amp;"center="&amp;$G420&amp;","&amp;$F420&amp;"&amp;level=16&amp;marker="&amp;$G420&amp;","&amp;$F420,"Open"))</f>
        <v/>
      </c>
    </row>
    <row r="421" spans="13:27" x14ac:dyDescent="0.45"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AA421" s="1" t="str">
        <f>IF(OR(JobAgolMap="", $F421="", $G421=""),"",HYPERLINK(JobAgolMap&amp;IF(ISNUMBER(FIND("?",JobAgolMap)),"&amp;","?")&amp;"center="&amp;$G421&amp;","&amp;$F421&amp;"&amp;level=16&amp;marker="&amp;$G421&amp;","&amp;$F421,"Open"))</f>
        <v/>
      </c>
    </row>
    <row r="422" spans="13:27" x14ac:dyDescent="0.45"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AA422" s="1" t="str">
        <f>IF(OR(JobAgolMap="", $F422="", $G422=""),"",HYPERLINK(JobAgolMap&amp;IF(ISNUMBER(FIND("?",JobAgolMap)),"&amp;","?")&amp;"center="&amp;$G422&amp;","&amp;$F422&amp;"&amp;level=16&amp;marker="&amp;$G422&amp;","&amp;$F422,"Open"))</f>
        <v/>
      </c>
    </row>
    <row r="423" spans="13:27" x14ac:dyDescent="0.45"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AA423" s="1" t="str">
        <f>IF(OR(JobAgolMap="", $F423="", $G423=""),"",HYPERLINK(JobAgolMap&amp;IF(ISNUMBER(FIND("?",JobAgolMap)),"&amp;","?")&amp;"center="&amp;$G423&amp;","&amp;$F423&amp;"&amp;level=16&amp;marker="&amp;$G423&amp;","&amp;$F423,"Open"))</f>
        <v/>
      </c>
    </row>
    <row r="424" spans="13:27" x14ac:dyDescent="0.45"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AA424" s="1" t="str">
        <f>IF(OR(JobAgolMap="", $F424="", $G424=""),"",HYPERLINK(JobAgolMap&amp;IF(ISNUMBER(FIND("?",JobAgolMap)),"&amp;","?")&amp;"center="&amp;$G424&amp;","&amp;$F424&amp;"&amp;level=16&amp;marker="&amp;$G424&amp;","&amp;$F424,"Open"))</f>
        <v/>
      </c>
    </row>
    <row r="425" spans="13:27" x14ac:dyDescent="0.45"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AA425" s="1" t="str">
        <f>IF(OR(JobAgolMap="", $F425="", $G425=""),"",HYPERLINK(JobAgolMap&amp;IF(ISNUMBER(FIND("?",JobAgolMap)),"&amp;","?")&amp;"center="&amp;$G425&amp;","&amp;$F425&amp;"&amp;level=16&amp;marker="&amp;$G425&amp;","&amp;$F425,"Open"))</f>
        <v/>
      </c>
    </row>
    <row r="426" spans="13:27" x14ac:dyDescent="0.45"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AA426" s="1" t="str">
        <f>IF(OR(JobAgolMap="", $F426="", $G426=""),"",HYPERLINK(JobAgolMap&amp;IF(ISNUMBER(FIND("?",JobAgolMap)),"&amp;","?")&amp;"center="&amp;$G426&amp;","&amp;$F426&amp;"&amp;level=16&amp;marker="&amp;$G426&amp;","&amp;$F426,"Open"))</f>
        <v/>
      </c>
    </row>
    <row r="427" spans="13:27" x14ac:dyDescent="0.45"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AA427" s="1" t="str">
        <f>IF(OR(JobAgolMap="", $F427="", $G427=""),"",HYPERLINK(JobAgolMap&amp;IF(ISNUMBER(FIND("?",JobAgolMap)),"&amp;","?")&amp;"center="&amp;$G427&amp;","&amp;$F427&amp;"&amp;level=16&amp;marker="&amp;$G427&amp;","&amp;$F427,"Open"))</f>
        <v/>
      </c>
    </row>
    <row r="428" spans="13:27" x14ac:dyDescent="0.45"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AA428" s="1" t="str">
        <f>IF(OR(JobAgolMap="", $F428="", $G428=""),"",HYPERLINK(JobAgolMap&amp;IF(ISNUMBER(FIND("?",JobAgolMap)),"&amp;","?")&amp;"center="&amp;$G428&amp;","&amp;$F428&amp;"&amp;level=16&amp;marker="&amp;$G428&amp;","&amp;$F428,"Open"))</f>
        <v/>
      </c>
    </row>
    <row r="429" spans="13:27" x14ac:dyDescent="0.45"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AA429" s="1" t="str">
        <f>IF(OR(JobAgolMap="", $F429="", $G429=""),"",HYPERLINK(JobAgolMap&amp;IF(ISNUMBER(FIND("?",JobAgolMap)),"&amp;","?")&amp;"center="&amp;$G429&amp;","&amp;$F429&amp;"&amp;level=16&amp;marker="&amp;$G429&amp;","&amp;$F429,"Open"))</f>
        <v/>
      </c>
    </row>
    <row r="430" spans="13:27" x14ac:dyDescent="0.45"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AA430" s="1" t="str">
        <f>IF(OR(JobAgolMap="", $F430="", $G430=""),"",HYPERLINK(JobAgolMap&amp;IF(ISNUMBER(FIND("?",JobAgolMap)),"&amp;","?")&amp;"center="&amp;$G430&amp;","&amp;$F430&amp;"&amp;level=16&amp;marker="&amp;$G430&amp;","&amp;$F430,"Open"))</f>
        <v/>
      </c>
    </row>
    <row r="431" spans="13:27" x14ac:dyDescent="0.45"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AA431" s="1" t="str">
        <f>IF(OR(JobAgolMap="", $F431="", $G431=""),"",HYPERLINK(JobAgolMap&amp;IF(ISNUMBER(FIND("?",JobAgolMap)),"&amp;","?")&amp;"center="&amp;$G431&amp;","&amp;$F431&amp;"&amp;level=16&amp;marker="&amp;$G431&amp;","&amp;$F431,"Open"))</f>
        <v/>
      </c>
    </row>
    <row r="432" spans="13:27" x14ac:dyDescent="0.45"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AA432" s="1" t="str">
        <f>IF(OR(JobAgolMap="", $F432="", $G432=""),"",HYPERLINK(JobAgolMap&amp;IF(ISNUMBER(FIND("?",JobAgolMap)),"&amp;","?")&amp;"center="&amp;$G432&amp;","&amp;$F432&amp;"&amp;level=16&amp;marker="&amp;$G432&amp;","&amp;$F432,"Open"))</f>
        <v/>
      </c>
    </row>
    <row r="433" spans="13:27" x14ac:dyDescent="0.45"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AA433" s="1" t="str">
        <f>IF(OR(JobAgolMap="", $F433="", $G433=""),"",HYPERLINK(JobAgolMap&amp;IF(ISNUMBER(FIND("?",JobAgolMap)),"&amp;","?")&amp;"center="&amp;$G433&amp;","&amp;$F433&amp;"&amp;level=16&amp;marker="&amp;$G433&amp;","&amp;$F433,"Open"))</f>
        <v/>
      </c>
    </row>
    <row r="434" spans="13:27" x14ac:dyDescent="0.45"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AA434" s="1" t="str">
        <f>IF(OR(JobAgolMap="", $F434="", $G434=""),"",HYPERLINK(JobAgolMap&amp;IF(ISNUMBER(FIND("?",JobAgolMap)),"&amp;","?")&amp;"center="&amp;$G434&amp;","&amp;$F434&amp;"&amp;level=16&amp;marker="&amp;$G434&amp;","&amp;$F434,"Open"))</f>
        <v/>
      </c>
    </row>
    <row r="435" spans="13:27" x14ac:dyDescent="0.45"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AA435" s="1" t="str">
        <f>IF(OR(JobAgolMap="", $F435="", $G435=""),"",HYPERLINK(JobAgolMap&amp;IF(ISNUMBER(FIND("?",JobAgolMap)),"&amp;","?")&amp;"center="&amp;$G435&amp;","&amp;$F435&amp;"&amp;level=16&amp;marker="&amp;$G435&amp;","&amp;$F435,"Open"))</f>
        <v/>
      </c>
    </row>
    <row r="436" spans="13:27" x14ac:dyDescent="0.45"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AA436" s="1" t="str">
        <f>IF(OR(JobAgolMap="", $F436="", $G436=""),"",HYPERLINK(JobAgolMap&amp;IF(ISNUMBER(FIND("?",JobAgolMap)),"&amp;","?")&amp;"center="&amp;$G436&amp;","&amp;$F436&amp;"&amp;level=16&amp;marker="&amp;$G436&amp;","&amp;$F436,"Open"))</f>
        <v/>
      </c>
    </row>
    <row r="437" spans="13:27" x14ac:dyDescent="0.45"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AA437" s="1" t="str">
        <f>IF(OR(JobAgolMap="", $F437="", $G437=""),"",HYPERLINK(JobAgolMap&amp;IF(ISNUMBER(FIND("?",JobAgolMap)),"&amp;","?")&amp;"center="&amp;$G437&amp;","&amp;$F437&amp;"&amp;level=16&amp;marker="&amp;$G437&amp;","&amp;$F437,"Open"))</f>
        <v/>
      </c>
    </row>
    <row r="438" spans="13:27" x14ac:dyDescent="0.45"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AA438" s="1" t="str">
        <f>IF(OR(JobAgolMap="", $F438="", $G438=""),"",HYPERLINK(JobAgolMap&amp;IF(ISNUMBER(FIND("?",JobAgolMap)),"&amp;","?")&amp;"center="&amp;$G438&amp;","&amp;$F438&amp;"&amp;level=16&amp;marker="&amp;$G438&amp;","&amp;$F438,"Open"))</f>
        <v/>
      </c>
    </row>
    <row r="439" spans="13:27" x14ac:dyDescent="0.45"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AA439" s="1" t="str">
        <f>IF(OR(JobAgolMap="", $F439="", $G439=""),"",HYPERLINK(JobAgolMap&amp;IF(ISNUMBER(FIND("?",JobAgolMap)),"&amp;","?")&amp;"center="&amp;$G439&amp;","&amp;$F439&amp;"&amp;level=16&amp;marker="&amp;$G439&amp;","&amp;$F439,"Open"))</f>
        <v/>
      </c>
    </row>
    <row r="440" spans="13:27" x14ac:dyDescent="0.45"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AA440" s="1" t="str">
        <f>IF(OR(JobAgolMap="", $F440="", $G440=""),"",HYPERLINK(JobAgolMap&amp;IF(ISNUMBER(FIND("?",JobAgolMap)),"&amp;","?")&amp;"center="&amp;$G440&amp;","&amp;$F440&amp;"&amp;level=16&amp;marker="&amp;$G440&amp;","&amp;$F440,"Open"))</f>
        <v/>
      </c>
    </row>
    <row r="441" spans="13:27" x14ac:dyDescent="0.45"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AA441" s="1" t="str">
        <f>IF(OR(JobAgolMap="", $F441="", $G441=""),"",HYPERLINK(JobAgolMap&amp;IF(ISNUMBER(FIND("?",JobAgolMap)),"&amp;","?")&amp;"center="&amp;$G441&amp;","&amp;$F441&amp;"&amp;level=16&amp;marker="&amp;$G441&amp;","&amp;$F441,"Open"))</f>
        <v/>
      </c>
    </row>
    <row r="442" spans="13:27" x14ac:dyDescent="0.45"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AA442" s="1" t="str">
        <f>IF(OR(JobAgolMap="", $F442="", $G442=""),"",HYPERLINK(JobAgolMap&amp;IF(ISNUMBER(FIND("?",JobAgolMap)),"&amp;","?")&amp;"center="&amp;$G442&amp;","&amp;$F442&amp;"&amp;level=16&amp;marker="&amp;$G442&amp;","&amp;$F442,"Open"))</f>
        <v/>
      </c>
    </row>
    <row r="443" spans="13:27" x14ac:dyDescent="0.45"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AA443" s="1" t="str">
        <f>IF(OR(JobAgolMap="", $F443="", $G443=""),"",HYPERLINK(JobAgolMap&amp;IF(ISNUMBER(FIND("?",JobAgolMap)),"&amp;","?")&amp;"center="&amp;$G443&amp;","&amp;$F443&amp;"&amp;level=16&amp;marker="&amp;$G443&amp;","&amp;$F443,"Open"))</f>
        <v/>
      </c>
    </row>
    <row r="444" spans="13:27" x14ac:dyDescent="0.45"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AA444" s="1" t="str">
        <f>IF(OR(JobAgolMap="", $F444="", $G444=""),"",HYPERLINK(JobAgolMap&amp;IF(ISNUMBER(FIND("?",JobAgolMap)),"&amp;","?")&amp;"center="&amp;$G444&amp;","&amp;$F444&amp;"&amp;level=16&amp;marker="&amp;$G444&amp;","&amp;$F444,"Open"))</f>
        <v/>
      </c>
    </row>
    <row r="445" spans="13:27" x14ac:dyDescent="0.45"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AA445" s="1" t="str">
        <f>IF(OR(JobAgolMap="", $F445="", $G445=""),"",HYPERLINK(JobAgolMap&amp;IF(ISNUMBER(FIND("?",JobAgolMap)),"&amp;","?")&amp;"center="&amp;$G445&amp;","&amp;$F445&amp;"&amp;level=16&amp;marker="&amp;$G445&amp;","&amp;$F445,"Open"))</f>
        <v/>
      </c>
    </row>
    <row r="446" spans="13:27" x14ac:dyDescent="0.45"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AA446" s="1" t="str">
        <f>IF(OR(JobAgolMap="", $F446="", $G446=""),"",HYPERLINK(JobAgolMap&amp;IF(ISNUMBER(FIND("?",JobAgolMap)),"&amp;","?")&amp;"center="&amp;$G446&amp;","&amp;$F446&amp;"&amp;level=16&amp;marker="&amp;$G446&amp;","&amp;$F446,"Open"))</f>
        <v/>
      </c>
    </row>
    <row r="447" spans="13:27" x14ac:dyDescent="0.45"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AA447" s="1" t="str">
        <f>IF(OR(JobAgolMap="", $F447="", $G447=""),"",HYPERLINK(JobAgolMap&amp;IF(ISNUMBER(FIND("?",JobAgolMap)),"&amp;","?")&amp;"center="&amp;$G447&amp;","&amp;$F447&amp;"&amp;level=16&amp;marker="&amp;$G447&amp;","&amp;$F447,"Open"))</f>
        <v/>
      </c>
    </row>
    <row r="448" spans="13:27" x14ac:dyDescent="0.45"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AA448" s="1" t="str">
        <f>IF(OR(JobAgolMap="", $F448="", $G448=""),"",HYPERLINK(JobAgolMap&amp;IF(ISNUMBER(FIND("?",JobAgolMap)),"&amp;","?")&amp;"center="&amp;$G448&amp;","&amp;$F448&amp;"&amp;level=16&amp;marker="&amp;$G448&amp;","&amp;$F448,"Open"))</f>
        <v/>
      </c>
    </row>
    <row r="449" spans="13:27" x14ac:dyDescent="0.45"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AA449" s="1" t="str">
        <f>IF(OR(JobAgolMap="", $F449="", $G449=""),"",HYPERLINK(JobAgolMap&amp;IF(ISNUMBER(FIND("?",JobAgolMap)),"&amp;","?")&amp;"center="&amp;$G449&amp;","&amp;$F449&amp;"&amp;level=16&amp;marker="&amp;$G449&amp;","&amp;$F449,"Open"))</f>
        <v/>
      </c>
    </row>
    <row r="450" spans="13:27" x14ac:dyDescent="0.45">
      <c r="M450" s="1" t="str">
        <f t="shared" ref="M450:M501" si="42">IF(OR($F450="",$G450=""),"",HYPERLINK("https://www.google.com/maps?q="&amp;$F450&amp;","&amp;$G450&amp;"","Map"))</f>
        <v/>
      </c>
      <c r="N450" s="1" t="str">
        <f t="shared" ref="N450:N501" si="43">IF(OR($F450="",$G450=""),"",HYPERLINK("https://www.google.com/maps?q&amp;layer=c&amp;cbll="&amp;$F450&amp;","&amp;$G450&amp;"","Street"))</f>
        <v/>
      </c>
      <c r="O450" s="1" t="str">
        <f t="shared" ref="O450:O501" si="44">IF(OR($F450="",$G450=""),"",HYPERLINK("https://www.bing.com/maps?cp="&amp;$F450&amp;"~"&amp;$G450&amp;"&amp;lvl=18&amp;style=h","Bing"))</f>
        <v/>
      </c>
      <c r="P450" s="1" t="str">
        <f t="shared" ref="P450:P501" si="45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46">IF(OR($F450="",$G450=""),"",HYPERLINK("https://msc.fema.gov/portal/firmette?latitude="&amp;$F450&amp;"&amp;longitude="&amp;$G450&amp;"","FIRMette"))</f>
        <v/>
      </c>
      <c r="R450" s="1" t="str">
        <f t="shared" ref="R450:R501" si="47">IF(OR($F450="",$G450=""),"",HYPERLINK("https://fema.maps.arcgis.com/apps/mapviewer/index.html?webmap=6a1702b9147243d1a5ee62cd614bc681&amp;center="&amp;$G450&amp;","&amp;$F450&amp;"&amp;level=16&amp;marker="&amp;$G450&amp;","&amp;$F450&amp;"&amp;visibleLayers=NfcNhsPub_8332%2C193df725e5e-layer-20","Open"))</f>
        <v/>
      </c>
      <c r="AA450" s="1" t="str">
        <f>IF(OR(JobAgolMap="", $F450="", $G450=""),"",HYPERLINK(JobAgolMap&amp;IF(ISNUMBER(FIND("?",JobAgolMap)),"&amp;","?")&amp;"center="&amp;$G450&amp;","&amp;$F450&amp;"&amp;level=16&amp;marker="&amp;$G450&amp;","&amp;$F450,"Open"))</f>
        <v/>
      </c>
    </row>
    <row r="451" spans="13:27" x14ac:dyDescent="0.45">
      <c r="M451" s="1" t="str">
        <f t="shared" si="42"/>
        <v/>
      </c>
      <c r="N451" s="1" t="str">
        <f t="shared" si="43"/>
        <v/>
      </c>
      <c r="O451" s="1" t="str">
        <f t="shared" si="44"/>
        <v/>
      </c>
      <c r="P451" s="1" t="str">
        <f t="shared" si="45"/>
        <v/>
      </c>
      <c r="Q451" s="1" t="str">
        <f t="shared" si="46"/>
        <v/>
      </c>
      <c r="R451" s="1" t="str">
        <f t="shared" si="47"/>
        <v/>
      </c>
      <c r="AA451" s="1" t="str">
        <f>IF(OR(JobAgolMap="", $F451="", $G451=""),"",HYPERLINK(JobAgolMap&amp;IF(ISNUMBER(FIND("?",JobAgolMap)),"&amp;","?")&amp;"center="&amp;$G451&amp;","&amp;$F451&amp;"&amp;level=16&amp;marker="&amp;$G451&amp;","&amp;$F451,"Open"))</f>
        <v/>
      </c>
    </row>
    <row r="452" spans="13:27" x14ac:dyDescent="0.45"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AA452" s="1" t="str">
        <f>IF(OR(JobAgolMap="", $F452="", $G452=""),"",HYPERLINK(JobAgolMap&amp;IF(ISNUMBER(FIND("?",JobAgolMap)),"&amp;","?")&amp;"center="&amp;$G452&amp;","&amp;$F452&amp;"&amp;level=16&amp;marker="&amp;$G452&amp;","&amp;$F452,"Open"))</f>
        <v/>
      </c>
    </row>
    <row r="453" spans="13:27" x14ac:dyDescent="0.45"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AA453" s="1" t="str">
        <f>IF(OR(JobAgolMap="", $F453="", $G453=""),"",HYPERLINK(JobAgolMap&amp;IF(ISNUMBER(FIND("?",JobAgolMap)),"&amp;","?")&amp;"center="&amp;$G453&amp;","&amp;$F453&amp;"&amp;level=16&amp;marker="&amp;$G453&amp;","&amp;$F453,"Open"))</f>
        <v/>
      </c>
    </row>
    <row r="454" spans="13:27" x14ac:dyDescent="0.45"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AA454" s="1" t="str">
        <f>IF(OR(JobAgolMap="", $F454="", $G454=""),"",HYPERLINK(JobAgolMap&amp;IF(ISNUMBER(FIND("?",JobAgolMap)),"&amp;","?")&amp;"center="&amp;$G454&amp;","&amp;$F454&amp;"&amp;level=16&amp;marker="&amp;$G454&amp;","&amp;$F454,"Open"))</f>
        <v/>
      </c>
    </row>
    <row r="455" spans="13:27" x14ac:dyDescent="0.45"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AA455" s="1" t="str">
        <f>IF(OR(JobAgolMap="", $F455="", $G455=""),"",HYPERLINK(JobAgolMap&amp;IF(ISNUMBER(FIND("?",JobAgolMap)),"&amp;","?")&amp;"center="&amp;$G455&amp;","&amp;$F455&amp;"&amp;level=16&amp;marker="&amp;$G455&amp;","&amp;$F455,"Open"))</f>
        <v/>
      </c>
    </row>
    <row r="456" spans="13:27" x14ac:dyDescent="0.45"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AA456" s="1" t="str">
        <f>IF(OR(JobAgolMap="", $F456="", $G456=""),"",HYPERLINK(JobAgolMap&amp;IF(ISNUMBER(FIND("?",JobAgolMap)),"&amp;","?")&amp;"center="&amp;$G456&amp;","&amp;$F456&amp;"&amp;level=16&amp;marker="&amp;$G456&amp;","&amp;$F456,"Open"))</f>
        <v/>
      </c>
    </row>
    <row r="457" spans="13:27" x14ac:dyDescent="0.45"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AA457" s="1" t="str">
        <f>IF(OR(JobAgolMap="", $F457="", $G457=""),"",HYPERLINK(JobAgolMap&amp;IF(ISNUMBER(FIND("?",JobAgolMap)),"&amp;","?")&amp;"center="&amp;$G457&amp;","&amp;$F457&amp;"&amp;level=16&amp;marker="&amp;$G457&amp;","&amp;$F457,"Open"))</f>
        <v/>
      </c>
    </row>
    <row r="458" spans="13:27" x14ac:dyDescent="0.45"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AA458" s="1" t="str">
        <f>IF(OR(JobAgolMap="", $F458="", $G458=""),"",HYPERLINK(JobAgolMap&amp;IF(ISNUMBER(FIND("?",JobAgolMap)),"&amp;","?")&amp;"center="&amp;$G458&amp;","&amp;$F458&amp;"&amp;level=16&amp;marker="&amp;$G458&amp;","&amp;$F458,"Open"))</f>
        <v/>
      </c>
    </row>
    <row r="459" spans="13:27" x14ac:dyDescent="0.45"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AA459" s="1" t="str">
        <f>IF(OR(JobAgolMap="", $F459="", $G459=""),"",HYPERLINK(JobAgolMap&amp;IF(ISNUMBER(FIND("?",JobAgolMap)),"&amp;","?")&amp;"center="&amp;$G459&amp;","&amp;$F459&amp;"&amp;level=16&amp;marker="&amp;$G459&amp;","&amp;$F459,"Open"))</f>
        <v/>
      </c>
    </row>
    <row r="460" spans="13:27" x14ac:dyDescent="0.45"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AA460" s="1" t="str">
        <f>IF(OR(JobAgolMap="", $F460="", $G460=""),"",HYPERLINK(JobAgolMap&amp;IF(ISNUMBER(FIND("?",JobAgolMap)),"&amp;","?")&amp;"center="&amp;$G460&amp;","&amp;$F460&amp;"&amp;level=16&amp;marker="&amp;$G460&amp;","&amp;$F460,"Open"))</f>
        <v/>
      </c>
    </row>
    <row r="461" spans="13:27" x14ac:dyDescent="0.45"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AA461" s="1" t="str">
        <f>IF(OR(JobAgolMap="", $F461="", $G461=""),"",HYPERLINK(JobAgolMap&amp;IF(ISNUMBER(FIND("?",JobAgolMap)),"&amp;","?")&amp;"center="&amp;$G461&amp;","&amp;$F461&amp;"&amp;level=16&amp;marker="&amp;$G461&amp;","&amp;$F461,"Open"))</f>
        <v/>
      </c>
    </row>
    <row r="462" spans="13:27" x14ac:dyDescent="0.45"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AA462" s="1" t="str">
        <f>IF(OR(JobAgolMap="", $F462="", $G462=""),"",HYPERLINK(JobAgolMap&amp;IF(ISNUMBER(FIND("?",JobAgolMap)),"&amp;","?")&amp;"center="&amp;$G462&amp;","&amp;$F462&amp;"&amp;level=16&amp;marker="&amp;$G462&amp;","&amp;$F462,"Open"))</f>
        <v/>
      </c>
    </row>
    <row r="463" spans="13:27" x14ac:dyDescent="0.45"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AA463" s="1" t="str">
        <f>IF(OR(JobAgolMap="", $F463="", $G463=""),"",HYPERLINK(JobAgolMap&amp;IF(ISNUMBER(FIND("?",JobAgolMap)),"&amp;","?")&amp;"center="&amp;$G463&amp;","&amp;$F463&amp;"&amp;level=16&amp;marker="&amp;$G463&amp;","&amp;$F463,"Open"))</f>
        <v/>
      </c>
    </row>
    <row r="464" spans="13:27" x14ac:dyDescent="0.45"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AA464" s="1" t="str">
        <f>IF(OR(JobAgolMap="", $F464="", $G464=""),"",HYPERLINK(JobAgolMap&amp;IF(ISNUMBER(FIND("?",JobAgolMap)),"&amp;","?")&amp;"center="&amp;$G464&amp;","&amp;$F464&amp;"&amp;level=16&amp;marker="&amp;$G464&amp;","&amp;$F464,"Open"))</f>
        <v/>
      </c>
    </row>
    <row r="465" spans="13:27" x14ac:dyDescent="0.45"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AA465" s="1" t="str">
        <f>IF(OR(JobAgolMap="", $F465="", $G465=""),"",HYPERLINK(JobAgolMap&amp;IF(ISNUMBER(FIND("?",JobAgolMap)),"&amp;","?")&amp;"center="&amp;$G465&amp;","&amp;$F465&amp;"&amp;level=16&amp;marker="&amp;$G465&amp;","&amp;$F465,"Open"))</f>
        <v/>
      </c>
    </row>
    <row r="466" spans="13:27" x14ac:dyDescent="0.45"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AA466" s="1" t="str">
        <f>IF(OR(JobAgolMap="", $F466="", $G466=""),"",HYPERLINK(JobAgolMap&amp;IF(ISNUMBER(FIND("?",JobAgolMap)),"&amp;","?")&amp;"center="&amp;$G466&amp;","&amp;$F466&amp;"&amp;level=16&amp;marker="&amp;$G466&amp;","&amp;$F466,"Open"))</f>
        <v/>
      </c>
    </row>
    <row r="467" spans="13:27" x14ac:dyDescent="0.45"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AA467" s="1" t="str">
        <f>IF(OR(JobAgolMap="", $F467="", $G467=""),"",HYPERLINK(JobAgolMap&amp;IF(ISNUMBER(FIND("?",JobAgolMap)),"&amp;","?")&amp;"center="&amp;$G467&amp;","&amp;$F467&amp;"&amp;level=16&amp;marker="&amp;$G467&amp;","&amp;$F467,"Open"))</f>
        <v/>
      </c>
    </row>
    <row r="468" spans="13:27" x14ac:dyDescent="0.45"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AA468" s="1" t="str">
        <f>IF(OR(JobAgolMap="", $F468="", $G468=""),"",HYPERLINK(JobAgolMap&amp;IF(ISNUMBER(FIND("?",JobAgolMap)),"&amp;","?")&amp;"center="&amp;$G468&amp;","&amp;$F468&amp;"&amp;level=16&amp;marker="&amp;$G468&amp;","&amp;$F468,"Open"))</f>
        <v/>
      </c>
    </row>
    <row r="469" spans="13:27" x14ac:dyDescent="0.45"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AA469" s="1" t="str">
        <f>IF(OR(JobAgolMap="", $F469="", $G469=""),"",HYPERLINK(JobAgolMap&amp;IF(ISNUMBER(FIND("?",JobAgolMap)),"&amp;","?")&amp;"center="&amp;$G469&amp;","&amp;$F469&amp;"&amp;level=16&amp;marker="&amp;$G469&amp;","&amp;$F469,"Open"))</f>
        <v/>
      </c>
    </row>
    <row r="470" spans="13:27" x14ac:dyDescent="0.45"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AA470" s="1" t="str">
        <f>IF(OR(JobAgolMap="", $F470="", $G470=""),"",HYPERLINK(JobAgolMap&amp;IF(ISNUMBER(FIND("?",JobAgolMap)),"&amp;","?")&amp;"center="&amp;$G470&amp;","&amp;$F470&amp;"&amp;level=16&amp;marker="&amp;$G470&amp;","&amp;$F470,"Open"))</f>
        <v/>
      </c>
    </row>
    <row r="471" spans="13:27" x14ac:dyDescent="0.45"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AA471" s="1" t="str">
        <f>IF(OR(JobAgolMap="", $F471="", $G471=""),"",HYPERLINK(JobAgolMap&amp;IF(ISNUMBER(FIND("?",JobAgolMap)),"&amp;","?")&amp;"center="&amp;$G471&amp;","&amp;$F471&amp;"&amp;level=16&amp;marker="&amp;$G471&amp;","&amp;$F471,"Open"))</f>
        <v/>
      </c>
    </row>
    <row r="472" spans="13:27" x14ac:dyDescent="0.45"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AA472" s="1" t="str">
        <f>IF(OR(JobAgolMap="", $F472="", $G472=""),"",HYPERLINK(JobAgolMap&amp;IF(ISNUMBER(FIND("?",JobAgolMap)),"&amp;","?")&amp;"center="&amp;$G472&amp;","&amp;$F472&amp;"&amp;level=16&amp;marker="&amp;$G472&amp;","&amp;$F472,"Open"))</f>
        <v/>
      </c>
    </row>
    <row r="473" spans="13:27" x14ac:dyDescent="0.45"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AA473" s="1" t="str">
        <f>IF(OR(JobAgolMap="", $F473="", $G473=""),"",HYPERLINK(JobAgolMap&amp;IF(ISNUMBER(FIND("?",JobAgolMap)),"&amp;","?")&amp;"center="&amp;$G473&amp;","&amp;$F473&amp;"&amp;level=16&amp;marker="&amp;$G473&amp;","&amp;$F473,"Open"))</f>
        <v/>
      </c>
    </row>
    <row r="474" spans="13:27" x14ac:dyDescent="0.45"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AA474" s="1" t="str">
        <f>IF(OR(JobAgolMap="", $F474="", $G474=""),"",HYPERLINK(JobAgolMap&amp;IF(ISNUMBER(FIND("?",JobAgolMap)),"&amp;","?")&amp;"center="&amp;$G474&amp;","&amp;$F474&amp;"&amp;level=16&amp;marker="&amp;$G474&amp;","&amp;$F474,"Open"))</f>
        <v/>
      </c>
    </row>
    <row r="475" spans="13:27" x14ac:dyDescent="0.45"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AA475" s="1" t="str">
        <f>IF(OR(JobAgolMap="", $F475="", $G475=""),"",HYPERLINK(JobAgolMap&amp;IF(ISNUMBER(FIND("?",JobAgolMap)),"&amp;","?")&amp;"center="&amp;$G475&amp;","&amp;$F475&amp;"&amp;level=16&amp;marker="&amp;$G475&amp;","&amp;$F475,"Open"))</f>
        <v/>
      </c>
    </row>
    <row r="476" spans="13:27" x14ac:dyDescent="0.45"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AA476" s="1" t="str">
        <f>IF(OR(JobAgolMap="", $F476="", $G476=""),"",HYPERLINK(JobAgolMap&amp;IF(ISNUMBER(FIND("?",JobAgolMap)),"&amp;","?")&amp;"center="&amp;$G476&amp;","&amp;$F476&amp;"&amp;level=16&amp;marker="&amp;$G476&amp;","&amp;$F476,"Open"))</f>
        <v/>
      </c>
    </row>
    <row r="477" spans="13:27" x14ac:dyDescent="0.45"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AA477" s="1" t="str">
        <f>IF(OR(JobAgolMap="", $F477="", $G477=""),"",HYPERLINK(JobAgolMap&amp;IF(ISNUMBER(FIND("?",JobAgolMap)),"&amp;","?")&amp;"center="&amp;$G477&amp;","&amp;$F477&amp;"&amp;level=16&amp;marker="&amp;$G477&amp;","&amp;$F477,"Open"))</f>
        <v/>
      </c>
    </row>
    <row r="478" spans="13:27" x14ac:dyDescent="0.45"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AA478" s="1" t="str">
        <f>IF(OR(JobAgolMap="", $F478="", $G478=""),"",HYPERLINK(JobAgolMap&amp;IF(ISNUMBER(FIND("?",JobAgolMap)),"&amp;","?")&amp;"center="&amp;$G478&amp;","&amp;$F478&amp;"&amp;level=16&amp;marker="&amp;$G478&amp;","&amp;$F478,"Open"))</f>
        <v/>
      </c>
    </row>
    <row r="479" spans="13:27" x14ac:dyDescent="0.45"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AA479" s="1" t="str">
        <f>IF(OR(JobAgolMap="", $F479="", $G479=""),"",HYPERLINK(JobAgolMap&amp;IF(ISNUMBER(FIND("?",JobAgolMap)),"&amp;","?")&amp;"center="&amp;$G479&amp;","&amp;$F479&amp;"&amp;level=16&amp;marker="&amp;$G479&amp;","&amp;$F479,"Open"))</f>
        <v/>
      </c>
    </row>
    <row r="480" spans="13:27" x14ac:dyDescent="0.45"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AA480" s="1" t="str">
        <f>IF(OR(JobAgolMap="", $F480="", $G480=""),"",HYPERLINK(JobAgolMap&amp;IF(ISNUMBER(FIND("?",JobAgolMap)),"&amp;","?")&amp;"center="&amp;$G480&amp;","&amp;$F480&amp;"&amp;level=16&amp;marker="&amp;$G480&amp;","&amp;$F480,"Open"))</f>
        <v/>
      </c>
    </row>
    <row r="481" spans="13:27" x14ac:dyDescent="0.45"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AA481" s="1" t="str">
        <f>IF(OR(JobAgolMap="", $F481="", $G481=""),"",HYPERLINK(JobAgolMap&amp;IF(ISNUMBER(FIND("?",JobAgolMap)),"&amp;","?")&amp;"center="&amp;$G481&amp;","&amp;$F481&amp;"&amp;level=16&amp;marker="&amp;$G481&amp;","&amp;$F481,"Open"))</f>
        <v/>
      </c>
    </row>
    <row r="482" spans="13:27" x14ac:dyDescent="0.45"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AA482" s="1" t="str">
        <f>IF(OR(JobAgolMap="", $F482="", $G482=""),"",HYPERLINK(JobAgolMap&amp;IF(ISNUMBER(FIND("?",JobAgolMap)),"&amp;","?")&amp;"center="&amp;$G482&amp;","&amp;$F482&amp;"&amp;level=16&amp;marker="&amp;$G482&amp;","&amp;$F482,"Open"))</f>
        <v/>
      </c>
    </row>
    <row r="483" spans="13:27" x14ac:dyDescent="0.45"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AA483" s="1" t="str">
        <f>IF(OR(JobAgolMap="", $F483="", $G483=""),"",HYPERLINK(JobAgolMap&amp;IF(ISNUMBER(FIND("?",JobAgolMap)),"&amp;","?")&amp;"center="&amp;$G483&amp;","&amp;$F483&amp;"&amp;level=16&amp;marker="&amp;$G483&amp;","&amp;$F483,"Open"))</f>
        <v/>
      </c>
    </row>
    <row r="484" spans="13:27" x14ac:dyDescent="0.45"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AA484" s="1" t="str">
        <f>IF(OR(JobAgolMap="", $F484="", $G484=""),"",HYPERLINK(JobAgolMap&amp;IF(ISNUMBER(FIND("?",JobAgolMap)),"&amp;","?")&amp;"center="&amp;$G484&amp;","&amp;$F484&amp;"&amp;level=16&amp;marker="&amp;$G484&amp;","&amp;$F484,"Open"))</f>
        <v/>
      </c>
    </row>
    <row r="485" spans="13:27" x14ac:dyDescent="0.45"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AA485" s="1" t="str">
        <f>IF(OR(JobAgolMap="", $F485="", $G485=""),"",HYPERLINK(JobAgolMap&amp;IF(ISNUMBER(FIND("?",JobAgolMap)),"&amp;","?")&amp;"center="&amp;$G485&amp;","&amp;$F485&amp;"&amp;level=16&amp;marker="&amp;$G485&amp;","&amp;$F485,"Open"))</f>
        <v/>
      </c>
    </row>
    <row r="486" spans="13:27" x14ac:dyDescent="0.45"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AA486" s="1" t="str">
        <f>IF(OR(JobAgolMap="", $F486="", $G486=""),"",HYPERLINK(JobAgolMap&amp;IF(ISNUMBER(FIND("?",JobAgolMap)),"&amp;","?")&amp;"center="&amp;$G486&amp;","&amp;$F486&amp;"&amp;level=16&amp;marker="&amp;$G486&amp;","&amp;$F486,"Open"))</f>
        <v/>
      </c>
    </row>
    <row r="487" spans="13:27" x14ac:dyDescent="0.45"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AA487" s="1" t="str">
        <f>IF(OR(JobAgolMap="", $F487="", $G487=""),"",HYPERLINK(JobAgolMap&amp;IF(ISNUMBER(FIND("?",JobAgolMap)),"&amp;","?")&amp;"center="&amp;$G487&amp;","&amp;$F487&amp;"&amp;level=16&amp;marker="&amp;$G487&amp;","&amp;$F487,"Open"))</f>
        <v/>
      </c>
    </row>
    <row r="488" spans="13:27" x14ac:dyDescent="0.45"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AA488" s="1" t="str">
        <f>IF(OR(JobAgolMap="", $F488="", $G488=""),"",HYPERLINK(JobAgolMap&amp;IF(ISNUMBER(FIND("?",JobAgolMap)),"&amp;","?")&amp;"center="&amp;$G488&amp;","&amp;$F488&amp;"&amp;level=16&amp;marker="&amp;$G488&amp;","&amp;$F488,"Open"))</f>
        <v/>
      </c>
    </row>
    <row r="489" spans="13:27" x14ac:dyDescent="0.45"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AA489" s="1" t="str">
        <f>IF(OR(JobAgolMap="", $F489="", $G489=""),"",HYPERLINK(JobAgolMap&amp;IF(ISNUMBER(FIND("?",JobAgolMap)),"&amp;","?")&amp;"center="&amp;$G489&amp;","&amp;$F489&amp;"&amp;level=16&amp;marker="&amp;$G489&amp;","&amp;$F489,"Open"))</f>
        <v/>
      </c>
    </row>
    <row r="490" spans="13:27" x14ac:dyDescent="0.45"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AA490" s="1" t="str">
        <f>IF(OR(JobAgolMap="", $F490="", $G490=""),"",HYPERLINK(JobAgolMap&amp;IF(ISNUMBER(FIND("?",JobAgolMap)),"&amp;","?")&amp;"center="&amp;$G490&amp;","&amp;$F490&amp;"&amp;level=16&amp;marker="&amp;$G490&amp;","&amp;$F490,"Open"))</f>
        <v/>
      </c>
    </row>
    <row r="491" spans="13:27" x14ac:dyDescent="0.45"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AA491" s="1" t="str">
        <f>IF(OR(JobAgolMap="", $F491="", $G491=""),"",HYPERLINK(JobAgolMap&amp;IF(ISNUMBER(FIND("?",JobAgolMap)),"&amp;","?")&amp;"center="&amp;$G491&amp;","&amp;$F491&amp;"&amp;level=16&amp;marker="&amp;$G491&amp;","&amp;$F491,"Open"))</f>
        <v/>
      </c>
    </row>
    <row r="492" spans="13:27" x14ac:dyDescent="0.45"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AA492" s="1" t="str">
        <f>IF(OR(JobAgolMap="", $F492="", $G492=""),"",HYPERLINK(JobAgolMap&amp;IF(ISNUMBER(FIND("?",JobAgolMap)),"&amp;","?")&amp;"center="&amp;$G492&amp;","&amp;$F492&amp;"&amp;level=16&amp;marker="&amp;$G492&amp;","&amp;$F492,"Open"))</f>
        <v/>
      </c>
    </row>
    <row r="493" spans="13:27" x14ac:dyDescent="0.45"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AA493" s="1" t="str">
        <f>IF(OR(JobAgolMap="", $F493="", $G493=""),"",HYPERLINK(JobAgolMap&amp;IF(ISNUMBER(FIND("?",JobAgolMap)),"&amp;","?")&amp;"center="&amp;$G493&amp;","&amp;$F493&amp;"&amp;level=16&amp;marker="&amp;$G493&amp;","&amp;$F493,"Open"))</f>
        <v/>
      </c>
    </row>
    <row r="494" spans="13:27" x14ac:dyDescent="0.45"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AA494" s="1" t="str">
        <f>IF(OR(JobAgolMap="", $F494="", $G494=""),"",HYPERLINK(JobAgolMap&amp;IF(ISNUMBER(FIND("?",JobAgolMap)),"&amp;","?")&amp;"center="&amp;$G494&amp;","&amp;$F494&amp;"&amp;level=16&amp;marker="&amp;$G494&amp;","&amp;$F494,"Open"))</f>
        <v/>
      </c>
    </row>
    <row r="495" spans="13:27" x14ac:dyDescent="0.45"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AA495" s="1" t="str">
        <f>IF(OR(JobAgolMap="", $F495="", $G495=""),"",HYPERLINK(JobAgolMap&amp;IF(ISNUMBER(FIND("?",JobAgolMap)),"&amp;","?")&amp;"center="&amp;$G495&amp;","&amp;$F495&amp;"&amp;level=16&amp;marker="&amp;$G495&amp;","&amp;$F495,"Open"))</f>
        <v/>
      </c>
    </row>
    <row r="496" spans="13:27" x14ac:dyDescent="0.45"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AA496" s="1" t="str">
        <f>IF(OR(JobAgolMap="", $F496="", $G496=""),"",HYPERLINK(JobAgolMap&amp;IF(ISNUMBER(FIND("?",JobAgolMap)),"&amp;","?")&amp;"center="&amp;$G496&amp;","&amp;$F496&amp;"&amp;level=16&amp;marker="&amp;$G496&amp;","&amp;$F496,"Open"))</f>
        <v/>
      </c>
    </row>
    <row r="497" spans="13:27" x14ac:dyDescent="0.45"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AA497" s="1" t="str">
        <f>IF(OR(JobAgolMap="", $F497="", $G497=""),"",HYPERLINK(JobAgolMap&amp;IF(ISNUMBER(FIND("?",JobAgolMap)),"&amp;","?")&amp;"center="&amp;$G497&amp;","&amp;$F497&amp;"&amp;level=16&amp;marker="&amp;$G497&amp;","&amp;$F497,"Open"))</f>
        <v/>
      </c>
    </row>
    <row r="498" spans="13:27" x14ac:dyDescent="0.45"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AA498" s="1" t="str">
        <f>IF(OR(JobAgolMap="", $F498="", $G498=""),"",HYPERLINK(JobAgolMap&amp;IF(ISNUMBER(FIND("?",JobAgolMap)),"&amp;","?")&amp;"center="&amp;$G498&amp;","&amp;$F498&amp;"&amp;level=16&amp;marker="&amp;$G498&amp;","&amp;$F498,"Open"))</f>
        <v/>
      </c>
    </row>
    <row r="499" spans="13:27" x14ac:dyDescent="0.45"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AA499" s="1" t="str">
        <f>IF(OR(JobAgolMap="", $F499="", $G499=""),"",HYPERLINK(JobAgolMap&amp;IF(ISNUMBER(FIND("?",JobAgolMap)),"&amp;","?")&amp;"center="&amp;$G499&amp;","&amp;$F499&amp;"&amp;level=16&amp;marker="&amp;$G499&amp;","&amp;$F499,"Open"))</f>
        <v/>
      </c>
    </row>
    <row r="500" spans="13:27" x14ac:dyDescent="0.45"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AA500" s="1" t="str">
        <f>IF(OR(JobAgolMap="", $F500="", $G500=""),"",HYPERLINK(JobAgolMap&amp;IF(ISNUMBER(FIND("?",JobAgolMap)),"&amp;","?")&amp;"center="&amp;$G500&amp;","&amp;$F500&amp;"&amp;level=16&amp;marker="&amp;$G500&amp;","&amp;$F500,"Open"))</f>
        <v/>
      </c>
    </row>
    <row r="501" spans="13:27" x14ac:dyDescent="0.45"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AA501" s="1" t="str">
        <f>IF(OR(JobAgolMap="", $F501="", $G501=""),"",HYPERLINK(JobAgolMap&amp;IF(ISNUMBER(FIND("?",JobAgolMap)),"&amp;","?")&amp;"center="&amp;$G501&amp;","&amp;$F501&amp;"&amp;level=16&amp;marker="&amp;$G501&amp;","&amp;$F501,"Open"))</f>
        <v/>
      </c>
    </row>
  </sheetData>
  <autoFilter ref="A1:AA1" xr:uid="{26BAC512-07FA-4E3D-8457-5F236C7E7EC5}"/>
  <conditionalFormatting sqref="S2:X501">
    <cfRule type="expression" dxfId="2" priority="1" stopIfTrue="1">
      <formula>LEFT($X2,15)="Non-federal aid"</formula>
    </cfRule>
    <cfRule type="expression" dxfId="1" priority="2" stopIfTrue="1">
      <formula>LEFT($X2,11)="Federal aid"</formula>
    </cfRule>
    <cfRule type="expression" dxfId="0" priority="3" stopIfTrue="1">
      <formula>LEFT($X2,6)="Review"</formula>
    </cfRule>
  </conditionalFormatting>
  <dataValidations count="2">
    <dataValidation type="decimal" allowBlank="1" showInputMessage="1" showErrorMessage="1" error="Latitude must be between -90 and 90." sqref="F2:F501" xr:uid="{915F9267-D6AA-47B8-92F2-D2CDBAD1F6A3}">
      <formula1>-90</formula1>
      <formula2>90</formula2>
    </dataValidation>
    <dataValidation type="decimal" allowBlank="1" showInputMessage="1" showErrorMessage="1" error="Longitude must be between -180 and 180." sqref="G2:G501" xr:uid="{36665A48-B846-4BAC-8E7D-303C28174E54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8093-0957-493C-958D-9D38D72294AD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41</v>
      </c>
    </row>
    <row r="3" spans="2:2" x14ac:dyDescent="0.45">
      <c r="B3" s="4" t="s">
        <v>42</v>
      </c>
    </row>
    <row r="5" spans="2:2" x14ac:dyDescent="0.45">
      <c r="B5" s="7" t="s">
        <v>43</v>
      </c>
    </row>
    <row r="6" spans="2:2" x14ac:dyDescent="0.45">
      <c r="B6" s="7" t="s">
        <v>44</v>
      </c>
    </row>
    <row r="7" spans="2:2" x14ac:dyDescent="0.45">
      <c r="B7" s="7" t="s">
        <v>45</v>
      </c>
    </row>
    <row r="8" spans="2:2" x14ac:dyDescent="0.45">
      <c r="B8" s="7" t="s">
        <v>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B6A4-3125-4F85-84BC-2D7B0E738C7D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9890D-92C4-409F-8599-BF1D498B956C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52</v>
      </c>
    </row>
    <row r="3" spans="2:2" x14ac:dyDescent="0.45">
      <c r="B3" s="4" t="s">
        <v>53</v>
      </c>
    </row>
    <row r="5" spans="2:2" x14ac:dyDescent="0.45">
      <c r="B5" s="7" t="s">
        <v>54</v>
      </c>
    </row>
    <row r="6" spans="2:2" x14ac:dyDescent="0.45">
      <c r="B6" s="7" t="s">
        <v>55</v>
      </c>
    </row>
    <row r="7" spans="2:2" x14ac:dyDescent="0.45">
      <c r="B7" s="7" t="s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2026-05-22T21:21:07Z</dcterms:created>
  <dcterms:modified xsi:type="dcterms:W3CDTF">2026-05-22T21:22:29Z</dcterms:modified>
</cp:coreProperties>
</file>