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76" documentId="8_{35558670-647E-4F67-9525-79D0A0A57965}" xr6:coauthVersionLast="47" xr6:coauthVersionMax="47" xr10:uidLastSave="{ACFF74D3-273F-4214-A25B-C7E3C3CCF12B}"/>
  <bookViews>
    <workbookView xWindow="-98" yWindow="-98" windowWidth="21795" windowHeight="12975" activeTab="1" xr2:uid="{02F3027E-2A80-43C4-A797-48A424FC1752}"/>
  </bookViews>
  <sheets>
    <sheet name="Start Here" sheetId="4" r:id="rId1"/>
    <sheet name="Sites" sheetId="2" r:id="rId2"/>
    <sheet name="Sources" sheetId="3" r:id="rId3"/>
  </sheets>
  <functionGroups builtInGroupCount="19"/>
  <definedNames>
    <definedName name="_xlnm._FilterDatabase" localSheetId="1" hidden="1">Sites!$A$1:$AD$1</definedName>
    <definedName name="JobAgolMap">'Start Here'!$C$19</definedName>
    <definedName name="JobBufferFeet">'Start Here'!$C$20</definedName>
    <definedName name="JobOutputFolder">'Start Here'!$C$29</definedName>
    <definedName name="JobState">'Start Here'!$C$18</definedName>
    <definedName name="RR_Product" hidden="1">"Standard"</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29" i="4"/>
</calcChain>
</file>

<file path=xl/sharedStrings.xml><?xml version="1.0" encoding="utf-8"?>
<sst xmlns="http://schemas.openxmlformats.org/spreadsheetml/2006/main" count="108" uniqueCount="107">
  <si>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</si>
  <si>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</si>
  <si>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</si>
  <si>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</si>
  <si>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</si>
  <si>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</si>
  <si>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</si>
  <si>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</si>
  <si>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</si>
  <si>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</si>
  <si>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</si>
  <si>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</si>
  <si>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</si>
  <si>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</si>
  <si>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</si>
  <si>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</si>
  <si>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</si>
  <si>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</si>
  <si>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</si>
  <si>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</si>
  <si>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</si>
  <si>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</si>
  <si>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</si>
  <si>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</si>
  <si>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</si>
  <si>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</si>
  <si>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</si>
  <si>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</si>
  <si>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</si>
  <si>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</si>
  <si>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</si>
  <si>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</si>
  <si>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</si>
  <si>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</si>
  <si>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</si>
  <si>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</si>
  <si>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</si>
  <si>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</si>
  <si>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</si>
  <si>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</si>
  <si>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</si>
  <si>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</si>
  <si>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</si>
  <si>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</si>
  <si>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</si>
  <si>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</si>
  <si>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</si>
  <si>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</si>
  <si>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</si>
  <si>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</si>
  <si>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</si>
  <si>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</si>
  <si>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</si>
  <si>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</si>
  <si>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</si>
  <si>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</si>
  <si>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</si>
  <si>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</si>
  <si>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</si>
  <si>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</si>
  <si>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</si>
  <si>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</si>
  <si>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</si>
  <si>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</si>
  <si>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</si>
  <si>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</si>
  <si>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</si>
  <si>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</si>
  <si>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</si>
  <si>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</si>
  <si>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</si>
  <si>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</si>
  <si>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</si>
  <si>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</si>
  <si>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</si>
  <si>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</si>
  <si>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</si>
  <si>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</si>
  <si>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</si>
  <si>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</si>
  <si>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</si>
  <si>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</si>
  <si>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</si>
  <si>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</si>
  <si>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</si>
  <si>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</si>
  <si>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</si>
  <si>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</si>
  <si>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RoadReviewer - PR #33.</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</si>
  <si>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</si>
  <si>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</si>
  <si>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</si>
  <si>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</si>
  <si>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</si>
  <si>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</si>
  <si>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</si>
  <si>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</si>
  <si>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</si>
  <si>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</si>
  <si>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MI</t>
  </si>
  <si>
    <t>FHWA search buffer (feet)  *</t>
  </si>
  <si>
    <t>*  How far to look for a road / urban boundary when the exact point misses.</t>
  </si>
  <si>
    <t>Exports &amp; Handoff</t>
  </si>
  <si>
    <t>Output Folder</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</si>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</sst>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i/>
      <sz val="11"/>
      <color rgb="FF5A5A5A"/>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
      <i/>
      <sz val="9"/>
      <color rgb="FF787878"/>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5">
    <border>
      <left/>
      <right/>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8" fillId="0" borderId="0" applyNumberFormat="0" applyFill="0" applyBorder="0" applyAlignment="0" applyProtection="0"/>
  </cellStyleXfs>
  <cellXfs count="29">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1" fillId="0" borderId="0" xfId="0" applyFont="1"/>
    <xf numFmtId="0" fontId="5" fillId="0" borderId="0" xfId="0" applyFont="1"/>
    <xf numFmtId="0" fontId="6" fillId="0" borderId="0" xfId="0" applyFont="1" applyAlignment="1">
      <alignment vertical="top" wrapText="1"/>
    </xf>
    <xf numFmtId="0" fontId="7" fillId="0" borderId="0" xfId="0" applyFont="1"/>
    <xf numFmtId="0" fontId="9" fillId="0" borderId="0" xfId="1" applyFont="1" applyAlignment="1">
      <alignment vertical="top" wrapText="1"/>
    </xf>
    <xf numFmtId="0" fontId="10" fillId="0" borderId="0" xfId="0" applyFont="1" applyAlignment="1">
      <alignment vertical="top" wrapText="1"/>
    </xf>
    <xf numFmtId="0" fontId="0" fillId="3" borderId="1" xfId="0" applyFill="1" applyBorder="1" applyAlignment="1">
      <alignment vertical="top" wrapText="1"/>
    </xf>
    <xf numFmtId="0" fontId="11" fillId="0" borderId="0" xfId="1" applyFont="1"/>
    <xf numFmtId="0" fontId="0" fillId="5" borderId="0" xfId="0" applyFill="1"/>
    <xf numFmtId="0" fontId="12" fillId="5" borderId="0" xfId="0" applyFont="1" applyFill="1"/>
    <xf numFmtId="0" fontId="13" fillId="5" borderId="0" xfId="0" applyFont="1" applyFill="1"/>
    <xf numFmtId="0" fontId="1" fillId="5" borderId="0" xfId="0" applyFont="1" applyFill="1"/>
    <xf numFmtId="0" fontId="16" fillId="5" borderId="3" xfId="0" applyFont="1" applyFill="1" applyBorder="1"/>
    <xf numFmtId="0" fontId="0" fillId="5" borderId="3" xfId="0" applyFill="1" applyBorder="1"/>
    <xf numFmtId="0" fontId="0" fillId="3" borderId="4" xfId="0" applyFill="1" applyBorder="1" applyAlignment="1">
      <alignment horizontal="right"/>
    </xf>
    <xf numFmtId="0" fontId="13" fillId="3" borderId="4" xfId="0" applyFont="1" applyFill="1" applyBorder="1" applyAlignment="1">
      <alignment horizontal="right"/>
    </xf>
    <xf numFmtId="0" fontId="13" fillId="5" borderId="0" xfId="0" applyFont="1" applyFill="1" applyAlignment="1">
      <alignment horizontal="left" vertical="top" wrapText="1" indent="1"/>
    </xf>
    <xf numFmtId="0" fontId="0" fillId="5" borderId="0" xfId="0" applyFill="1" applyAlignment="1">
      <alignment horizontal="left" vertical="top" wrapText="1" inden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7" fillId="5" borderId="0" xfId="0" applyFont="1" applyFill="1" applyAlignment="1">
      <alignment horizontal="left" vertical="top" wrapText="1" indent="1"/>
    </xf>
    <xf numFmtId="0" fontId="18" fillId="5" borderId="0" xfId="0" applyFont="1" applyFill="1" applyAlignment="1">
      <alignment horizontal="left" vertical="top" wrapText="1" inden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Drop" dropStyle="combo" dx="39" noThreeD="1" sel="1" val="0">
  <itemLst>
    <item val="Sites Table (CSV)"/>
    <item val="Sites to KML"/>
    <item val="Sites to GeoJSON"/>
    <item val="Combined Map PDF"/>
    <item val="Download FIRMettes"/>
    <item val="Re-run Failed FIRMettes"/>
    <item val="Send Sites to AGOL Map (KML + open webmap)"/>
    <item val="Open Sites on NFC Layer (AGOL)"/>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1A781A78-2C90-87C2-DC87-FAE9B8C92D2E}"/>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C294344D-E09D-9892-4119-9B0DD0DDBDFB}"/>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3939E3A6-E9B2-1F60-95FF-169858E4B0D3}"/>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2049" name="RR_ExportPicker"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B55DEDE5-88BB-74F2-9472-A5D9C98386B4}"/>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870F0C7D-5850-72B2-B830-240593CED27E}"/>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3A50EE63-7C7C-C99D-F9DC-B34992B80E19}"/>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1B47D-62B0-47D7-A362-6F8DF1396F1D}">
  <sheetPr>
    <tabColor rgb="FF2F4F4F"/>
  </sheetPr>
  <dimension ref="B2:C39"/>
  <sheetViews>
    <sheetView showGridLines="0" workbookViewId="0"/>
  </sheetViews>
  <sheetFormatPr defaultRowHeight="14.25" x14ac:dyDescent="0.45"/>
  <cols>
    <col min="1" max="1" width="2.59765625" style="15" customWidth="1"/>
    <col min="2" max="2" width="32.59765625" style="15" customWidth="1"/>
    <col min="3" max="3" width="52.59765625" style="15" customWidth="1"/>
    <col min="4" max="4" width="2.59765625" style="15" customWidth="1"/>
    <col min="5" max="16384" width="9.06640625" style="15"/>
  </cols>
  <sheetData>
    <row r="2" spans="2:3" ht="26.65" x14ac:dyDescent="0.85">
      <c r="B2" s="16" t="s">
        <v>90</v>
      </c>
    </row>
    <row r="3" spans="2:3" x14ac:dyDescent="0.45">
      <c r="B3" s="17" t="s">
        <v>91</v>
      </c>
    </row>
    <row r="4" spans="2:3" ht="14.65" thickBot="1" x14ac:dyDescent="0.5"/>
    <row r="5" spans="2:3" ht="21" customHeight="1" thickBot="1" x14ac:dyDescent="0.5">
      <c r="B5" s="25" t="s">
        <v>92</v>
      </c>
      <c r="C5" s="26"/>
    </row>
    <row r="6" spans="2:3" ht="21" customHeight="1" thickBot="1" x14ac:dyDescent="0.5">
      <c r="B6" s="26"/>
      <c r="C6" s="26"/>
    </row>
    <row r="7" spans="2:3" ht="21" customHeight="1" thickBot="1" x14ac:dyDescent="0.5">
      <c r="B7" s="26"/>
      <c r="C7" s="26"/>
    </row>
    <row r="8" spans="2:3" ht="21" customHeight="1" thickBot="1" x14ac:dyDescent="0.5">
      <c r="B8" s="26"/>
      <c r="C8" s="26"/>
    </row>
    <row r="10" spans="2:3" ht="22.05" customHeight="1" x14ac:dyDescent="0.55000000000000004">
      <c r="B10" s="19" t="s">
        <v>93</v>
      </c>
      <c r="C10" s="20"/>
    </row>
    <row r="12" spans="2:3" ht="17" customHeight="1" x14ac:dyDescent="0.45">
      <c r="B12" s="27" t="s">
        <v>94</v>
      </c>
      <c r="C12" s="24"/>
    </row>
    <row r="13" spans="2:3" ht="17" customHeight="1" x14ac:dyDescent="0.45">
      <c r="B13" s="27" t="s">
        <v>95</v>
      </c>
      <c r="C13" s="24"/>
    </row>
    <row r="14" spans="2:3" ht="32" customHeight="1" x14ac:dyDescent="0.45">
      <c r="B14" s="27" t="s">
        <v>96</v>
      </c>
      <c r="C14" s="24"/>
    </row>
    <row r="16" spans="2:3" ht="22.05" customHeight="1" x14ac:dyDescent="0.55000000000000004">
      <c r="B16" s="19" t="s">
        <v>97</v>
      </c>
      <c r="C16" s="20"/>
    </row>
    <row r="18" spans="2:3" x14ac:dyDescent="0.45">
      <c r="B18" s="18" t="s">
        <v>98</v>
      </c>
      <c r="C18" s="21" t="s">
        <v>99</v>
      </c>
    </row>
    <row r="19" spans="2:3" x14ac:dyDescent="0.45">
      <c r="B19" s="18" t="s">
        <v>13</v>
      </c>
      <c r="C19" s="21"/>
    </row>
    <row r="20" spans="2:3" x14ac:dyDescent="0.45">
      <c r="B20" s="18" t="s">
        <v>100</v>
      </c>
      <c r="C20" s="21">
        <v>250</v>
      </c>
    </row>
    <row r="25" spans="2:3" ht="17" customHeight="1" x14ac:dyDescent="0.45">
      <c r="B25" s="28" t="s">
        <v>101</v>
      </c>
      <c r="C25" s="24"/>
    </row>
    <row r="27" spans="2:3" ht="22.05" customHeight="1" x14ac:dyDescent="0.55000000000000004">
      <c r="B27" s="19" t="s">
        <v>102</v>
      </c>
      <c r="C27" s="20"/>
    </row>
    <row r="29" spans="2:3" x14ac:dyDescent="0.45">
      <c r="B29" s="18" t="s">
        <v>103</v>
      </c>
      <c r="C29" s="22" t="str">
        <f ca="1">IF(OR(CELL("filename",$A$1)="",LEFT(CELL("filename",$A$1),4)="http"),"",LEFT(CELL("filename",$A$1),FIND("[",CELL("filename",$A$1))-1))</f>
        <v/>
      </c>
    </row>
    <row r="33" spans="2:3" ht="17" customHeight="1" x14ac:dyDescent="0.45">
      <c r="B33" s="23" t="s">
        <v>104</v>
      </c>
      <c r="C33" s="24"/>
    </row>
    <row r="35" spans="2:3" ht="22.05" customHeight="1" x14ac:dyDescent="0.55000000000000004">
      <c r="B35" s="19" t="s">
        <v>105</v>
      </c>
      <c r="C35" s="20"/>
    </row>
    <row r="39" spans="2:3" ht="47" customHeight="1" x14ac:dyDescent="0.45">
      <c r="B39" s="23" t="s">
        <v>106</v>
      </c>
      <c r="C39" s="24"/>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42360212-20BA-49AB-9EDE-101BBE480074}">
      <formula1>"WI,IN,MI"</formula1>
    </dataValidation>
    <dataValidation type="whole" allowBlank="1" showInputMessage="1" showErrorMessage="1" error="Enter a whole number between 1 and 1000 ft." sqref="C20" xr:uid="{8F79AB4C-9C62-41D1-AA5F-F9ADFB8263AD}">
      <formula1>1</formula1>
      <formula2>1000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CA174-31C6-4B89-846D-5994F85B4348}">
  <sheetPr>
    <tabColor rgb="FF3C3C3C"/>
  </sheetPr>
  <dimension ref="A1:AD501"/>
  <sheetViews>
    <sheetView tabSelected="1" topLeftCell="C1" workbookViewId="0">
      <pane ySplit="1" topLeftCell="A2" activePane="bottomLeft" state="frozen"/>
      <selection activeCell="C1" sqref="C1"/>
      <selection pane="bottomLeft" activeCell="D3" sqref="D3"/>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ol min="16" max="16" width="16.59765625" style="1" customWidth="1"/>
    <col min="17" max="17" width="9.06640625" style="1" customWidth="1"/>
    <col min="18" max="19" width="16.59765625" style="1" customWidth="1"/>
    <col min="20" max="20" width="22.59765625" style="1" customWidth="1"/>
    <col min="21" max="21" width="24.59765625" style="1" customWidth="1"/>
    <col min="22" max="22" width="18.59765625" style="1" customWidth="1"/>
    <col min="23"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HYPERLINK(IF(OR(JobState="MI",JobState=""),"https://fema.maps.arcgis.com/apps/mapviewer/index.html?webmap=6a1702b9147243d1a5ee62cd614bc681&amp;center="&amp;$F2&amp;","&amp;$E2&amp;"&amp;level=16&amp;marker="&amp;$F2&amp;","&amp;$E2&amp;"",IF(JobState="IN","https://fema.maps.arcgis.com/apps/mapviewer/index.html?url=https%3A%2F%2Fgisdata.in.gov%2Fserver%2Frest%2Fservices%2FHosted%2FLRSE_Functional_Class%2FFeatureServer%2F22&amp;find="&amp;$F2&amp;"%2C"&amp;$E2&amp;"&amp;marker="&amp;$F2&amp;","&amp;$E2&amp;",4326&amp;level=16",IF(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IF(OR(JobAgolMap="", $E2="", $F2=""),"",HYPERLINK(JobAgolMap&amp;IF(ISNUMBER(FIND("?",JobAgolMap)),"&amp;","?")&amp;"center="&amp;$F2&amp;","&amp;$E2&amp;"&amp;level=16&amp;marker="&amp;$F2&amp;","&amp;$E2,"Open"))</f>
        <v/>
      </c>
      <c r="O2" s="6" t="str">
        <f>IF(OR($E2="",$F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 s="4"/>
      <c r="Q2" s="4"/>
      <c r="R2" s="4"/>
      <c r="S2" s="4"/>
      <c r="T2" s="4"/>
      <c r="U2" s="4"/>
      <c r="V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HYPERLINK(IF(OR(JobState="MI",JobState=""),"https://fema.maps.arcgis.com/apps/mapviewer/index.html?webmap=6a1702b9147243d1a5ee62cd614bc681&amp;center="&amp;$F3&amp;","&amp;$E3&amp;"&amp;level=16&amp;marker="&amp;$F3&amp;","&amp;$E3&amp;"",IF(JobState="IN","https://fema.maps.arcgis.com/apps/mapviewer/index.html?url=https%3A%2F%2Fgisdata.in.gov%2Fserver%2Frest%2Fservices%2FHosted%2FLRSE_Functional_Class%2FFeatureServer%2F22&amp;find="&amp;$F3&amp;"%2C"&amp;$E3&amp;"&amp;marker="&amp;$F3&amp;","&amp;$E3&amp;",4326&amp;level=16",IF(JobState="WI","https://fema.maps.arcgis.com/apps/mapviewer/index.html?url=https%3A%2F%2Fservices5.arcgis.com%2F0pgGLzT0Nh7FVjon%2Farcgis%2Frest%2Fservices%2FFFCL_gdb%2FFeatureServer%2F3&amp;find="&amp;$F3&amp;"%2C"&amp;$E3&amp;"&amp;marker="&amp;$F3&amp;","&amp;$E3&amp;",4326&amp;level=16","https://fema.maps.arcgis.com/apps/mapviewer/index.html?find="&amp;$F3&amp;"%2C"&amp;$E3&amp;"&amp;marker="&amp;$F3&amp;","&amp;$E3&amp;",4326&amp;level=16"))),"Open"))</f>
        <v/>
      </c>
      <c r="N3" s="6" t="str">
        <f>IF(OR(JobAgolMap="", $E3="", $F3=""),"",HYPERLINK(JobAgolMap&amp;IF(ISNUMBER(FIND("?",JobAgolMap)),"&amp;","?")&amp;"center="&amp;$F3&amp;","&amp;$E3&amp;"&amp;level=16&amp;marker="&amp;$F3&amp;","&amp;$E3,"Open"))</f>
        <v/>
      </c>
      <c r="O3" s="6" t="str">
        <f>IF(OR($E3="",$F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 s="4"/>
      <c r="Q3" s="4"/>
      <c r="R3" s="4"/>
      <c r="S3" s="4"/>
      <c r="T3" s="4"/>
      <c r="U3" s="4"/>
      <c r="V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HYPERLINK(IF(OR(JobState="MI",JobState=""),"https://fema.maps.arcgis.com/apps/mapviewer/index.html?webmap=6a1702b9147243d1a5ee62cd614bc681&amp;center="&amp;$F4&amp;","&amp;$E4&amp;"&amp;level=16&amp;marker="&amp;$F4&amp;","&amp;$E4&amp;"",IF(JobState="IN","https://fema.maps.arcgis.com/apps/mapviewer/index.html?url=https%3A%2F%2Fgisdata.in.gov%2Fserver%2Frest%2Fservices%2FHosted%2FLRSE_Functional_Class%2FFeatureServer%2F22&amp;find="&amp;$F4&amp;"%2C"&amp;$E4&amp;"&amp;marker="&amp;$F4&amp;","&amp;$E4&amp;",4326&amp;level=16",IF(JobState="WI","https://fema.maps.arcgis.com/apps/mapviewer/index.html?url=https%3A%2F%2Fservices5.arcgis.com%2F0pgGLzT0Nh7FVjon%2Farcgis%2Frest%2Fservices%2FFFCL_gdb%2FFeatureServer%2F3&amp;find="&amp;$F4&amp;"%2C"&amp;$E4&amp;"&amp;marker="&amp;$F4&amp;","&amp;$E4&amp;",4326&amp;level=16","https://fema.maps.arcgis.com/apps/mapviewer/index.html?find="&amp;$F4&amp;"%2C"&amp;$E4&amp;"&amp;marker="&amp;$F4&amp;","&amp;$E4&amp;",4326&amp;level=16"))),"Open"))</f>
        <v/>
      </c>
      <c r="N4" s="6" t="str">
        <f>IF(OR(JobAgolMap="", $E4="", $F4=""),"",HYPERLINK(JobAgolMap&amp;IF(ISNUMBER(FIND("?",JobAgolMap)),"&amp;","?")&amp;"center="&amp;$F4&amp;","&amp;$E4&amp;"&amp;level=16&amp;marker="&amp;$F4&amp;","&amp;$E4,"Open"))</f>
        <v/>
      </c>
      <c r="O4" s="6" t="str">
        <f>IF(OR($E4="",$F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 s="4"/>
      <c r="Q4" s="4"/>
      <c r="R4" s="4"/>
      <c r="S4" s="4"/>
      <c r="T4" s="4"/>
      <c r="U4" s="4"/>
      <c r="V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HYPERLINK(IF(OR(JobState="MI",JobState=""),"https://fema.maps.arcgis.com/apps/mapviewer/index.html?webmap=6a1702b9147243d1a5ee62cd614bc681&amp;center="&amp;$F5&amp;","&amp;$E5&amp;"&amp;level=16&amp;marker="&amp;$F5&amp;","&amp;$E5&amp;"",IF(JobState="IN","https://fema.maps.arcgis.com/apps/mapviewer/index.html?url=https%3A%2F%2Fgisdata.in.gov%2Fserver%2Frest%2Fservices%2FHosted%2FLRSE_Functional_Class%2FFeatureServer%2F22&amp;find="&amp;$F5&amp;"%2C"&amp;$E5&amp;"&amp;marker="&amp;$F5&amp;","&amp;$E5&amp;",4326&amp;level=16",IF(JobState="WI","https://fema.maps.arcgis.com/apps/mapviewer/index.html?url=https%3A%2F%2Fservices5.arcgis.com%2F0pgGLzT0Nh7FVjon%2Farcgis%2Frest%2Fservices%2FFFCL_gdb%2FFeatureServer%2F3&amp;find="&amp;$F5&amp;"%2C"&amp;$E5&amp;"&amp;marker="&amp;$F5&amp;","&amp;$E5&amp;",4326&amp;level=16","https://fema.maps.arcgis.com/apps/mapviewer/index.html?find="&amp;$F5&amp;"%2C"&amp;$E5&amp;"&amp;marker="&amp;$F5&amp;","&amp;$E5&amp;",4326&amp;level=16"))),"Open"))</f>
        <v/>
      </c>
      <c r="N5" s="6" t="str">
        <f>IF(OR(JobAgolMap="", $E5="", $F5=""),"",HYPERLINK(JobAgolMap&amp;IF(ISNUMBER(FIND("?",JobAgolMap)),"&amp;","?")&amp;"center="&amp;$F5&amp;","&amp;$E5&amp;"&amp;level=16&amp;marker="&amp;$F5&amp;","&amp;$E5,"Open"))</f>
        <v/>
      </c>
      <c r="O5" s="6" t="str">
        <f>IF(OR($E5="",$F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 s="4"/>
      <c r="Q5" s="4"/>
      <c r="R5" s="4"/>
      <c r="S5" s="4"/>
      <c r="T5" s="4"/>
      <c r="U5" s="4"/>
      <c r="V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HYPERLINK(IF(OR(JobState="MI",JobState=""),"https://fema.maps.arcgis.com/apps/mapviewer/index.html?webmap=6a1702b9147243d1a5ee62cd614bc681&amp;center="&amp;$F6&amp;","&amp;$E6&amp;"&amp;level=16&amp;marker="&amp;$F6&amp;","&amp;$E6&amp;"",IF(JobState="IN","https://fema.maps.arcgis.com/apps/mapviewer/index.html?url=https%3A%2F%2Fgisdata.in.gov%2Fserver%2Frest%2Fservices%2FHosted%2FLRSE_Functional_Class%2FFeatureServer%2F22&amp;find="&amp;$F6&amp;"%2C"&amp;$E6&amp;"&amp;marker="&amp;$F6&amp;","&amp;$E6&amp;",4326&amp;level=16",IF(JobState="WI","https://fema.maps.arcgis.com/apps/mapviewer/index.html?url=https%3A%2F%2Fservices5.arcgis.com%2F0pgGLzT0Nh7FVjon%2Farcgis%2Frest%2Fservices%2FFFCL_gdb%2FFeatureServer%2F3&amp;find="&amp;$F6&amp;"%2C"&amp;$E6&amp;"&amp;marker="&amp;$F6&amp;","&amp;$E6&amp;",4326&amp;level=16","https://fema.maps.arcgis.com/apps/mapviewer/index.html?find="&amp;$F6&amp;"%2C"&amp;$E6&amp;"&amp;marker="&amp;$F6&amp;","&amp;$E6&amp;",4326&amp;level=16"))),"Open"))</f>
        <v/>
      </c>
      <c r="N6" s="6" t="str">
        <f>IF(OR(JobAgolMap="", $E6="", $F6=""),"",HYPERLINK(JobAgolMap&amp;IF(ISNUMBER(FIND("?",JobAgolMap)),"&amp;","?")&amp;"center="&amp;$F6&amp;","&amp;$E6&amp;"&amp;level=16&amp;marker="&amp;$F6&amp;","&amp;$E6,"Open"))</f>
        <v/>
      </c>
      <c r="O6" s="6" t="str">
        <f>IF(OR($E6="",$F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 s="4"/>
      <c r="Q6" s="4"/>
      <c r="R6" s="4"/>
      <c r="S6" s="4"/>
      <c r="T6" s="4"/>
      <c r="U6" s="4"/>
      <c r="V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HYPERLINK(IF(OR(JobState="MI",JobState=""),"https://fema.maps.arcgis.com/apps/mapviewer/index.html?webmap=6a1702b9147243d1a5ee62cd614bc681&amp;center="&amp;$F7&amp;","&amp;$E7&amp;"&amp;level=16&amp;marker="&amp;$F7&amp;","&amp;$E7&amp;"",IF(JobState="IN","https://fema.maps.arcgis.com/apps/mapviewer/index.html?url=https%3A%2F%2Fgisdata.in.gov%2Fserver%2Frest%2Fservices%2FHosted%2FLRSE_Functional_Class%2FFeatureServer%2F22&amp;find="&amp;$F7&amp;"%2C"&amp;$E7&amp;"&amp;marker="&amp;$F7&amp;","&amp;$E7&amp;",4326&amp;level=16",IF(JobState="WI","https://fema.maps.arcgis.com/apps/mapviewer/index.html?url=https%3A%2F%2Fservices5.arcgis.com%2F0pgGLzT0Nh7FVjon%2Farcgis%2Frest%2Fservices%2FFFCL_gdb%2FFeatureServer%2F3&amp;find="&amp;$F7&amp;"%2C"&amp;$E7&amp;"&amp;marker="&amp;$F7&amp;","&amp;$E7&amp;",4326&amp;level=16","https://fema.maps.arcgis.com/apps/mapviewer/index.html?find="&amp;$F7&amp;"%2C"&amp;$E7&amp;"&amp;marker="&amp;$F7&amp;","&amp;$E7&amp;",4326&amp;level=16"))),"Open"))</f>
        <v/>
      </c>
      <c r="N7" s="6" t="str">
        <f>IF(OR(JobAgolMap="", $E7="", $F7=""),"",HYPERLINK(JobAgolMap&amp;IF(ISNUMBER(FIND("?",JobAgolMap)),"&amp;","?")&amp;"center="&amp;$F7&amp;","&amp;$E7&amp;"&amp;level=16&amp;marker="&amp;$F7&amp;","&amp;$E7,"Open"))</f>
        <v/>
      </c>
      <c r="O7" s="6" t="str">
        <f>IF(OR($E7="",$F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 s="4"/>
      <c r="Q7" s="4"/>
      <c r="R7" s="4"/>
      <c r="S7" s="4"/>
      <c r="T7" s="4"/>
      <c r="U7" s="4"/>
      <c r="V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HYPERLINK(IF(OR(JobState="MI",JobState=""),"https://fema.maps.arcgis.com/apps/mapviewer/index.html?webmap=6a1702b9147243d1a5ee62cd614bc681&amp;center="&amp;$F8&amp;","&amp;$E8&amp;"&amp;level=16&amp;marker="&amp;$F8&amp;","&amp;$E8&amp;"",IF(JobState="IN","https://fema.maps.arcgis.com/apps/mapviewer/index.html?url=https%3A%2F%2Fgisdata.in.gov%2Fserver%2Frest%2Fservices%2FHosted%2FLRSE_Functional_Class%2FFeatureServer%2F22&amp;find="&amp;$F8&amp;"%2C"&amp;$E8&amp;"&amp;marker="&amp;$F8&amp;","&amp;$E8&amp;",4326&amp;level=16",IF(JobState="WI","https://fema.maps.arcgis.com/apps/mapviewer/index.html?url=https%3A%2F%2Fservices5.arcgis.com%2F0pgGLzT0Nh7FVjon%2Farcgis%2Frest%2Fservices%2FFFCL_gdb%2FFeatureServer%2F3&amp;find="&amp;$F8&amp;"%2C"&amp;$E8&amp;"&amp;marker="&amp;$F8&amp;","&amp;$E8&amp;",4326&amp;level=16","https://fema.maps.arcgis.com/apps/mapviewer/index.html?find="&amp;$F8&amp;"%2C"&amp;$E8&amp;"&amp;marker="&amp;$F8&amp;","&amp;$E8&amp;",4326&amp;level=16"))),"Open"))</f>
        <v/>
      </c>
      <c r="N8" s="6" t="str">
        <f>IF(OR(JobAgolMap="", $E8="", $F8=""),"",HYPERLINK(JobAgolMap&amp;IF(ISNUMBER(FIND("?",JobAgolMap)),"&amp;","?")&amp;"center="&amp;$F8&amp;","&amp;$E8&amp;"&amp;level=16&amp;marker="&amp;$F8&amp;","&amp;$E8,"Open"))</f>
        <v/>
      </c>
      <c r="O8" s="6" t="str">
        <f>IF(OR($E8="",$F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 s="4"/>
      <c r="Q8" s="4"/>
      <c r="R8" s="4"/>
      <c r="S8" s="4"/>
      <c r="T8" s="4"/>
      <c r="U8" s="4"/>
      <c r="V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HYPERLINK(IF(OR(JobState="MI",JobState=""),"https://fema.maps.arcgis.com/apps/mapviewer/index.html?webmap=6a1702b9147243d1a5ee62cd614bc681&amp;center="&amp;$F9&amp;","&amp;$E9&amp;"&amp;level=16&amp;marker="&amp;$F9&amp;","&amp;$E9&amp;"",IF(JobState="IN","https://fema.maps.arcgis.com/apps/mapviewer/index.html?url=https%3A%2F%2Fgisdata.in.gov%2Fserver%2Frest%2Fservices%2FHosted%2FLRSE_Functional_Class%2FFeatureServer%2F22&amp;find="&amp;$F9&amp;"%2C"&amp;$E9&amp;"&amp;marker="&amp;$F9&amp;","&amp;$E9&amp;",4326&amp;level=16",IF(JobState="WI","https://fema.maps.arcgis.com/apps/mapviewer/index.html?url=https%3A%2F%2Fservices5.arcgis.com%2F0pgGLzT0Nh7FVjon%2Farcgis%2Frest%2Fservices%2FFFCL_gdb%2FFeatureServer%2F3&amp;find="&amp;$F9&amp;"%2C"&amp;$E9&amp;"&amp;marker="&amp;$F9&amp;","&amp;$E9&amp;",4326&amp;level=16","https://fema.maps.arcgis.com/apps/mapviewer/index.html?find="&amp;$F9&amp;"%2C"&amp;$E9&amp;"&amp;marker="&amp;$F9&amp;","&amp;$E9&amp;",4326&amp;level=16"))),"Open"))</f>
        <v/>
      </c>
      <c r="N9" s="6" t="str">
        <f>IF(OR(JobAgolMap="", $E9="", $F9=""),"",HYPERLINK(JobAgolMap&amp;IF(ISNUMBER(FIND("?",JobAgolMap)),"&amp;","?")&amp;"center="&amp;$F9&amp;","&amp;$E9&amp;"&amp;level=16&amp;marker="&amp;$F9&amp;","&amp;$E9,"Open"))</f>
        <v/>
      </c>
      <c r="O9" s="6" t="str">
        <f>IF(OR($E9="",$F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 s="4"/>
      <c r="Q9" s="4"/>
      <c r="R9" s="4"/>
      <c r="S9" s="4"/>
      <c r="T9" s="4"/>
      <c r="U9" s="4"/>
      <c r="V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HYPERLINK(IF(OR(JobState="MI",JobState=""),"https://fema.maps.arcgis.com/apps/mapviewer/index.html?webmap=6a1702b9147243d1a5ee62cd614bc681&amp;center="&amp;$F10&amp;","&amp;$E10&amp;"&amp;level=16&amp;marker="&amp;$F10&amp;","&amp;$E10&amp;"",IF(JobState="IN","https://fema.maps.arcgis.com/apps/mapviewer/index.html?url=https%3A%2F%2Fgisdata.in.gov%2Fserver%2Frest%2Fservices%2FHosted%2FLRSE_Functional_Class%2FFeatureServer%2F22&amp;find="&amp;$F10&amp;"%2C"&amp;$E10&amp;"&amp;marker="&amp;$F10&amp;","&amp;$E10&amp;",4326&amp;level=16",IF(JobState="WI","https://fema.maps.arcgis.com/apps/mapviewer/index.html?url=https%3A%2F%2Fservices5.arcgis.com%2F0pgGLzT0Nh7FVjon%2Farcgis%2Frest%2Fservices%2FFFCL_gdb%2FFeatureServer%2F3&amp;find="&amp;$F10&amp;"%2C"&amp;$E10&amp;"&amp;marker="&amp;$F10&amp;","&amp;$E10&amp;",4326&amp;level=16","https://fema.maps.arcgis.com/apps/mapviewer/index.html?find="&amp;$F10&amp;"%2C"&amp;$E10&amp;"&amp;marker="&amp;$F10&amp;","&amp;$E10&amp;",4326&amp;level=16"))),"Open"))</f>
        <v/>
      </c>
      <c r="N10" s="6" t="str">
        <f>IF(OR(JobAgolMap="", $E10="", $F10=""),"",HYPERLINK(JobAgolMap&amp;IF(ISNUMBER(FIND("?",JobAgolMap)),"&amp;","?")&amp;"center="&amp;$F10&amp;","&amp;$E10&amp;"&amp;level=16&amp;marker="&amp;$F10&amp;","&amp;$E10,"Open"))</f>
        <v/>
      </c>
      <c r="O10" s="6" t="str">
        <f>IF(OR($E10="",$F10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 s="4"/>
      <c r="Q10" s="4"/>
      <c r="R10" s="4"/>
      <c r="S10" s="4"/>
      <c r="T10" s="4"/>
      <c r="U10" s="4"/>
      <c r="V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HYPERLINK(IF(OR(JobState="MI",JobState=""),"https://fema.maps.arcgis.com/apps/mapviewer/index.html?webmap=6a1702b9147243d1a5ee62cd614bc681&amp;center="&amp;$F11&amp;","&amp;$E11&amp;"&amp;level=16&amp;marker="&amp;$F11&amp;","&amp;$E11&amp;"",IF(JobState="IN","https://fema.maps.arcgis.com/apps/mapviewer/index.html?url=https%3A%2F%2Fgisdata.in.gov%2Fserver%2Frest%2Fservices%2FHosted%2FLRSE_Functional_Class%2FFeatureServer%2F22&amp;find="&amp;$F11&amp;"%2C"&amp;$E11&amp;"&amp;marker="&amp;$F11&amp;","&amp;$E11&amp;",4326&amp;level=16",IF(JobState="WI","https://fema.maps.arcgis.com/apps/mapviewer/index.html?url=https%3A%2F%2Fservices5.arcgis.com%2F0pgGLzT0Nh7FVjon%2Farcgis%2Frest%2Fservices%2FFFCL_gdb%2FFeatureServer%2F3&amp;find="&amp;$F11&amp;"%2C"&amp;$E11&amp;"&amp;marker="&amp;$F11&amp;","&amp;$E11&amp;",4326&amp;level=16","https://fema.maps.arcgis.com/apps/mapviewer/index.html?find="&amp;$F11&amp;"%2C"&amp;$E11&amp;"&amp;marker="&amp;$F11&amp;","&amp;$E11&amp;",4326&amp;level=16"))),"Open"))</f>
        <v/>
      </c>
      <c r="N11" s="6" t="str">
        <f>IF(OR(JobAgolMap="", $E11="", $F11=""),"",HYPERLINK(JobAgolMap&amp;IF(ISNUMBER(FIND("?",JobAgolMap)),"&amp;","?")&amp;"center="&amp;$F11&amp;","&amp;$E11&amp;"&amp;level=16&amp;marker="&amp;$F11&amp;","&amp;$E11,"Open"))</f>
        <v/>
      </c>
      <c r="O11" s="6" t="str">
        <f>IF(OR($E11="",$F11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 s="4"/>
      <c r="Q11" s="4"/>
      <c r="R11" s="4"/>
      <c r="S11" s="4"/>
      <c r="T11" s="4"/>
      <c r="U11" s="4"/>
      <c r="V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HYPERLINK(IF(OR(JobState="MI",JobState=""),"https://fema.maps.arcgis.com/apps/mapviewer/index.html?webmap=6a1702b9147243d1a5ee62cd614bc681&amp;center="&amp;$F12&amp;","&amp;$E12&amp;"&amp;level=16&amp;marker="&amp;$F12&amp;","&amp;$E12&amp;"",IF(JobState="IN","https://fema.maps.arcgis.com/apps/mapviewer/index.html?url=https%3A%2F%2Fgisdata.in.gov%2Fserver%2Frest%2Fservices%2FHosted%2FLRSE_Functional_Class%2FFeatureServer%2F22&amp;find="&amp;$F12&amp;"%2C"&amp;$E12&amp;"&amp;marker="&amp;$F12&amp;","&amp;$E12&amp;",4326&amp;level=16",IF(JobState="WI","https://fema.maps.arcgis.com/apps/mapviewer/index.html?url=https%3A%2F%2Fservices5.arcgis.com%2F0pgGLzT0Nh7FVjon%2Farcgis%2Frest%2Fservices%2FFFCL_gdb%2FFeatureServer%2F3&amp;find="&amp;$F12&amp;"%2C"&amp;$E12&amp;"&amp;marker="&amp;$F12&amp;","&amp;$E12&amp;",4326&amp;level=16","https://fema.maps.arcgis.com/apps/mapviewer/index.html?find="&amp;$F12&amp;"%2C"&amp;$E12&amp;"&amp;marker="&amp;$F12&amp;","&amp;$E12&amp;",4326&amp;level=16"))),"Open"))</f>
        <v/>
      </c>
      <c r="N12" s="6" t="str">
        <f>IF(OR(JobAgolMap="", $E12="", $F12=""),"",HYPERLINK(JobAgolMap&amp;IF(ISNUMBER(FIND("?",JobAgolMap)),"&amp;","?")&amp;"center="&amp;$F12&amp;","&amp;$E12&amp;"&amp;level=16&amp;marker="&amp;$F12&amp;","&amp;$E12,"Open"))</f>
        <v/>
      </c>
      <c r="O12" s="6" t="str">
        <f>IF(OR($E12="",$F12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 s="4"/>
      <c r="Q12" s="4"/>
      <c r="R12" s="4"/>
      <c r="S12" s="4"/>
      <c r="T12" s="4"/>
      <c r="U12" s="4"/>
      <c r="V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HYPERLINK(IF(OR(JobState="MI",JobState=""),"https://fema.maps.arcgis.com/apps/mapviewer/index.html?webmap=6a1702b9147243d1a5ee62cd614bc681&amp;center="&amp;$F13&amp;","&amp;$E13&amp;"&amp;level=16&amp;marker="&amp;$F13&amp;","&amp;$E13&amp;"",IF(JobState="IN","https://fema.maps.arcgis.com/apps/mapviewer/index.html?url=https%3A%2F%2Fgisdata.in.gov%2Fserver%2Frest%2Fservices%2FHosted%2FLRSE_Functional_Class%2FFeatureServer%2F22&amp;find="&amp;$F13&amp;"%2C"&amp;$E13&amp;"&amp;marker="&amp;$F13&amp;","&amp;$E13&amp;",4326&amp;level=16",IF(JobState="WI","https://fema.maps.arcgis.com/apps/mapviewer/index.html?url=https%3A%2F%2Fservices5.arcgis.com%2F0pgGLzT0Nh7FVjon%2Farcgis%2Frest%2Fservices%2FFFCL_gdb%2FFeatureServer%2F3&amp;find="&amp;$F13&amp;"%2C"&amp;$E13&amp;"&amp;marker="&amp;$F13&amp;","&amp;$E13&amp;",4326&amp;level=16","https://fema.maps.arcgis.com/apps/mapviewer/index.html?find="&amp;$F13&amp;"%2C"&amp;$E13&amp;"&amp;marker="&amp;$F13&amp;","&amp;$E13&amp;",4326&amp;level=16"))),"Open"))</f>
        <v/>
      </c>
      <c r="N13" s="6" t="str">
        <f>IF(OR(JobAgolMap="", $E13="", $F13=""),"",HYPERLINK(JobAgolMap&amp;IF(ISNUMBER(FIND("?",JobAgolMap)),"&amp;","?")&amp;"center="&amp;$F13&amp;","&amp;$E13&amp;"&amp;level=16&amp;marker="&amp;$F13&amp;","&amp;$E13,"Open"))</f>
        <v/>
      </c>
      <c r="O13" s="6" t="str">
        <f>IF(OR($E13="",$F13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 s="4"/>
      <c r="Q13" s="4"/>
      <c r="R13" s="4"/>
      <c r="S13" s="4"/>
      <c r="T13" s="4"/>
      <c r="U13" s="4"/>
      <c r="V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HYPERLINK(IF(OR(JobState="MI",JobState=""),"https://fema.maps.arcgis.com/apps/mapviewer/index.html?webmap=6a1702b9147243d1a5ee62cd614bc681&amp;center="&amp;$F14&amp;","&amp;$E14&amp;"&amp;level=16&amp;marker="&amp;$F14&amp;","&amp;$E14&amp;"",IF(JobState="IN","https://fema.maps.arcgis.com/apps/mapviewer/index.html?url=https%3A%2F%2Fgisdata.in.gov%2Fserver%2Frest%2Fservices%2FHosted%2FLRSE_Functional_Class%2FFeatureServer%2F22&amp;find="&amp;$F14&amp;"%2C"&amp;$E14&amp;"&amp;marker="&amp;$F14&amp;","&amp;$E14&amp;",4326&amp;level=16",IF(JobState="WI","https://fema.maps.arcgis.com/apps/mapviewer/index.html?url=https%3A%2F%2Fservices5.arcgis.com%2F0pgGLzT0Nh7FVjon%2Farcgis%2Frest%2Fservices%2FFFCL_gdb%2FFeatureServer%2F3&amp;find="&amp;$F14&amp;"%2C"&amp;$E14&amp;"&amp;marker="&amp;$F14&amp;","&amp;$E14&amp;",4326&amp;level=16","https://fema.maps.arcgis.com/apps/mapviewer/index.html?find="&amp;$F14&amp;"%2C"&amp;$E14&amp;"&amp;marker="&amp;$F14&amp;","&amp;$E14&amp;",4326&amp;level=16"))),"Open"))</f>
        <v/>
      </c>
      <c r="N14" s="6" t="str">
        <f>IF(OR(JobAgolMap="", $E14="", $F14=""),"",HYPERLINK(JobAgolMap&amp;IF(ISNUMBER(FIND("?",JobAgolMap)),"&amp;","?")&amp;"center="&amp;$F14&amp;","&amp;$E14&amp;"&amp;level=16&amp;marker="&amp;$F14&amp;","&amp;$E14,"Open"))</f>
        <v/>
      </c>
      <c r="O14" s="6" t="str">
        <f>IF(OR($E14="",$F14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 s="4"/>
      <c r="Q14" s="4"/>
      <c r="R14" s="4"/>
      <c r="S14" s="4"/>
      <c r="T14" s="4"/>
      <c r="U14" s="4"/>
      <c r="V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HYPERLINK(IF(OR(JobState="MI",JobState=""),"https://fema.maps.arcgis.com/apps/mapviewer/index.html?webmap=6a1702b9147243d1a5ee62cd614bc681&amp;center="&amp;$F15&amp;","&amp;$E15&amp;"&amp;level=16&amp;marker="&amp;$F15&amp;","&amp;$E15&amp;"",IF(JobState="IN","https://fema.maps.arcgis.com/apps/mapviewer/index.html?url=https%3A%2F%2Fgisdata.in.gov%2Fserver%2Frest%2Fservices%2FHosted%2FLRSE_Functional_Class%2FFeatureServer%2F22&amp;find="&amp;$F15&amp;"%2C"&amp;$E15&amp;"&amp;marker="&amp;$F15&amp;","&amp;$E15&amp;",4326&amp;level=16",IF(JobState="WI","https://fema.maps.arcgis.com/apps/mapviewer/index.html?url=https%3A%2F%2Fservices5.arcgis.com%2F0pgGLzT0Nh7FVjon%2Farcgis%2Frest%2Fservices%2FFFCL_gdb%2FFeatureServer%2F3&amp;find="&amp;$F15&amp;"%2C"&amp;$E15&amp;"&amp;marker="&amp;$F15&amp;","&amp;$E15&amp;",4326&amp;level=16","https://fema.maps.arcgis.com/apps/mapviewer/index.html?find="&amp;$F15&amp;"%2C"&amp;$E15&amp;"&amp;marker="&amp;$F15&amp;","&amp;$E15&amp;",4326&amp;level=16"))),"Open"))</f>
        <v/>
      </c>
      <c r="N15" s="6" t="str">
        <f>IF(OR(JobAgolMap="", $E15="", $F15=""),"",HYPERLINK(JobAgolMap&amp;IF(ISNUMBER(FIND("?",JobAgolMap)),"&amp;","?")&amp;"center="&amp;$F15&amp;","&amp;$E15&amp;"&amp;level=16&amp;marker="&amp;$F15&amp;","&amp;$E15,"Open"))</f>
        <v/>
      </c>
      <c r="O15" s="6" t="str">
        <f>IF(OR($E15="",$F15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 s="4"/>
      <c r="Q15" s="4"/>
      <c r="R15" s="4"/>
      <c r="S15" s="4"/>
      <c r="T15" s="4"/>
      <c r="U15" s="4"/>
      <c r="V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HYPERLINK(IF(OR(JobState="MI",JobState=""),"https://fema.maps.arcgis.com/apps/mapviewer/index.html?webmap=6a1702b9147243d1a5ee62cd614bc681&amp;center="&amp;$F16&amp;","&amp;$E16&amp;"&amp;level=16&amp;marker="&amp;$F16&amp;","&amp;$E16&amp;"",IF(JobState="IN","https://fema.maps.arcgis.com/apps/mapviewer/index.html?url=https%3A%2F%2Fgisdata.in.gov%2Fserver%2Frest%2Fservices%2FHosted%2FLRSE_Functional_Class%2FFeatureServer%2F22&amp;find="&amp;$F16&amp;"%2C"&amp;$E16&amp;"&amp;marker="&amp;$F16&amp;","&amp;$E16&amp;",4326&amp;level=16",IF(JobState="WI","https://fema.maps.arcgis.com/apps/mapviewer/index.html?url=https%3A%2F%2Fservices5.arcgis.com%2F0pgGLzT0Nh7FVjon%2Farcgis%2Frest%2Fservices%2FFFCL_gdb%2FFeatureServer%2F3&amp;find="&amp;$F16&amp;"%2C"&amp;$E16&amp;"&amp;marker="&amp;$F16&amp;","&amp;$E16&amp;",4326&amp;level=16","https://fema.maps.arcgis.com/apps/mapviewer/index.html?find="&amp;$F16&amp;"%2C"&amp;$E16&amp;"&amp;marker="&amp;$F16&amp;","&amp;$E16&amp;",4326&amp;level=16"))),"Open"))</f>
        <v/>
      </c>
      <c r="N16" s="6" t="str">
        <f>IF(OR(JobAgolMap="", $E16="", $F16=""),"",HYPERLINK(JobAgolMap&amp;IF(ISNUMBER(FIND("?",JobAgolMap)),"&amp;","?")&amp;"center="&amp;$F16&amp;","&amp;$E16&amp;"&amp;level=16&amp;marker="&amp;$F16&amp;","&amp;$E16,"Open"))</f>
        <v/>
      </c>
      <c r="O16" s="6" t="str">
        <f>IF(OR($E16="",$F16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 s="4"/>
      <c r="Q16" s="4"/>
      <c r="R16" s="4"/>
      <c r="S16" s="4"/>
      <c r="T16" s="4"/>
      <c r="U16" s="4"/>
      <c r="V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HYPERLINK(IF(OR(JobState="MI",JobState=""),"https://fema.maps.arcgis.com/apps/mapviewer/index.html?webmap=6a1702b9147243d1a5ee62cd614bc681&amp;center="&amp;$F17&amp;","&amp;$E17&amp;"&amp;level=16&amp;marker="&amp;$F17&amp;","&amp;$E17&amp;"",IF(JobState="IN","https://fema.maps.arcgis.com/apps/mapviewer/index.html?url=https%3A%2F%2Fgisdata.in.gov%2Fserver%2Frest%2Fservices%2FHosted%2FLRSE_Functional_Class%2FFeatureServer%2F22&amp;find="&amp;$F17&amp;"%2C"&amp;$E17&amp;"&amp;marker="&amp;$F17&amp;","&amp;$E17&amp;",4326&amp;level=16",IF(JobState="WI","https://fema.maps.arcgis.com/apps/mapviewer/index.html?url=https%3A%2F%2Fservices5.arcgis.com%2F0pgGLzT0Nh7FVjon%2Farcgis%2Frest%2Fservices%2FFFCL_gdb%2FFeatureServer%2F3&amp;find="&amp;$F17&amp;"%2C"&amp;$E17&amp;"&amp;marker="&amp;$F17&amp;","&amp;$E17&amp;",4326&amp;level=16","https://fema.maps.arcgis.com/apps/mapviewer/index.html?find="&amp;$F17&amp;"%2C"&amp;$E17&amp;"&amp;marker="&amp;$F17&amp;","&amp;$E17&amp;",4326&amp;level=16"))),"Open"))</f>
        <v/>
      </c>
      <c r="N17" s="6" t="str">
        <f>IF(OR(JobAgolMap="", $E17="", $F17=""),"",HYPERLINK(JobAgolMap&amp;IF(ISNUMBER(FIND("?",JobAgolMap)),"&amp;","?")&amp;"center="&amp;$F17&amp;","&amp;$E17&amp;"&amp;level=16&amp;marker="&amp;$F17&amp;","&amp;$E17,"Open"))</f>
        <v/>
      </c>
      <c r="O17" s="6" t="str">
        <f>IF(OR($E17="",$F17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 s="4"/>
      <c r="Q17" s="4"/>
      <c r="R17" s="4"/>
      <c r="S17" s="4"/>
      <c r="T17" s="4"/>
      <c r="U17" s="4"/>
      <c r="V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HYPERLINK(IF(OR(JobState="MI",JobState=""),"https://fema.maps.arcgis.com/apps/mapviewer/index.html?webmap=6a1702b9147243d1a5ee62cd614bc681&amp;center="&amp;$F18&amp;","&amp;$E18&amp;"&amp;level=16&amp;marker="&amp;$F18&amp;","&amp;$E18&amp;"",IF(JobState="IN","https://fema.maps.arcgis.com/apps/mapviewer/index.html?url=https%3A%2F%2Fgisdata.in.gov%2Fserver%2Frest%2Fservices%2FHosted%2FLRSE_Functional_Class%2FFeatureServer%2F22&amp;find="&amp;$F18&amp;"%2C"&amp;$E18&amp;"&amp;marker="&amp;$F18&amp;","&amp;$E18&amp;",4326&amp;level=16",IF(JobState="WI","https://fema.maps.arcgis.com/apps/mapviewer/index.html?url=https%3A%2F%2Fservices5.arcgis.com%2F0pgGLzT0Nh7FVjon%2Farcgis%2Frest%2Fservices%2FFFCL_gdb%2FFeatureServer%2F3&amp;find="&amp;$F18&amp;"%2C"&amp;$E18&amp;"&amp;marker="&amp;$F18&amp;","&amp;$E18&amp;",4326&amp;level=16","https://fema.maps.arcgis.com/apps/mapviewer/index.html?find="&amp;$F18&amp;"%2C"&amp;$E18&amp;"&amp;marker="&amp;$F18&amp;","&amp;$E18&amp;",4326&amp;level=16"))),"Open"))</f>
        <v/>
      </c>
      <c r="N18" s="6" t="str">
        <f>IF(OR(JobAgolMap="", $E18="", $F18=""),"",HYPERLINK(JobAgolMap&amp;IF(ISNUMBER(FIND("?",JobAgolMap)),"&amp;","?")&amp;"center="&amp;$F18&amp;","&amp;$E18&amp;"&amp;level=16&amp;marker="&amp;$F18&amp;","&amp;$E18,"Open"))</f>
        <v/>
      </c>
      <c r="O18" s="6" t="str">
        <f>IF(OR($E18="",$F18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 s="4"/>
      <c r="Q18" s="4"/>
      <c r="R18" s="4"/>
      <c r="S18" s="4"/>
      <c r="T18" s="4"/>
      <c r="U18" s="4"/>
      <c r="V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HYPERLINK(IF(OR(JobState="MI",JobState=""),"https://fema.maps.arcgis.com/apps/mapviewer/index.html?webmap=6a1702b9147243d1a5ee62cd614bc681&amp;center="&amp;$F19&amp;","&amp;$E19&amp;"&amp;level=16&amp;marker="&amp;$F19&amp;","&amp;$E19&amp;"",IF(JobState="IN","https://fema.maps.arcgis.com/apps/mapviewer/index.html?url=https%3A%2F%2Fgisdata.in.gov%2Fserver%2Frest%2Fservices%2FHosted%2FLRSE_Functional_Class%2FFeatureServer%2F22&amp;find="&amp;$F19&amp;"%2C"&amp;$E19&amp;"&amp;marker="&amp;$F19&amp;","&amp;$E19&amp;",4326&amp;level=16",IF(JobState="WI","https://fema.maps.arcgis.com/apps/mapviewer/index.html?url=https%3A%2F%2Fservices5.arcgis.com%2F0pgGLzT0Nh7FVjon%2Farcgis%2Frest%2Fservices%2FFFCL_gdb%2FFeatureServer%2F3&amp;find="&amp;$F19&amp;"%2C"&amp;$E19&amp;"&amp;marker="&amp;$F19&amp;","&amp;$E19&amp;",4326&amp;level=16","https://fema.maps.arcgis.com/apps/mapviewer/index.html?find="&amp;$F19&amp;"%2C"&amp;$E19&amp;"&amp;marker="&amp;$F19&amp;","&amp;$E19&amp;",4326&amp;level=16"))),"Open"))</f>
        <v/>
      </c>
      <c r="N19" s="6" t="str">
        <f>IF(OR(JobAgolMap="", $E19="", $F19=""),"",HYPERLINK(JobAgolMap&amp;IF(ISNUMBER(FIND("?",JobAgolMap)),"&amp;","?")&amp;"center="&amp;$F19&amp;","&amp;$E19&amp;"&amp;level=16&amp;marker="&amp;$F19&amp;","&amp;$E19,"Open"))</f>
        <v/>
      </c>
      <c r="O19" s="6" t="str">
        <f>IF(OR($E19="",$F19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 s="4"/>
      <c r="Q19" s="4"/>
      <c r="R19" s="4"/>
      <c r="S19" s="4"/>
      <c r="T19" s="4"/>
      <c r="U19" s="4"/>
      <c r="V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HYPERLINK(IF(OR(JobState="MI",JobState=""),"https://fema.maps.arcgis.com/apps/mapviewer/index.html?webmap=6a1702b9147243d1a5ee62cd614bc681&amp;center="&amp;$F20&amp;","&amp;$E20&amp;"&amp;level=16&amp;marker="&amp;$F20&amp;","&amp;$E20&amp;"",IF(JobState="IN","https://fema.maps.arcgis.com/apps/mapviewer/index.html?url=https%3A%2F%2Fgisdata.in.gov%2Fserver%2Frest%2Fservices%2FHosted%2FLRSE_Functional_Class%2FFeatureServer%2F22&amp;find="&amp;$F20&amp;"%2C"&amp;$E20&amp;"&amp;marker="&amp;$F20&amp;","&amp;$E20&amp;",4326&amp;level=16",IF(JobState="WI","https://fema.maps.arcgis.com/apps/mapviewer/index.html?url=https%3A%2F%2Fservices5.arcgis.com%2F0pgGLzT0Nh7FVjon%2Farcgis%2Frest%2Fservices%2FFFCL_gdb%2FFeatureServer%2F3&amp;find="&amp;$F20&amp;"%2C"&amp;$E20&amp;"&amp;marker="&amp;$F20&amp;","&amp;$E20&amp;",4326&amp;level=16","https://fema.maps.arcgis.com/apps/mapviewer/index.html?find="&amp;$F20&amp;"%2C"&amp;$E20&amp;"&amp;marker="&amp;$F20&amp;","&amp;$E20&amp;",4326&amp;level=16"))),"Open"))</f>
        <v/>
      </c>
      <c r="N20" s="6" t="str">
        <f>IF(OR(JobAgolMap="", $E20="", $F20=""),"",HYPERLINK(JobAgolMap&amp;IF(ISNUMBER(FIND("?",JobAgolMap)),"&amp;","?")&amp;"center="&amp;$F20&amp;","&amp;$E20&amp;"&amp;level=16&amp;marker="&amp;$F20&amp;","&amp;$E20,"Open"))</f>
        <v/>
      </c>
      <c r="O20" s="6" t="str">
        <f>IF(OR($E20="",$F20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 s="4"/>
      <c r="Q20" s="4"/>
      <c r="R20" s="4"/>
      <c r="S20" s="4"/>
      <c r="T20" s="4"/>
      <c r="U20" s="4"/>
      <c r="V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HYPERLINK(IF(OR(JobState="MI",JobState=""),"https://fema.maps.arcgis.com/apps/mapviewer/index.html?webmap=6a1702b9147243d1a5ee62cd614bc681&amp;center="&amp;$F21&amp;","&amp;$E21&amp;"&amp;level=16&amp;marker="&amp;$F21&amp;","&amp;$E21&amp;"",IF(JobState="IN","https://fema.maps.arcgis.com/apps/mapviewer/index.html?url=https%3A%2F%2Fgisdata.in.gov%2Fserver%2Frest%2Fservices%2FHosted%2FLRSE_Functional_Class%2FFeatureServer%2F22&amp;find="&amp;$F21&amp;"%2C"&amp;$E21&amp;"&amp;marker="&amp;$F21&amp;","&amp;$E21&amp;",4326&amp;level=16",IF(JobState="WI","https://fema.maps.arcgis.com/apps/mapviewer/index.html?url=https%3A%2F%2Fservices5.arcgis.com%2F0pgGLzT0Nh7FVjon%2Farcgis%2Frest%2Fservices%2FFFCL_gdb%2FFeatureServer%2F3&amp;find="&amp;$F21&amp;"%2C"&amp;$E21&amp;"&amp;marker="&amp;$F21&amp;","&amp;$E21&amp;",4326&amp;level=16","https://fema.maps.arcgis.com/apps/mapviewer/index.html?find="&amp;$F21&amp;"%2C"&amp;$E21&amp;"&amp;marker="&amp;$F21&amp;","&amp;$E21&amp;",4326&amp;level=16"))),"Open"))</f>
        <v/>
      </c>
      <c r="N21" s="6" t="str">
        <f>IF(OR(JobAgolMap="", $E21="", $F21=""),"",HYPERLINK(JobAgolMap&amp;IF(ISNUMBER(FIND("?",JobAgolMap)),"&amp;","?")&amp;"center="&amp;$F21&amp;","&amp;$E21&amp;"&amp;level=16&amp;marker="&amp;$F21&amp;","&amp;$E21,"Open"))</f>
        <v/>
      </c>
      <c r="O21" s="6" t="str">
        <f>IF(OR($E21="",$F21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 s="4"/>
      <c r="Q21" s="4"/>
      <c r="R21" s="4"/>
      <c r="S21" s="4"/>
      <c r="T21" s="4"/>
      <c r="U21" s="4"/>
      <c r="V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HYPERLINK(IF(OR(JobState="MI",JobState=""),"https://fema.maps.arcgis.com/apps/mapviewer/index.html?webmap=6a1702b9147243d1a5ee62cd614bc681&amp;center="&amp;$F22&amp;","&amp;$E22&amp;"&amp;level=16&amp;marker="&amp;$F22&amp;","&amp;$E22&amp;"",IF(JobState="IN","https://fema.maps.arcgis.com/apps/mapviewer/index.html?url=https%3A%2F%2Fgisdata.in.gov%2Fserver%2Frest%2Fservices%2FHosted%2FLRSE_Functional_Class%2FFeatureServer%2F22&amp;find="&amp;$F22&amp;"%2C"&amp;$E22&amp;"&amp;marker="&amp;$F22&amp;","&amp;$E22&amp;",4326&amp;level=16",IF(JobState="WI","https://fema.maps.arcgis.com/apps/mapviewer/index.html?url=https%3A%2F%2Fservices5.arcgis.com%2F0pgGLzT0Nh7FVjon%2Farcgis%2Frest%2Fservices%2FFFCL_gdb%2FFeatureServer%2F3&amp;find="&amp;$F22&amp;"%2C"&amp;$E22&amp;"&amp;marker="&amp;$F22&amp;","&amp;$E22&amp;",4326&amp;level=16","https://fema.maps.arcgis.com/apps/mapviewer/index.html?find="&amp;$F22&amp;"%2C"&amp;$E22&amp;"&amp;marker="&amp;$F22&amp;","&amp;$E22&amp;",4326&amp;level=16"))),"Open"))</f>
        <v/>
      </c>
      <c r="N22" s="6" t="str">
        <f>IF(OR(JobAgolMap="", $E22="", $F22=""),"",HYPERLINK(JobAgolMap&amp;IF(ISNUMBER(FIND("?",JobAgolMap)),"&amp;","?")&amp;"center="&amp;$F22&amp;","&amp;$E22&amp;"&amp;level=16&amp;marker="&amp;$F22&amp;","&amp;$E22,"Open"))</f>
        <v/>
      </c>
      <c r="O22" s="6" t="str">
        <f>IF(OR($E22="",$F22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 s="4"/>
      <c r="Q22" s="4"/>
      <c r="R22" s="4"/>
      <c r="S22" s="4"/>
      <c r="T22" s="4"/>
      <c r="U22" s="4"/>
      <c r="V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HYPERLINK(IF(OR(JobState="MI",JobState=""),"https://fema.maps.arcgis.com/apps/mapviewer/index.html?webmap=6a1702b9147243d1a5ee62cd614bc681&amp;center="&amp;$F23&amp;","&amp;$E23&amp;"&amp;level=16&amp;marker="&amp;$F23&amp;","&amp;$E23&amp;"",IF(JobState="IN","https://fema.maps.arcgis.com/apps/mapviewer/index.html?url=https%3A%2F%2Fgisdata.in.gov%2Fserver%2Frest%2Fservices%2FHosted%2FLRSE_Functional_Class%2FFeatureServer%2F22&amp;find="&amp;$F23&amp;"%2C"&amp;$E23&amp;"&amp;marker="&amp;$F23&amp;","&amp;$E23&amp;",4326&amp;level=16",IF(JobState="WI","https://fema.maps.arcgis.com/apps/mapviewer/index.html?url=https%3A%2F%2Fservices5.arcgis.com%2F0pgGLzT0Nh7FVjon%2Farcgis%2Frest%2Fservices%2FFFCL_gdb%2FFeatureServer%2F3&amp;find="&amp;$F23&amp;"%2C"&amp;$E23&amp;"&amp;marker="&amp;$F23&amp;","&amp;$E23&amp;",4326&amp;level=16","https://fema.maps.arcgis.com/apps/mapviewer/index.html?find="&amp;$F23&amp;"%2C"&amp;$E23&amp;"&amp;marker="&amp;$F23&amp;","&amp;$E23&amp;",4326&amp;level=16"))),"Open"))</f>
        <v/>
      </c>
      <c r="N23" s="6" t="str">
        <f>IF(OR(JobAgolMap="", $E23="", $F23=""),"",HYPERLINK(JobAgolMap&amp;IF(ISNUMBER(FIND("?",JobAgolMap)),"&amp;","?")&amp;"center="&amp;$F23&amp;","&amp;$E23&amp;"&amp;level=16&amp;marker="&amp;$F23&amp;","&amp;$E23,"Open"))</f>
        <v/>
      </c>
      <c r="O23" s="6" t="str">
        <f>IF(OR($E23="",$F23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 s="4"/>
      <c r="Q23" s="4"/>
      <c r="R23" s="4"/>
      <c r="S23" s="4"/>
      <c r="T23" s="4"/>
      <c r="U23" s="4"/>
      <c r="V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HYPERLINK(IF(OR(JobState="MI",JobState=""),"https://fema.maps.arcgis.com/apps/mapviewer/index.html?webmap=6a1702b9147243d1a5ee62cd614bc681&amp;center="&amp;$F24&amp;","&amp;$E24&amp;"&amp;level=16&amp;marker="&amp;$F24&amp;","&amp;$E24&amp;"",IF(JobState="IN","https://fema.maps.arcgis.com/apps/mapviewer/index.html?url=https%3A%2F%2Fgisdata.in.gov%2Fserver%2Frest%2Fservices%2FHosted%2FLRSE_Functional_Class%2FFeatureServer%2F22&amp;find="&amp;$F24&amp;"%2C"&amp;$E24&amp;"&amp;marker="&amp;$F24&amp;","&amp;$E24&amp;",4326&amp;level=16",IF(JobState="WI","https://fema.maps.arcgis.com/apps/mapviewer/index.html?url=https%3A%2F%2Fservices5.arcgis.com%2F0pgGLzT0Nh7FVjon%2Farcgis%2Frest%2Fservices%2FFFCL_gdb%2FFeatureServer%2F3&amp;find="&amp;$F24&amp;"%2C"&amp;$E24&amp;"&amp;marker="&amp;$F24&amp;","&amp;$E24&amp;",4326&amp;level=16","https://fema.maps.arcgis.com/apps/mapviewer/index.html?find="&amp;$F24&amp;"%2C"&amp;$E24&amp;"&amp;marker="&amp;$F24&amp;","&amp;$E24&amp;",4326&amp;level=16"))),"Open"))</f>
        <v/>
      </c>
      <c r="N24" s="6" t="str">
        <f>IF(OR(JobAgolMap="", $E24="", $F24=""),"",HYPERLINK(JobAgolMap&amp;IF(ISNUMBER(FIND("?",JobAgolMap)),"&amp;","?")&amp;"center="&amp;$F24&amp;","&amp;$E24&amp;"&amp;level=16&amp;marker="&amp;$F24&amp;","&amp;$E24,"Open"))</f>
        <v/>
      </c>
      <c r="O24" s="6" t="str">
        <f>IF(OR($E24="",$F24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 s="4"/>
      <c r="Q24" s="4"/>
      <c r="R24" s="4"/>
      <c r="S24" s="4"/>
      <c r="T24" s="4"/>
      <c r="U24" s="4"/>
      <c r="V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HYPERLINK(IF(OR(JobState="MI",JobState=""),"https://fema.maps.arcgis.com/apps/mapviewer/index.html?webmap=6a1702b9147243d1a5ee62cd614bc681&amp;center="&amp;$F25&amp;","&amp;$E25&amp;"&amp;level=16&amp;marker="&amp;$F25&amp;","&amp;$E25&amp;"",IF(JobState="IN","https://fema.maps.arcgis.com/apps/mapviewer/index.html?url=https%3A%2F%2Fgisdata.in.gov%2Fserver%2Frest%2Fservices%2FHosted%2FLRSE_Functional_Class%2FFeatureServer%2F22&amp;find="&amp;$F25&amp;"%2C"&amp;$E25&amp;"&amp;marker="&amp;$F25&amp;","&amp;$E25&amp;",4326&amp;level=16",IF(JobState="WI","https://fema.maps.arcgis.com/apps/mapviewer/index.html?url=https%3A%2F%2Fservices5.arcgis.com%2F0pgGLzT0Nh7FVjon%2Farcgis%2Frest%2Fservices%2FFFCL_gdb%2FFeatureServer%2F3&amp;find="&amp;$F25&amp;"%2C"&amp;$E25&amp;"&amp;marker="&amp;$F25&amp;","&amp;$E25&amp;",4326&amp;level=16","https://fema.maps.arcgis.com/apps/mapviewer/index.html?find="&amp;$F25&amp;"%2C"&amp;$E25&amp;"&amp;marker="&amp;$F25&amp;","&amp;$E25&amp;",4326&amp;level=16"))),"Open"))</f>
        <v/>
      </c>
      <c r="N25" s="6" t="str">
        <f>IF(OR(JobAgolMap="", $E25="", $F25=""),"",HYPERLINK(JobAgolMap&amp;IF(ISNUMBER(FIND("?",JobAgolMap)),"&amp;","?")&amp;"center="&amp;$F25&amp;","&amp;$E25&amp;"&amp;level=16&amp;marker="&amp;$F25&amp;","&amp;$E25,"Open"))</f>
        <v/>
      </c>
      <c r="O25" s="6" t="str">
        <f>IF(OR($E25="",$F25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 s="4"/>
      <c r="Q25" s="4"/>
      <c r="R25" s="4"/>
      <c r="S25" s="4"/>
      <c r="T25" s="4"/>
      <c r="U25" s="4"/>
      <c r="V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HYPERLINK(IF(OR(JobState="MI",JobState=""),"https://fema.maps.arcgis.com/apps/mapviewer/index.html?webmap=6a1702b9147243d1a5ee62cd614bc681&amp;center="&amp;$F26&amp;","&amp;$E26&amp;"&amp;level=16&amp;marker="&amp;$F26&amp;","&amp;$E26&amp;"",IF(JobState="IN","https://fema.maps.arcgis.com/apps/mapviewer/index.html?url=https%3A%2F%2Fgisdata.in.gov%2Fserver%2Frest%2Fservices%2FHosted%2FLRSE_Functional_Class%2FFeatureServer%2F22&amp;find="&amp;$F26&amp;"%2C"&amp;$E26&amp;"&amp;marker="&amp;$F26&amp;","&amp;$E26&amp;",4326&amp;level=16",IF(JobState="WI","https://fema.maps.arcgis.com/apps/mapviewer/index.html?url=https%3A%2F%2Fservices5.arcgis.com%2F0pgGLzT0Nh7FVjon%2Farcgis%2Frest%2Fservices%2FFFCL_gdb%2FFeatureServer%2F3&amp;find="&amp;$F26&amp;"%2C"&amp;$E26&amp;"&amp;marker="&amp;$F26&amp;","&amp;$E26&amp;",4326&amp;level=16","https://fema.maps.arcgis.com/apps/mapviewer/index.html?find="&amp;$F26&amp;"%2C"&amp;$E26&amp;"&amp;marker="&amp;$F26&amp;","&amp;$E26&amp;",4326&amp;level=16"))),"Open"))</f>
        <v/>
      </c>
      <c r="N26" s="6" t="str">
        <f>IF(OR(JobAgolMap="", $E26="", $F26=""),"",HYPERLINK(JobAgolMap&amp;IF(ISNUMBER(FIND("?",JobAgolMap)),"&amp;","?")&amp;"center="&amp;$F26&amp;","&amp;$E26&amp;"&amp;level=16&amp;marker="&amp;$F26&amp;","&amp;$E26,"Open"))</f>
        <v/>
      </c>
      <c r="O26" s="6" t="str">
        <f>IF(OR($E26="",$F26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 s="4"/>
      <c r="Q26" s="4"/>
      <c r="R26" s="4"/>
      <c r="S26" s="4"/>
      <c r="T26" s="4"/>
      <c r="U26" s="4"/>
      <c r="V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HYPERLINK(IF(OR(JobState="MI",JobState=""),"https://fema.maps.arcgis.com/apps/mapviewer/index.html?webmap=6a1702b9147243d1a5ee62cd614bc681&amp;center="&amp;$F27&amp;","&amp;$E27&amp;"&amp;level=16&amp;marker="&amp;$F27&amp;","&amp;$E27&amp;"",IF(JobState="IN","https://fema.maps.arcgis.com/apps/mapviewer/index.html?url=https%3A%2F%2Fgisdata.in.gov%2Fserver%2Frest%2Fservices%2FHosted%2FLRSE_Functional_Class%2FFeatureServer%2F22&amp;find="&amp;$F27&amp;"%2C"&amp;$E27&amp;"&amp;marker="&amp;$F27&amp;","&amp;$E27&amp;",4326&amp;level=16",IF(JobState="WI","https://fema.maps.arcgis.com/apps/mapviewer/index.html?url=https%3A%2F%2Fservices5.arcgis.com%2F0pgGLzT0Nh7FVjon%2Farcgis%2Frest%2Fservices%2FFFCL_gdb%2FFeatureServer%2F3&amp;find="&amp;$F27&amp;"%2C"&amp;$E27&amp;"&amp;marker="&amp;$F27&amp;","&amp;$E27&amp;",4326&amp;level=16","https://fema.maps.arcgis.com/apps/mapviewer/index.html?find="&amp;$F27&amp;"%2C"&amp;$E27&amp;"&amp;marker="&amp;$F27&amp;","&amp;$E27&amp;",4326&amp;level=16"))),"Open"))</f>
        <v/>
      </c>
      <c r="N27" s="6" t="str">
        <f>IF(OR(JobAgolMap="", $E27="", $F27=""),"",HYPERLINK(JobAgolMap&amp;IF(ISNUMBER(FIND("?",JobAgolMap)),"&amp;","?")&amp;"center="&amp;$F27&amp;","&amp;$E27&amp;"&amp;level=16&amp;marker="&amp;$F27&amp;","&amp;$E27,"Open"))</f>
        <v/>
      </c>
      <c r="O27" s="6" t="str">
        <f>IF(OR($E27="",$F27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 s="4"/>
      <c r="Q27" s="4"/>
      <c r="R27" s="4"/>
      <c r="S27" s="4"/>
      <c r="T27" s="4"/>
      <c r="U27" s="4"/>
      <c r="V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HYPERLINK(IF(OR(JobState="MI",JobState=""),"https://fema.maps.arcgis.com/apps/mapviewer/index.html?webmap=6a1702b9147243d1a5ee62cd614bc681&amp;center="&amp;$F28&amp;","&amp;$E28&amp;"&amp;level=16&amp;marker="&amp;$F28&amp;","&amp;$E28&amp;"",IF(JobState="IN","https://fema.maps.arcgis.com/apps/mapviewer/index.html?url=https%3A%2F%2Fgisdata.in.gov%2Fserver%2Frest%2Fservices%2FHosted%2FLRSE_Functional_Class%2FFeatureServer%2F22&amp;find="&amp;$F28&amp;"%2C"&amp;$E28&amp;"&amp;marker="&amp;$F28&amp;","&amp;$E28&amp;",4326&amp;level=16",IF(JobState="WI","https://fema.maps.arcgis.com/apps/mapviewer/index.html?url=https%3A%2F%2Fservices5.arcgis.com%2F0pgGLzT0Nh7FVjon%2Farcgis%2Frest%2Fservices%2FFFCL_gdb%2FFeatureServer%2F3&amp;find="&amp;$F28&amp;"%2C"&amp;$E28&amp;"&amp;marker="&amp;$F28&amp;","&amp;$E28&amp;",4326&amp;level=16","https://fema.maps.arcgis.com/apps/mapviewer/index.html?find="&amp;$F28&amp;"%2C"&amp;$E28&amp;"&amp;marker="&amp;$F28&amp;","&amp;$E28&amp;",4326&amp;level=16"))),"Open"))</f>
        <v/>
      </c>
      <c r="N28" s="6" t="str">
        <f>IF(OR(JobAgolMap="", $E28="", $F28=""),"",HYPERLINK(JobAgolMap&amp;IF(ISNUMBER(FIND("?",JobAgolMap)),"&amp;","?")&amp;"center="&amp;$F28&amp;","&amp;$E28&amp;"&amp;level=16&amp;marker="&amp;$F28&amp;","&amp;$E28,"Open"))</f>
        <v/>
      </c>
      <c r="O28" s="6" t="str">
        <f>IF(OR($E28="",$F28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 s="4"/>
      <c r="Q28" s="4"/>
      <c r="R28" s="4"/>
      <c r="S28" s="4"/>
      <c r="T28" s="4"/>
      <c r="U28" s="4"/>
      <c r="V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HYPERLINK(IF(OR(JobState="MI",JobState=""),"https://fema.maps.arcgis.com/apps/mapviewer/index.html?webmap=6a1702b9147243d1a5ee62cd614bc681&amp;center="&amp;$F29&amp;","&amp;$E29&amp;"&amp;level=16&amp;marker="&amp;$F29&amp;","&amp;$E29&amp;"",IF(JobState="IN","https://fema.maps.arcgis.com/apps/mapviewer/index.html?url=https%3A%2F%2Fgisdata.in.gov%2Fserver%2Frest%2Fservices%2FHosted%2FLRSE_Functional_Class%2FFeatureServer%2F22&amp;find="&amp;$F29&amp;"%2C"&amp;$E29&amp;"&amp;marker="&amp;$F29&amp;","&amp;$E29&amp;",4326&amp;level=16",IF(JobState="WI","https://fema.maps.arcgis.com/apps/mapviewer/index.html?url=https%3A%2F%2Fservices5.arcgis.com%2F0pgGLzT0Nh7FVjon%2Farcgis%2Frest%2Fservices%2FFFCL_gdb%2FFeatureServer%2F3&amp;find="&amp;$F29&amp;"%2C"&amp;$E29&amp;"&amp;marker="&amp;$F29&amp;","&amp;$E29&amp;",4326&amp;level=16","https://fema.maps.arcgis.com/apps/mapviewer/index.html?find="&amp;$F29&amp;"%2C"&amp;$E29&amp;"&amp;marker="&amp;$F29&amp;","&amp;$E29&amp;",4326&amp;level=16"))),"Open"))</f>
        <v/>
      </c>
      <c r="N29" s="6" t="str">
        <f>IF(OR(JobAgolMap="", $E29="", $F29=""),"",HYPERLINK(JobAgolMap&amp;IF(ISNUMBER(FIND("?",JobAgolMap)),"&amp;","?")&amp;"center="&amp;$F29&amp;","&amp;$E29&amp;"&amp;level=16&amp;marker="&amp;$F29&amp;","&amp;$E29,"Open"))</f>
        <v/>
      </c>
      <c r="O29" s="6" t="str">
        <f>IF(OR($E29="",$F29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 s="4"/>
      <c r="Q29" s="4"/>
      <c r="R29" s="4"/>
      <c r="S29" s="4"/>
      <c r="T29" s="4"/>
      <c r="U29" s="4"/>
      <c r="V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HYPERLINK(IF(OR(JobState="MI",JobState=""),"https://fema.maps.arcgis.com/apps/mapviewer/index.html?webmap=6a1702b9147243d1a5ee62cd614bc681&amp;center="&amp;$F30&amp;","&amp;$E30&amp;"&amp;level=16&amp;marker="&amp;$F30&amp;","&amp;$E30&amp;"",IF(JobState="IN","https://fema.maps.arcgis.com/apps/mapviewer/index.html?url=https%3A%2F%2Fgisdata.in.gov%2Fserver%2Frest%2Fservices%2FHosted%2FLRSE_Functional_Class%2FFeatureServer%2F22&amp;find="&amp;$F30&amp;"%2C"&amp;$E30&amp;"&amp;marker="&amp;$F30&amp;","&amp;$E30&amp;",4326&amp;level=16",IF(JobState="WI","https://fema.maps.arcgis.com/apps/mapviewer/index.html?url=https%3A%2F%2Fservices5.arcgis.com%2F0pgGLzT0Nh7FVjon%2Farcgis%2Frest%2Fservices%2FFFCL_gdb%2FFeatureServer%2F3&amp;find="&amp;$F30&amp;"%2C"&amp;$E30&amp;"&amp;marker="&amp;$F30&amp;","&amp;$E30&amp;",4326&amp;level=16","https://fema.maps.arcgis.com/apps/mapviewer/index.html?find="&amp;$F30&amp;"%2C"&amp;$E30&amp;"&amp;marker="&amp;$F30&amp;","&amp;$E30&amp;",4326&amp;level=16"))),"Open"))</f>
        <v/>
      </c>
      <c r="N30" s="6" t="str">
        <f>IF(OR(JobAgolMap="", $E30="", $F30=""),"",HYPERLINK(JobAgolMap&amp;IF(ISNUMBER(FIND("?",JobAgolMap)),"&amp;","?")&amp;"center="&amp;$F30&amp;","&amp;$E30&amp;"&amp;level=16&amp;marker="&amp;$F30&amp;","&amp;$E30,"Open"))</f>
        <v/>
      </c>
      <c r="O30" s="6" t="str">
        <f>IF(OR($E30="",$F30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 s="4"/>
      <c r="Q30" s="4"/>
      <c r="R30" s="4"/>
      <c r="S30" s="4"/>
      <c r="T30" s="4"/>
      <c r="U30" s="4"/>
      <c r="V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HYPERLINK(IF(OR(JobState="MI",JobState=""),"https://fema.maps.arcgis.com/apps/mapviewer/index.html?webmap=6a1702b9147243d1a5ee62cd614bc681&amp;center="&amp;$F31&amp;","&amp;$E31&amp;"&amp;level=16&amp;marker="&amp;$F31&amp;","&amp;$E31&amp;"",IF(JobState="IN","https://fema.maps.arcgis.com/apps/mapviewer/index.html?url=https%3A%2F%2Fgisdata.in.gov%2Fserver%2Frest%2Fservices%2FHosted%2FLRSE_Functional_Class%2FFeatureServer%2F22&amp;find="&amp;$F31&amp;"%2C"&amp;$E31&amp;"&amp;marker="&amp;$F31&amp;","&amp;$E31&amp;",4326&amp;level=16",IF(JobState="WI","https://fema.maps.arcgis.com/apps/mapviewer/index.html?url=https%3A%2F%2Fservices5.arcgis.com%2F0pgGLzT0Nh7FVjon%2Farcgis%2Frest%2Fservices%2FFFCL_gdb%2FFeatureServer%2F3&amp;find="&amp;$F31&amp;"%2C"&amp;$E31&amp;"&amp;marker="&amp;$F31&amp;","&amp;$E31&amp;",4326&amp;level=16","https://fema.maps.arcgis.com/apps/mapviewer/index.html?find="&amp;$F31&amp;"%2C"&amp;$E31&amp;"&amp;marker="&amp;$F31&amp;","&amp;$E31&amp;",4326&amp;level=16"))),"Open"))</f>
        <v/>
      </c>
      <c r="N31" s="6" t="str">
        <f>IF(OR(JobAgolMap="", $E31="", $F31=""),"",HYPERLINK(JobAgolMap&amp;IF(ISNUMBER(FIND("?",JobAgolMap)),"&amp;","?")&amp;"center="&amp;$F31&amp;","&amp;$E31&amp;"&amp;level=16&amp;marker="&amp;$F31&amp;","&amp;$E31,"Open"))</f>
        <v/>
      </c>
      <c r="O31" s="6" t="str">
        <f>IF(OR($E31="",$F31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 s="4"/>
      <c r="Q31" s="4"/>
      <c r="R31" s="4"/>
      <c r="S31" s="4"/>
      <c r="T31" s="4"/>
      <c r="U31" s="4"/>
      <c r="V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HYPERLINK(IF(OR(JobState="MI",JobState=""),"https://fema.maps.arcgis.com/apps/mapviewer/index.html?webmap=6a1702b9147243d1a5ee62cd614bc681&amp;center="&amp;$F32&amp;","&amp;$E32&amp;"&amp;level=16&amp;marker="&amp;$F32&amp;","&amp;$E32&amp;"",IF(JobState="IN","https://fema.maps.arcgis.com/apps/mapviewer/index.html?url=https%3A%2F%2Fgisdata.in.gov%2Fserver%2Frest%2Fservices%2FHosted%2FLRSE_Functional_Class%2FFeatureServer%2F22&amp;find="&amp;$F32&amp;"%2C"&amp;$E32&amp;"&amp;marker="&amp;$F32&amp;","&amp;$E32&amp;",4326&amp;level=16",IF(JobState="WI","https://fema.maps.arcgis.com/apps/mapviewer/index.html?url=https%3A%2F%2Fservices5.arcgis.com%2F0pgGLzT0Nh7FVjon%2Farcgis%2Frest%2Fservices%2FFFCL_gdb%2FFeatureServer%2F3&amp;find="&amp;$F32&amp;"%2C"&amp;$E32&amp;"&amp;marker="&amp;$F32&amp;","&amp;$E32&amp;",4326&amp;level=16","https://fema.maps.arcgis.com/apps/mapviewer/index.html?find="&amp;$F32&amp;"%2C"&amp;$E32&amp;"&amp;marker="&amp;$F32&amp;","&amp;$E32&amp;",4326&amp;level=16"))),"Open"))</f>
        <v/>
      </c>
      <c r="N32" s="6" t="str">
        <f>IF(OR(JobAgolMap="", $E32="", $F32=""),"",HYPERLINK(JobAgolMap&amp;IF(ISNUMBER(FIND("?",JobAgolMap)),"&amp;","?")&amp;"center="&amp;$F32&amp;","&amp;$E32&amp;"&amp;level=16&amp;marker="&amp;$F32&amp;","&amp;$E32,"Open"))</f>
        <v/>
      </c>
      <c r="O32" s="6" t="str">
        <f>IF(OR($E32="",$F32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 s="4"/>
      <c r="Q32" s="4"/>
      <c r="R32" s="4"/>
      <c r="S32" s="4"/>
      <c r="T32" s="4"/>
      <c r="U32" s="4"/>
      <c r="V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HYPERLINK(IF(OR(JobState="MI",JobState=""),"https://fema.maps.arcgis.com/apps/mapviewer/index.html?webmap=6a1702b9147243d1a5ee62cd614bc681&amp;center="&amp;$F33&amp;","&amp;$E33&amp;"&amp;level=16&amp;marker="&amp;$F33&amp;","&amp;$E33&amp;"",IF(JobState="IN","https://fema.maps.arcgis.com/apps/mapviewer/index.html?url=https%3A%2F%2Fgisdata.in.gov%2Fserver%2Frest%2Fservices%2FHosted%2FLRSE_Functional_Class%2FFeatureServer%2F22&amp;find="&amp;$F33&amp;"%2C"&amp;$E33&amp;"&amp;marker="&amp;$F33&amp;","&amp;$E33&amp;",4326&amp;level=16",IF(JobState="WI","https://fema.maps.arcgis.com/apps/mapviewer/index.html?url=https%3A%2F%2Fservices5.arcgis.com%2F0pgGLzT0Nh7FVjon%2Farcgis%2Frest%2Fservices%2FFFCL_gdb%2FFeatureServer%2F3&amp;find="&amp;$F33&amp;"%2C"&amp;$E33&amp;"&amp;marker="&amp;$F33&amp;","&amp;$E33&amp;",4326&amp;level=16","https://fema.maps.arcgis.com/apps/mapviewer/index.html?find="&amp;$F33&amp;"%2C"&amp;$E33&amp;"&amp;marker="&amp;$F33&amp;","&amp;$E33&amp;",4326&amp;level=16"))),"Open"))</f>
        <v/>
      </c>
      <c r="N33" s="6" t="str">
        <f>IF(OR(JobAgolMap="", $E33="", $F33=""),"",HYPERLINK(JobAgolMap&amp;IF(ISNUMBER(FIND("?",JobAgolMap)),"&amp;","?")&amp;"center="&amp;$F33&amp;","&amp;$E33&amp;"&amp;level=16&amp;marker="&amp;$F33&amp;","&amp;$E33,"Open"))</f>
        <v/>
      </c>
      <c r="O33" s="6" t="str">
        <f>IF(OR($E33="",$F33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 s="4"/>
      <c r="Q33" s="4"/>
      <c r="R33" s="4"/>
      <c r="S33" s="4"/>
      <c r="T33" s="4"/>
      <c r="U33" s="4"/>
      <c r="V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HYPERLINK(IF(OR(JobState="MI",JobState=""),"https://fema.maps.arcgis.com/apps/mapviewer/index.html?webmap=6a1702b9147243d1a5ee62cd614bc681&amp;center="&amp;$F34&amp;","&amp;$E34&amp;"&amp;level=16&amp;marker="&amp;$F34&amp;","&amp;$E34&amp;"",IF(JobState="IN","https://fema.maps.arcgis.com/apps/mapviewer/index.html?url=https%3A%2F%2Fgisdata.in.gov%2Fserver%2Frest%2Fservices%2FHosted%2FLRSE_Functional_Class%2FFeatureServer%2F22&amp;find="&amp;$F34&amp;"%2C"&amp;$E34&amp;"&amp;marker="&amp;$F34&amp;","&amp;$E34&amp;",4326&amp;level=16",IF(JobState="WI","https://fema.maps.arcgis.com/apps/mapviewer/index.html?url=https%3A%2F%2Fservices5.arcgis.com%2F0pgGLzT0Nh7FVjon%2Farcgis%2Frest%2Fservices%2FFFCL_gdb%2FFeatureServer%2F3&amp;find="&amp;$F34&amp;"%2C"&amp;$E34&amp;"&amp;marker="&amp;$F34&amp;","&amp;$E34&amp;",4326&amp;level=16","https://fema.maps.arcgis.com/apps/mapviewer/index.html?find="&amp;$F34&amp;"%2C"&amp;$E34&amp;"&amp;marker="&amp;$F34&amp;","&amp;$E34&amp;",4326&amp;level=16"))),"Open"))</f>
        <v/>
      </c>
      <c r="N34" s="6" t="str">
        <f>IF(OR(JobAgolMap="", $E34="", $F34=""),"",HYPERLINK(JobAgolMap&amp;IF(ISNUMBER(FIND("?",JobAgolMap)),"&amp;","?")&amp;"center="&amp;$F34&amp;","&amp;$E34&amp;"&amp;level=16&amp;marker="&amp;$F34&amp;","&amp;$E34,"Open"))</f>
        <v/>
      </c>
      <c r="O34" s="6" t="str">
        <f>IF(OR($E34="",$F34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 s="4"/>
      <c r="Q34" s="4"/>
      <c r="R34" s="4"/>
      <c r="S34" s="4"/>
      <c r="T34" s="4"/>
      <c r="U34" s="4"/>
      <c r="V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HYPERLINK(IF(OR(JobState="MI",JobState=""),"https://fema.maps.arcgis.com/apps/mapviewer/index.html?webmap=6a1702b9147243d1a5ee62cd614bc681&amp;center="&amp;$F35&amp;","&amp;$E35&amp;"&amp;level=16&amp;marker="&amp;$F35&amp;","&amp;$E35&amp;"",IF(JobState="IN","https://fema.maps.arcgis.com/apps/mapviewer/index.html?url=https%3A%2F%2Fgisdata.in.gov%2Fserver%2Frest%2Fservices%2FHosted%2FLRSE_Functional_Class%2FFeatureServer%2F22&amp;find="&amp;$F35&amp;"%2C"&amp;$E35&amp;"&amp;marker="&amp;$F35&amp;","&amp;$E35&amp;",4326&amp;level=16",IF(JobState="WI","https://fema.maps.arcgis.com/apps/mapviewer/index.html?url=https%3A%2F%2Fservices5.arcgis.com%2F0pgGLzT0Nh7FVjon%2Farcgis%2Frest%2Fservices%2FFFCL_gdb%2FFeatureServer%2F3&amp;find="&amp;$F35&amp;"%2C"&amp;$E35&amp;"&amp;marker="&amp;$F35&amp;","&amp;$E35&amp;",4326&amp;level=16","https://fema.maps.arcgis.com/apps/mapviewer/index.html?find="&amp;$F35&amp;"%2C"&amp;$E35&amp;"&amp;marker="&amp;$F35&amp;","&amp;$E35&amp;",4326&amp;level=16"))),"Open"))</f>
        <v/>
      </c>
      <c r="N35" s="6" t="str">
        <f>IF(OR(JobAgolMap="", $E35="", $F35=""),"",HYPERLINK(JobAgolMap&amp;IF(ISNUMBER(FIND("?",JobAgolMap)),"&amp;","?")&amp;"center="&amp;$F35&amp;","&amp;$E35&amp;"&amp;level=16&amp;marker="&amp;$F35&amp;","&amp;$E35,"Open"))</f>
        <v/>
      </c>
      <c r="O35" s="6" t="str">
        <f>IF(OR($E35="",$F35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 s="4"/>
      <c r="Q35" s="4"/>
      <c r="R35" s="4"/>
      <c r="S35" s="4"/>
      <c r="T35" s="4"/>
      <c r="U35" s="4"/>
      <c r="V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HYPERLINK(IF(OR(JobState="MI",JobState=""),"https://fema.maps.arcgis.com/apps/mapviewer/index.html?webmap=6a1702b9147243d1a5ee62cd614bc681&amp;center="&amp;$F36&amp;","&amp;$E36&amp;"&amp;level=16&amp;marker="&amp;$F36&amp;","&amp;$E36&amp;"",IF(JobState="IN","https://fema.maps.arcgis.com/apps/mapviewer/index.html?url=https%3A%2F%2Fgisdata.in.gov%2Fserver%2Frest%2Fservices%2FHosted%2FLRSE_Functional_Class%2FFeatureServer%2F22&amp;find="&amp;$F36&amp;"%2C"&amp;$E36&amp;"&amp;marker="&amp;$F36&amp;","&amp;$E36&amp;",4326&amp;level=16",IF(JobState="WI","https://fema.maps.arcgis.com/apps/mapviewer/index.html?url=https%3A%2F%2Fservices5.arcgis.com%2F0pgGLzT0Nh7FVjon%2Farcgis%2Frest%2Fservices%2FFFCL_gdb%2FFeatureServer%2F3&amp;find="&amp;$F36&amp;"%2C"&amp;$E36&amp;"&amp;marker="&amp;$F36&amp;","&amp;$E36&amp;",4326&amp;level=16","https://fema.maps.arcgis.com/apps/mapviewer/index.html?find="&amp;$F36&amp;"%2C"&amp;$E36&amp;"&amp;marker="&amp;$F36&amp;","&amp;$E36&amp;",4326&amp;level=16"))),"Open"))</f>
        <v/>
      </c>
      <c r="N36" s="6" t="str">
        <f>IF(OR(JobAgolMap="", $E36="", $F36=""),"",HYPERLINK(JobAgolMap&amp;IF(ISNUMBER(FIND("?",JobAgolMap)),"&amp;","?")&amp;"center="&amp;$F36&amp;","&amp;$E36&amp;"&amp;level=16&amp;marker="&amp;$F36&amp;","&amp;$E36,"Open"))</f>
        <v/>
      </c>
      <c r="O36" s="6" t="str">
        <f>IF(OR($E36="",$F36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 s="4"/>
      <c r="Q36" s="4"/>
      <c r="R36" s="4"/>
      <c r="S36" s="4"/>
      <c r="T36" s="4"/>
      <c r="U36" s="4"/>
      <c r="V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HYPERLINK(IF(OR(JobState="MI",JobState=""),"https://fema.maps.arcgis.com/apps/mapviewer/index.html?webmap=6a1702b9147243d1a5ee62cd614bc681&amp;center="&amp;$F37&amp;","&amp;$E37&amp;"&amp;level=16&amp;marker="&amp;$F37&amp;","&amp;$E37&amp;"",IF(JobState="IN","https://fema.maps.arcgis.com/apps/mapviewer/index.html?url=https%3A%2F%2Fgisdata.in.gov%2Fserver%2Frest%2Fservices%2FHosted%2FLRSE_Functional_Class%2FFeatureServer%2F22&amp;find="&amp;$F37&amp;"%2C"&amp;$E37&amp;"&amp;marker="&amp;$F37&amp;","&amp;$E37&amp;",4326&amp;level=16",IF(JobState="WI","https://fema.maps.arcgis.com/apps/mapviewer/index.html?url=https%3A%2F%2Fservices5.arcgis.com%2F0pgGLzT0Nh7FVjon%2Farcgis%2Frest%2Fservices%2FFFCL_gdb%2FFeatureServer%2F3&amp;find="&amp;$F37&amp;"%2C"&amp;$E37&amp;"&amp;marker="&amp;$F37&amp;","&amp;$E37&amp;",4326&amp;level=16","https://fema.maps.arcgis.com/apps/mapviewer/index.html?find="&amp;$F37&amp;"%2C"&amp;$E37&amp;"&amp;marker="&amp;$F37&amp;","&amp;$E37&amp;",4326&amp;level=16"))),"Open"))</f>
        <v/>
      </c>
      <c r="N37" s="6" t="str">
        <f>IF(OR(JobAgolMap="", $E37="", $F37=""),"",HYPERLINK(JobAgolMap&amp;IF(ISNUMBER(FIND("?",JobAgolMap)),"&amp;","?")&amp;"center="&amp;$F37&amp;","&amp;$E37&amp;"&amp;level=16&amp;marker="&amp;$F37&amp;","&amp;$E37,"Open"))</f>
        <v/>
      </c>
      <c r="O37" s="6" t="str">
        <f>IF(OR($E37="",$F37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 s="4"/>
      <c r="Q37" s="4"/>
      <c r="R37" s="4"/>
      <c r="S37" s="4"/>
      <c r="T37" s="4"/>
      <c r="U37" s="4"/>
      <c r="V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HYPERLINK(IF(OR(JobState="MI",JobState=""),"https://fema.maps.arcgis.com/apps/mapviewer/index.html?webmap=6a1702b9147243d1a5ee62cd614bc681&amp;center="&amp;$F38&amp;","&amp;$E38&amp;"&amp;level=16&amp;marker="&amp;$F38&amp;","&amp;$E38&amp;"",IF(JobState="IN","https://fema.maps.arcgis.com/apps/mapviewer/index.html?url=https%3A%2F%2Fgisdata.in.gov%2Fserver%2Frest%2Fservices%2FHosted%2FLRSE_Functional_Class%2FFeatureServer%2F22&amp;find="&amp;$F38&amp;"%2C"&amp;$E38&amp;"&amp;marker="&amp;$F38&amp;","&amp;$E38&amp;",4326&amp;level=16",IF(JobState="WI","https://fema.maps.arcgis.com/apps/mapviewer/index.html?url=https%3A%2F%2Fservices5.arcgis.com%2F0pgGLzT0Nh7FVjon%2Farcgis%2Frest%2Fservices%2FFFCL_gdb%2FFeatureServer%2F3&amp;find="&amp;$F38&amp;"%2C"&amp;$E38&amp;"&amp;marker="&amp;$F38&amp;","&amp;$E38&amp;",4326&amp;level=16","https://fema.maps.arcgis.com/apps/mapviewer/index.html?find="&amp;$F38&amp;"%2C"&amp;$E38&amp;"&amp;marker="&amp;$F38&amp;","&amp;$E38&amp;",4326&amp;level=16"))),"Open"))</f>
        <v/>
      </c>
      <c r="N38" s="6" t="str">
        <f>IF(OR(JobAgolMap="", $E38="", $F38=""),"",HYPERLINK(JobAgolMap&amp;IF(ISNUMBER(FIND("?",JobAgolMap)),"&amp;","?")&amp;"center="&amp;$F38&amp;","&amp;$E38&amp;"&amp;level=16&amp;marker="&amp;$F38&amp;","&amp;$E38,"Open"))</f>
        <v/>
      </c>
      <c r="O38" s="6" t="str">
        <f>IF(OR($E38="",$F38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 s="4"/>
      <c r="Q38" s="4"/>
      <c r="R38" s="4"/>
      <c r="S38" s="4"/>
      <c r="T38" s="4"/>
      <c r="U38" s="4"/>
      <c r="V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HYPERLINK(IF(OR(JobState="MI",JobState=""),"https://fema.maps.arcgis.com/apps/mapviewer/index.html?webmap=6a1702b9147243d1a5ee62cd614bc681&amp;center="&amp;$F39&amp;","&amp;$E39&amp;"&amp;level=16&amp;marker="&amp;$F39&amp;","&amp;$E39&amp;"",IF(JobState="IN","https://fema.maps.arcgis.com/apps/mapviewer/index.html?url=https%3A%2F%2Fgisdata.in.gov%2Fserver%2Frest%2Fservices%2FHosted%2FLRSE_Functional_Class%2FFeatureServer%2F22&amp;find="&amp;$F39&amp;"%2C"&amp;$E39&amp;"&amp;marker="&amp;$F39&amp;","&amp;$E39&amp;",4326&amp;level=16",IF(JobState="WI","https://fema.maps.arcgis.com/apps/mapviewer/index.html?url=https%3A%2F%2Fservices5.arcgis.com%2F0pgGLzT0Nh7FVjon%2Farcgis%2Frest%2Fservices%2FFFCL_gdb%2FFeatureServer%2F3&amp;find="&amp;$F39&amp;"%2C"&amp;$E39&amp;"&amp;marker="&amp;$F39&amp;","&amp;$E39&amp;",4326&amp;level=16","https://fema.maps.arcgis.com/apps/mapviewer/index.html?find="&amp;$F39&amp;"%2C"&amp;$E39&amp;"&amp;marker="&amp;$F39&amp;","&amp;$E39&amp;",4326&amp;level=16"))),"Open"))</f>
        <v/>
      </c>
      <c r="N39" s="6" t="str">
        <f>IF(OR(JobAgolMap="", $E39="", $F39=""),"",HYPERLINK(JobAgolMap&amp;IF(ISNUMBER(FIND("?",JobAgolMap)),"&amp;","?")&amp;"center="&amp;$F39&amp;","&amp;$E39&amp;"&amp;level=16&amp;marker="&amp;$F39&amp;","&amp;$E39,"Open"))</f>
        <v/>
      </c>
      <c r="O39" s="6" t="str">
        <f>IF(OR($E39="",$F39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 s="4"/>
      <c r="Q39" s="4"/>
      <c r="R39" s="4"/>
      <c r="S39" s="4"/>
      <c r="T39" s="4"/>
      <c r="U39" s="4"/>
      <c r="V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HYPERLINK(IF(OR(JobState="MI",JobState=""),"https://fema.maps.arcgis.com/apps/mapviewer/index.html?webmap=6a1702b9147243d1a5ee62cd614bc681&amp;center="&amp;$F40&amp;","&amp;$E40&amp;"&amp;level=16&amp;marker="&amp;$F40&amp;","&amp;$E40&amp;"",IF(JobState="IN","https://fema.maps.arcgis.com/apps/mapviewer/index.html?url=https%3A%2F%2Fgisdata.in.gov%2Fserver%2Frest%2Fservices%2FHosted%2FLRSE_Functional_Class%2FFeatureServer%2F22&amp;find="&amp;$F40&amp;"%2C"&amp;$E40&amp;"&amp;marker="&amp;$F40&amp;","&amp;$E40&amp;",4326&amp;level=16",IF(JobState="WI","https://fema.maps.arcgis.com/apps/mapviewer/index.html?url=https%3A%2F%2Fservices5.arcgis.com%2F0pgGLzT0Nh7FVjon%2Farcgis%2Frest%2Fservices%2FFFCL_gdb%2FFeatureServer%2F3&amp;find="&amp;$F40&amp;"%2C"&amp;$E40&amp;"&amp;marker="&amp;$F40&amp;","&amp;$E40&amp;",4326&amp;level=16","https://fema.maps.arcgis.com/apps/mapviewer/index.html?find="&amp;$F40&amp;"%2C"&amp;$E40&amp;"&amp;marker="&amp;$F40&amp;","&amp;$E40&amp;",4326&amp;level=16"))),"Open"))</f>
        <v/>
      </c>
      <c r="N40" s="6" t="str">
        <f>IF(OR(JobAgolMap="", $E40="", $F40=""),"",HYPERLINK(JobAgolMap&amp;IF(ISNUMBER(FIND("?",JobAgolMap)),"&amp;","?")&amp;"center="&amp;$F40&amp;","&amp;$E40&amp;"&amp;level=16&amp;marker="&amp;$F40&amp;","&amp;$E40,"Open"))</f>
        <v/>
      </c>
      <c r="O40" s="6" t="str">
        <f>IF(OR($E40="",$F40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 s="4"/>
      <c r="Q40" s="4"/>
      <c r="R40" s="4"/>
      <c r="S40" s="4"/>
      <c r="T40" s="4"/>
      <c r="U40" s="4"/>
      <c r="V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HYPERLINK(IF(OR(JobState="MI",JobState=""),"https://fema.maps.arcgis.com/apps/mapviewer/index.html?webmap=6a1702b9147243d1a5ee62cd614bc681&amp;center="&amp;$F41&amp;","&amp;$E41&amp;"&amp;level=16&amp;marker="&amp;$F41&amp;","&amp;$E41&amp;"",IF(JobState="IN","https://fema.maps.arcgis.com/apps/mapviewer/index.html?url=https%3A%2F%2Fgisdata.in.gov%2Fserver%2Frest%2Fservices%2FHosted%2FLRSE_Functional_Class%2FFeatureServer%2F22&amp;find="&amp;$F41&amp;"%2C"&amp;$E41&amp;"&amp;marker="&amp;$F41&amp;","&amp;$E41&amp;",4326&amp;level=16",IF(JobState="WI","https://fema.maps.arcgis.com/apps/mapviewer/index.html?url=https%3A%2F%2Fservices5.arcgis.com%2F0pgGLzT0Nh7FVjon%2Farcgis%2Frest%2Fservices%2FFFCL_gdb%2FFeatureServer%2F3&amp;find="&amp;$F41&amp;"%2C"&amp;$E41&amp;"&amp;marker="&amp;$F41&amp;","&amp;$E41&amp;",4326&amp;level=16","https://fema.maps.arcgis.com/apps/mapviewer/index.html?find="&amp;$F41&amp;"%2C"&amp;$E41&amp;"&amp;marker="&amp;$F41&amp;","&amp;$E41&amp;",4326&amp;level=16"))),"Open"))</f>
        <v/>
      </c>
      <c r="N41" s="6" t="str">
        <f>IF(OR(JobAgolMap="", $E41="", $F41=""),"",HYPERLINK(JobAgolMap&amp;IF(ISNUMBER(FIND("?",JobAgolMap)),"&amp;","?")&amp;"center="&amp;$F41&amp;","&amp;$E41&amp;"&amp;level=16&amp;marker="&amp;$F41&amp;","&amp;$E41,"Open"))</f>
        <v/>
      </c>
      <c r="O41" s="6" t="str">
        <f>IF(OR($E41="",$F41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 s="4"/>
      <c r="Q41" s="4"/>
      <c r="R41" s="4"/>
      <c r="S41" s="4"/>
      <c r="T41" s="4"/>
      <c r="U41" s="4"/>
      <c r="V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HYPERLINK(IF(OR(JobState="MI",JobState=""),"https://fema.maps.arcgis.com/apps/mapviewer/index.html?webmap=6a1702b9147243d1a5ee62cd614bc681&amp;center="&amp;$F42&amp;","&amp;$E42&amp;"&amp;level=16&amp;marker="&amp;$F42&amp;","&amp;$E42&amp;"",IF(JobState="IN","https://fema.maps.arcgis.com/apps/mapviewer/index.html?url=https%3A%2F%2Fgisdata.in.gov%2Fserver%2Frest%2Fservices%2FHosted%2FLRSE_Functional_Class%2FFeatureServer%2F22&amp;find="&amp;$F42&amp;"%2C"&amp;$E42&amp;"&amp;marker="&amp;$F42&amp;","&amp;$E42&amp;",4326&amp;level=16",IF(JobState="WI","https://fema.maps.arcgis.com/apps/mapviewer/index.html?url=https%3A%2F%2Fservices5.arcgis.com%2F0pgGLzT0Nh7FVjon%2Farcgis%2Frest%2Fservices%2FFFCL_gdb%2FFeatureServer%2F3&amp;find="&amp;$F42&amp;"%2C"&amp;$E42&amp;"&amp;marker="&amp;$F42&amp;","&amp;$E42&amp;",4326&amp;level=16","https://fema.maps.arcgis.com/apps/mapviewer/index.html?find="&amp;$F42&amp;"%2C"&amp;$E42&amp;"&amp;marker="&amp;$F42&amp;","&amp;$E42&amp;",4326&amp;level=16"))),"Open"))</f>
        <v/>
      </c>
      <c r="N42" s="6" t="str">
        <f>IF(OR(JobAgolMap="", $E42="", $F42=""),"",HYPERLINK(JobAgolMap&amp;IF(ISNUMBER(FIND("?",JobAgolMap)),"&amp;","?")&amp;"center="&amp;$F42&amp;","&amp;$E42&amp;"&amp;level=16&amp;marker="&amp;$F42&amp;","&amp;$E42,"Open"))</f>
        <v/>
      </c>
      <c r="O42" s="6" t="str">
        <f>IF(OR($E42="",$F42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 s="4"/>
      <c r="Q42" s="4"/>
      <c r="R42" s="4"/>
      <c r="S42" s="4"/>
      <c r="T42" s="4"/>
      <c r="U42" s="4"/>
      <c r="V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HYPERLINK(IF(OR(JobState="MI",JobState=""),"https://fema.maps.arcgis.com/apps/mapviewer/index.html?webmap=6a1702b9147243d1a5ee62cd614bc681&amp;center="&amp;$F43&amp;","&amp;$E43&amp;"&amp;level=16&amp;marker="&amp;$F43&amp;","&amp;$E43&amp;"",IF(JobState="IN","https://fema.maps.arcgis.com/apps/mapviewer/index.html?url=https%3A%2F%2Fgisdata.in.gov%2Fserver%2Frest%2Fservices%2FHosted%2FLRSE_Functional_Class%2FFeatureServer%2F22&amp;find="&amp;$F43&amp;"%2C"&amp;$E43&amp;"&amp;marker="&amp;$F43&amp;","&amp;$E43&amp;",4326&amp;level=16",IF(JobState="WI","https://fema.maps.arcgis.com/apps/mapviewer/index.html?url=https%3A%2F%2Fservices5.arcgis.com%2F0pgGLzT0Nh7FVjon%2Farcgis%2Frest%2Fservices%2FFFCL_gdb%2FFeatureServer%2F3&amp;find="&amp;$F43&amp;"%2C"&amp;$E43&amp;"&amp;marker="&amp;$F43&amp;","&amp;$E43&amp;",4326&amp;level=16","https://fema.maps.arcgis.com/apps/mapviewer/index.html?find="&amp;$F43&amp;"%2C"&amp;$E43&amp;"&amp;marker="&amp;$F43&amp;","&amp;$E43&amp;",4326&amp;level=16"))),"Open"))</f>
        <v/>
      </c>
      <c r="N43" s="6" t="str">
        <f>IF(OR(JobAgolMap="", $E43="", $F43=""),"",HYPERLINK(JobAgolMap&amp;IF(ISNUMBER(FIND("?",JobAgolMap)),"&amp;","?")&amp;"center="&amp;$F43&amp;","&amp;$E43&amp;"&amp;level=16&amp;marker="&amp;$F43&amp;","&amp;$E43,"Open"))</f>
        <v/>
      </c>
      <c r="O43" s="6" t="str">
        <f>IF(OR($E43="",$F43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 s="4"/>
      <c r="Q43" s="4"/>
      <c r="R43" s="4"/>
      <c r="S43" s="4"/>
      <c r="T43" s="4"/>
      <c r="U43" s="4"/>
      <c r="V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HYPERLINK(IF(OR(JobState="MI",JobState=""),"https://fema.maps.arcgis.com/apps/mapviewer/index.html?webmap=6a1702b9147243d1a5ee62cd614bc681&amp;center="&amp;$F44&amp;","&amp;$E44&amp;"&amp;level=16&amp;marker="&amp;$F44&amp;","&amp;$E44&amp;"",IF(JobState="IN","https://fema.maps.arcgis.com/apps/mapviewer/index.html?url=https%3A%2F%2Fgisdata.in.gov%2Fserver%2Frest%2Fservices%2FHosted%2FLRSE_Functional_Class%2FFeatureServer%2F22&amp;find="&amp;$F44&amp;"%2C"&amp;$E44&amp;"&amp;marker="&amp;$F44&amp;","&amp;$E44&amp;",4326&amp;level=16",IF(JobState="WI","https://fema.maps.arcgis.com/apps/mapviewer/index.html?url=https%3A%2F%2Fservices5.arcgis.com%2F0pgGLzT0Nh7FVjon%2Farcgis%2Frest%2Fservices%2FFFCL_gdb%2FFeatureServer%2F3&amp;find="&amp;$F44&amp;"%2C"&amp;$E44&amp;"&amp;marker="&amp;$F44&amp;","&amp;$E44&amp;",4326&amp;level=16","https://fema.maps.arcgis.com/apps/mapviewer/index.html?find="&amp;$F44&amp;"%2C"&amp;$E44&amp;"&amp;marker="&amp;$F44&amp;","&amp;$E44&amp;",4326&amp;level=16"))),"Open"))</f>
        <v/>
      </c>
      <c r="N44" s="6" t="str">
        <f>IF(OR(JobAgolMap="", $E44="", $F44=""),"",HYPERLINK(JobAgolMap&amp;IF(ISNUMBER(FIND("?",JobAgolMap)),"&amp;","?")&amp;"center="&amp;$F44&amp;","&amp;$E44&amp;"&amp;level=16&amp;marker="&amp;$F44&amp;","&amp;$E44,"Open"))</f>
        <v/>
      </c>
      <c r="O44" s="6" t="str">
        <f>IF(OR($E44="",$F44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 s="4"/>
      <c r="Q44" s="4"/>
      <c r="R44" s="4"/>
      <c r="S44" s="4"/>
      <c r="T44" s="4"/>
      <c r="U44" s="4"/>
      <c r="V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HYPERLINK(IF(OR(JobState="MI",JobState=""),"https://fema.maps.arcgis.com/apps/mapviewer/index.html?webmap=6a1702b9147243d1a5ee62cd614bc681&amp;center="&amp;$F45&amp;","&amp;$E45&amp;"&amp;level=16&amp;marker="&amp;$F45&amp;","&amp;$E45&amp;"",IF(JobState="IN","https://fema.maps.arcgis.com/apps/mapviewer/index.html?url=https%3A%2F%2Fgisdata.in.gov%2Fserver%2Frest%2Fservices%2FHosted%2FLRSE_Functional_Class%2FFeatureServer%2F22&amp;find="&amp;$F45&amp;"%2C"&amp;$E45&amp;"&amp;marker="&amp;$F45&amp;","&amp;$E45&amp;",4326&amp;level=16",IF(JobState="WI","https://fema.maps.arcgis.com/apps/mapviewer/index.html?url=https%3A%2F%2Fservices5.arcgis.com%2F0pgGLzT0Nh7FVjon%2Farcgis%2Frest%2Fservices%2FFFCL_gdb%2FFeatureServer%2F3&amp;find="&amp;$F45&amp;"%2C"&amp;$E45&amp;"&amp;marker="&amp;$F45&amp;","&amp;$E45&amp;",4326&amp;level=16","https://fema.maps.arcgis.com/apps/mapviewer/index.html?find="&amp;$F45&amp;"%2C"&amp;$E45&amp;"&amp;marker="&amp;$F45&amp;","&amp;$E45&amp;",4326&amp;level=16"))),"Open"))</f>
        <v/>
      </c>
      <c r="N45" s="6" t="str">
        <f>IF(OR(JobAgolMap="", $E45="", $F45=""),"",HYPERLINK(JobAgolMap&amp;IF(ISNUMBER(FIND("?",JobAgolMap)),"&amp;","?")&amp;"center="&amp;$F45&amp;","&amp;$E45&amp;"&amp;level=16&amp;marker="&amp;$F45&amp;","&amp;$E45,"Open"))</f>
        <v/>
      </c>
      <c r="O45" s="6" t="str">
        <f>IF(OR($E45="",$F45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 s="4"/>
      <c r="Q45" s="4"/>
      <c r="R45" s="4"/>
      <c r="S45" s="4"/>
      <c r="T45" s="4"/>
      <c r="U45" s="4"/>
      <c r="V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HYPERLINK(IF(OR(JobState="MI",JobState=""),"https://fema.maps.arcgis.com/apps/mapviewer/index.html?webmap=6a1702b9147243d1a5ee62cd614bc681&amp;center="&amp;$F46&amp;","&amp;$E46&amp;"&amp;level=16&amp;marker="&amp;$F46&amp;","&amp;$E46&amp;"",IF(JobState="IN","https://fema.maps.arcgis.com/apps/mapviewer/index.html?url=https%3A%2F%2Fgisdata.in.gov%2Fserver%2Frest%2Fservices%2FHosted%2FLRSE_Functional_Class%2FFeatureServer%2F22&amp;find="&amp;$F46&amp;"%2C"&amp;$E46&amp;"&amp;marker="&amp;$F46&amp;","&amp;$E46&amp;",4326&amp;level=16",IF(JobState="WI","https://fema.maps.arcgis.com/apps/mapviewer/index.html?url=https%3A%2F%2Fservices5.arcgis.com%2F0pgGLzT0Nh7FVjon%2Farcgis%2Frest%2Fservices%2FFFCL_gdb%2FFeatureServer%2F3&amp;find="&amp;$F46&amp;"%2C"&amp;$E46&amp;"&amp;marker="&amp;$F46&amp;","&amp;$E46&amp;",4326&amp;level=16","https://fema.maps.arcgis.com/apps/mapviewer/index.html?find="&amp;$F46&amp;"%2C"&amp;$E46&amp;"&amp;marker="&amp;$F46&amp;","&amp;$E46&amp;",4326&amp;level=16"))),"Open"))</f>
        <v/>
      </c>
      <c r="N46" s="6" t="str">
        <f>IF(OR(JobAgolMap="", $E46="", $F46=""),"",HYPERLINK(JobAgolMap&amp;IF(ISNUMBER(FIND("?",JobAgolMap)),"&amp;","?")&amp;"center="&amp;$F46&amp;","&amp;$E46&amp;"&amp;level=16&amp;marker="&amp;$F46&amp;","&amp;$E46,"Open"))</f>
        <v/>
      </c>
      <c r="O46" s="6" t="str">
        <f>IF(OR($E46="",$F46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 s="4"/>
      <c r="Q46" s="4"/>
      <c r="R46" s="4"/>
      <c r="S46" s="4"/>
      <c r="T46" s="4"/>
      <c r="U46" s="4"/>
      <c r="V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HYPERLINK(IF(OR(JobState="MI",JobState=""),"https://fema.maps.arcgis.com/apps/mapviewer/index.html?webmap=6a1702b9147243d1a5ee62cd614bc681&amp;center="&amp;$F47&amp;","&amp;$E47&amp;"&amp;level=16&amp;marker="&amp;$F47&amp;","&amp;$E47&amp;"",IF(JobState="IN","https://fema.maps.arcgis.com/apps/mapviewer/index.html?url=https%3A%2F%2Fgisdata.in.gov%2Fserver%2Frest%2Fservices%2FHosted%2FLRSE_Functional_Class%2FFeatureServer%2F22&amp;find="&amp;$F47&amp;"%2C"&amp;$E47&amp;"&amp;marker="&amp;$F47&amp;","&amp;$E47&amp;",4326&amp;level=16",IF(JobState="WI","https://fema.maps.arcgis.com/apps/mapviewer/index.html?url=https%3A%2F%2Fservices5.arcgis.com%2F0pgGLzT0Nh7FVjon%2Farcgis%2Frest%2Fservices%2FFFCL_gdb%2FFeatureServer%2F3&amp;find="&amp;$F47&amp;"%2C"&amp;$E47&amp;"&amp;marker="&amp;$F47&amp;","&amp;$E47&amp;",4326&amp;level=16","https://fema.maps.arcgis.com/apps/mapviewer/index.html?find="&amp;$F47&amp;"%2C"&amp;$E47&amp;"&amp;marker="&amp;$F47&amp;","&amp;$E47&amp;",4326&amp;level=16"))),"Open"))</f>
        <v/>
      </c>
      <c r="N47" s="6" t="str">
        <f>IF(OR(JobAgolMap="", $E47="", $F47=""),"",HYPERLINK(JobAgolMap&amp;IF(ISNUMBER(FIND("?",JobAgolMap)),"&amp;","?")&amp;"center="&amp;$F47&amp;","&amp;$E47&amp;"&amp;level=16&amp;marker="&amp;$F47&amp;","&amp;$E47,"Open"))</f>
        <v/>
      </c>
      <c r="O47" s="6" t="str">
        <f>IF(OR($E47="",$F47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 s="4"/>
      <c r="Q47" s="4"/>
      <c r="R47" s="4"/>
      <c r="S47" s="4"/>
      <c r="T47" s="4"/>
      <c r="U47" s="4"/>
      <c r="V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HYPERLINK(IF(OR(JobState="MI",JobState=""),"https://fema.maps.arcgis.com/apps/mapviewer/index.html?webmap=6a1702b9147243d1a5ee62cd614bc681&amp;center="&amp;$F48&amp;","&amp;$E48&amp;"&amp;level=16&amp;marker="&amp;$F48&amp;","&amp;$E48&amp;"",IF(JobState="IN","https://fema.maps.arcgis.com/apps/mapviewer/index.html?url=https%3A%2F%2Fgisdata.in.gov%2Fserver%2Frest%2Fservices%2FHosted%2FLRSE_Functional_Class%2FFeatureServer%2F22&amp;find="&amp;$F48&amp;"%2C"&amp;$E48&amp;"&amp;marker="&amp;$F48&amp;","&amp;$E48&amp;",4326&amp;level=16",IF(JobState="WI","https://fema.maps.arcgis.com/apps/mapviewer/index.html?url=https%3A%2F%2Fservices5.arcgis.com%2F0pgGLzT0Nh7FVjon%2Farcgis%2Frest%2Fservices%2FFFCL_gdb%2FFeatureServer%2F3&amp;find="&amp;$F48&amp;"%2C"&amp;$E48&amp;"&amp;marker="&amp;$F48&amp;","&amp;$E48&amp;",4326&amp;level=16","https://fema.maps.arcgis.com/apps/mapviewer/index.html?find="&amp;$F48&amp;"%2C"&amp;$E48&amp;"&amp;marker="&amp;$F48&amp;","&amp;$E48&amp;",4326&amp;level=16"))),"Open"))</f>
        <v/>
      </c>
      <c r="N48" s="6" t="str">
        <f>IF(OR(JobAgolMap="", $E48="", $F48=""),"",HYPERLINK(JobAgolMap&amp;IF(ISNUMBER(FIND("?",JobAgolMap)),"&amp;","?")&amp;"center="&amp;$F48&amp;","&amp;$E48&amp;"&amp;level=16&amp;marker="&amp;$F48&amp;","&amp;$E48,"Open"))</f>
        <v/>
      </c>
      <c r="O48" s="6" t="str">
        <f>IF(OR($E48="",$F48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 s="4"/>
      <c r="Q48" s="4"/>
      <c r="R48" s="4"/>
      <c r="S48" s="4"/>
      <c r="T48" s="4"/>
      <c r="U48" s="4"/>
      <c r="V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HYPERLINK(IF(OR(JobState="MI",JobState=""),"https://fema.maps.arcgis.com/apps/mapviewer/index.html?webmap=6a1702b9147243d1a5ee62cd614bc681&amp;center="&amp;$F49&amp;","&amp;$E49&amp;"&amp;level=16&amp;marker="&amp;$F49&amp;","&amp;$E49&amp;"",IF(JobState="IN","https://fema.maps.arcgis.com/apps/mapviewer/index.html?url=https%3A%2F%2Fgisdata.in.gov%2Fserver%2Frest%2Fservices%2FHosted%2FLRSE_Functional_Class%2FFeatureServer%2F22&amp;find="&amp;$F49&amp;"%2C"&amp;$E49&amp;"&amp;marker="&amp;$F49&amp;","&amp;$E49&amp;",4326&amp;level=16",IF(JobState="WI","https://fema.maps.arcgis.com/apps/mapviewer/index.html?url=https%3A%2F%2Fservices5.arcgis.com%2F0pgGLzT0Nh7FVjon%2Farcgis%2Frest%2Fservices%2FFFCL_gdb%2FFeatureServer%2F3&amp;find="&amp;$F49&amp;"%2C"&amp;$E49&amp;"&amp;marker="&amp;$F49&amp;","&amp;$E49&amp;",4326&amp;level=16","https://fema.maps.arcgis.com/apps/mapviewer/index.html?find="&amp;$F49&amp;"%2C"&amp;$E49&amp;"&amp;marker="&amp;$F49&amp;","&amp;$E49&amp;",4326&amp;level=16"))),"Open"))</f>
        <v/>
      </c>
      <c r="N49" s="6" t="str">
        <f>IF(OR(JobAgolMap="", $E49="", $F49=""),"",HYPERLINK(JobAgolMap&amp;IF(ISNUMBER(FIND("?",JobAgolMap)),"&amp;","?")&amp;"center="&amp;$F49&amp;","&amp;$E49&amp;"&amp;level=16&amp;marker="&amp;$F49&amp;","&amp;$E49,"Open"))</f>
        <v/>
      </c>
      <c r="O49" s="6" t="str">
        <f>IF(OR($E49="",$F49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 s="4"/>
      <c r="Q49" s="4"/>
      <c r="R49" s="4"/>
      <c r="S49" s="4"/>
      <c r="T49" s="4"/>
      <c r="U49" s="4"/>
      <c r="V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HYPERLINK(IF(OR(JobState="MI",JobState=""),"https://fema.maps.arcgis.com/apps/mapviewer/index.html?webmap=6a1702b9147243d1a5ee62cd614bc681&amp;center="&amp;$F50&amp;","&amp;$E50&amp;"&amp;level=16&amp;marker="&amp;$F50&amp;","&amp;$E50&amp;"",IF(JobState="IN","https://fema.maps.arcgis.com/apps/mapviewer/index.html?url=https%3A%2F%2Fgisdata.in.gov%2Fserver%2Frest%2Fservices%2FHosted%2FLRSE_Functional_Class%2FFeatureServer%2F22&amp;find="&amp;$F50&amp;"%2C"&amp;$E50&amp;"&amp;marker="&amp;$F50&amp;","&amp;$E50&amp;",4326&amp;level=16",IF(JobState="WI","https://fema.maps.arcgis.com/apps/mapviewer/index.html?url=https%3A%2F%2Fservices5.arcgis.com%2F0pgGLzT0Nh7FVjon%2Farcgis%2Frest%2Fservices%2FFFCL_gdb%2FFeatureServer%2F3&amp;find="&amp;$F50&amp;"%2C"&amp;$E50&amp;"&amp;marker="&amp;$F50&amp;","&amp;$E50&amp;",4326&amp;level=16","https://fema.maps.arcgis.com/apps/mapviewer/index.html?find="&amp;$F50&amp;"%2C"&amp;$E50&amp;"&amp;marker="&amp;$F50&amp;","&amp;$E50&amp;",4326&amp;level=16"))),"Open"))</f>
        <v/>
      </c>
      <c r="N50" s="6" t="str">
        <f>IF(OR(JobAgolMap="", $E50="", $F50=""),"",HYPERLINK(JobAgolMap&amp;IF(ISNUMBER(FIND("?",JobAgolMap)),"&amp;","?")&amp;"center="&amp;$F50&amp;","&amp;$E50&amp;"&amp;level=16&amp;marker="&amp;$F50&amp;","&amp;$E50,"Open"))</f>
        <v/>
      </c>
      <c r="O50" s="6" t="str">
        <f>IF(OR($E50="",$F50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0" s="4"/>
      <c r="Q50" s="4"/>
      <c r="R50" s="4"/>
      <c r="S50" s="4"/>
      <c r="T50" s="4"/>
      <c r="U50" s="4"/>
      <c r="V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HYPERLINK(IF(OR(JobState="MI",JobState=""),"https://fema.maps.arcgis.com/apps/mapviewer/index.html?webmap=6a1702b9147243d1a5ee62cd614bc681&amp;center="&amp;$F51&amp;","&amp;$E51&amp;"&amp;level=16&amp;marker="&amp;$F51&amp;","&amp;$E51&amp;"",IF(JobState="IN","https://fema.maps.arcgis.com/apps/mapviewer/index.html?url=https%3A%2F%2Fgisdata.in.gov%2Fserver%2Frest%2Fservices%2FHosted%2FLRSE_Functional_Class%2FFeatureServer%2F22&amp;find="&amp;$F51&amp;"%2C"&amp;$E51&amp;"&amp;marker="&amp;$F51&amp;","&amp;$E51&amp;",4326&amp;level=16",IF(JobState="WI","https://fema.maps.arcgis.com/apps/mapviewer/index.html?url=https%3A%2F%2Fservices5.arcgis.com%2F0pgGLzT0Nh7FVjon%2Farcgis%2Frest%2Fservices%2FFFCL_gdb%2FFeatureServer%2F3&amp;find="&amp;$F51&amp;"%2C"&amp;$E51&amp;"&amp;marker="&amp;$F51&amp;","&amp;$E51&amp;",4326&amp;level=16","https://fema.maps.arcgis.com/apps/mapviewer/index.html?find="&amp;$F51&amp;"%2C"&amp;$E51&amp;"&amp;marker="&amp;$F51&amp;","&amp;$E51&amp;",4326&amp;level=16"))),"Open"))</f>
        <v/>
      </c>
      <c r="N51" s="6" t="str">
        <f>IF(OR(JobAgolMap="", $E51="", $F51=""),"",HYPERLINK(JobAgolMap&amp;IF(ISNUMBER(FIND("?",JobAgolMap)),"&amp;","?")&amp;"center="&amp;$F51&amp;","&amp;$E51&amp;"&amp;level=16&amp;marker="&amp;$F51&amp;","&amp;$E51,"Open"))</f>
        <v/>
      </c>
      <c r="O51" s="6" t="str">
        <f>IF(OR($E51="",$F51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1" s="4"/>
      <c r="Q51" s="4"/>
      <c r="R51" s="4"/>
      <c r="S51" s="4"/>
      <c r="T51" s="4"/>
      <c r="U51" s="4"/>
      <c r="V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HYPERLINK(IF(OR(JobState="MI",JobState=""),"https://fema.maps.arcgis.com/apps/mapviewer/index.html?webmap=6a1702b9147243d1a5ee62cd614bc681&amp;center="&amp;$F52&amp;","&amp;$E52&amp;"&amp;level=16&amp;marker="&amp;$F52&amp;","&amp;$E52&amp;"",IF(JobState="IN","https://fema.maps.arcgis.com/apps/mapviewer/index.html?url=https%3A%2F%2Fgisdata.in.gov%2Fserver%2Frest%2Fservices%2FHosted%2FLRSE_Functional_Class%2FFeatureServer%2F22&amp;find="&amp;$F52&amp;"%2C"&amp;$E52&amp;"&amp;marker="&amp;$F52&amp;","&amp;$E52&amp;",4326&amp;level=16",IF(JobState="WI","https://fema.maps.arcgis.com/apps/mapviewer/index.html?url=https%3A%2F%2Fservices5.arcgis.com%2F0pgGLzT0Nh7FVjon%2Farcgis%2Frest%2Fservices%2FFFCL_gdb%2FFeatureServer%2F3&amp;find="&amp;$F52&amp;"%2C"&amp;$E52&amp;"&amp;marker="&amp;$F52&amp;","&amp;$E52&amp;",4326&amp;level=16","https://fema.maps.arcgis.com/apps/mapviewer/index.html?find="&amp;$F52&amp;"%2C"&amp;$E52&amp;"&amp;marker="&amp;$F52&amp;","&amp;$E52&amp;",4326&amp;level=16"))),"Open"))</f>
        <v/>
      </c>
      <c r="N52" s="6" t="str">
        <f>IF(OR(JobAgolMap="", $E52="", $F52=""),"",HYPERLINK(JobAgolMap&amp;IF(ISNUMBER(FIND("?",JobAgolMap)),"&amp;","?")&amp;"center="&amp;$F52&amp;","&amp;$E52&amp;"&amp;level=16&amp;marker="&amp;$F52&amp;","&amp;$E52,"Open"))</f>
        <v/>
      </c>
      <c r="O52" s="6" t="str">
        <f>IF(OR($E52="",$F52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2" s="4"/>
      <c r="Q52" s="4"/>
      <c r="R52" s="4"/>
      <c r="S52" s="4"/>
      <c r="T52" s="4"/>
      <c r="U52" s="4"/>
      <c r="V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HYPERLINK(IF(OR(JobState="MI",JobState=""),"https://fema.maps.arcgis.com/apps/mapviewer/index.html?webmap=6a1702b9147243d1a5ee62cd614bc681&amp;center="&amp;$F53&amp;","&amp;$E53&amp;"&amp;level=16&amp;marker="&amp;$F53&amp;","&amp;$E53&amp;"",IF(JobState="IN","https://fema.maps.arcgis.com/apps/mapviewer/index.html?url=https%3A%2F%2Fgisdata.in.gov%2Fserver%2Frest%2Fservices%2FHosted%2FLRSE_Functional_Class%2FFeatureServer%2F22&amp;find="&amp;$F53&amp;"%2C"&amp;$E53&amp;"&amp;marker="&amp;$F53&amp;","&amp;$E53&amp;",4326&amp;level=16",IF(JobState="WI","https://fema.maps.arcgis.com/apps/mapviewer/index.html?url=https%3A%2F%2Fservices5.arcgis.com%2F0pgGLzT0Nh7FVjon%2Farcgis%2Frest%2Fservices%2FFFCL_gdb%2FFeatureServer%2F3&amp;find="&amp;$F53&amp;"%2C"&amp;$E53&amp;"&amp;marker="&amp;$F53&amp;","&amp;$E53&amp;",4326&amp;level=16","https://fema.maps.arcgis.com/apps/mapviewer/index.html?find="&amp;$F53&amp;"%2C"&amp;$E53&amp;"&amp;marker="&amp;$F53&amp;","&amp;$E53&amp;",4326&amp;level=16"))),"Open"))</f>
        <v/>
      </c>
      <c r="N53" s="6" t="str">
        <f>IF(OR(JobAgolMap="", $E53="", $F53=""),"",HYPERLINK(JobAgolMap&amp;IF(ISNUMBER(FIND("?",JobAgolMap)),"&amp;","?")&amp;"center="&amp;$F53&amp;","&amp;$E53&amp;"&amp;level=16&amp;marker="&amp;$F53&amp;","&amp;$E53,"Open"))</f>
        <v/>
      </c>
      <c r="O53" s="6" t="str">
        <f>IF(OR($E53="",$F53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3" s="4"/>
      <c r="Q53" s="4"/>
      <c r="R53" s="4"/>
      <c r="S53" s="4"/>
      <c r="T53" s="4"/>
      <c r="U53" s="4"/>
      <c r="V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HYPERLINK(IF(OR(JobState="MI",JobState=""),"https://fema.maps.arcgis.com/apps/mapviewer/index.html?webmap=6a1702b9147243d1a5ee62cd614bc681&amp;center="&amp;$F54&amp;","&amp;$E54&amp;"&amp;level=16&amp;marker="&amp;$F54&amp;","&amp;$E54&amp;"",IF(JobState="IN","https://fema.maps.arcgis.com/apps/mapviewer/index.html?url=https%3A%2F%2Fgisdata.in.gov%2Fserver%2Frest%2Fservices%2FHosted%2FLRSE_Functional_Class%2FFeatureServer%2F22&amp;find="&amp;$F54&amp;"%2C"&amp;$E54&amp;"&amp;marker="&amp;$F54&amp;","&amp;$E54&amp;",4326&amp;level=16",IF(JobState="WI","https://fema.maps.arcgis.com/apps/mapviewer/index.html?url=https%3A%2F%2Fservices5.arcgis.com%2F0pgGLzT0Nh7FVjon%2Farcgis%2Frest%2Fservices%2FFFCL_gdb%2FFeatureServer%2F3&amp;find="&amp;$F54&amp;"%2C"&amp;$E54&amp;"&amp;marker="&amp;$F54&amp;","&amp;$E54&amp;",4326&amp;level=16","https://fema.maps.arcgis.com/apps/mapviewer/index.html?find="&amp;$F54&amp;"%2C"&amp;$E54&amp;"&amp;marker="&amp;$F54&amp;","&amp;$E54&amp;",4326&amp;level=16"))),"Open"))</f>
        <v/>
      </c>
      <c r="N54" s="6" t="str">
        <f>IF(OR(JobAgolMap="", $E54="", $F54=""),"",HYPERLINK(JobAgolMap&amp;IF(ISNUMBER(FIND("?",JobAgolMap)),"&amp;","?")&amp;"center="&amp;$F54&amp;","&amp;$E54&amp;"&amp;level=16&amp;marker="&amp;$F54&amp;","&amp;$E54,"Open"))</f>
        <v/>
      </c>
      <c r="O54" s="6" t="str">
        <f>IF(OR($E54="",$F54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4" s="4"/>
      <c r="Q54" s="4"/>
      <c r="R54" s="4"/>
      <c r="S54" s="4"/>
      <c r="T54" s="4"/>
      <c r="U54" s="4"/>
      <c r="V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HYPERLINK(IF(OR(JobState="MI",JobState=""),"https://fema.maps.arcgis.com/apps/mapviewer/index.html?webmap=6a1702b9147243d1a5ee62cd614bc681&amp;center="&amp;$F55&amp;","&amp;$E55&amp;"&amp;level=16&amp;marker="&amp;$F55&amp;","&amp;$E55&amp;"",IF(JobState="IN","https://fema.maps.arcgis.com/apps/mapviewer/index.html?url=https%3A%2F%2Fgisdata.in.gov%2Fserver%2Frest%2Fservices%2FHosted%2FLRSE_Functional_Class%2FFeatureServer%2F22&amp;find="&amp;$F55&amp;"%2C"&amp;$E55&amp;"&amp;marker="&amp;$F55&amp;","&amp;$E55&amp;",4326&amp;level=16",IF(JobState="WI","https://fema.maps.arcgis.com/apps/mapviewer/index.html?url=https%3A%2F%2Fservices5.arcgis.com%2F0pgGLzT0Nh7FVjon%2Farcgis%2Frest%2Fservices%2FFFCL_gdb%2FFeatureServer%2F3&amp;find="&amp;$F55&amp;"%2C"&amp;$E55&amp;"&amp;marker="&amp;$F55&amp;","&amp;$E55&amp;",4326&amp;level=16","https://fema.maps.arcgis.com/apps/mapviewer/index.html?find="&amp;$F55&amp;"%2C"&amp;$E55&amp;"&amp;marker="&amp;$F55&amp;","&amp;$E55&amp;",4326&amp;level=16"))),"Open"))</f>
        <v/>
      </c>
      <c r="N55" s="6" t="str">
        <f>IF(OR(JobAgolMap="", $E55="", $F55=""),"",HYPERLINK(JobAgolMap&amp;IF(ISNUMBER(FIND("?",JobAgolMap)),"&amp;","?")&amp;"center="&amp;$F55&amp;","&amp;$E55&amp;"&amp;level=16&amp;marker="&amp;$F55&amp;","&amp;$E55,"Open"))</f>
        <v/>
      </c>
      <c r="O55" s="6" t="str">
        <f>IF(OR($E55="",$F55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5" s="4"/>
      <c r="Q55" s="4"/>
      <c r="R55" s="4"/>
      <c r="S55" s="4"/>
      <c r="T55" s="4"/>
      <c r="U55" s="4"/>
      <c r="V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HYPERLINK(IF(OR(JobState="MI",JobState=""),"https://fema.maps.arcgis.com/apps/mapviewer/index.html?webmap=6a1702b9147243d1a5ee62cd614bc681&amp;center="&amp;$F56&amp;","&amp;$E56&amp;"&amp;level=16&amp;marker="&amp;$F56&amp;","&amp;$E56&amp;"",IF(JobState="IN","https://fema.maps.arcgis.com/apps/mapviewer/index.html?url=https%3A%2F%2Fgisdata.in.gov%2Fserver%2Frest%2Fservices%2FHosted%2FLRSE_Functional_Class%2FFeatureServer%2F22&amp;find="&amp;$F56&amp;"%2C"&amp;$E56&amp;"&amp;marker="&amp;$F56&amp;","&amp;$E56&amp;",4326&amp;level=16",IF(JobState="WI","https://fema.maps.arcgis.com/apps/mapviewer/index.html?url=https%3A%2F%2Fservices5.arcgis.com%2F0pgGLzT0Nh7FVjon%2Farcgis%2Frest%2Fservices%2FFFCL_gdb%2FFeatureServer%2F3&amp;find="&amp;$F56&amp;"%2C"&amp;$E56&amp;"&amp;marker="&amp;$F56&amp;","&amp;$E56&amp;",4326&amp;level=16","https://fema.maps.arcgis.com/apps/mapviewer/index.html?find="&amp;$F56&amp;"%2C"&amp;$E56&amp;"&amp;marker="&amp;$F56&amp;","&amp;$E56&amp;",4326&amp;level=16"))),"Open"))</f>
        <v/>
      </c>
      <c r="N56" s="6" t="str">
        <f>IF(OR(JobAgolMap="", $E56="", $F56=""),"",HYPERLINK(JobAgolMap&amp;IF(ISNUMBER(FIND("?",JobAgolMap)),"&amp;","?")&amp;"center="&amp;$F56&amp;","&amp;$E56&amp;"&amp;level=16&amp;marker="&amp;$F56&amp;","&amp;$E56,"Open"))</f>
        <v/>
      </c>
      <c r="O56" s="6" t="str">
        <f>IF(OR($E56="",$F56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6" s="4"/>
      <c r="Q56" s="4"/>
      <c r="R56" s="4"/>
      <c r="S56" s="4"/>
      <c r="T56" s="4"/>
      <c r="U56" s="4"/>
      <c r="V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HYPERLINK(IF(OR(JobState="MI",JobState=""),"https://fema.maps.arcgis.com/apps/mapviewer/index.html?webmap=6a1702b9147243d1a5ee62cd614bc681&amp;center="&amp;$F57&amp;","&amp;$E57&amp;"&amp;level=16&amp;marker="&amp;$F57&amp;","&amp;$E57&amp;"",IF(JobState="IN","https://fema.maps.arcgis.com/apps/mapviewer/index.html?url=https%3A%2F%2Fgisdata.in.gov%2Fserver%2Frest%2Fservices%2FHosted%2FLRSE_Functional_Class%2FFeatureServer%2F22&amp;find="&amp;$F57&amp;"%2C"&amp;$E57&amp;"&amp;marker="&amp;$F57&amp;","&amp;$E57&amp;",4326&amp;level=16",IF(JobState="WI","https://fema.maps.arcgis.com/apps/mapviewer/index.html?url=https%3A%2F%2Fservices5.arcgis.com%2F0pgGLzT0Nh7FVjon%2Farcgis%2Frest%2Fservices%2FFFCL_gdb%2FFeatureServer%2F3&amp;find="&amp;$F57&amp;"%2C"&amp;$E57&amp;"&amp;marker="&amp;$F57&amp;","&amp;$E57&amp;",4326&amp;level=16","https://fema.maps.arcgis.com/apps/mapviewer/index.html?find="&amp;$F57&amp;"%2C"&amp;$E57&amp;"&amp;marker="&amp;$F57&amp;","&amp;$E57&amp;",4326&amp;level=16"))),"Open"))</f>
        <v/>
      </c>
      <c r="N57" s="6" t="str">
        <f>IF(OR(JobAgolMap="", $E57="", $F57=""),"",HYPERLINK(JobAgolMap&amp;IF(ISNUMBER(FIND("?",JobAgolMap)),"&amp;","?")&amp;"center="&amp;$F57&amp;","&amp;$E57&amp;"&amp;level=16&amp;marker="&amp;$F57&amp;","&amp;$E57,"Open"))</f>
        <v/>
      </c>
      <c r="O57" s="6" t="str">
        <f>IF(OR($E57="",$F57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7" s="4"/>
      <c r="Q57" s="4"/>
      <c r="R57" s="4"/>
      <c r="S57" s="4"/>
      <c r="T57" s="4"/>
      <c r="U57" s="4"/>
      <c r="V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HYPERLINK(IF(OR(JobState="MI",JobState=""),"https://fema.maps.arcgis.com/apps/mapviewer/index.html?webmap=6a1702b9147243d1a5ee62cd614bc681&amp;center="&amp;$F58&amp;","&amp;$E58&amp;"&amp;level=16&amp;marker="&amp;$F58&amp;","&amp;$E58&amp;"",IF(JobState="IN","https://fema.maps.arcgis.com/apps/mapviewer/index.html?url=https%3A%2F%2Fgisdata.in.gov%2Fserver%2Frest%2Fservices%2FHosted%2FLRSE_Functional_Class%2FFeatureServer%2F22&amp;find="&amp;$F58&amp;"%2C"&amp;$E58&amp;"&amp;marker="&amp;$F58&amp;","&amp;$E58&amp;",4326&amp;level=16",IF(JobState="WI","https://fema.maps.arcgis.com/apps/mapviewer/index.html?url=https%3A%2F%2Fservices5.arcgis.com%2F0pgGLzT0Nh7FVjon%2Farcgis%2Frest%2Fservices%2FFFCL_gdb%2FFeatureServer%2F3&amp;find="&amp;$F58&amp;"%2C"&amp;$E58&amp;"&amp;marker="&amp;$F58&amp;","&amp;$E58&amp;",4326&amp;level=16","https://fema.maps.arcgis.com/apps/mapviewer/index.html?find="&amp;$F58&amp;"%2C"&amp;$E58&amp;"&amp;marker="&amp;$F58&amp;","&amp;$E58&amp;",4326&amp;level=16"))),"Open"))</f>
        <v/>
      </c>
      <c r="N58" s="6" t="str">
        <f>IF(OR(JobAgolMap="", $E58="", $F58=""),"",HYPERLINK(JobAgolMap&amp;IF(ISNUMBER(FIND("?",JobAgolMap)),"&amp;","?")&amp;"center="&amp;$F58&amp;","&amp;$E58&amp;"&amp;level=16&amp;marker="&amp;$F58&amp;","&amp;$E58,"Open"))</f>
        <v/>
      </c>
      <c r="O58" s="6" t="str">
        <f>IF(OR($E58="",$F58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8" s="4"/>
      <c r="Q58" s="4"/>
      <c r="R58" s="4"/>
      <c r="S58" s="4"/>
      <c r="T58" s="4"/>
      <c r="U58" s="4"/>
      <c r="V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HYPERLINK(IF(OR(JobState="MI",JobState=""),"https://fema.maps.arcgis.com/apps/mapviewer/index.html?webmap=6a1702b9147243d1a5ee62cd614bc681&amp;center="&amp;$F59&amp;","&amp;$E59&amp;"&amp;level=16&amp;marker="&amp;$F59&amp;","&amp;$E59&amp;"",IF(JobState="IN","https://fema.maps.arcgis.com/apps/mapviewer/index.html?url=https%3A%2F%2Fgisdata.in.gov%2Fserver%2Frest%2Fservices%2FHosted%2FLRSE_Functional_Class%2FFeatureServer%2F22&amp;find="&amp;$F59&amp;"%2C"&amp;$E59&amp;"&amp;marker="&amp;$F59&amp;","&amp;$E59&amp;",4326&amp;level=16",IF(JobState="WI","https://fema.maps.arcgis.com/apps/mapviewer/index.html?url=https%3A%2F%2Fservices5.arcgis.com%2F0pgGLzT0Nh7FVjon%2Farcgis%2Frest%2Fservices%2FFFCL_gdb%2FFeatureServer%2F3&amp;find="&amp;$F59&amp;"%2C"&amp;$E59&amp;"&amp;marker="&amp;$F59&amp;","&amp;$E59&amp;",4326&amp;level=16","https://fema.maps.arcgis.com/apps/mapviewer/index.html?find="&amp;$F59&amp;"%2C"&amp;$E59&amp;"&amp;marker="&amp;$F59&amp;","&amp;$E59&amp;",4326&amp;level=16"))),"Open"))</f>
        <v/>
      </c>
      <c r="N59" s="6" t="str">
        <f>IF(OR(JobAgolMap="", $E59="", $F59=""),"",HYPERLINK(JobAgolMap&amp;IF(ISNUMBER(FIND("?",JobAgolMap)),"&amp;","?")&amp;"center="&amp;$F59&amp;","&amp;$E59&amp;"&amp;level=16&amp;marker="&amp;$F59&amp;","&amp;$E59,"Open"))</f>
        <v/>
      </c>
      <c r="O59" s="6" t="str">
        <f>IF(OR($E59="",$F59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9" s="4"/>
      <c r="Q59" s="4"/>
      <c r="R59" s="4"/>
      <c r="S59" s="4"/>
      <c r="T59" s="4"/>
      <c r="U59" s="4"/>
      <c r="V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HYPERLINK(IF(OR(JobState="MI",JobState=""),"https://fema.maps.arcgis.com/apps/mapviewer/index.html?webmap=6a1702b9147243d1a5ee62cd614bc681&amp;center="&amp;$F60&amp;","&amp;$E60&amp;"&amp;level=16&amp;marker="&amp;$F60&amp;","&amp;$E60&amp;"",IF(JobState="IN","https://fema.maps.arcgis.com/apps/mapviewer/index.html?url=https%3A%2F%2Fgisdata.in.gov%2Fserver%2Frest%2Fservices%2FHosted%2FLRSE_Functional_Class%2FFeatureServer%2F22&amp;find="&amp;$F60&amp;"%2C"&amp;$E60&amp;"&amp;marker="&amp;$F60&amp;","&amp;$E60&amp;",4326&amp;level=16",IF(JobState="WI","https://fema.maps.arcgis.com/apps/mapviewer/index.html?url=https%3A%2F%2Fservices5.arcgis.com%2F0pgGLzT0Nh7FVjon%2Farcgis%2Frest%2Fservices%2FFFCL_gdb%2FFeatureServer%2F3&amp;find="&amp;$F60&amp;"%2C"&amp;$E60&amp;"&amp;marker="&amp;$F60&amp;","&amp;$E60&amp;",4326&amp;level=16","https://fema.maps.arcgis.com/apps/mapviewer/index.html?find="&amp;$F60&amp;"%2C"&amp;$E60&amp;"&amp;marker="&amp;$F60&amp;","&amp;$E60&amp;",4326&amp;level=16"))),"Open"))</f>
        <v/>
      </c>
      <c r="N60" s="6" t="str">
        <f>IF(OR(JobAgolMap="", $E60="", $F60=""),"",HYPERLINK(JobAgolMap&amp;IF(ISNUMBER(FIND("?",JobAgolMap)),"&amp;","?")&amp;"center="&amp;$F60&amp;","&amp;$E60&amp;"&amp;level=16&amp;marker="&amp;$F60&amp;","&amp;$E60,"Open"))</f>
        <v/>
      </c>
      <c r="O60" s="6" t="str">
        <f>IF(OR($E60="",$F60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0" s="4"/>
      <c r="Q60" s="4"/>
      <c r="R60" s="4"/>
      <c r="S60" s="4"/>
      <c r="T60" s="4"/>
      <c r="U60" s="4"/>
      <c r="V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HYPERLINK(IF(OR(JobState="MI",JobState=""),"https://fema.maps.arcgis.com/apps/mapviewer/index.html?webmap=6a1702b9147243d1a5ee62cd614bc681&amp;center="&amp;$F61&amp;","&amp;$E61&amp;"&amp;level=16&amp;marker="&amp;$F61&amp;","&amp;$E61&amp;"",IF(JobState="IN","https://fema.maps.arcgis.com/apps/mapviewer/index.html?url=https%3A%2F%2Fgisdata.in.gov%2Fserver%2Frest%2Fservices%2FHosted%2FLRSE_Functional_Class%2FFeatureServer%2F22&amp;find="&amp;$F61&amp;"%2C"&amp;$E61&amp;"&amp;marker="&amp;$F61&amp;","&amp;$E61&amp;",4326&amp;level=16",IF(JobState="WI","https://fema.maps.arcgis.com/apps/mapviewer/index.html?url=https%3A%2F%2Fservices5.arcgis.com%2F0pgGLzT0Nh7FVjon%2Farcgis%2Frest%2Fservices%2FFFCL_gdb%2FFeatureServer%2F3&amp;find="&amp;$F61&amp;"%2C"&amp;$E61&amp;"&amp;marker="&amp;$F61&amp;","&amp;$E61&amp;",4326&amp;level=16","https://fema.maps.arcgis.com/apps/mapviewer/index.html?find="&amp;$F61&amp;"%2C"&amp;$E61&amp;"&amp;marker="&amp;$F61&amp;","&amp;$E61&amp;",4326&amp;level=16"))),"Open"))</f>
        <v/>
      </c>
      <c r="N61" s="6" t="str">
        <f>IF(OR(JobAgolMap="", $E61="", $F61=""),"",HYPERLINK(JobAgolMap&amp;IF(ISNUMBER(FIND("?",JobAgolMap)),"&amp;","?")&amp;"center="&amp;$F61&amp;","&amp;$E61&amp;"&amp;level=16&amp;marker="&amp;$F61&amp;","&amp;$E61,"Open"))</f>
        <v/>
      </c>
      <c r="O61" s="6" t="str">
        <f>IF(OR($E61="",$F61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1" s="4"/>
      <c r="Q61" s="4"/>
      <c r="R61" s="4"/>
      <c r="S61" s="4"/>
      <c r="T61" s="4"/>
      <c r="U61" s="4"/>
      <c r="V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HYPERLINK(IF(OR(JobState="MI",JobState=""),"https://fema.maps.arcgis.com/apps/mapviewer/index.html?webmap=6a1702b9147243d1a5ee62cd614bc681&amp;center="&amp;$F62&amp;","&amp;$E62&amp;"&amp;level=16&amp;marker="&amp;$F62&amp;","&amp;$E62&amp;"",IF(JobState="IN","https://fema.maps.arcgis.com/apps/mapviewer/index.html?url=https%3A%2F%2Fgisdata.in.gov%2Fserver%2Frest%2Fservices%2FHosted%2FLRSE_Functional_Class%2FFeatureServer%2F22&amp;find="&amp;$F62&amp;"%2C"&amp;$E62&amp;"&amp;marker="&amp;$F62&amp;","&amp;$E62&amp;",4326&amp;level=16",IF(JobState="WI","https://fema.maps.arcgis.com/apps/mapviewer/index.html?url=https%3A%2F%2Fservices5.arcgis.com%2F0pgGLzT0Nh7FVjon%2Farcgis%2Frest%2Fservices%2FFFCL_gdb%2FFeatureServer%2F3&amp;find="&amp;$F62&amp;"%2C"&amp;$E62&amp;"&amp;marker="&amp;$F62&amp;","&amp;$E62&amp;",4326&amp;level=16","https://fema.maps.arcgis.com/apps/mapviewer/index.html?find="&amp;$F62&amp;"%2C"&amp;$E62&amp;"&amp;marker="&amp;$F62&amp;","&amp;$E62&amp;",4326&amp;level=16"))),"Open"))</f>
        <v/>
      </c>
      <c r="N62" s="6" t="str">
        <f>IF(OR(JobAgolMap="", $E62="", $F62=""),"",HYPERLINK(JobAgolMap&amp;IF(ISNUMBER(FIND("?",JobAgolMap)),"&amp;","?")&amp;"center="&amp;$F62&amp;","&amp;$E62&amp;"&amp;level=16&amp;marker="&amp;$F62&amp;","&amp;$E62,"Open"))</f>
        <v/>
      </c>
      <c r="O62" s="6" t="str">
        <f>IF(OR($E62="",$F62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2" s="4"/>
      <c r="Q62" s="4"/>
      <c r="R62" s="4"/>
      <c r="S62" s="4"/>
      <c r="T62" s="4"/>
      <c r="U62" s="4"/>
      <c r="V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HYPERLINK(IF(OR(JobState="MI",JobState=""),"https://fema.maps.arcgis.com/apps/mapviewer/index.html?webmap=6a1702b9147243d1a5ee62cd614bc681&amp;center="&amp;$F63&amp;","&amp;$E63&amp;"&amp;level=16&amp;marker="&amp;$F63&amp;","&amp;$E63&amp;"",IF(JobState="IN","https://fema.maps.arcgis.com/apps/mapviewer/index.html?url=https%3A%2F%2Fgisdata.in.gov%2Fserver%2Frest%2Fservices%2FHosted%2FLRSE_Functional_Class%2FFeatureServer%2F22&amp;find="&amp;$F63&amp;"%2C"&amp;$E63&amp;"&amp;marker="&amp;$F63&amp;","&amp;$E63&amp;",4326&amp;level=16",IF(JobState="WI","https://fema.maps.arcgis.com/apps/mapviewer/index.html?url=https%3A%2F%2Fservices5.arcgis.com%2F0pgGLzT0Nh7FVjon%2Farcgis%2Frest%2Fservices%2FFFCL_gdb%2FFeatureServer%2F3&amp;find="&amp;$F63&amp;"%2C"&amp;$E63&amp;"&amp;marker="&amp;$F63&amp;","&amp;$E63&amp;",4326&amp;level=16","https://fema.maps.arcgis.com/apps/mapviewer/index.html?find="&amp;$F63&amp;"%2C"&amp;$E63&amp;"&amp;marker="&amp;$F63&amp;","&amp;$E63&amp;",4326&amp;level=16"))),"Open"))</f>
        <v/>
      </c>
      <c r="N63" s="6" t="str">
        <f>IF(OR(JobAgolMap="", $E63="", $F63=""),"",HYPERLINK(JobAgolMap&amp;IF(ISNUMBER(FIND("?",JobAgolMap)),"&amp;","?")&amp;"center="&amp;$F63&amp;","&amp;$E63&amp;"&amp;level=16&amp;marker="&amp;$F63&amp;","&amp;$E63,"Open"))</f>
        <v/>
      </c>
      <c r="O63" s="6" t="str">
        <f>IF(OR($E63="",$F63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3" s="4"/>
      <c r="Q63" s="4"/>
      <c r="R63" s="4"/>
      <c r="S63" s="4"/>
      <c r="T63" s="4"/>
      <c r="U63" s="4"/>
      <c r="V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HYPERLINK(IF(OR(JobState="MI",JobState=""),"https://fema.maps.arcgis.com/apps/mapviewer/index.html?webmap=6a1702b9147243d1a5ee62cd614bc681&amp;center="&amp;$F64&amp;","&amp;$E64&amp;"&amp;level=16&amp;marker="&amp;$F64&amp;","&amp;$E64&amp;"",IF(JobState="IN","https://fema.maps.arcgis.com/apps/mapviewer/index.html?url=https%3A%2F%2Fgisdata.in.gov%2Fserver%2Frest%2Fservices%2FHosted%2FLRSE_Functional_Class%2FFeatureServer%2F22&amp;find="&amp;$F64&amp;"%2C"&amp;$E64&amp;"&amp;marker="&amp;$F64&amp;","&amp;$E64&amp;",4326&amp;level=16",IF(JobState="WI","https://fema.maps.arcgis.com/apps/mapviewer/index.html?url=https%3A%2F%2Fservices5.arcgis.com%2F0pgGLzT0Nh7FVjon%2Farcgis%2Frest%2Fservices%2FFFCL_gdb%2FFeatureServer%2F3&amp;find="&amp;$F64&amp;"%2C"&amp;$E64&amp;"&amp;marker="&amp;$F64&amp;","&amp;$E64&amp;",4326&amp;level=16","https://fema.maps.arcgis.com/apps/mapviewer/index.html?find="&amp;$F64&amp;"%2C"&amp;$E64&amp;"&amp;marker="&amp;$F64&amp;","&amp;$E64&amp;",4326&amp;level=16"))),"Open"))</f>
        <v/>
      </c>
      <c r="N64" s="6" t="str">
        <f>IF(OR(JobAgolMap="", $E64="", $F64=""),"",HYPERLINK(JobAgolMap&amp;IF(ISNUMBER(FIND("?",JobAgolMap)),"&amp;","?")&amp;"center="&amp;$F64&amp;","&amp;$E64&amp;"&amp;level=16&amp;marker="&amp;$F64&amp;","&amp;$E64,"Open"))</f>
        <v/>
      </c>
      <c r="O64" s="6" t="str">
        <f>IF(OR($E64="",$F64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4" s="4"/>
      <c r="Q64" s="4"/>
      <c r="R64" s="4"/>
      <c r="S64" s="4"/>
      <c r="T64" s="4"/>
      <c r="U64" s="4"/>
      <c r="V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HYPERLINK(IF(OR(JobState="MI",JobState=""),"https://fema.maps.arcgis.com/apps/mapviewer/index.html?webmap=6a1702b9147243d1a5ee62cd614bc681&amp;center="&amp;$F65&amp;","&amp;$E65&amp;"&amp;level=16&amp;marker="&amp;$F65&amp;","&amp;$E65&amp;"",IF(JobState="IN","https://fema.maps.arcgis.com/apps/mapviewer/index.html?url=https%3A%2F%2Fgisdata.in.gov%2Fserver%2Frest%2Fservices%2FHosted%2FLRSE_Functional_Class%2FFeatureServer%2F22&amp;find="&amp;$F65&amp;"%2C"&amp;$E65&amp;"&amp;marker="&amp;$F65&amp;","&amp;$E65&amp;",4326&amp;level=16",IF(JobState="WI","https://fema.maps.arcgis.com/apps/mapviewer/index.html?url=https%3A%2F%2Fservices5.arcgis.com%2F0pgGLzT0Nh7FVjon%2Farcgis%2Frest%2Fservices%2FFFCL_gdb%2FFeatureServer%2F3&amp;find="&amp;$F65&amp;"%2C"&amp;$E65&amp;"&amp;marker="&amp;$F65&amp;","&amp;$E65&amp;",4326&amp;level=16","https://fema.maps.arcgis.com/apps/mapviewer/index.html?find="&amp;$F65&amp;"%2C"&amp;$E65&amp;"&amp;marker="&amp;$F65&amp;","&amp;$E65&amp;",4326&amp;level=16"))),"Open"))</f>
        <v/>
      </c>
      <c r="N65" s="6" t="str">
        <f>IF(OR(JobAgolMap="", $E65="", $F65=""),"",HYPERLINK(JobAgolMap&amp;IF(ISNUMBER(FIND("?",JobAgolMap)),"&amp;","?")&amp;"center="&amp;$F65&amp;","&amp;$E65&amp;"&amp;level=16&amp;marker="&amp;$F65&amp;","&amp;$E65,"Open"))</f>
        <v/>
      </c>
      <c r="O65" s="6" t="str">
        <f>IF(OR($E65="",$F65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5" s="4"/>
      <c r="Q65" s="4"/>
      <c r="R65" s="4"/>
      <c r="S65" s="4"/>
      <c r="T65" s="4"/>
      <c r="U65" s="4"/>
      <c r="V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HYPERLINK(IF(OR(JobState="MI",JobState=""),"https://fema.maps.arcgis.com/apps/mapviewer/index.html?webmap=6a1702b9147243d1a5ee62cd614bc681&amp;center="&amp;$F66&amp;","&amp;$E66&amp;"&amp;level=16&amp;marker="&amp;$F66&amp;","&amp;$E66&amp;"",IF(JobState="IN","https://fema.maps.arcgis.com/apps/mapviewer/index.html?url=https%3A%2F%2Fgisdata.in.gov%2Fserver%2Frest%2Fservices%2FHosted%2FLRSE_Functional_Class%2FFeatureServer%2F22&amp;find="&amp;$F66&amp;"%2C"&amp;$E66&amp;"&amp;marker="&amp;$F66&amp;","&amp;$E66&amp;",4326&amp;level=16",IF(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IF(OR(JobAgolMap="", $E66="", $F66=""),"",HYPERLINK(JobAgolMap&amp;IF(ISNUMBER(FIND("?",JobAgolMap)),"&amp;","?")&amp;"center="&amp;$F66&amp;","&amp;$E66&amp;"&amp;level=16&amp;marker="&amp;$F66&amp;","&amp;$E66,"Open"))</f>
        <v/>
      </c>
      <c r="O66" s="6" t="str">
        <f>IF(OR($E66="",$F66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6" s="4"/>
      <c r="Q66" s="4"/>
      <c r="R66" s="4"/>
      <c r="S66" s="4"/>
      <c r="T66" s="4"/>
      <c r="U66" s="4"/>
      <c r="V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HYPERLINK(IF(OR(JobState="MI",JobState=""),"https://fema.maps.arcgis.com/apps/mapviewer/index.html?webmap=6a1702b9147243d1a5ee62cd614bc681&amp;center="&amp;$F67&amp;","&amp;$E67&amp;"&amp;level=16&amp;marker="&amp;$F67&amp;","&amp;$E67&amp;"",IF(JobState="IN","https://fema.maps.arcgis.com/apps/mapviewer/index.html?url=https%3A%2F%2Fgisdata.in.gov%2Fserver%2Frest%2Fservices%2FHosted%2FLRSE_Functional_Class%2FFeatureServer%2F22&amp;find="&amp;$F67&amp;"%2C"&amp;$E67&amp;"&amp;marker="&amp;$F67&amp;","&amp;$E67&amp;",4326&amp;level=16",IF(JobState="WI","https://fema.maps.arcgis.com/apps/mapviewer/index.html?url=https%3A%2F%2Fservices5.arcgis.com%2F0pgGLzT0Nh7FVjon%2Farcgis%2Frest%2Fservices%2FFFCL_gdb%2FFeatureServer%2F3&amp;find="&amp;$F67&amp;"%2C"&amp;$E67&amp;"&amp;marker="&amp;$F67&amp;","&amp;$E67&amp;",4326&amp;level=16","https://fema.maps.arcgis.com/apps/mapviewer/index.html?find="&amp;$F67&amp;"%2C"&amp;$E67&amp;"&amp;marker="&amp;$F67&amp;","&amp;$E67&amp;",4326&amp;level=16"))),"Open"))</f>
        <v/>
      </c>
      <c r="N67" s="6" t="str">
        <f>IF(OR(JobAgolMap="", $E67="", $F67=""),"",HYPERLINK(JobAgolMap&amp;IF(ISNUMBER(FIND("?",JobAgolMap)),"&amp;","?")&amp;"center="&amp;$F67&amp;","&amp;$E67&amp;"&amp;level=16&amp;marker="&amp;$F67&amp;","&amp;$E67,"Open"))</f>
        <v/>
      </c>
      <c r="O67" s="6" t="str">
        <f>IF(OR($E67="",$F67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7" s="4"/>
      <c r="Q67" s="4"/>
      <c r="R67" s="4"/>
      <c r="S67" s="4"/>
      <c r="T67" s="4"/>
      <c r="U67" s="4"/>
      <c r="V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HYPERLINK(IF(OR(JobState="MI",JobState=""),"https://fema.maps.arcgis.com/apps/mapviewer/index.html?webmap=6a1702b9147243d1a5ee62cd614bc681&amp;center="&amp;$F68&amp;","&amp;$E68&amp;"&amp;level=16&amp;marker="&amp;$F68&amp;","&amp;$E68&amp;"",IF(JobState="IN","https://fema.maps.arcgis.com/apps/mapviewer/index.html?url=https%3A%2F%2Fgisdata.in.gov%2Fserver%2Frest%2Fservices%2FHosted%2FLRSE_Functional_Class%2FFeatureServer%2F22&amp;find="&amp;$F68&amp;"%2C"&amp;$E68&amp;"&amp;marker="&amp;$F68&amp;","&amp;$E68&amp;",4326&amp;level=16",IF(JobState="WI","https://fema.maps.arcgis.com/apps/mapviewer/index.html?url=https%3A%2F%2Fservices5.arcgis.com%2F0pgGLzT0Nh7FVjon%2Farcgis%2Frest%2Fservices%2FFFCL_gdb%2FFeatureServer%2F3&amp;find="&amp;$F68&amp;"%2C"&amp;$E68&amp;"&amp;marker="&amp;$F68&amp;","&amp;$E68&amp;",4326&amp;level=16","https://fema.maps.arcgis.com/apps/mapviewer/index.html?find="&amp;$F68&amp;"%2C"&amp;$E68&amp;"&amp;marker="&amp;$F68&amp;","&amp;$E68&amp;",4326&amp;level=16"))),"Open"))</f>
        <v/>
      </c>
      <c r="N68" s="6" t="str">
        <f>IF(OR(JobAgolMap="", $E68="", $F68=""),"",HYPERLINK(JobAgolMap&amp;IF(ISNUMBER(FIND("?",JobAgolMap)),"&amp;","?")&amp;"center="&amp;$F68&amp;","&amp;$E68&amp;"&amp;level=16&amp;marker="&amp;$F68&amp;","&amp;$E68,"Open"))</f>
        <v/>
      </c>
      <c r="O68" s="6" t="str">
        <f>IF(OR($E68="",$F68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8" s="4"/>
      <c r="Q68" s="4"/>
      <c r="R68" s="4"/>
      <c r="S68" s="4"/>
      <c r="T68" s="4"/>
      <c r="U68" s="4"/>
      <c r="V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HYPERLINK(IF(OR(JobState="MI",JobState=""),"https://fema.maps.arcgis.com/apps/mapviewer/index.html?webmap=6a1702b9147243d1a5ee62cd614bc681&amp;center="&amp;$F69&amp;","&amp;$E69&amp;"&amp;level=16&amp;marker="&amp;$F69&amp;","&amp;$E69&amp;"",IF(JobState="IN","https://fema.maps.arcgis.com/apps/mapviewer/index.html?url=https%3A%2F%2Fgisdata.in.gov%2Fserver%2Frest%2Fservices%2FHosted%2FLRSE_Functional_Class%2FFeatureServer%2F22&amp;find="&amp;$F69&amp;"%2C"&amp;$E69&amp;"&amp;marker="&amp;$F69&amp;","&amp;$E69&amp;",4326&amp;level=16",IF(JobState="WI","https://fema.maps.arcgis.com/apps/mapviewer/index.html?url=https%3A%2F%2Fservices5.arcgis.com%2F0pgGLzT0Nh7FVjon%2Farcgis%2Frest%2Fservices%2FFFCL_gdb%2FFeatureServer%2F3&amp;find="&amp;$F69&amp;"%2C"&amp;$E69&amp;"&amp;marker="&amp;$F69&amp;","&amp;$E69&amp;",4326&amp;level=16","https://fema.maps.arcgis.com/apps/mapviewer/index.html?find="&amp;$F69&amp;"%2C"&amp;$E69&amp;"&amp;marker="&amp;$F69&amp;","&amp;$E69&amp;",4326&amp;level=16"))),"Open"))</f>
        <v/>
      </c>
      <c r="N69" s="6" t="str">
        <f>IF(OR(JobAgolMap="", $E69="", $F69=""),"",HYPERLINK(JobAgolMap&amp;IF(ISNUMBER(FIND("?",JobAgolMap)),"&amp;","?")&amp;"center="&amp;$F69&amp;","&amp;$E69&amp;"&amp;level=16&amp;marker="&amp;$F69&amp;","&amp;$E69,"Open"))</f>
        <v/>
      </c>
      <c r="O69" s="6" t="str">
        <f>IF(OR($E69="",$F69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9" s="4"/>
      <c r="Q69" s="4"/>
      <c r="R69" s="4"/>
      <c r="S69" s="4"/>
      <c r="T69" s="4"/>
      <c r="U69" s="4"/>
      <c r="V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HYPERLINK(IF(OR(JobState="MI",JobState=""),"https://fema.maps.arcgis.com/apps/mapviewer/index.html?webmap=6a1702b9147243d1a5ee62cd614bc681&amp;center="&amp;$F70&amp;","&amp;$E70&amp;"&amp;level=16&amp;marker="&amp;$F70&amp;","&amp;$E70&amp;"",IF(JobState="IN","https://fema.maps.arcgis.com/apps/mapviewer/index.html?url=https%3A%2F%2Fgisdata.in.gov%2Fserver%2Frest%2Fservices%2FHosted%2FLRSE_Functional_Class%2FFeatureServer%2F22&amp;find="&amp;$F70&amp;"%2C"&amp;$E70&amp;"&amp;marker="&amp;$F70&amp;","&amp;$E70&amp;",4326&amp;level=16",IF(JobState="WI","https://fema.maps.arcgis.com/apps/mapviewer/index.html?url=https%3A%2F%2Fservices5.arcgis.com%2F0pgGLzT0Nh7FVjon%2Farcgis%2Frest%2Fservices%2FFFCL_gdb%2FFeatureServer%2F3&amp;find="&amp;$F70&amp;"%2C"&amp;$E70&amp;"&amp;marker="&amp;$F70&amp;","&amp;$E70&amp;",4326&amp;level=16","https://fema.maps.arcgis.com/apps/mapviewer/index.html?find="&amp;$F70&amp;"%2C"&amp;$E70&amp;"&amp;marker="&amp;$F70&amp;","&amp;$E70&amp;",4326&amp;level=16"))),"Open"))</f>
        <v/>
      </c>
      <c r="N70" s="6" t="str">
        <f>IF(OR(JobAgolMap="", $E70="", $F70=""),"",HYPERLINK(JobAgolMap&amp;IF(ISNUMBER(FIND("?",JobAgolMap)),"&amp;","?")&amp;"center="&amp;$F70&amp;","&amp;$E70&amp;"&amp;level=16&amp;marker="&amp;$F70&amp;","&amp;$E70,"Open"))</f>
        <v/>
      </c>
      <c r="O70" s="6" t="str">
        <f>IF(OR($E70="",$F70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0" s="4"/>
      <c r="Q70" s="4"/>
      <c r="R70" s="4"/>
      <c r="S70" s="4"/>
      <c r="T70" s="4"/>
      <c r="U70" s="4"/>
      <c r="V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HYPERLINK(IF(OR(JobState="MI",JobState=""),"https://fema.maps.arcgis.com/apps/mapviewer/index.html?webmap=6a1702b9147243d1a5ee62cd614bc681&amp;center="&amp;$F71&amp;","&amp;$E71&amp;"&amp;level=16&amp;marker="&amp;$F71&amp;","&amp;$E71&amp;"",IF(JobState="IN","https://fema.maps.arcgis.com/apps/mapviewer/index.html?url=https%3A%2F%2Fgisdata.in.gov%2Fserver%2Frest%2Fservices%2FHosted%2FLRSE_Functional_Class%2FFeatureServer%2F22&amp;find="&amp;$F71&amp;"%2C"&amp;$E71&amp;"&amp;marker="&amp;$F71&amp;","&amp;$E71&amp;",4326&amp;level=16",IF(JobState="WI","https://fema.maps.arcgis.com/apps/mapviewer/index.html?url=https%3A%2F%2Fservices5.arcgis.com%2F0pgGLzT0Nh7FVjon%2Farcgis%2Frest%2Fservices%2FFFCL_gdb%2FFeatureServer%2F3&amp;find="&amp;$F71&amp;"%2C"&amp;$E71&amp;"&amp;marker="&amp;$F71&amp;","&amp;$E71&amp;",4326&amp;level=16","https://fema.maps.arcgis.com/apps/mapviewer/index.html?find="&amp;$F71&amp;"%2C"&amp;$E71&amp;"&amp;marker="&amp;$F71&amp;","&amp;$E71&amp;",4326&amp;level=16"))),"Open"))</f>
        <v/>
      </c>
      <c r="N71" s="6" t="str">
        <f>IF(OR(JobAgolMap="", $E71="", $F71=""),"",HYPERLINK(JobAgolMap&amp;IF(ISNUMBER(FIND("?",JobAgolMap)),"&amp;","?")&amp;"center="&amp;$F71&amp;","&amp;$E71&amp;"&amp;level=16&amp;marker="&amp;$F71&amp;","&amp;$E71,"Open"))</f>
        <v/>
      </c>
      <c r="O71" s="6" t="str">
        <f>IF(OR($E71="",$F71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1" s="4"/>
      <c r="Q71" s="4"/>
      <c r="R71" s="4"/>
      <c r="S71" s="4"/>
      <c r="T71" s="4"/>
      <c r="U71" s="4"/>
      <c r="V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HYPERLINK(IF(OR(JobState="MI",JobState=""),"https://fema.maps.arcgis.com/apps/mapviewer/index.html?webmap=6a1702b9147243d1a5ee62cd614bc681&amp;center="&amp;$F72&amp;","&amp;$E72&amp;"&amp;level=16&amp;marker="&amp;$F72&amp;","&amp;$E72&amp;"",IF(JobState="IN","https://fema.maps.arcgis.com/apps/mapviewer/index.html?url=https%3A%2F%2Fgisdata.in.gov%2Fserver%2Frest%2Fservices%2FHosted%2FLRSE_Functional_Class%2FFeatureServer%2F22&amp;find="&amp;$F72&amp;"%2C"&amp;$E72&amp;"&amp;marker="&amp;$F72&amp;","&amp;$E72&amp;",4326&amp;level=16",IF(JobState="WI","https://fema.maps.arcgis.com/apps/mapviewer/index.html?url=https%3A%2F%2Fservices5.arcgis.com%2F0pgGLzT0Nh7FVjon%2Farcgis%2Frest%2Fservices%2FFFCL_gdb%2FFeatureServer%2F3&amp;find="&amp;$F72&amp;"%2C"&amp;$E72&amp;"&amp;marker="&amp;$F72&amp;","&amp;$E72&amp;",4326&amp;level=16","https://fema.maps.arcgis.com/apps/mapviewer/index.html?find="&amp;$F72&amp;"%2C"&amp;$E72&amp;"&amp;marker="&amp;$F72&amp;","&amp;$E72&amp;",4326&amp;level=16"))),"Open"))</f>
        <v/>
      </c>
      <c r="N72" s="6" t="str">
        <f>IF(OR(JobAgolMap="", $E72="", $F72=""),"",HYPERLINK(JobAgolMap&amp;IF(ISNUMBER(FIND("?",JobAgolMap)),"&amp;","?")&amp;"center="&amp;$F72&amp;","&amp;$E72&amp;"&amp;level=16&amp;marker="&amp;$F72&amp;","&amp;$E72,"Open"))</f>
        <v/>
      </c>
      <c r="O72" s="6" t="str">
        <f>IF(OR($E72="",$F72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2" s="4"/>
      <c r="Q72" s="4"/>
      <c r="R72" s="4"/>
      <c r="S72" s="4"/>
      <c r="T72" s="4"/>
      <c r="U72" s="4"/>
      <c r="V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HYPERLINK(IF(OR(JobState="MI",JobState=""),"https://fema.maps.arcgis.com/apps/mapviewer/index.html?webmap=6a1702b9147243d1a5ee62cd614bc681&amp;center="&amp;$F73&amp;","&amp;$E73&amp;"&amp;level=16&amp;marker="&amp;$F73&amp;","&amp;$E73&amp;"",IF(JobState="IN","https://fema.maps.arcgis.com/apps/mapviewer/index.html?url=https%3A%2F%2Fgisdata.in.gov%2Fserver%2Frest%2Fservices%2FHosted%2FLRSE_Functional_Class%2FFeatureServer%2F22&amp;find="&amp;$F73&amp;"%2C"&amp;$E73&amp;"&amp;marker="&amp;$F73&amp;","&amp;$E73&amp;",4326&amp;level=16",IF(JobState="WI","https://fema.maps.arcgis.com/apps/mapviewer/index.html?url=https%3A%2F%2Fservices5.arcgis.com%2F0pgGLzT0Nh7FVjon%2Farcgis%2Frest%2Fservices%2FFFCL_gdb%2FFeatureServer%2F3&amp;find="&amp;$F73&amp;"%2C"&amp;$E73&amp;"&amp;marker="&amp;$F73&amp;","&amp;$E73&amp;",4326&amp;level=16","https://fema.maps.arcgis.com/apps/mapviewer/index.html?find="&amp;$F73&amp;"%2C"&amp;$E73&amp;"&amp;marker="&amp;$F73&amp;","&amp;$E73&amp;",4326&amp;level=16"))),"Open"))</f>
        <v/>
      </c>
      <c r="N73" s="6" t="str">
        <f>IF(OR(JobAgolMap="", $E73="", $F73=""),"",HYPERLINK(JobAgolMap&amp;IF(ISNUMBER(FIND("?",JobAgolMap)),"&amp;","?")&amp;"center="&amp;$F73&amp;","&amp;$E73&amp;"&amp;level=16&amp;marker="&amp;$F73&amp;","&amp;$E73,"Open"))</f>
        <v/>
      </c>
      <c r="O73" s="6" t="str">
        <f>IF(OR($E73="",$F73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3" s="4"/>
      <c r="Q73" s="4"/>
      <c r="R73" s="4"/>
      <c r="S73" s="4"/>
      <c r="T73" s="4"/>
      <c r="U73" s="4"/>
      <c r="V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HYPERLINK(IF(OR(JobState="MI",JobState=""),"https://fema.maps.arcgis.com/apps/mapviewer/index.html?webmap=6a1702b9147243d1a5ee62cd614bc681&amp;center="&amp;$F74&amp;","&amp;$E74&amp;"&amp;level=16&amp;marker="&amp;$F74&amp;","&amp;$E74&amp;"",IF(JobState="IN","https://fema.maps.arcgis.com/apps/mapviewer/index.html?url=https%3A%2F%2Fgisdata.in.gov%2Fserver%2Frest%2Fservices%2FHosted%2FLRSE_Functional_Class%2FFeatureServer%2F22&amp;find="&amp;$F74&amp;"%2C"&amp;$E74&amp;"&amp;marker="&amp;$F74&amp;","&amp;$E74&amp;",4326&amp;level=16",IF(JobState="WI","https://fema.maps.arcgis.com/apps/mapviewer/index.html?url=https%3A%2F%2Fservices5.arcgis.com%2F0pgGLzT0Nh7FVjon%2Farcgis%2Frest%2Fservices%2FFFCL_gdb%2FFeatureServer%2F3&amp;find="&amp;$F74&amp;"%2C"&amp;$E74&amp;"&amp;marker="&amp;$F74&amp;","&amp;$E74&amp;",4326&amp;level=16","https://fema.maps.arcgis.com/apps/mapviewer/index.html?find="&amp;$F74&amp;"%2C"&amp;$E74&amp;"&amp;marker="&amp;$F74&amp;","&amp;$E74&amp;",4326&amp;level=16"))),"Open"))</f>
        <v/>
      </c>
      <c r="N74" s="6" t="str">
        <f>IF(OR(JobAgolMap="", $E74="", $F74=""),"",HYPERLINK(JobAgolMap&amp;IF(ISNUMBER(FIND("?",JobAgolMap)),"&amp;","?")&amp;"center="&amp;$F74&amp;","&amp;$E74&amp;"&amp;level=16&amp;marker="&amp;$F74&amp;","&amp;$E74,"Open"))</f>
        <v/>
      </c>
      <c r="O74" s="6" t="str">
        <f>IF(OR($E74="",$F74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4" s="4"/>
      <c r="Q74" s="4"/>
      <c r="R74" s="4"/>
      <c r="S74" s="4"/>
      <c r="T74" s="4"/>
      <c r="U74" s="4"/>
      <c r="V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HYPERLINK(IF(OR(JobState="MI",JobState=""),"https://fema.maps.arcgis.com/apps/mapviewer/index.html?webmap=6a1702b9147243d1a5ee62cd614bc681&amp;center="&amp;$F75&amp;","&amp;$E75&amp;"&amp;level=16&amp;marker="&amp;$F75&amp;","&amp;$E75&amp;"",IF(JobState="IN","https://fema.maps.arcgis.com/apps/mapviewer/index.html?url=https%3A%2F%2Fgisdata.in.gov%2Fserver%2Frest%2Fservices%2FHosted%2FLRSE_Functional_Class%2FFeatureServer%2F22&amp;find="&amp;$F75&amp;"%2C"&amp;$E75&amp;"&amp;marker="&amp;$F75&amp;","&amp;$E75&amp;",4326&amp;level=16",IF(JobState="WI","https://fema.maps.arcgis.com/apps/mapviewer/index.html?url=https%3A%2F%2Fservices5.arcgis.com%2F0pgGLzT0Nh7FVjon%2Farcgis%2Frest%2Fservices%2FFFCL_gdb%2FFeatureServer%2F3&amp;find="&amp;$F75&amp;"%2C"&amp;$E75&amp;"&amp;marker="&amp;$F75&amp;","&amp;$E75&amp;",4326&amp;level=16","https://fema.maps.arcgis.com/apps/mapviewer/index.html?find="&amp;$F75&amp;"%2C"&amp;$E75&amp;"&amp;marker="&amp;$F75&amp;","&amp;$E75&amp;",4326&amp;level=16"))),"Open"))</f>
        <v/>
      </c>
      <c r="N75" s="6" t="str">
        <f>IF(OR(JobAgolMap="", $E75="", $F75=""),"",HYPERLINK(JobAgolMap&amp;IF(ISNUMBER(FIND("?",JobAgolMap)),"&amp;","?")&amp;"center="&amp;$F75&amp;","&amp;$E75&amp;"&amp;level=16&amp;marker="&amp;$F75&amp;","&amp;$E75,"Open"))</f>
        <v/>
      </c>
      <c r="O75" s="6" t="str">
        <f>IF(OR($E75="",$F75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5" s="4"/>
      <c r="Q75" s="4"/>
      <c r="R75" s="4"/>
      <c r="S75" s="4"/>
      <c r="T75" s="4"/>
      <c r="U75" s="4"/>
      <c r="V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HYPERLINK(IF(OR(JobState="MI",JobState=""),"https://fema.maps.arcgis.com/apps/mapviewer/index.html?webmap=6a1702b9147243d1a5ee62cd614bc681&amp;center="&amp;$F76&amp;","&amp;$E76&amp;"&amp;level=16&amp;marker="&amp;$F76&amp;","&amp;$E76&amp;"",IF(JobState="IN","https://fema.maps.arcgis.com/apps/mapviewer/index.html?url=https%3A%2F%2Fgisdata.in.gov%2Fserver%2Frest%2Fservices%2FHosted%2FLRSE_Functional_Class%2FFeatureServer%2F22&amp;find="&amp;$F76&amp;"%2C"&amp;$E76&amp;"&amp;marker="&amp;$F76&amp;","&amp;$E76&amp;",4326&amp;level=16",IF(JobState="WI","https://fema.maps.arcgis.com/apps/mapviewer/index.html?url=https%3A%2F%2Fservices5.arcgis.com%2F0pgGLzT0Nh7FVjon%2Farcgis%2Frest%2Fservices%2FFFCL_gdb%2FFeatureServer%2F3&amp;find="&amp;$F76&amp;"%2C"&amp;$E76&amp;"&amp;marker="&amp;$F76&amp;","&amp;$E76&amp;",4326&amp;level=16","https://fema.maps.arcgis.com/apps/mapviewer/index.html?find="&amp;$F76&amp;"%2C"&amp;$E76&amp;"&amp;marker="&amp;$F76&amp;","&amp;$E76&amp;",4326&amp;level=16"))),"Open"))</f>
        <v/>
      </c>
      <c r="N76" s="6" t="str">
        <f>IF(OR(JobAgolMap="", $E76="", $F76=""),"",HYPERLINK(JobAgolMap&amp;IF(ISNUMBER(FIND("?",JobAgolMap)),"&amp;","?")&amp;"center="&amp;$F76&amp;","&amp;$E76&amp;"&amp;level=16&amp;marker="&amp;$F76&amp;","&amp;$E76,"Open"))</f>
        <v/>
      </c>
      <c r="O76" s="6" t="str">
        <f>IF(OR($E76="",$F76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6" s="4"/>
      <c r="Q76" s="4"/>
      <c r="R76" s="4"/>
      <c r="S76" s="4"/>
      <c r="T76" s="4"/>
      <c r="U76" s="4"/>
      <c r="V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HYPERLINK(IF(OR(JobState="MI",JobState=""),"https://fema.maps.arcgis.com/apps/mapviewer/index.html?webmap=6a1702b9147243d1a5ee62cd614bc681&amp;center="&amp;$F77&amp;","&amp;$E77&amp;"&amp;level=16&amp;marker="&amp;$F77&amp;","&amp;$E77&amp;"",IF(JobState="IN","https://fema.maps.arcgis.com/apps/mapviewer/index.html?url=https%3A%2F%2Fgisdata.in.gov%2Fserver%2Frest%2Fservices%2FHosted%2FLRSE_Functional_Class%2FFeatureServer%2F22&amp;find="&amp;$F77&amp;"%2C"&amp;$E77&amp;"&amp;marker="&amp;$F77&amp;","&amp;$E77&amp;",4326&amp;level=16",IF(JobState="WI","https://fema.maps.arcgis.com/apps/mapviewer/index.html?url=https%3A%2F%2Fservices5.arcgis.com%2F0pgGLzT0Nh7FVjon%2Farcgis%2Frest%2Fservices%2FFFCL_gdb%2FFeatureServer%2F3&amp;find="&amp;$F77&amp;"%2C"&amp;$E77&amp;"&amp;marker="&amp;$F77&amp;","&amp;$E77&amp;",4326&amp;level=16","https://fema.maps.arcgis.com/apps/mapviewer/index.html?find="&amp;$F77&amp;"%2C"&amp;$E77&amp;"&amp;marker="&amp;$F77&amp;","&amp;$E77&amp;",4326&amp;level=16"))),"Open"))</f>
        <v/>
      </c>
      <c r="N77" s="6" t="str">
        <f>IF(OR(JobAgolMap="", $E77="", $F77=""),"",HYPERLINK(JobAgolMap&amp;IF(ISNUMBER(FIND("?",JobAgolMap)),"&amp;","?")&amp;"center="&amp;$F77&amp;","&amp;$E77&amp;"&amp;level=16&amp;marker="&amp;$F77&amp;","&amp;$E77,"Open"))</f>
        <v/>
      </c>
      <c r="O77" s="6" t="str">
        <f>IF(OR($E77="",$F77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7" s="4"/>
      <c r="Q77" s="4"/>
      <c r="R77" s="4"/>
      <c r="S77" s="4"/>
      <c r="T77" s="4"/>
      <c r="U77" s="4"/>
      <c r="V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HYPERLINK(IF(OR(JobState="MI",JobState=""),"https://fema.maps.arcgis.com/apps/mapviewer/index.html?webmap=6a1702b9147243d1a5ee62cd614bc681&amp;center="&amp;$F78&amp;","&amp;$E78&amp;"&amp;level=16&amp;marker="&amp;$F78&amp;","&amp;$E78&amp;"",IF(JobState="IN","https://fema.maps.arcgis.com/apps/mapviewer/index.html?url=https%3A%2F%2Fgisdata.in.gov%2Fserver%2Frest%2Fservices%2FHosted%2FLRSE_Functional_Class%2FFeatureServer%2F22&amp;find="&amp;$F78&amp;"%2C"&amp;$E78&amp;"&amp;marker="&amp;$F78&amp;","&amp;$E78&amp;",4326&amp;level=16",IF(JobState="WI","https://fema.maps.arcgis.com/apps/mapviewer/index.html?url=https%3A%2F%2Fservices5.arcgis.com%2F0pgGLzT0Nh7FVjon%2Farcgis%2Frest%2Fservices%2FFFCL_gdb%2FFeatureServer%2F3&amp;find="&amp;$F78&amp;"%2C"&amp;$E78&amp;"&amp;marker="&amp;$F78&amp;","&amp;$E78&amp;",4326&amp;level=16","https://fema.maps.arcgis.com/apps/mapviewer/index.html?find="&amp;$F78&amp;"%2C"&amp;$E78&amp;"&amp;marker="&amp;$F78&amp;","&amp;$E78&amp;",4326&amp;level=16"))),"Open"))</f>
        <v/>
      </c>
      <c r="N78" s="6" t="str">
        <f>IF(OR(JobAgolMap="", $E78="", $F78=""),"",HYPERLINK(JobAgolMap&amp;IF(ISNUMBER(FIND("?",JobAgolMap)),"&amp;","?")&amp;"center="&amp;$F78&amp;","&amp;$E78&amp;"&amp;level=16&amp;marker="&amp;$F78&amp;","&amp;$E78,"Open"))</f>
        <v/>
      </c>
      <c r="O78" s="6" t="str">
        <f>IF(OR($E78="",$F78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8" s="4"/>
      <c r="Q78" s="4"/>
      <c r="R78" s="4"/>
      <c r="S78" s="4"/>
      <c r="T78" s="4"/>
      <c r="U78" s="4"/>
      <c r="V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HYPERLINK(IF(OR(JobState="MI",JobState=""),"https://fema.maps.arcgis.com/apps/mapviewer/index.html?webmap=6a1702b9147243d1a5ee62cd614bc681&amp;center="&amp;$F79&amp;","&amp;$E79&amp;"&amp;level=16&amp;marker="&amp;$F79&amp;","&amp;$E79&amp;"",IF(JobState="IN","https://fema.maps.arcgis.com/apps/mapviewer/index.html?url=https%3A%2F%2Fgisdata.in.gov%2Fserver%2Frest%2Fservices%2FHosted%2FLRSE_Functional_Class%2FFeatureServer%2F22&amp;find="&amp;$F79&amp;"%2C"&amp;$E79&amp;"&amp;marker="&amp;$F79&amp;","&amp;$E79&amp;",4326&amp;level=16",IF(JobState="WI","https://fema.maps.arcgis.com/apps/mapviewer/index.html?url=https%3A%2F%2Fservices5.arcgis.com%2F0pgGLzT0Nh7FVjon%2Farcgis%2Frest%2Fservices%2FFFCL_gdb%2FFeatureServer%2F3&amp;find="&amp;$F79&amp;"%2C"&amp;$E79&amp;"&amp;marker="&amp;$F79&amp;","&amp;$E79&amp;",4326&amp;level=16","https://fema.maps.arcgis.com/apps/mapviewer/index.html?find="&amp;$F79&amp;"%2C"&amp;$E79&amp;"&amp;marker="&amp;$F79&amp;","&amp;$E79&amp;",4326&amp;level=16"))),"Open"))</f>
        <v/>
      </c>
      <c r="N79" s="6" t="str">
        <f>IF(OR(JobAgolMap="", $E79="", $F79=""),"",HYPERLINK(JobAgolMap&amp;IF(ISNUMBER(FIND("?",JobAgolMap)),"&amp;","?")&amp;"center="&amp;$F79&amp;","&amp;$E79&amp;"&amp;level=16&amp;marker="&amp;$F79&amp;","&amp;$E79,"Open"))</f>
        <v/>
      </c>
      <c r="O79" s="6" t="str">
        <f>IF(OR($E79="",$F79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9" s="4"/>
      <c r="Q79" s="4"/>
      <c r="R79" s="4"/>
      <c r="S79" s="4"/>
      <c r="T79" s="4"/>
      <c r="U79" s="4"/>
      <c r="V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HYPERLINK(IF(OR(JobState="MI",JobState=""),"https://fema.maps.arcgis.com/apps/mapviewer/index.html?webmap=6a1702b9147243d1a5ee62cd614bc681&amp;center="&amp;$F80&amp;","&amp;$E80&amp;"&amp;level=16&amp;marker="&amp;$F80&amp;","&amp;$E80&amp;"",IF(JobState="IN","https://fema.maps.arcgis.com/apps/mapviewer/index.html?url=https%3A%2F%2Fgisdata.in.gov%2Fserver%2Frest%2Fservices%2FHosted%2FLRSE_Functional_Class%2FFeatureServer%2F22&amp;find="&amp;$F80&amp;"%2C"&amp;$E80&amp;"&amp;marker="&amp;$F80&amp;","&amp;$E80&amp;",4326&amp;level=16",IF(JobState="WI","https://fema.maps.arcgis.com/apps/mapviewer/index.html?url=https%3A%2F%2Fservices5.arcgis.com%2F0pgGLzT0Nh7FVjon%2Farcgis%2Frest%2Fservices%2FFFCL_gdb%2FFeatureServer%2F3&amp;find="&amp;$F80&amp;"%2C"&amp;$E80&amp;"&amp;marker="&amp;$F80&amp;","&amp;$E80&amp;",4326&amp;level=16","https://fema.maps.arcgis.com/apps/mapviewer/index.html?find="&amp;$F80&amp;"%2C"&amp;$E80&amp;"&amp;marker="&amp;$F80&amp;","&amp;$E80&amp;",4326&amp;level=16"))),"Open"))</f>
        <v/>
      </c>
      <c r="N80" s="6" t="str">
        <f>IF(OR(JobAgolMap="", $E80="", $F80=""),"",HYPERLINK(JobAgolMap&amp;IF(ISNUMBER(FIND("?",JobAgolMap)),"&amp;","?")&amp;"center="&amp;$F80&amp;","&amp;$E80&amp;"&amp;level=16&amp;marker="&amp;$F80&amp;","&amp;$E80,"Open"))</f>
        <v/>
      </c>
      <c r="O80" s="6" t="str">
        <f>IF(OR($E80="",$F80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0" s="4"/>
      <c r="Q80" s="4"/>
      <c r="R80" s="4"/>
      <c r="S80" s="4"/>
      <c r="T80" s="4"/>
      <c r="U80" s="4"/>
      <c r="V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HYPERLINK(IF(OR(JobState="MI",JobState=""),"https://fema.maps.arcgis.com/apps/mapviewer/index.html?webmap=6a1702b9147243d1a5ee62cd614bc681&amp;center="&amp;$F81&amp;","&amp;$E81&amp;"&amp;level=16&amp;marker="&amp;$F81&amp;","&amp;$E81&amp;"",IF(JobState="IN","https://fema.maps.arcgis.com/apps/mapviewer/index.html?url=https%3A%2F%2Fgisdata.in.gov%2Fserver%2Frest%2Fservices%2FHosted%2FLRSE_Functional_Class%2FFeatureServer%2F22&amp;find="&amp;$F81&amp;"%2C"&amp;$E81&amp;"&amp;marker="&amp;$F81&amp;","&amp;$E81&amp;",4326&amp;level=16",IF(JobState="WI","https://fema.maps.arcgis.com/apps/mapviewer/index.html?url=https%3A%2F%2Fservices5.arcgis.com%2F0pgGLzT0Nh7FVjon%2Farcgis%2Frest%2Fservices%2FFFCL_gdb%2FFeatureServer%2F3&amp;find="&amp;$F81&amp;"%2C"&amp;$E81&amp;"&amp;marker="&amp;$F81&amp;","&amp;$E81&amp;",4326&amp;level=16","https://fema.maps.arcgis.com/apps/mapviewer/index.html?find="&amp;$F81&amp;"%2C"&amp;$E81&amp;"&amp;marker="&amp;$F81&amp;","&amp;$E81&amp;",4326&amp;level=16"))),"Open"))</f>
        <v/>
      </c>
      <c r="N81" s="6" t="str">
        <f>IF(OR(JobAgolMap="", $E81="", $F81=""),"",HYPERLINK(JobAgolMap&amp;IF(ISNUMBER(FIND("?",JobAgolMap)),"&amp;","?")&amp;"center="&amp;$F81&amp;","&amp;$E81&amp;"&amp;level=16&amp;marker="&amp;$F81&amp;","&amp;$E81,"Open"))</f>
        <v/>
      </c>
      <c r="O81" s="6" t="str">
        <f>IF(OR($E81="",$F81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1" s="4"/>
      <c r="Q81" s="4"/>
      <c r="R81" s="4"/>
      <c r="S81" s="4"/>
      <c r="T81" s="4"/>
      <c r="U81" s="4"/>
      <c r="V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HYPERLINK(IF(OR(JobState="MI",JobState=""),"https://fema.maps.arcgis.com/apps/mapviewer/index.html?webmap=6a1702b9147243d1a5ee62cd614bc681&amp;center="&amp;$F82&amp;","&amp;$E82&amp;"&amp;level=16&amp;marker="&amp;$F82&amp;","&amp;$E82&amp;"",IF(JobState="IN","https://fema.maps.arcgis.com/apps/mapviewer/index.html?url=https%3A%2F%2Fgisdata.in.gov%2Fserver%2Frest%2Fservices%2FHosted%2FLRSE_Functional_Class%2FFeatureServer%2F22&amp;find="&amp;$F82&amp;"%2C"&amp;$E82&amp;"&amp;marker="&amp;$F82&amp;","&amp;$E82&amp;",4326&amp;level=16",IF(JobState="WI","https://fema.maps.arcgis.com/apps/mapviewer/index.html?url=https%3A%2F%2Fservices5.arcgis.com%2F0pgGLzT0Nh7FVjon%2Farcgis%2Frest%2Fservices%2FFFCL_gdb%2FFeatureServer%2F3&amp;find="&amp;$F82&amp;"%2C"&amp;$E82&amp;"&amp;marker="&amp;$F82&amp;","&amp;$E82&amp;",4326&amp;level=16","https://fema.maps.arcgis.com/apps/mapviewer/index.html?find="&amp;$F82&amp;"%2C"&amp;$E82&amp;"&amp;marker="&amp;$F82&amp;","&amp;$E82&amp;",4326&amp;level=16"))),"Open"))</f>
        <v/>
      </c>
      <c r="N82" s="6" t="str">
        <f>IF(OR(JobAgolMap="", $E82="", $F82=""),"",HYPERLINK(JobAgolMap&amp;IF(ISNUMBER(FIND("?",JobAgolMap)),"&amp;","?")&amp;"center="&amp;$F82&amp;","&amp;$E82&amp;"&amp;level=16&amp;marker="&amp;$F82&amp;","&amp;$E82,"Open"))</f>
        <v/>
      </c>
      <c r="O82" s="6" t="str">
        <f>IF(OR($E82="",$F82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2" s="4"/>
      <c r="Q82" s="4"/>
      <c r="R82" s="4"/>
      <c r="S82" s="4"/>
      <c r="T82" s="4"/>
      <c r="U82" s="4"/>
      <c r="V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HYPERLINK(IF(OR(JobState="MI",JobState=""),"https://fema.maps.arcgis.com/apps/mapviewer/index.html?webmap=6a1702b9147243d1a5ee62cd614bc681&amp;center="&amp;$F83&amp;","&amp;$E83&amp;"&amp;level=16&amp;marker="&amp;$F83&amp;","&amp;$E83&amp;"",IF(JobState="IN","https://fema.maps.arcgis.com/apps/mapviewer/index.html?url=https%3A%2F%2Fgisdata.in.gov%2Fserver%2Frest%2Fservices%2FHosted%2FLRSE_Functional_Class%2FFeatureServer%2F22&amp;find="&amp;$F83&amp;"%2C"&amp;$E83&amp;"&amp;marker="&amp;$F83&amp;","&amp;$E83&amp;",4326&amp;level=16",IF(JobState="WI","https://fema.maps.arcgis.com/apps/mapviewer/index.html?url=https%3A%2F%2Fservices5.arcgis.com%2F0pgGLzT0Nh7FVjon%2Farcgis%2Frest%2Fservices%2FFFCL_gdb%2FFeatureServer%2F3&amp;find="&amp;$F83&amp;"%2C"&amp;$E83&amp;"&amp;marker="&amp;$F83&amp;","&amp;$E83&amp;",4326&amp;level=16","https://fema.maps.arcgis.com/apps/mapviewer/index.html?find="&amp;$F83&amp;"%2C"&amp;$E83&amp;"&amp;marker="&amp;$F83&amp;","&amp;$E83&amp;",4326&amp;level=16"))),"Open"))</f>
        <v/>
      </c>
      <c r="N83" s="6" t="str">
        <f>IF(OR(JobAgolMap="", $E83="", $F83=""),"",HYPERLINK(JobAgolMap&amp;IF(ISNUMBER(FIND("?",JobAgolMap)),"&amp;","?")&amp;"center="&amp;$F83&amp;","&amp;$E83&amp;"&amp;level=16&amp;marker="&amp;$F83&amp;","&amp;$E83,"Open"))</f>
        <v/>
      </c>
      <c r="O83" s="6" t="str">
        <f>IF(OR($E83="",$F83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3" s="4"/>
      <c r="Q83" s="4"/>
      <c r="R83" s="4"/>
      <c r="S83" s="4"/>
      <c r="T83" s="4"/>
      <c r="U83" s="4"/>
      <c r="V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HYPERLINK(IF(OR(JobState="MI",JobState=""),"https://fema.maps.arcgis.com/apps/mapviewer/index.html?webmap=6a1702b9147243d1a5ee62cd614bc681&amp;center="&amp;$F84&amp;","&amp;$E84&amp;"&amp;level=16&amp;marker="&amp;$F84&amp;","&amp;$E84&amp;"",IF(JobState="IN","https://fema.maps.arcgis.com/apps/mapviewer/index.html?url=https%3A%2F%2Fgisdata.in.gov%2Fserver%2Frest%2Fservices%2FHosted%2FLRSE_Functional_Class%2FFeatureServer%2F22&amp;find="&amp;$F84&amp;"%2C"&amp;$E84&amp;"&amp;marker="&amp;$F84&amp;","&amp;$E84&amp;",4326&amp;level=16",IF(JobState="WI","https://fema.maps.arcgis.com/apps/mapviewer/index.html?url=https%3A%2F%2Fservices5.arcgis.com%2F0pgGLzT0Nh7FVjon%2Farcgis%2Frest%2Fservices%2FFFCL_gdb%2FFeatureServer%2F3&amp;find="&amp;$F84&amp;"%2C"&amp;$E84&amp;"&amp;marker="&amp;$F84&amp;","&amp;$E84&amp;",4326&amp;level=16","https://fema.maps.arcgis.com/apps/mapviewer/index.html?find="&amp;$F84&amp;"%2C"&amp;$E84&amp;"&amp;marker="&amp;$F84&amp;","&amp;$E84&amp;",4326&amp;level=16"))),"Open"))</f>
        <v/>
      </c>
      <c r="N84" s="6" t="str">
        <f>IF(OR(JobAgolMap="", $E84="", $F84=""),"",HYPERLINK(JobAgolMap&amp;IF(ISNUMBER(FIND("?",JobAgolMap)),"&amp;","?")&amp;"center="&amp;$F84&amp;","&amp;$E84&amp;"&amp;level=16&amp;marker="&amp;$F84&amp;","&amp;$E84,"Open"))</f>
        <v/>
      </c>
      <c r="O84" s="6" t="str">
        <f>IF(OR($E84="",$F84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4" s="4"/>
      <c r="Q84" s="4"/>
      <c r="R84" s="4"/>
      <c r="S84" s="4"/>
      <c r="T84" s="4"/>
      <c r="U84" s="4"/>
      <c r="V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HYPERLINK(IF(OR(JobState="MI",JobState=""),"https://fema.maps.arcgis.com/apps/mapviewer/index.html?webmap=6a1702b9147243d1a5ee62cd614bc681&amp;center="&amp;$F85&amp;","&amp;$E85&amp;"&amp;level=16&amp;marker="&amp;$F85&amp;","&amp;$E85&amp;"",IF(JobState="IN","https://fema.maps.arcgis.com/apps/mapviewer/index.html?url=https%3A%2F%2Fgisdata.in.gov%2Fserver%2Frest%2Fservices%2FHosted%2FLRSE_Functional_Class%2FFeatureServer%2F22&amp;find="&amp;$F85&amp;"%2C"&amp;$E85&amp;"&amp;marker="&amp;$F85&amp;","&amp;$E85&amp;",4326&amp;level=16",IF(JobState="WI","https://fema.maps.arcgis.com/apps/mapviewer/index.html?url=https%3A%2F%2Fservices5.arcgis.com%2F0pgGLzT0Nh7FVjon%2Farcgis%2Frest%2Fservices%2FFFCL_gdb%2FFeatureServer%2F3&amp;find="&amp;$F85&amp;"%2C"&amp;$E85&amp;"&amp;marker="&amp;$F85&amp;","&amp;$E85&amp;",4326&amp;level=16","https://fema.maps.arcgis.com/apps/mapviewer/index.html?find="&amp;$F85&amp;"%2C"&amp;$E85&amp;"&amp;marker="&amp;$F85&amp;","&amp;$E85&amp;",4326&amp;level=16"))),"Open"))</f>
        <v/>
      </c>
      <c r="N85" s="6" t="str">
        <f>IF(OR(JobAgolMap="", $E85="", $F85=""),"",HYPERLINK(JobAgolMap&amp;IF(ISNUMBER(FIND("?",JobAgolMap)),"&amp;","?")&amp;"center="&amp;$F85&amp;","&amp;$E85&amp;"&amp;level=16&amp;marker="&amp;$F85&amp;","&amp;$E85,"Open"))</f>
        <v/>
      </c>
      <c r="O85" s="6" t="str">
        <f>IF(OR($E85="",$F85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5" s="4"/>
      <c r="Q85" s="4"/>
      <c r="R85" s="4"/>
      <c r="S85" s="4"/>
      <c r="T85" s="4"/>
      <c r="U85" s="4"/>
      <c r="V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HYPERLINK(IF(OR(JobState="MI",JobState=""),"https://fema.maps.arcgis.com/apps/mapviewer/index.html?webmap=6a1702b9147243d1a5ee62cd614bc681&amp;center="&amp;$F86&amp;","&amp;$E86&amp;"&amp;level=16&amp;marker="&amp;$F86&amp;","&amp;$E86&amp;"",IF(JobState="IN","https://fema.maps.arcgis.com/apps/mapviewer/index.html?url=https%3A%2F%2Fgisdata.in.gov%2Fserver%2Frest%2Fservices%2FHosted%2FLRSE_Functional_Class%2FFeatureServer%2F22&amp;find="&amp;$F86&amp;"%2C"&amp;$E86&amp;"&amp;marker="&amp;$F86&amp;","&amp;$E86&amp;",4326&amp;level=16",IF(JobState="WI","https://fema.maps.arcgis.com/apps/mapviewer/index.html?url=https%3A%2F%2Fservices5.arcgis.com%2F0pgGLzT0Nh7FVjon%2Farcgis%2Frest%2Fservices%2FFFCL_gdb%2FFeatureServer%2F3&amp;find="&amp;$F86&amp;"%2C"&amp;$E86&amp;"&amp;marker="&amp;$F86&amp;","&amp;$E86&amp;",4326&amp;level=16","https://fema.maps.arcgis.com/apps/mapviewer/index.html?find="&amp;$F86&amp;"%2C"&amp;$E86&amp;"&amp;marker="&amp;$F86&amp;","&amp;$E86&amp;",4326&amp;level=16"))),"Open"))</f>
        <v/>
      </c>
      <c r="N86" s="6" t="str">
        <f>IF(OR(JobAgolMap="", $E86="", $F86=""),"",HYPERLINK(JobAgolMap&amp;IF(ISNUMBER(FIND("?",JobAgolMap)),"&amp;","?")&amp;"center="&amp;$F86&amp;","&amp;$E86&amp;"&amp;level=16&amp;marker="&amp;$F86&amp;","&amp;$E86,"Open"))</f>
        <v/>
      </c>
      <c r="O86" s="6" t="str">
        <f>IF(OR($E86="",$F86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6" s="4"/>
      <c r="Q86" s="4"/>
      <c r="R86" s="4"/>
      <c r="S86" s="4"/>
      <c r="T86" s="4"/>
      <c r="U86" s="4"/>
      <c r="V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HYPERLINK(IF(OR(JobState="MI",JobState=""),"https://fema.maps.arcgis.com/apps/mapviewer/index.html?webmap=6a1702b9147243d1a5ee62cd614bc681&amp;center="&amp;$F87&amp;","&amp;$E87&amp;"&amp;level=16&amp;marker="&amp;$F87&amp;","&amp;$E87&amp;"",IF(JobState="IN","https://fema.maps.arcgis.com/apps/mapviewer/index.html?url=https%3A%2F%2Fgisdata.in.gov%2Fserver%2Frest%2Fservices%2FHosted%2FLRSE_Functional_Class%2FFeatureServer%2F22&amp;find="&amp;$F87&amp;"%2C"&amp;$E87&amp;"&amp;marker="&amp;$F87&amp;","&amp;$E87&amp;",4326&amp;level=16",IF(JobState="WI","https://fema.maps.arcgis.com/apps/mapviewer/index.html?url=https%3A%2F%2Fservices5.arcgis.com%2F0pgGLzT0Nh7FVjon%2Farcgis%2Frest%2Fservices%2FFFCL_gdb%2FFeatureServer%2F3&amp;find="&amp;$F87&amp;"%2C"&amp;$E87&amp;"&amp;marker="&amp;$F87&amp;","&amp;$E87&amp;",4326&amp;level=16","https://fema.maps.arcgis.com/apps/mapviewer/index.html?find="&amp;$F87&amp;"%2C"&amp;$E87&amp;"&amp;marker="&amp;$F87&amp;","&amp;$E87&amp;",4326&amp;level=16"))),"Open"))</f>
        <v/>
      </c>
      <c r="N87" s="6" t="str">
        <f>IF(OR(JobAgolMap="", $E87="", $F87=""),"",HYPERLINK(JobAgolMap&amp;IF(ISNUMBER(FIND("?",JobAgolMap)),"&amp;","?")&amp;"center="&amp;$F87&amp;","&amp;$E87&amp;"&amp;level=16&amp;marker="&amp;$F87&amp;","&amp;$E87,"Open"))</f>
        <v/>
      </c>
      <c r="O87" s="6" t="str">
        <f>IF(OR($E87="",$F87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7" s="4"/>
      <c r="Q87" s="4"/>
      <c r="R87" s="4"/>
      <c r="S87" s="4"/>
      <c r="T87" s="4"/>
      <c r="U87" s="4"/>
      <c r="V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HYPERLINK(IF(OR(JobState="MI",JobState=""),"https://fema.maps.arcgis.com/apps/mapviewer/index.html?webmap=6a1702b9147243d1a5ee62cd614bc681&amp;center="&amp;$F88&amp;","&amp;$E88&amp;"&amp;level=16&amp;marker="&amp;$F88&amp;","&amp;$E88&amp;"",IF(JobState="IN","https://fema.maps.arcgis.com/apps/mapviewer/index.html?url=https%3A%2F%2Fgisdata.in.gov%2Fserver%2Frest%2Fservices%2FHosted%2FLRSE_Functional_Class%2FFeatureServer%2F22&amp;find="&amp;$F88&amp;"%2C"&amp;$E88&amp;"&amp;marker="&amp;$F88&amp;","&amp;$E88&amp;",4326&amp;level=16",IF(JobState="WI","https://fema.maps.arcgis.com/apps/mapviewer/index.html?url=https%3A%2F%2Fservices5.arcgis.com%2F0pgGLzT0Nh7FVjon%2Farcgis%2Frest%2Fservices%2FFFCL_gdb%2FFeatureServer%2F3&amp;find="&amp;$F88&amp;"%2C"&amp;$E88&amp;"&amp;marker="&amp;$F88&amp;","&amp;$E88&amp;",4326&amp;level=16","https://fema.maps.arcgis.com/apps/mapviewer/index.html?find="&amp;$F88&amp;"%2C"&amp;$E88&amp;"&amp;marker="&amp;$F88&amp;","&amp;$E88&amp;",4326&amp;level=16"))),"Open"))</f>
        <v/>
      </c>
      <c r="N88" s="6" t="str">
        <f>IF(OR(JobAgolMap="", $E88="", $F88=""),"",HYPERLINK(JobAgolMap&amp;IF(ISNUMBER(FIND("?",JobAgolMap)),"&amp;","?")&amp;"center="&amp;$F88&amp;","&amp;$E88&amp;"&amp;level=16&amp;marker="&amp;$F88&amp;","&amp;$E88,"Open"))</f>
        <v/>
      </c>
      <c r="O88" s="6" t="str">
        <f>IF(OR($E88="",$F88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8" s="4"/>
      <c r="Q88" s="4"/>
      <c r="R88" s="4"/>
      <c r="S88" s="4"/>
      <c r="T88" s="4"/>
      <c r="U88" s="4"/>
      <c r="V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HYPERLINK(IF(OR(JobState="MI",JobState=""),"https://fema.maps.arcgis.com/apps/mapviewer/index.html?webmap=6a1702b9147243d1a5ee62cd614bc681&amp;center="&amp;$F89&amp;","&amp;$E89&amp;"&amp;level=16&amp;marker="&amp;$F89&amp;","&amp;$E89&amp;"",IF(JobState="IN","https://fema.maps.arcgis.com/apps/mapviewer/index.html?url=https%3A%2F%2Fgisdata.in.gov%2Fserver%2Frest%2Fservices%2FHosted%2FLRSE_Functional_Class%2FFeatureServer%2F22&amp;find="&amp;$F89&amp;"%2C"&amp;$E89&amp;"&amp;marker="&amp;$F89&amp;","&amp;$E89&amp;",4326&amp;level=16",IF(JobState="WI","https://fema.maps.arcgis.com/apps/mapviewer/index.html?url=https%3A%2F%2Fservices5.arcgis.com%2F0pgGLzT0Nh7FVjon%2Farcgis%2Frest%2Fservices%2FFFCL_gdb%2FFeatureServer%2F3&amp;find="&amp;$F89&amp;"%2C"&amp;$E89&amp;"&amp;marker="&amp;$F89&amp;","&amp;$E89&amp;",4326&amp;level=16","https://fema.maps.arcgis.com/apps/mapviewer/index.html?find="&amp;$F89&amp;"%2C"&amp;$E89&amp;"&amp;marker="&amp;$F89&amp;","&amp;$E89&amp;",4326&amp;level=16"))),"Open"))</f>
        <v/>
      </c>
      <c r="N89" s="6" t="str">
        <f>IF(OR(JobAgolMap="", $E89="", $F89=""),"",HYPERLINK(JobAgolMap&amp;IF(ISNUMBER(FIND("?",JobAgolMap)),"&amp;","?")&amp;"center="&amp;$F89&amp;","&amp;$E89&amp;"&amp;level=16&amp;marker="&amp;$F89&amp;","&amp;$E89,"Open"))</f>
        <v/>
      </c>
      <c r="O89" s="6" t="str">
        <f>IF(OR($E89="",$F89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9" s="4"/>
      <c r="Q89" s="4"/>
      <c r="R89" s="4"/>
      <c r="S89" s="4"/>
      <c r="T89" s="4"/>
      <c r="U89" s="4"/>
      <c r="V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HYPERLINK(IF(OR(JobState="MI",JobState=""),"https://fema.maps.arcgis.com/apps/mapviewer/index.html?webmap=6a1702b9147243d1a5ee62cd614bc681&amp;center="&amp;$F90&amp;","&amp;$E90&amp;"&amp;level=16&amp;marker="&amp;$F90&amp;","&amp;$E90&amp;"",IF(JobState="IN","https://fema.maps.arcgis.com/apps/mapviewer/index.html?url=https%3A%2F%2Fgisdata.in.gov%2Fserver%2Frest%2Fservices%2FHosted%2FLRSE_Functional_Class%2FFeatureServer%2F22&amp;find="&amp;$F90&amp;"%2C"&amp;$E90&amp;"&amp;marker="&amp;$F90&amp;","&amp;$E90&amp;",4326&amp;level=16",IF(JobState="WI","https://fema.maps.arcgis.com/apps/mapviewer/index.html?url=https%3A%2F%2Fservices5.arcgis.com%2F0pgGLzT0Nh7FVjon%2Farcgis%2Frest%2Fservices%2FFFCL_gdb%2FFeatureServer%2F3&amp;find="&amp;$F90&amp;"%2C"&amp;$E90&amp;"&amp;marker="&amp;$F90&amp;","&amp;$E90&amp;",4326&amp;level=16","https://fema.maps.arcgis.com/apps/mapviewer/index.html?find="&amp;$F90&amp;"%2C"&amp;$E90&amp;"&amp;marker="&amp;$F90&amp;","&amp;$E90&amp;",4326&amp;level=16"))),"Open"))</f>
        <v/>
      </c>
      <c r="N90" s="6" t="str">
        <f>IF(OR(JobAgolMap="", $E90="", $F90=""),"",HYPERLINK(JobAgolMap&amp;IF(ISNUMBER(FIND("?",JobAgolMap)),"&amp;","?")&amp;"center="&amp;$F90&amp;","&amp;$E90&amp;"&amp;level=16&amp;marker="&amp;$F90&amp;","&amp;$E90,"Open"))</f>
        <v/>
      </c>
      <c r="O90" s="6" t="str">
        <f>IF(OR($E90="",$F90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0" s="4"/>
      <c r="Q90" s="4"/>
      <c r="R90" s="4"/>
      <c r="S90" s="4"/>
      <c r="T90" s="4"/>
      <c r="U90" s="4"/>
      <c r="V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HYPERLINK(IF(OR(JobState="MI",JobState=""),"https://fema.maps.arcgis.com/apps/mapviewer/index.html?webmap=6a1702b9147243d1a5ee62cd614bc681&amp;center="&amp;$F91&amp;","&amp;$E91&amp;"&amp;level=16&amp;marker="&amp;$F91&amp;","&amp;$E91&amp;"",IF(JobState="IN","https://fema.maps.arcgis.com/apps/mapviewer/index.html?url=https%3A%2F%2Fgisdata.in.gov%2Fserver%2Frest%2Fservices%2FHosted%2FLRSE_Functional_Class%2FFeatureServer%2F22&amp;find="&amp;$F91&amp;"%2C"&amp;$E91&amp;"&amp;marker="&amp;$F91&amp;","&amp;$E91&amp;",4326&amp;level=16",IF(JobState="WI","https://fema.maps.arcgis.com/apps/mapviewer/index.html?url=https%3A%2F%2Fservices5.arcgis.com%2F0pgGLzT0Nh7FVjon%2Farcgis%2Frest%2Fservices%2FFFCL_gdb%2FFeatureServer%2F3&amp;find="&amp;$F91&amp;"%2C"&amp;$E91&amp;"&amp;marker="&amp;$F91&amp;","&amp;$E91&amp;",4326&amp;level=16","https://fema.maps.arcgis.com/apps/mapviewer/index.html?find="&amp;$F91&amp;"%2C"&amp;$E91&amp;"&amp;marker="&amp;$F91&amp;","&amp;$E91&amp;",4326&amp;level=16"))),"Open"))</f>
        <v/>
      </c>
      <c r="N91" s="6" t="str">
        <f>IF(OR(JobAgolMap="", $E91="", $F91=""),"",HYPERLINK(JobAgolMap&amp;IF(ISNUMBER(FIND("?",JobAgolMap)),"&amp;","?")&amp;"center="&amp;$F91&amp;","&amp;$E91&amp;"&amp;level=16&amp;marker="&amp;$F91&amp;","&amp;$E91,"Open"))</f>
        <v/>
      </c>
      <c r="O91" s="6" t="str">
        <f>IF(OR($E91="",$F91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1" s="4"/>
      <c r="Q91" s="4"/>
      <c r="R91" s="4"/>
      <c r="S91" s="4"/>
      <c r="T91" s="4"/>
      <c r="U91" s="4"/>
      <c r="V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HYPERLINK(IF(OR(JobState="MI",JobState=""),"https://fema.maps.arcgis.com/apps/mapviewer/index.html?webmap=6a1702b9147243d1a5ee62cd614bc681&amp;center="&amp;$F92&amp;","&amp;$E92&amp;"&amp;level=16&amp;marker="&amp;$F92&amp;","&amp;$E92&amp;"",IF(JobState="IN","https://fema.maps.arcgis.com/apps/mapviewer/index.html?url=https%3A%2F%2Fgisdata.in.gov%2Fserver%2Frest%2Fservices%2FHosted%2FLRSE_Functional_Class%2FFeatureServer%2F22&amp;find="&amp;$F92&amp;"%2C"&amp;$E92&amp;"&amp;marker="&amp;$F92&amp;","&amp;$E92&amp;",4326&amp;level=16",IF(JobState="WI","https://fema.maps.arcgis.com/apps/mapviewer/index.html?url=https%3A%2F%2Fservices5.arcgis.com%2F0pgGLzT0Nh7FVjon%2Farcgis%2Frest%2Fservices%2FFFCL_gdb%2FFeatureServer%2F3&amp;find="&amp;$F92&amp;"%2C"&amp;$E92&amp;"&amp;marker="&amp;$F92&amp;","&amp;$E92&amp;",4326&amp;level=16","https://fema.maps.arcgis.com/apps/mapviewer/index.html?find="&amp;$F92&amp;"%2C"&amp;$E92&amp;"&amp;marker="&amp;$F92&amp;","&amp;$E92&amp;",4326&amp;level=16"))),"Open"))</f>
        <v/>
      </c>
      <c r="N92" s="6" t="str">
        <f>IF(OR(JobAgolMap="", $E92="", $F92=""),"",HYPERLINK(JobAgolMap&amp;IF(ISNUMBER(FIND("?",JobAgolMap)),"&amp;","?")&amp;"center="&amp;$F92&amp;","&amp;$E92&amp;"&amp;level=16&amp;marker="&amp;$F92&amp;","&amp;$E92,"Open"))</f>
        <v/>
      </c>
      <c r="O92" s="6" t="str">
        <f>IF(OR($E92="",$F92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2" s="4"/>
      <c r="Q92" s="4"/>
      <c r="R92" s="4"/>
      <c r="S92" s="4"/>
      <c r="T92" s="4"/>
      <c r="U92" s="4"/>
      <c r="V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HYPERLINK(IF(OR(JobState="MI",JobState=""),"https://fema.maps.arcgis.com/apps/mapviewer/index.html?webmap=6a1702b9147243d1a5ee62cd614bc681&amp;center="&amp;$F93&amp;","&amp;$E93&amp;"&amp;level=16&amp;marker="&amp;$F93&amp;","&amp;$E93&amp;"",IF(JobState="IN","https://fema.maps.arcgis.com/apps/mapviewer/index.html?url=https%3A%2F%2Fgisdata.in.gov%2Fserver%2Frest%2Fservices%2FHosted%2FLRSE_Functional_Class%2FFeatureServer%2F22&amp;find="&amp;$F93&amp;"%2C"&amp;$E93&amp;"&amp;marker="&amp;$F93&amp;","&amp;$E93&amp;",4326&amp;level=16",IF(JobState="WI","https://fema.maps.arcgis.com/apps/mapviewer/index.html?url=https%3A%2F%2Fservices5.arcgis.com%2F0pgGLzT0Nh7FVjon%2Farcgis%2Frest%2Fservices%2FFFCL_gdb%2FFeatureServer%2F3&amp;find="&amp;$F93&amp;"%2C"&amp;$E93&amp;"&amp;marker="&amp;$F93&amp;","&amp;$E93&amp;",4326&amp;level=16","https://fema.maps.arcgis.com/apps/mapviewer/index.html?find="&amp;$F93&amp;"%2C"&amp;$E93&amp;"&amp;marker="&amp;$F93&amp;","&amp;$E93&amp;",4326&amp;level=16"))),"Open"))</f>
        <v/>
      </c>
      <c r="N93" s="6" t="str">
        <f>IF(OR(JobAgolMap="", $E93="", $F93=""),"",HYPERLINK(JobAgolMap&amp;IF(ISNUMBER(FIND("?",JobAgolMap)),"&amp;","?")&amp;"center="&amp;$F93&amp;","&amp;$E93&amp;"&amp;level=16&amp;marker="&amp;$F93&amp;","&amp;$E93,"Open"))</f>
        <v/>
      </c>
      <c r="O93" s="6" t="str">
        <f>IF(OR($E93="",$F93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3" s="4"/>
      <c r="Q93" s="4"/>
      <c r="R93" s="4"/>
      <c r="S93" s="4"/>
      <c r="T93" s="4"/>
      <c r="U93" s="4"/>
      <c r="V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HYPERLINK(IF(OR(JobState="MI",JobState=""),"https://fema.maps.arcgis.com/apps/mapviewer/index.html?webmap=6a1702b9147243d1a5ee62cd614bc681&amp;center="&amp;$F94&amp;","&amp;$E94&amp;"&amp;level=16&amp;marker="&amp;$F94&amp;","&amp;$E94&amp;"",IF(JobState="IN","https://fema.maps.arcgis.com/apps/mapviewer/index.html?url=https%3A%2F%2Fgisdata.in.gov%2Fserver%2Frest%2Fservices%2FHosted%2FLRSE_Functional_Class%2FFeatureServer%2F22&amp;find="&amp;$F94&amp;"%2C"&amp;$E94&amp;"&amp;marker="&amp;$F94&amp;","&amp;$E94&amp;",4326&amp;level=16",IF(JobState="WI","https://fema.maps.arcgis.com/apps/mapviewer/index.html?url=https%3A%2F%2Fservices5.arcgis.com%2F0pgGLzT0Nh7FVjon%2Farcgis%2Frest%2Fservices%2FFFCL_gdb%2FFeatureServer%2F3&amp;find="&amp;$F94&amp;"%2C"&amp;$E94&amp;"&amp;marker="&amp;$F94&amp;","&amp;$E94&amp;",4326&amp;level=16","https://fema.maps.arcgis.com/apps/mapviewer/index.html?find="&amp;$F94&amp;"%2C"&amp;$E94&amp;"&amp;marker="&amp;$F94&amp;","&amp;$E94&amp;",4326&amp;level=16"))),"Open"))</f>
        <v/>
      </c>
      <c r="N94" s="6" t="str">
        <f>IF(OR(JobAgolMap="", $E94="", $F94=""),"",HYPERLINK(JobAgolMap&amp;IF(ISNUMBER(FIND("?",JobAgolMap)),"&amp;","?")&amp;"center="&amp;$F94&amp;","&amp;$E94&amp;"&amp;level=16&amp;marker="&amp;$F94&amp;","&amp;$E94,"Open"))</f>
        <v/>
      </c>
      <c r="O94" s="6" t="str">
        <f>IF(OR($E94="",$F94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4" s="4"/>
      <c r="Q94" s="4"/>
      <c r="R94" s="4"/>
      <c r="S94" s="4"/>
      <c r="T94" s="4"/>
      <c r="U94" s="4"/>
      <c r="V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HYPERLINK(IF(OR(JobState="MI",JobState=""),"https://fema.maps.arcgis.com/apps/mapviewer/index.html?webmap=6a1702b9147243d1a5ee62cd614bc681&amp;center="&amp;$F95&amp;","&amp;$E95&amp;"&amp;level=16&amp;marker="&amp;$F95&amp;","&amp;$E95&amp;"",IF(JobState="IN","https://fema.maps.arcgis.com/apps/mapviewer/index.html?url=https%3A%2F%2Fgisdata.in.gov%2Fserver%2Frest%2Fservices%2FHosted%2FLRSE_Functional_Class%2FFeatureServer%2F22&amp;find="&amp;$F95&amp;"%2C"&amp;$E95&amp;"&amp;marker="&amp;$F95&amp;","&amp;$E95&amp;",4326&amp;level=16",IF(JobState="WI","https://fema.maps.arcgis.com/apps/mapviewer/index.html?url=https%3A%2F%2Fservices5.arcgis.com%2F0pgGLzT0Nh7FVjon%2Farcgis%2Frest%2Fservices%2FFFCL_gdb%2FFeatureServer%2F3&amp;find="&amp;$F95&amp;"%2C"&amp;$E95&amp;"&amp;marker="&amp;$F95&amp;","&amp;$E95&amp;",4326&amp;level=16","https://fema.maps.arcgis.com/apps/mapviewer/index.html?find="&amp;$F95&amp;"%2C"&amp;$E95&amp;"&amp;marker="&amp;$F95&amp;","&amp;$E95&amp;",4326&amp;level=16"))),"Open"))</f>
        <v/>
      </c>
      <c r="N95" s="6" t="str">
        <f>IF(OR(JobAgolMap="", $E95="", $F95=""),"",HYPERLINK(JobAgolMap&amp;IF(ISNUMBER(FIND("?",JobAgolMap)),"&amp;","?")&amp;"center="&amp;$F95&amp;","&amp;$E95&amp;"&amp;level=16&amp;marker="&amp;$F95&amp;","&amp;$E95,"Open"))</f>
        <v/>
      </c>
      <c r="O95" s="6" t="str">
        <f>IF(OR($E95="",$F95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5" s="4"/>
      <c r="Q95" s="4"/>
      <c r="R95" s="4"/>
      <c r="S95" s="4"/>
      <c r="T95" s="4"/>
      <c r="U95" s="4"/>
      <c r="V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HYPERLINK(IF(OR(JobState="MI",JobState=""),"https://fema.maps.arcgis.com/apps/mapviewer/index.html?webmap=6a1702b9147243d1a5ee62cd614bc681&amp;center="&amp;$F96&amp;","&amp;$E96&amp;"&amp;level=16&amp;marker="&amp;$F96&amp;","&amp;$E96&amp;"",IF(JobState="IN","https://fema.maps.arcgis.com/apps/mapviewer/index.html?url=https%3A%2F%2Fgisdata.in.gov%2Fserver%2Frest%2Fservices%2FHosted%2FLRSE_Functional_Class%2FFeatureServer%2F22&amp;find="&amp;$F96&amp;"%2C"&amp;$E96&amp;"&amp;marker="&amp;$F96&amp;","&amp;$E96&amp;",4326&amp;level=16",IF(JobState="WI","https://fema.maps.arcgis.com/apps/mapviewer/index.html?url=https%3A%2F%2Fservices5.arcgis.com%2F0pgGLzT0Nh7FVjon%2Farcgis%2Frest%2Fservices%2FFFCL_gdb%2FFeatureServer%2F3&amp;find="&amp;$F96&amp;"%2C"&amp;$E96&amp;"&amp;marker="&amp;$F96&amp;","&amp;$E96&amp;",4326&amp;level=16","https://fema.maps.arcgis.com/apps/mapviewer/index.html?find="&amp;$F96&amp;"%2C"&amp;$E96&amp;"&amp;marker="&amp;$F96&amp;","&amp;$E96&amp;",4326&amp;level=16"))),"Open"))</f>
        <v/>
      </c>
      <c r="N96" s="6" t="str">
        <f>IF(OR(JobAgolMap="", $E96="", $F96=""),"",HYPERLINK(JobAgolMap&amp;IF(ISNUMBER(FIND("?",JobAgolMap)),"&amp;","?")&amp;"center="&amp;$F96&amp;","&amp;$E96&amp;"&amp;level=16&amp;marker="&amp;$F96&amp;","&amp;$E96,"Open"))</f>
        <v/>
      </c>
      <c r="O96" s="6" t="str">
        <f>IF(OR($E96="",$F96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6" s="4"/>
      <c r="Q96" s="4"/>
      <c r="R96" s="4"/>
      <c r="S96" s="4"/>
      <c r="T96" s="4"/>
      <c r="U96" s="4"/>
      <c r="V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HYPERLINK(IF(OR(JobState="MI",JobState=""),"https://fema.maps.arcgis.com/apps/mapviewer/index.html?webmap=6a1702b9147243d1a5ee62cd614bc681&amp;center="&amp;$F97&amp;","&amp;$E97&amp;"&amp;level=16&amp;marker="&amp;$F97&amp;","&amp;$E97&amp;"",IF(JobState="IN","https://fema.maps.arcgis.com/apps/mapviewer/index.html?url=https%3A%2F%2Fgisdata.in.gov%2Fserver%2Frest%2Fservices%2FHosted%2FLRSE_Functional_Class%2FFeatureServer%2F22&amp;find="&amp;$F97&amp;"%2C"&amp;$E97&amp;"&amp;marker="&amp;$F97&amp;","&amp;$E97&amp;",4326&amp;level=16",IF(JobState="WI","https://fema.maps.arcgis.com/apps/mapviewer/index.html?url=https%3A%2F%2Fservices5.arcgis.com%2F0pgGLzT0Nh7FVjon%2Farcgis%2Frest%2Fservices%2FFFCL_gdb%2FFeatureServer%2F3&amp;find="&amp;$F97&amp;"%2C"&amp;$E97&amp;"&amp;marker="&amp;$F97&amp;","&amp;$E97&amp;",4326&amp;level=16","https://fema.maps.arcgis.com/apps/mapviewer/index.html?find="&amp;$F97&amp;"%2C"&amp;$E97&amp;"&amp;marker="&amp;$F97&amp;","&amp;$E97&amp;",4326&amp;level=16"))),"Open"))</f>
        <v/>
      </c>
      <c r="N97" s="6" t="str">
        <f>IF(OR(JobAgolMap="", $E97="", $F97=""),"",HYPERLINK(JobAgolMap&amp;IF(ISNUMBER(FIND("?",JobAgolMap)),"&amp;","?")&amp;"center="&amp;$F97&amp;","&amp;$E97&amp;"&amp;level=16&amp;marker="&amp;$F97&amp;","&amp;$E97,"Open"))</f>
        <v/>
      </c>
      <c r="O97" s="6" t="str">
        <f>IF(OR($E97="",$F97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7" s="4"/>
      <c r="Q97" s="4"/>
      <c r="R97" s="4"/>
      <c r="S97" s="4"/>
      <c r="T97" s="4"/>
      <c r="U97" s="4"/>
      <c r="V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HYPERLINK(IF(OR(JobState="MI",JobState=""),"https://fema.maps.arcgis.com/apps/mapviewer/index.html?webmap=6a1702b9147243d1a5ee62cd614bc681&amp;center="&amp;$F98&amp;","&amp;$E98&amp;"&amp;level=16&amp;marker="&amp;$F98&amp;","&amp;$E98&amp;"",IF(JobState="IN","https://fema.maps.arcgis.com/apps/mapviewer/index.html?url=https%3A%2F%2Fgisdata.in.gov%2Fserver%2Frest%2Fservices%2FHosted%2FLRSE_Functional_Class%2FFeatureServer%2F22&amp;find="&amp;$F98&amp;"%2C"&amp;$E98&amp;"&amp;marker="&amp;$F98&amp;","&amp;$E98&amp;",4326&amp;level=16",IF(JobState="WI","https://fema.maps.arcgis.com/apps/mapviewer/index.html?url=https%3A%2F%2Fservices5.arcgis.com%2F0pgGLzT0Nh7FVjon%2Farcgis%2Frest%2Fservices%2FFFCL_gdb%2FFeatureServer%2F3&amp;find="&amp;$F98&amp;"%2C"&amp;$E98&amp;"&amp;marker="&amp;$F98&amp;","&amp;$E98&amp;",4326&amp;level=16","https://fema.maps.arcgis.com/apps/mapviewer/index.html?find="&amp;$F98&amp;"%2C"&amp;$E98&amp;"&amp;marker="&amp;$F98&amp;","&amp;$E98&amp;",4326&amp;level=16"))),"Open"))</f>
        <v/>
      </c>
      <c r="N98" s="6" t="str">
        <f>IF(OR(JobAgolMap="", $E98="", $F98=""),"",HYPERLINK(JobAgolMap&amp;IF(ISNUMBER(FIND("?",JobAgolMap)),"&amp;","?")&amp;"center="&amp;$F98&amp;","&amp;$E98&amp;"&amp;level=16&amp;marker="&amp;$F98&amp;","&amp;$E98,"Open"))</f>
        <v/>
      </c>
      <c r="O98" s="6" t="str">
        <f>IF(OR($E98="",$F98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8" s="4"/>
      <c r="Q98" s="4"/>
      <c r="R98" s="4"/>
      <c r="S98" s="4"/>
      <c r="T98" s="4"/>
      <c r="U98" s="4"/>
      <c r="V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HYPERLINK(IF(OR(JobState="MI",JobState=""),"https://fema.maps.arcgis.com/apps/mapviewer/index.html?webmap=6a1702b9147243d1a5ee62cd614bc681&amp;center="&amp;$F99&amp;","&amp;$E99&amp;"&amp;level=16&amp;marker="&amp;$F99&amp;","&amp;$E99&amp;"",IF(JobState="IN","https://fema.maps.arcgis.com/apps/mapviewer/index.html?url=https%3A%2F%2Fgisdata.in.gov%2Fserver%2Frest%2Fservices%2FHosted%2FLRSE_Functional_Class%2FFeatureServer%2F22&amp;find="&amp;$F99&amp;"%2C"&amp;$E99&amp;"&amp;marker="&amp;$F99&amp;","&amp;$E99&amp;",4326&amp;level=16",IF(JobState="WI","https://fema.maps.arcgis.com/apps/mapviewer/index.html?url=https%3A%2F%2Fservices5.arcgis.com%2F0pgGLzT0Nh7FVjon%2Farcgis%2Frest%2Fservices%2FFFCL_gdb%2FFeatureServer%2F3&amp;find="&amp;$F99&amp;"%2C"&amp;$E99&amp;"&amp;marker="&amp;$F99&amp;","&amp;$E99&amp;",4326&amp;level=16","https://fema.maps.arcgis.com/apps/mapviewer/index.html?find="&amp;$F99&amp;"%2C"&amp;$E99&amp;"&amp;marker="&amp;$F99&amp;","&amp;$E99&amp;",4326&amp;level=16"))),"Open"))</f>
        <v/>
      </c>
      <c r="N99" s="6" t="str">
        <f>IF(OR(JobAgolMap="", $E99="", $F99=""),"",HYPERLINK(JobAgolMap&amp;IF(ISNUMBER(FIND("?",JobAgolMap)),"&amp;","?")&amp;"center="&amp;$F99&amp;","&amp;$E99&amp;"&amp;level=16&amp;marker="&amp;$F99&amp;","&amp;$E99,"Open"))</f>
        <v/>
      </c>
      <c r="O99" s="6" t="str">
        <f>IF(OR($E99="",$F99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9" s="4"/>
      <c r="Q99" s="4"/>
      <c r="R99" s="4"/>
      <c r="S99" s="4"/>
      <c r="T99" s="4"/>
      <c r="U99" s="4"/>
      <c r="V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HYPERLINK(IF(OR(JobState="MI",JobState=""),"https://fema.maps.arcgis.com/apps/mapviewer/index.html?webmap=6a1702b9147243d1a5ee62cd614bc681&amp;center="&amp;$F100&amp;","&amp;$E100&amp;"&amp;level=16&amp;marker="&amp;$F100&amp;","&amp;$E100&amp;"",IF(JobState="IN","https://fema.maps.arcgis.com/apps/mapviewer/index.html?url=https%3A%2F%2Fgisdata.in.gov%2Fserver%2Frest%2Fservices%2FHosted%2FLRSE_Functional_Class%2FFeatureServer%2F22&amp;find="&amp;$F100&amp;"%2C"&amp;$E100&amp;"&amp;marker="&amp;$F100&amp;","&amp;$E100&amp;",4326&amp;level=16",IF(JobState="WI","https://fema.maps.arcgis.com/apps/mapviewer/index.html?url=https%3A%2F%2Fservices5.arcgis.com%2F0pgGLzT0Nh7FVjon%2Farcgis%2Frest%2Fservices%2FFFCL_gdb%2FFeatureServer%2F3&amp;find="&amp;$F100&amp;"%2C"&amp;$E100&amp;"&amp;marker="&amp;$F100&amp;","&amp;$E100&amp;",4326&amp;level=16","https://fema.maps.arcgis.com/apps/mapviewer/index.html?find="&amp;$F100&amp;"%2C"&amp;$E100&amp;"&amp;marker="&amp;$F100&amp;","&amp;$E100&amp;",4326&amp;level=16"))),"Open"))</f>
        <v/>
      </c>
      <c r="N100" s="6" t="str">
        <f>IF(OR(JobAgolMap="", $E100="", $F100=""),"",HYPERLINK(JobAgolMap&amp;IF(ISNUMBER(FIND("?",JobAgolMap)),"&amp;","?")&amp;"center="&amp;$F100&amp;","&amp;$E100&amp;"&amp;level=16&amp;marker="&amp;$F100&amp;","&amp;$E100,"Open"))</f>
        <v/>
      </c>
      <c r="O100" s="6" t="str">
        <f>IF(OR($E100="",$F100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0" s="4"/>
      <c r="Q100" s="4"/>
      <c r="R100" s="4"/>
      <c r="S100" s="4"/>
      <c r="T100" s="4"/>
      <c r="U100" s="4"/>
      <c r="V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HYPERLINK(IF(OR(JobState="MI",JobState=""),"https://fema.maps.arcgis.com/apps/mapviewer/index.html?webmap=6a1702b9147243d1a5ee62cd614bc681&amp;center="&amp;$F101&amp;","&amp;$E101&amp;"&amp;level=16&amp;marker="&amp;$F101&amp;","&amp;$E101&amp;"",IF(JobState="IN","https://fema.maps.arcgis.com/apps/mapviewer/index.html?url=https%3A%2F%2Fgisdata.in.gov%2Fserver%2Frest%2Fservices%2FHosted%2FLRSE_Functional_Class%2FFeatureServer%2F22&amp;find="&amp;$F101&amp;"%2C"&amp;$E101&amp;"&amp;marker="&amp;$F101&amp;","&amp;$E101&amp;",4326&amp;level=16",IF(JobState="WI","https://fema.maps.arcgis.com/apps/mapviewer/index.html?url=https%3A%2F%2Fservices5.arcgis.com%2F0pgGLzT0Nh7FVjon%2Farcgis%2Frest%2Fservices%2FFFCL_gdb%2FFeatureServer%2F3&amp;find="&amp;$F101&amp;"%2C"&amp;$E101&amp;"&amp;marker="&amp;$F101&amp;","&amp;$E101&amp;",4326&amp;level=16","https://fema.maps.arcgis.com/apps/mapviewer/index.html?find="&amp;$F101&amp;"%2C"&amp;$E101&amp;"&amp;marker="&amp;$F101&amp;","&amp;$E101&amp;",4326&amp;level=16"))),"Open"))</f>
        <v/>
      </c>
      <c r="N101" s="6" t="str">
        <f>IF(OR(JobAgolMap="", $E101="", $F101=""),"",HYPERLINK(JobAgolMap&amp;IF(ISNUMBER(FIND("?",JobAgolMap)),"&amp;","?")&amp;"center="&amp;$F101&amp;","&amp;$E101&amp;"&amp;level=16&amp;marker="&amp;$F101&amp;","&amp;$E101,"Open"))</f>
        <v/>
      </c>
      <c r="O101" s="6" t="str">
        <f>IF(OR($E101="",$F101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1" s="4"/>
      <c r="Q101" s="4"/>
      <c r="R101" s="4"/>
      <c r="S101" s="4"/>
      <c r="T101" s="4"/>
      <c r="U101" s="4"/>
      <c r="V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HYPERLINK(IF(OR(JobState="MI",JobState=""),"https://fema.maps.arcgis.com/apps/mapviewer/index.html?webmap=6a1702b9147243d1a5ee62cd614bc681&amp;center="&amp;$F102&amp;","&amp;$E102&amp;"&amp;level=16&amp;marker="&amp;$F102&amp;","&amp;$E102&amp;"",IF(JobState="IN","https://fema.maps.arcgis.com/apps/mapviewer/index.html?url=https%3A%2F%2Fgisdata.in.gov%2Fserver%2Frest%2Fservices%2FHosted%2FLRSE_Functional_Class%2FFeatureServer%2F22&amp;find="&amp;$F102&amp;"%2C"&amp;$E102&amp;"&amp;marker="&amp;$F102&amp;","&amp;$E102&amp;",4326&amp;level=16",IF(JobState="WI","https://fema.maps.arcgis.com/apps/mapviewer/index.html?url=https%3A%2F%2Fservices5.arcgis.com%2F0pgGLzT0Nh7FVjon%2Farcgis%2Frest%2Fservices%2FFFCL_gdb%2FFeatureServer%2F3&amp;find="&amp;$F102&amp;"%2C"&amp;$E102&amp;"&amp;marker="&amp;$F102&amp;","&amp;$E102&amp;",4326&amp;level=16","https://fema.maps.arcgis.com/apps/mapviewer/index.html?find="&amp;$F102&amp;"%2C"&amp;$E102&amp;"&amp;marker="&amp;$F102&amp;","&amp;$E102&amp;",4326&amp;level=16"))),"Open"))</f>
        <v/>
      </c>
      <c r="N102" s="6" t="str">
        <f>IF(OR(JobAgolMap="", $E102="", $F102=""),"",HYPERLINK(JobAgolMap&amp;IF(ISNUMBER(FIND("?",JobAgolMap)),"&amp;","?")&amp;"center="&amp;$F102&amp;","&amp;$E102&amp;"&amp;level=16&amp;marker="&amp;$F102&amp;","&amp;$E102,"Open"))</f>
        <v/>
      </c>
      <c r="O102" s="6" t="str">
        <f>IF(OR($E102="",$F102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2" s="4"/>
      <c r="Q102" s="4"/>
      <c r="R102" s="4"/>
      <c r="S102" s="4"/>
      <c r="T102" s="4"/>
      <c r="U102" s="4"/>
      <c r="V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HYPERLINK(IF(OR(JobState="MI",JobState=""),"https://fema.maps.arcgis.com/apps/mapviewer/index.html?webmap=6a1702b9147243d1a5ee62cd614bc681&amp;center="&amp;$F103&amp;","&amp;$E103&amp;"&amp;level=16&amp;marker="&amp;$F103&amp;","&amp;$E103&amp;"",IF(JobState="IN","https://fema.maps.arcgis.com/apps/mapviewer/index.html?url=https%3A%2F%2Fgisdata.in.gov%2Fserver%2Frest%2Fservices%2FHosted%2FLRSE_Functional_Class%2FFeatureServer%2F22&amp;find="&amp;$F103&amp;"%2C"&amp;$E103&amp;"&amp;marker="&amp;$F103&amp;","&amp;$E103&amp;",4326&amp;level=16",IF(JobState="WI","https://fema.maps.arcgis.com/apps/mapviewer/index.html?url=https%3A%2F%2Fservices5.arcgis.com%2F0pgGLzT0Nh7FVjon%2Farcgis%2Frest%2Fservices%2FFFCL_gdb%2FFeatureServer%2F3&amp;find="&amp;$F103&amp;"%2C"&amp;$E103&amp;"&amp;marker="&amp;$F103&amp;","&amp;$E103&amp;",4326&amp;level=16","https://fema.maps.arcgis.com/apps/mapviewer/index.html?find="&amp;$F103&amp;"%2C"&amp;$E103&amp;"&amp;marker="&amp;$F103&amp;","&amp;$E103&amp;",4326&amp;level=16"))),"Open"))</f>
        <v/>
      </c>
      <c r="N103" s="6" t="str">
        <f>IF(OR(JobAgolMap="", $E103="", $F103=""),"",HYPERLINK(JobAgolMap&amp;IF(ISNUMBER(FIND("?",JobAgolMap)),"&amp;","?")&amp;"center="&amp;$F103&amp;","&amp;$E103&amp;"&amp;level=16&amp;marker="&amp;$F103&amp;","&amp;$E103,"Open"))</f>
        <v/>
      </c>
      <c r="O103" s="6" t="str">
        <f>IF(OR($E103="",$F103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3" s="4"/>
      <c r="Q103" s="4"/>
      <c r="R103" s="4"/>
      <c r="S103" s="4"/>
      <c r="T103" s="4"/>
      <c r="U103" s="4"/>
      <c r="V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HYPERLINK(IF(OR(JobState="MI",JobState=""),"https://fema.maps.arcgis.com/apps/mapviewer/index.html?webmap=6a1702b9147243d1a5ee62cd614bc681&amp;center="&amp;$F104&amp;","&amp;$E104&amp;"&amp;level=16&amp;marker="&amp;$F104&amp;","&amp;$E104&amp;"",IF(JobState="IN","https://fema.maps.arcgis.com/apps/mapviewer/index.html?url=https%3A%2F%2Fgisdata.in.gov%2Fserver%2Frest%2Fservices%2FHosted%2FLRSE_Functional_Class%2FFeatureServer%2F22&amp;find="&amp;$F104&amp;"%2C"&amp;$E104&amp;"&amp;marker="&amp;$F104&amp;","&amp;$E104&amp;",4326&amp;level=16",IF(JobState="WI","https://fema.maps.arcgis.com/apps/mapviewer/index.html?url=https%3A%2F%2Fservices5.arcgis.com%2F0pgGLzT0Nh7FVjon%2Farcgis%2Frest%2Fservices%2FFFCL_gdb%2FFeatureServer%2F3&amp;find="&amp;$F104&amp;"%2C"&amp;$E104&amp;"&amp;marker="&amp;$F104&amp;","&amp;$E104&amp;",4326&amp;level=16","https://fema.maps.arcgis.com/apps/mapviewer/index.html?find="&amp;$F104&amp;"%2C"&amp;$E104&amp;"&amp;marker="&amp;$F104&amp;","&amp;$E104&amp;",4326&amp;level=16"))),"Open"))</f>
        <v/>
      </c>
      <c r="N104" s="6" t="str">
        <f>IF(OR(JobAgolMap="", $E104="", $F104=""),"",HYPERLINK(JobAgolMap&amp;IF(ISNUMBER(FIND("?",JobAgolMap)),"&amp;","?")&amp;"center="&amp;$F104&amp;","&amp;$E104&amp;"&amp;level=16&amp;marker="&amp;$F104&amp;","&amp;$E104,"Open"))</f>
        <v/>
      </c>
      <c r="O104" s="6" t="str">
        <f>IF(OR($E104="",$F104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4" s="4"/>
      <c r="Q104" s="4"/>
      <c r="R104" s="4"/>
      <c r="S104" s="4"/>
      <c r="T104" s="4"/>
      <c r="U104" s="4"/>
      <c r="V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HYPERLINK(IF(OR(JobState="MI",JobState=""),"https://fema.maps.arcgis.com/apps/mapviewer/index.html?webmap=6a1702b9147243d1a5ee62cd614bc681&amp;center="&amp;$F105&amp;","&amp;$E105&amp;"&amp;level=16&amp;marker="&amp;$F105&amp;","&amp;$E105&amp;"",IF(JobState="IN","https://fema.maps.arcgis.com/apps/mapviewer/index.html?url=https%3A%2F%2Fgisdata.in.gov%2Fserver%2Frest%2Fservices%2FHosted%2FLRSE_Functional_Class%2FFeatureServer%2F22&amp;find="&amp;$F105&amp;"%2C"&amp;$E105&amp;"&amp;marker="&amp;$F105&amp;","&amp;$E105&amp;",4326&amp;level=16",IF(JobState="WI","https://fema.maps.arcgis.com/apps/mapviewer/index.html?url=https%3A%2F%2Fservices5.arcgis.com%2F0pgGLzT0Nh7FVjon%2Farcgis%2Frest%2Fservices%2FFFCL_gdb%2FFeatureServer%2F3&amp;find="&amp;$F105&amp;"%2C"&amp;$E105&amp;"&amp;marker="&amp;$F105&amp;","&amp;$E105&amp;",4326&amp;level=16","https://fema.maps.arcgis.com/apps/mapviewer/index.html?find="&amp;$F105&amp;"%2C"&amp;$E105&amp;"&amp;marker="&amp;$F105&amp;","&amp;$E105&amp;",4326&amp;level=16"))),"Open"))</f>
        <v/>
      </c>
      <c r="N105" s="6" t="str">
        <f>IF(OR(JobAgolMap="", $E105="", $F105=""),"",HYPERLINK(JobAgolMap&amp;IF(ISNUMBER(FIND("?",JobAgolMap)),"&amp;","?")&amp;"center="&amp;$F105&amp;","&amp;$E105&amp;"&amp;level=16&amp;marker="&amp;$F105&amp;","&amp;$E105,"Open"))</f>
        <v/>
      </c>
      <c r="O105" s="6" t="str">
        <f>IF(OR($E105="",$F105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5" s="4"/>
      <c r="Q105" s="4"/>
      <c r="R105" s="4"/>
      <c r="S105" s="4"/>
      <c r="T105" s="4"/>
      <c r="U105" s="4"/>
      <c r="V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HYPERLINK(IF(OR(JobState="MI",JobState=""),"https://fema.maps.arcgis.com/apps/mapviewer/index.html?webmap=6a1702b9147243d1a5ee62cd614bc681&amp;center="&amp;$F106&amp;","&amp;$E106&amp;"&amp;level=16&amp;marker="&amp;$F106&amp;","&amp;$E106&amp;"",IF(JobState="IN","https://fema.maps.arcgis.com/apps/mapviewer/index.html?url=https%3A%2F%2Fgisdata.in.gov%2Fserver%2Frest%2Fservices%2FHosted%2FLRSE_Functional_Class%2FFeatureServer%2F22&amp;find="&amp;$F106&amp;"%2C"&amp;$E106&amp;"&amp;marker="&amp;$F106&amp;","&amp;$E106&amp;",4326&amp;level=16",IF(JobState="WI","https://fema.maps.arcgis.com/apps/mapviewer/index.html?url=https%3A%2F%2Fservices5.arcgis.com%2F0pgGLzT0Nh7FVjon%2Farcgis%2Frest%2Fservices%2FFFCL_gdb%2FFeatureServer%2F3&amp;find="&amp;$F106&amp;"%2C"&amp;$E106&amp;"&amp;marker="&amp;$F106&amp;","&amp;$E106&amp;",4326&amp;level=16","https://fema.maps.arcgis.com/apps/mapviewer/index.html?find="&amp;$F106&amp;"%2C"&amp;$E106&amp;"&amp;marker="&amp;$F106&amp;","&amp;$E106&amp;",4326&amp;level=16"))),"Open"))</f>
        <v/>
      </c>
      <c r="N106" s="6" t="str">
        <f>IF(OR(JobAgolMap="", $E106="", $F106=""),"",HYPERLINK(JobAgolMap&amp;IF(ISNUMBER(FIND("?",JobAgolMap)),"&amp;","?")&amp;"center="&amp;$F106&amp;","&amp;$E106&amp;"&amp;level=16&amp;marker="&amp;$F106&amp;","&amp;$E106,"Open"))</f>
        <v/>
      </c>
      <c r="O106" s="6" t="str">
        <f>IF(OR($E106="",$F106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6" s="4"/>
      <c r="Q106" s="4"/>
      <c r="R106" s="4"/>
      <c r="S106" s="4"/>
      <c r="T106" s="4"/>
      <c r="U106" s="4"/>
      <c r="V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HYPERLINK(IF(OR(JobState="MI",JobState=""),"https://fema.maps.arcgis.com/apps/mapviewer/index.html?webmap=6a1702b9147243d1a5ee62cd614bc681&amp;center="&amp;$F107&amp;","&amp;$E107&amp;"&amp;level=16&amp;marker="&amp;$F107&amp;","&amp;$E107&amp;"",IF(JobState="IN","https://fema.maps.arcgis.com/apps/mapviewer/index.html?url=https%3A%2F%2Fgisdata.in.gov%2Fserver%2Frest%2Fservices%2FHosted%2FLRSE_Functional_Class%2FFeatureServer%2F22&amp;find="&amp;$F107&amp;"%2C"&amp;$E107&amp;"&amp;marker="&amp;$F107&amp;","&amp;$E107&amp;",4326&amp;level=16",IF(JobState="WI","https://fema.maps.arcgis.com/apps/mapviewer/index.html?url=https%3A%2F%2Fservices5.arcgis.com%2F0pgGLzT0Nh7FVjon%2Farcgis%2Frest%2Fservices%2FFFCL_gdb%2FFeatureServer%2F3&amp;find="&amp;$F107&amp;"%2C"&amp;$E107&amp;"&amp;marker="&amp;$F107&amp;","&amp;$E107&amp;",4326&amp;level=16","https://fema.maps.arcgis.com/apps/mapviewer/index.html?find="&amp;$F107&amp;"%2C"&amp;$E107&amp;"&amp;marker="&amp;$F107&amp;","&amp;$E107&amp;",4326&amp;level=16"))),"Open"))</f>
        <v/>
      </c>
      <c r="N107" s="6" t="str">
        <f>IF(OR(JobAgolMap="", $E107="", $F107=""),"",HYPERLINK(JobAgolMap&amp;IF(ISNUMBER(FIND("?",JobAgolMap)),"&amp;","?")&amp;"center="&amp;$F107&amp;","&amp;$E107&amp;"&amp;level=16&amp;marker="&amp;$F107&amp;","&amp;$E107,"Open"))</f>
        <v/>
      </c>
      <c r="O107" s="6" t="str">
        <f>IF(OR($E107="",$F107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7" s="4"/>
      <c r="Q107" s="4"/>
      <c r="R107" s="4"/>
      <c r="S107" s="4"/>
      <c r="T107" s="4"/>
      <c r="U107" s="4"/>
      <c r="V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HYPERLINK(IF(OR(JobState="MI",JobState=""),"https://fema.maps.arcgis.com/apps/mapviewer/index.html?webmap=6a1702b9147243d1a5ee62cd614bc681&amp;center="&amp;$F108&amp;","&amp;$E108&amp;"&amp;level=16&amp;marker="&amp;$F108&amp;","&amp;$E108&amp;"",IF(JobState="IN","https://fema.maps.arcgis.com/apps/mapviewer/index.html?url=https%3A%2F%2Fgisdata.in.gov%2Fserver%2Frest%2Fservices%2FHosted%2FLRSE_Functional_Class%2FFeatureServer%2F22&amp;find="&amp;$F108&amp;"%2C"&amp;$E108&amp;"&amp;marker="&amp;$F108&amp;","&amp;$E108&amp;",4326&amp;level=16",IF(JobState="WI","https://fema.maps.arcgis.com/apps/mapviewer/index.html?url=https%3A%2F%2Fservices5.arcgis.com%2F0pgGLzT0Nh7FVjon%2Farcgis%2Frest%2Fservices%2FFFCL_gdb%2FFeatureServer%2F3&amp;find="&amp;$F108&amp;"%2C"&amp;$E108&amp;"&amp;marker="&amp;$F108&amp;","&amp;$E108&amp;",4326&amp;level=16","https://fema.maps.arcgis.com/apps/mapviewer/index.html?find="&amp;$F108&amp;"%2C"&amp;$E108&amp;"&amp;marker="&amp;$F108&amp;","&amp;$E108&amp;",4326&amp;level=16"))),"Open"))</f>
        <v/>
      </c>
      <c r="N108" s="6" t="str">
        <f>IF(OR(JobAgolMap="", $E108="", $F108=""),"",HYPERLINK(JobAgolMap&amp;IF(ISNUMBER(FIND("?",JobAgolMap)),"&amp;","?")&amp;"center="&amp;$F108&amp;","&amp;$E108&amp;"&amp;level=16&amp;marker="&amp;$F108&amp;","&amp;$E108,"Open"))</f>
        <v/>
      </c>
      <c r="O108" s="6" t="str">
        <f>IF(OR($E108="",$F108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8" s="4"/>
      <c r="Q108" s="4"/>
      <c r="R108" s="4"/>
      <c r="S108" s="4"/>
      <c r="T108" s="4"/>
      <c r="U108" s="4"/>
      <c r="V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HYPERLINK(IF(OR(JobState="MI",JobState=""),"https://fema.maps.arcgis.com/apps/mapviewer/index.html?webmap=6a1702b9147243d1a5ee62cd614bc681&amp;center="&amp;$F109&amp;","&amp;$E109&amp;"&amp;level=16&amp;marker="&amp;$F109&amp;","&amp;$E109&amp;"",IF(JobState="IN","https://fema.maps.arcgis.com/apps/mapviewer/index.html?url=https%3A%2F%2Fgisdata.in.gov%2Fserver%2Frest%2Fservices%2FHosted%2FLRSE_Functional_Class%2FFeatureServer%2F22&amp;find="&amp;$F109&amp;"%2C"&amp;$E109&amp;"&amp;marker="&amp;$F109&amp;","&amp;$E109&amp;",4326&amp;level=16",IF(JobState="WI","https://fema.maps.arcgis.com/apps/mapviewer/index.html?url=https%3A%2F%2Fservices5.arcgis.com%2F0pgGLzT0Nh7FVjon%2Farcgis%2Frest%2Fservices%2FFFCL_gdb%2FFeatureServer%2F3&amp;find="&amp;$F109&amp;"%2C"&amp;$E109&amp;"&amp;marker="&amp;$F109&amp;","&amp;$E109&amp;",4326&amp;level=16","https://fema.maps.arcgis.com/apps/mapviewer/index.html?find="&amp;$F109&amp;"%2C"&amp;$E109&amp;"&amp;marker="&amp;$F109&amp;","&amp;$E109&amp;",4326&amp;level=16"))),"Open"))</f>
        <v/>
      </c>
      <c r="N109" s="6" t="str">
        <f>IF(OR(JobAgolMap="", $E109="", $F109=""),"",HYPERLINK(JobAgolMap&amp;IF(ISNUMBER(FIND("?",JobAgolMap)),"&amp;","?")&amp;"center="&amp;$F109&amp;","&amp;$E109&amp;"&amp;level=16&amp;marker="&amp;$F109&amp;","&amp;$E109,"Open"))</f>
        <v/>
      </c>
      <c r="O109" s="6" t="str">
        <f>IF(OR($E109="",$F109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9" s="4"/>
      <c r="Q109" s="4"/>
      <c r="R109" s="4"/>
      <c r="S109" s="4"/>
      <c r="T109" s="4"/>
      <c r="U109" s="4"/>
      <c r="V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HYPERLINK(IF(OR(JobState="MI",JobState=""),"https://fema.maps.arcgis.com/apps/mapviewer/index.html?webmap=6a1702b9147243d1a5ee62cd614bc681&amp;center="&amp;$F110&amp;","&amp;$E110&amp;"&amp;level=16&amp;marker="&amp;$F110&amp;","&amp;$E110&amp;"",IF(JobState="IN","https://fema.maps.arcgis.com/apps/mapviewer/index.html?url=https%3A%2F%2Fgisdata.in.gov%2Fserver%2Frest%2Fservices%2FHosted%2FLRSE_Functional_Class%2FFeatureServer%2F22&amp;find="&amp;$F110&amp;"%2C"&amp;$E110&amp;"&amp;marker="&amp;$F110&amp;","&amp;$E110&amp;",4326&amp;level=16",IF(JobState="WI","https://fema.maps.arcgis.com/apps/mapviewer/index.html?url=https%3A%2F%2Fservices5.arcgis.com%2F0pgGLzT0Nh7FVjon%2Farcgis%2Frest%2Fservices%2FFFCL_gdb%2FFeatureServer%2F3&amp;find="&amp;$F110&amp;"%2C"&amp;$E110&amp;"&amp;marker="&amp;$F110&amp;","&amp;$E110&amp;",4326&amp;level=16","https://fema.maps.arcgis.com/apps/mapviewer/index.html?find="&amp;$F110&amp;"%2C"&amp;$E110&amp;"&amp;marker="&amp;$F110&amp;","&amp;$E110&amp;",4326&amp;level=16"))),"Open"))</f>
        <v/>
      </c>
      <c r="N110" s="6" t="str">
        <f>IF(OR(JobAgolMap="", $E110="", $F110=""),"",HYPERLINK(JobAgolMap&amp;IF(ISNUMBER(FIND("?",JobAgolMap)),"&amp;","?")&amp;"center="&amp;$F110&amp;","&amp;$E110&amp;"&amp;level=16&amp;marker="&amp;$F110&amp;","&amp;$E110,"Open"))</f>
        <v/>
      </c>
      <c r="O110" s="6" t="str">
        <f>IF(OR($E110="",$F110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0" s="4"/>
      <c r="Q110" s="4"/>
      <c r="R110" s="4"/>
      <c r="S110" s="4"/>
      <c r="T110" s="4"/>
      <c r="U110" s="4"/>
      <c r="V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HYPERLINK(IF(OR(JobState="MI",JobState=""),"https://fema.maps.arcgis.com/apps/mapviewer/index.html?webmap=6a1702b9147243d1a5ee62cd614bc681&amp;center="&amp;$F111&amp;","&amp;$E111&amp;"&amp;level=16&amp;marker="&amp;$F111&amp;","&amp;$E111&amp;"",IF(JobState="IN","https://fema.maps.arcgis.com/apps/mapviewer/index.html?url=https%3A%2F%2Fgisdata.in.gov%2Fserver%2Frest%2Fservices%2FHosted%2FLRSE_Functional_Class%2FFeatureServer%2F22&amp;find="&amp;$F111&amp;"%2C"&amp;$E111&amp;"&amp;marker="&amp;$F111&amp;","&amp;$E111&amp;",4326&amp;level=16",IF(JobState="WI","https://fema.maps.arcgis.com/apps/mapviewer/index.html?url=https%3A%2F%2Fservices5.arcgis.com%2F0pgGLzT0Nh7FVjon%2Farcgis%2Frest%2Fservices%2FFFCL_gdb%2FFeatureServer%2F3&amp;find="&amp;$F111&amp;"%2C"&amp;$E111&amp;"&amp;marker="&amp;$F111&amp;","&amp;$E111&amp;",4326&amp;level=16","https://fema.maps.arcgis.com/apps/mapviewer/index.html?find="&amp;$F111&amp;"%2C"&amp;$E111&amp;"&amp;marker="&amp;$F111&amp;","&amp;$E111&amp;",4326&amp;level=16"))),"Open"))</f>
        <v/>
      </c>
      <c r="N111" s="6" t="str">
        <f>IF(OR(JobAgolMap="", $E111="", $F111=""),"",HYPERLINK(JobAgolMap&amp;IF(ISNUMBER(FIND("?",JobAgolMap)),"&amp;","?")&amp;"center="&amp;$F111&amp;","&amp;$E111&amp;"&amp;level=16&amp;marker="&amp;$F111&amp;","&amp;$E111,"Open"))</f>
        <v/>
      </c>
      <c r="O111" s="6" t="str">
        <f>IF(OR($E111="",$F111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1" s="4"/>
      <c r="Q111" s="4"/>
      <c r="R111" s="4"/>
      <c r="S111" s="4"/>
      <c r="T111" s="4"/>
      <c r="U111" s="4"/>
      <c r="V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HYPERLINK(IF(OR(JobState="MI",JobState=""),"https://fema.maps.arcgis.com/apps/mapviewer/index.html?webmap=6a1702b9147243d1a5ee62cd614bc681&amp;center="&amp;$F112&amp;","&amp;$E112&amp;"&amp;level=16&amp;marker="&amp;$F112&amp;","&amp;$E112&amp;"",IF(JobState="IN","https://fema.maps.arcgis.com/apps/mapviewer/index.html?url=https%3A%2F%2Fgisdata.in.gov%2Fserver%2Frest%2Fservices%2FHosted%2FLRSE_Functional_Class%2FFeatureServer%2F22&amp;find="&amp;$F112&amp;"%2C"&amp;$E112&amp;"&amp;marker="&amp;$F112&amp;","&amp;$E112&amp;",4326&amp;level=16",IF(JobState="WI","https://fema.maps.arcgis.com/apps/mapviewer/index.html?url=https%3A%2F%2Fservices5.arcgis.com%2F0pgGLzT0Nh7FVjon%2Farcgis%2Frest%2Fservices%2FFFCL_gdb%2FFeatureServer%2F3&amp;find="&amp;$F112&amp;"%2C"&amp;$E112&amp;"&amp;marker="&amp;$F112&amp;","&amp;$E112&amp;",4326&amp;level=16","https://fema.maps.arcgis.com/apps/mapviewer/index.html?find="&amp;$F112&amp;"%2C"&amp;$E112&amp;"&amp;marker="&amp;$F112&amp;","&amp;$E112&amp;",4326&amp;level=16"))),"Open"))</f>
        <v/>
      </c>
      <c r="N112" s="6" t="str">
        <f>IF(OR(JobAgolMap="", $E112="", $F112=""),"",HYPERLINK(JobAgolMap&amp;IF(ISNUMBER(FIND("?",JobAgolMap)),"&amp;","?")&amp;"center="&amp;$F112&amp;","&amp;$E112&amp;"&amp;level=16&amp;marker="&amp;$F112&amp;","&amp;$E112,"Open"))</f>
        <v/>
      </c>
      <c r="O112" s="6" t="str">
        <f>IF(OR($E112="",$F112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2" s="4"/>
      <c r="Q112" s="4"/>
      <c r="R112" s="4"/>
      <c r="S112" s="4"/>
      <c r="T112" s="4"/>
      <c r="U112" s="4"/>
      <c r="V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HYPERLINK(IF(OR(JobState="MI",JobState=""),"https://fema.maps.arcgis.com/apps/mapviewer/index.html?webmap=6a1702b9147243d1a5ee62cd614bc681&amp;center="&amp;$F113&amp;","&amp;$E113&amp;"&amp;level=16&amp;marker="&amp;$F113&amp;","&amp;$E113&amp;"",IF(JobState="IN","https://fema.maps.arcgis.com/apps/mapviewer/index.html?url=https%3A%2F%2Fgisdata.in.gov%2Fserver%2Frest%2Fservices%2FHosted%2FLRSE_Functional_Class%2FFeatureServer%2F22&amp;find="&amp;$F113&amp;"%2C"&amp;$E113&amp;"&amp;marker="&amp;$F113&amp;","&amp;$E113&amp;",4326&amp;level=16",IF(JobState="WI","https://fema.maps.arcgis.com/apps/mapviewer/index.html?url=https%3A%2F%2Fservices5.arcgis.com%2F0pgGLzT0Nh7FVjon%2Farcgis%2Frest%2Fservices%2FFFCL_gdb%2FFeatureServer%2F3&amp;find="&amp;$F113&amp;"%2C"&amp;$E113&amp;"&amp;marker="&amp;$F113&amp;","&amp;$E113&amp;",4326&amp;level=16","https://fema.maps.arcgis.com/apps/mapviewer/index.html?find="&amp;$F113&amp;"%2C"&amp;$E113&amp;"&amp;marker="&amp;$F113&amp;","&amp;$E113&amp;",4326&amp;level=16"))),"Open"))</f>
        <v/>
      </c>
      <c r="N113" s="6" t="str">
        <f>IF(OR(JobAgolMap="", $E113="", $F113=""),"",HYPERLINK(JobAgolMap&amp;IF(ISNUMBER(FIND("?",JobAgolMap)),"&amp;","?")&amp;"center="&amp;$F113&amp;","&amp;$E113&amp;"&amp;level=16&amp;marker="&amp;$F113&amp;","&amp;$E113,"Open"))</f>
        <v/>
      </c>
      <c r="O113" s="6" t="str">
        <f>IF(OR($E113="",$F113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3" s="4"/>
      <c r="Q113" s="4"/>
      <c r="R113" s="4"/>
      <c r="S113" s="4"/>
      <c r="T113" s="4"/>
      <c r="U113" s="4"/>
      <c r="V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HYPERLINK(IF(OR(JobState="MI",JobState=""),"https://fema.maps.arcgis.com/apps/mapviewer/index.html?webmap=6a1702b9147243d1a5ee62cd614bc681&amp;center="&amp;$F114&amp;","&amp;$E114&amp;"&amp;level=16&amp;marker="&amp;$F114&amp;","&amp;$E114&amp;"",IF(JobState="IN","https://fema.maps.arcgis.com/apps/mapviewer/index.html?url=https%3A%2F%2Fgisdata.in.gov%2Fserver%2Frest%2Fservices%2FHosted%2FLRSE_Functional_Class%2FFeatureServer%2F22&amp;find="&amp;$F114&amp;"%2C"&amp;$E114&amp;"&amp;marker="&amp;$F114&amp;","&amp;$E114&amp;",4326&amp;level=16",IF(JobState="WI","https://fema.maps.arcgis.com/apps/mapviewer/index.html?url=https%3A%2F%2Fservices5.arcgis.com%2F0pgGLzT0Nh7FVjon%2Farcgis%2Frest%2Fservices%2FFFCL_gdb%2FFeatureServer%2F3&amp;find="&amp;$F114&amp;"%2C"&amp;$E114&amp;"&amp;marker="&amp;$F114&amp;","&amp;$E114&amp;",4326&amp;level=16","https://fema.maps.arcgis.com/apps/mapviewer/index.html?find="&amp;$F114&amp;"%2C"&amp;$E114&amp;"&amp;marker="&amp;$F114&amp;","&amp;$E114&amp;",4326&amp;level=16"))),"Open"))</f>
        <v/>
      </c>
      <c r="N114" s="6" t="str">
        <f>IF(OR(JobAgolMap="", $E114="", $F114=""),"",HYPERLINK(JobAgolMap&amp;IF(ISNUMBER(FIND("?",JobAgolMap)),"&amp;","?")&amp;"center="&amp;$F114&amp;","&amp;$E114&amp;"&amp;level=16&amp;marker="&amp;$F114&amp;","&amp;$E114,"Open"))</f>
        <v/>
      </c>
      <c r="O114" s="6" t="str">
        <f>IF(OR($E114="",$F114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4" s="4"/>
      <c r="Q114" s="4"/>
      <c r="R114" s="4"/>
      <c r="S114" s="4"/>
      <c r="T114" s="4"/>
      <c r="U114" s="4"/>
      <c r="V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HYPERLINK(IF(OR(JobState="MI",JobState=""),"https://fema.maps.arcgis.com/apps/mapviewer/index.html?webmap=6a1702b9147243d1a5ee62cd614bc681&amp;center="&amp;$F115&amp;","&amp;$E115&amp;"&amp;level=16&amp;marker="&amp;$F115&amp;","&amp;$E115&amp;"",IF(JobState="IN","https://fema.maps.arcgis.com/apps/mapviewer/index.html?url=https%3A%2F%2Fgisdata.in.gov%2Fserver%2Frest%2Fservices%2FHosted%2FLRSE_Functional_Class%2FFeatureServer%2F22&amp;find="&amp;$F115&amp;"%2C"&amp;$E115&amp;"&amp;marker="&amp;$F115&amp;","&amp;$E115&amp;",4326&amp;level=16",IF(JobState="WI","https://fema.maps.arcgis.com/apps/mapviewer/index.html?url=https%3A%2F%2Fservices5.arcgis.com%2F0pgGLzT0Nh7FVjon%2Farcgis%2Frest%2Fservices%2FFFCL_gdb%2FFeatureServer%2F3&amp;find="&amp;$F115&amp;"%2C"&amp;$E115&amp;"&amp;marker="&amp;$F115&amp;","&amp;$E115&amp;",4326&amp;level=16","https://fema.maps.arcgis.com/apps/mapviewer/index.html?find="&amp;$F115&amp;"%2C"&amp;$E115&amp;"&amp;marker="&amp;$F115&amp;","&amp;$E115&amp;",4326&amp;level=16"))),"Open"))</f>
        <v/>
      </c>
      <c r="N115" s="6" t="str">
        <f>IF(OR(JobAgolMap="", $E115="", $F115=""),"",HYPERLINK(JobAgolMap&amp;IF(ISNUMBER(FIND("?",JobAgolMap)),"&amp;","?")&amp;"center="&amp;$F115&amp;","&amp;$E115&amp;"&amp;level=16&amp;marker="&amp;$F115&amp;","&amp;$E115,"Open"))</f>
        <v/>
      </c>
      <c r="O115" s="6" t="str">
        <f>IF(OR($E115="",$F115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5" s="4"/>
      <c r="Q115" s="4"/>
      <c r="R115" s="4"/>
      <c r="S115" s="4"/>
      <c r="T115" s="4"/>
      <c r="U115" s="4"/>
      <c r="V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HYPERLINK(IF(OR(JobState="MI",JobState=""),"https://fema.maps.arcgis.com/apps/mapviewer/index.html?webmap=6a1702b9147243d1a5ee62cd614bc681&amp;center="&amp;$F116&amp;","&amp;$E116&amp;"&amp;level=16&amp;marker="&amp;$F116&amp;","&amp;$E116&amp;"",IF(JobState="IN","https://fema.maps.arcgis.com/apps/mapviewer/index.html?url=https%3A%2F%2Fgisdata.in.gov%2Fserver%2Frest%2Fservices%2FHosted%2FLRSE_Functional_Class%2FFeatureServer%2F22&amp;find="&amp;$F116&amp;"%2C"&amp;$E116&amp;"&amp;marker="&amp;$F116&amp;","&amp;$E116&amp;",4326&amp;level=16",IF(JobState="WI","https://fema.maps.arcgis.com/apps/mapviewer/index.html?url=https%3A%2F%2Fservices5.arcgis.com%2F0pgGLzT0Nh7FVjon%2Farcgis%2Frest%2Fservices%2FFFCL_gdb%2FFeatureServer%2F3&amp;find="&amp;$F116&amp;"%2C"&amp;$E116&amp;"&amp;marker="&amp;$F116&amp;","&amp;$E116&amp;",4326&amp;level=16","https://fema.maps.arcgis.com/apps/mapviewer/index.html?find="&amp;$F116&amp;"%2C"&amp;$E116&amp;"&amp;marker="&amp;$F116&amp;","&amp;$E116&amp;",4326&amp;level=16"))),"Open"))</f>
        <v/>
      </c>
      <c r="N116" s="6" t="str">
        <f>IF(OR(JobAgolMap="", $E116="", $F116=""),"",HYPERLINK(JobAgolMap&amp;IF(ISNUMBER(FIND("?",JobAgolMap)),"&amp;","?")&amp;"center="&amp;$F116&amp;","&amp;$E116&amp;"&amp;level=16&amp;marker="&amp;$F116&amp;","&amp;$E116,"Open"))</f>
        <v/>
      </c>
      <c r="O116" s="6" t="str">
        <f>IF(OR($E116="",$F116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6" s="4"/>
      <c r="Q116" s="4"/>
      <c r="R116" s="4"/>
      <c r="S116" s="4"/>
      <c r="T116" s="4"/>
      <c r="U116" s="4"/>
      <c r="V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HYPERLINK(IF(OR(JobState="MI",JobState=""),"https://fema.maps.arcgis.com/apps/mapviewer/index.html?webmap=6a1702b9147243d1a5ee62cd614bc681&amp;center="&amp;$F117&amp;","&amp;$E117&amp;"&amp;level=16&amp;marker="&amp;$F117&amp;","&amp;$E117&amp;"",IF(JobState="IN","https://fema.maps.arcgis.com/apps/mapviewer/index.html?url=https%3A%2F%2Fgisdata.in.gov%2Fserver%2Frest%2Fservices%2FHosted%2FLRSE_Functional_Class%2FFeatureServer%2F22&amp;find="&amp;$F117&amp;"%2C"&amp;$E117&amp;"&amp;marker="&amp;$F117&amp;","&amp;$E117&amp;",4326&amp;level=16",IF(JobState="WI","https://fema.maps.arcgis.com/apps/mapviewer/index.html?url=https%3A%2F%2Fservices5.arcgis.com%2F0pgGLzT0Nh7FVjon%2Farcgis%2Frest%2Fservices%2FFFCL_gdb%2FFeatureServer%2F3&amp;find="&amp;$F117&amp;"%2C"&amp;$E117&amp;"&amp;marker="&amp;$F117&amp;","&amp;$E117&amp;",4326&amp;level=16","https://fema.maps.arcgis.com/apps/mapviewer/index.html?find="&amp;$F117&amp;"%2C"&amp;$E117&amp;"&amp;marker="&amp;$F117&amp;","&amp;$E117&amp;",4326&amp;level=16"))),"Open"))</f>
        <v/>
      </c>
      <c r="N117" s="6" t="str">
        <f>IF(OR(JobAgolMap="", $E117="", $F117=""),"",HYPERLINK(JobAgolMap&amp;IF(ISNUMBER(FIND("?",JobAgolMap)),"&amp;","?")&amp;"center="&amp;$F117&amp;","&amp;$E117&amp;"&amp;level=16&amp;marker="&amp;$F117&amp;","&amp;$E117,"Open"))</f>
        <v/>
      </c>
      <c r="O117" s="6" t="str">
        <f>IF(OR($E117="",$F117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7" s="4"/>
      <c r="Q117" s="4"/>
      <c r="R117" s="4"/>
      <c r="S117" s="4"/>
      <c r="T117" s="4"/>
      <c r="U117" s="4"/>
      <c r="V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HYPERLINK(IF(OR(JobState="MI",JobState=""),"https://fema.maps.arcgis.com/apps/mapviewer/index.html?webmap=6a1702b9147243d1a5ee62cd614bc681&amp;center="&amp;$F118&amp;","&amp;$E118&amp;"&amp;level=16&amp;marker="&amp;$F118&amp;","&amp;$E118&amp;"",IF(JobState="IN","https://fema.maps.arcgis.com/apps/mapviewer/index.html?url=https%3A%2F%2Fgisdata.in.gov%2Fserver%2Frest%2Fservices%2FHosted%2FLRSE_Functional_Class%2FFeatureServer%2F22&amp;find="&amp;$F118&amp;"%2C"&amp;$E118&amp;"&amp;marker="&amp;$F118&amp;","&amp;$E118&amp;",4326&amp;level=16",IF(JobState="WI","https://fema.maps.arcgis.com/apps/mapviewer/index.html?url=https%3A%2F%2Fservices5.arcgis.com%2F0pgGLzT0Nh7FVjon%2Farcgis%2Frest%2Fservices%2FFFCL_gdb%2FFeatureServer%2F3&amp;find="&amp;$F118&amp;"%2C"&amp;$E118&amp;"&amp;marker="&amp;$F118&amp;","&amp;$E118&amp;",4326&amp;level=16","https://fema.maps.arcgis.com/apps/mapviewer/index.html?find="&amp;$F118&amp;"%2C"&amp;$E118&amp;"&amp;marker="&amp;$F118&amp;","&amp;$E118&amp;",4326&amp;level=16"))),"Open"))</f>
        <v/>
      </c>
      <c r="N118" s="6" t="str">
        <f>IF(OR(JobAgolMap="", $E118="", $F118=""),"",HYPERLINK(JobAgolMap&amp;IF(ISNUMBER(FIND("?",JobAgolMap)),"&amp;","?")&amp;"center="&amp;$F118&amp;","&amp;$E118&amp;"&amp;level=16&amp;marker="&amp;$F118&amp;","&amp;$E118,"Open"))</f>
        <v/>
      </c>
      <c r="O118" s="6" t="str">
        <f>IF(OR($E118="",$F118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8" s="4"/>
      <c r="Q118" s="4"/>
      <c r="R118" s="4"/>
      <c r="S118" s="4"/>
      <c r="T118" s="4"/>
      <c r="U118" s="4"/>
      <c r="V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HYPERLINK(IF(OR(JobState="MI",JobState=""),"https://fema.maps.arcgis.com/apps/mapviewer/index.html?webmap=6a1702b9147243d1a5ee62cd614bc681&amp;center="&amp;$F119&amp;","&amp;$E119&amp;"&amp;level=16&amp;marker="&amp;$F119&amp;","&amp;$E119&amp;"",IF(JobState="IN","https://fema.maps.arcgis.com/apps/mapviewer/index.html?url=https%3A%2F%2Fgisdata.in.gov%2Fserver%2Frest%2Fservices%2FHosted%2FLRSE_Functional_Class%2FFeatureServer%2F22&amp;find="&amp;$F119&amp;"%2C"&amp;$E119&amp;"&amp;marker="&amp;$F119&amp;","&amp;$E119&amp;",4326&amp;level=16",IF(JobState="WI","https://fema.maps.arcgis.com/apps/mapviewer/index.html?url=https%3A%2F%2Fservices5.arcgis.com%2F0pgGLzT0Nh7FVjon%2Farcgis%2Frest%2Fservices%2FFFCL_gdb%2FFeatureServer%2F3&amp;find="&amp;$F119&amp;"%2C"&amp;$E119&amp;"&amp;marker="&amp;$F119&amp;","&amp;$E119&amp;",4326&amp;level=16","https://fema.maps.arcgis.com/apps/mapviewer/index.html?find="&amp;$F119&amp;"%2C"&amp;$E119&amp;"&amp;marker="&amp;$F119&amp;","&amp;$E119&amp;",4326&amp;level=16"))),"Open"))</f>
        <v/>
      </c>
      <c r="N119" s="6" t="str">
        <f>IF(OR(JobAgolMap="", $E119="", $F119=""),"",HYPERLINK(JobAgolMap&amp;IF(ISNUMBER(FIND("?",JobAgolMap)),"&amp;","?")&amp;"center="&amp;$F119&amp;","&amp;$E119&amp;"&amp;level=16&amp;marker="&amp;$F119&amp;","&amp;$E119,"Open"))</f>
        <v/>
      </c>
      <c r="O119" s="6" t="str">
        <f>IF(OR($E119="",$F119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9" s="4"/>
      <c r="Q119" s="4"/>
      <c r="R119" s="4"/>
      <c r="S119" s="4"/>
      <c r="T119" s="4"/>
      <c r="U119" s="4"/>
      <c r="V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HYPERLINK(IF(OR(JobState="MI",JobState=""),"https://fema.maps.arcgis.com/apps/mapviewer/index.html?webmap=6a1702b9147243d1a5ee62cd614bc681&amp;center="&amp;$F120&amp;","&amp;$E120&amp;"&amp;level=16&amp;marker="&amp;$F120&amp;","&amp;$E120&amp;"",IF(JobState="IN","https://fema.maps.arcgis.com/apps/mapviewer/index.html?url=https%3A%2F%2Fgisdata.in.gov%2Fserver%2Frest%2Fservices%2FHosted%2FLRSE_Functional_Class%2FFeatureServer%2F22&amp;find="&amp;$F120&amp;"%2C"&amp;$E120&amp;"&amp;marker="&amp;$F120&amp;","&amp;$E120&amp;",4326&amp;level=16",IF(JobState="WI","https://fema.maps.arcgis.com/apps/mapviewer/index.html?url=https%3A%2F%2Fservices5.arcgis.com%2F0pgGLzT0Nh7FVjon%2Farcgis%2Frest%2Fservices%2FFFCL_gdb%2FFeatureServer%2F3&amp;find="&amp;$F120&amp;"%2C"&amp;$E120&amp;"&amp;marker="&amp;$F120&amp;","&amp;$E120&amp;",4326&amp;level=16","https://fema.maps.arcgis.com/apps/mapviewer/index.html?find="&amp;$F120&amp;"%2C"&amp;$E120&amp;"&amp;marker="&amp;$F120&amp;","&amp;$E120&amp;",4326&amp;level=16"))),"Open"))</f>
        <v/>
      </c>
      <c r="N120" s="6" t="str">
        <f>IF(OR(JobAgolMap="", $E120="", $F120=""),"",HYPERLINK(JobAgolMap&amp;IF(ISNUMBER(FIND("?",JobAgolMap)),"&amp;","?")&amp;"center="&amp;$F120&amp;","&amp;$E120&amp;"&amp;level=16&amp;marker="&amp;$F120&amp;","&amp;$E120,"Open"))</f>
        <v/>
      </c>
      <c r="O120" s="6" t="str">
        <f>IF(OR($E120="",$F120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0" s="4"/>
      <c r="Q120" s="4"/>
      <c r="R120" s="4"/>
      <c r="S120" s="4"/>
      <c r="T120" s="4"/>
      <c r="U120" s="4"/>
      <c r="V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HYPERLINK(IF(OR(JobState="MI",JobState=""),"https://fema.maps.arcgis.com/apps/mapviewer/index.html?webmap=6a1702b9147243d1a5ee62cd614bc681&amp;center="&amp;$F121&amp;","&amp;$E121&amp;"&amp;level=16&amp;marker="&amp;$F121&amp;","&amp;$E121&amp;"",IF(JobState="IN","https://fema.maps.arcgis.com/apps/mapviewer/index.html?url=https%3A%2F%2Fgisdata.in.gov%2Fserver%2Frest%2Fservices%2FHosted%2FLRSE_Functional_Class%2FFeatureServer%2F22&amp;find="&amp;$F121&amp;"%2C"&amp;$E121&amp;"&amp;marker="&amp;$F121&amp;","&amp;$E121&amp;",4326&amp;level=16",IF(JobState="WI","https://fema.maps.arcgis.com/apps/mapviewer/index.html?url=https%3A%2F%2Fservices5.arcgis.com%2F0pgGLzT0Nh7FVjon%2Farcgis%2Frest%2Fservices%2FFFCL_gdb%2FFeatureServer%2F3&amp;find="&amp;$F121&amp;"%2C"&amp;$E121&amp;"&amp;marker="&amp;$F121&amp;","&amp;$E121&amp;",4326&amp;level=16","https://fema.maps.arcgis.com/apps/mapviewer/index.html?find="&amp;$F121&amp;"%2C"&amp;$E121&amp;"&amp;marker="&amp;$F121&amp;","&amp;$E121&amp;",4326&amp;level=16"))),"Open"))</f>
        <v/>
      </c>
      <c r="N121" s="6" t="str">
        <f>IF(OR(JobAgolMap="", $E121="", $F121=""),"",HYPERLINK(JobAgolMap&amp;IF(ISNUMBER(FIND("?",JobAgolMap)),"&amp;","?")&amp;"center="&amp;$F121&amp;","&amp;$E121&amp;"&amp;level=16&amp;marker="&amp;$F121&amp;","&amp;$E121,"Open"))</f>
        <v/>
      </c>
      <c r="O121" s="6" t="str">
        <f>IF(OR($E121="",$F121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1" s="4"/>
      <c r="Q121" s="4"/>
      <c r="R121" s="4"/>
      <c r="S121" s="4"/>
      <c r="T121" s="4"/>
      <c r="U121" s="4"/>
      <c r="V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HYPERLINK(IF(OR(JobState="MI",JobState=""),"https://fema.maps.arcgis.com/apps/mapviewer/index.html?webmap=6a1702b9147243d1a5ee62cd614bc681&amp;center="&amp;$F122&amp;","&amp;$E122&amp;"&amp;level=16&amp;marker="&amp;$F122&amp;","&amp;$E122&amp;"",IF(JobState="IN","https://fema.maps.arcgis.com/apps/mapviewer/index.html?url=https%3A%2F%2Fgisdata.in.gov%2Fserver%2Frest%2Fservices%2FHosted%2FLRSE_Functional_Class%2FFeatureServer%2F22&amp;find="&amp;$F122&amp;"%2C"&amp;$E122&amp;"&amp;marker="&amp;$F122&amp;","&amp;$E122&amp;",4326&amp;level=16",IF(JobState="WI","https://fema.maps.arcgis.com/apps/mapviewer/index.html?url=https%3A%2F%2Fservices5.arcgis.com%2F0pgGLzT0Nh7FVjon%2Farcgis%2Frest%2Fservices%2FFFCL_gdb%2FFeatureServer%2F3&amp;find="&amp;$F122&amp;"%2C"&amp;$E122&amp;"&amp;marker="&amp;$F122&amp;","&amp;$E122&amp;",4326&amp;level=16","https://fema.maps.arcgis.com/apps/mapviewer/index.html?find="&amp;$F122&amp;"%2C"&amp;$E122&amp;"&amp;marker="&amp;$F122&amp;","&amp;$E122&amp;",4326&amp;level=16"))),"Open"))</f>
        <v/>
      </c>
      <c r="N122" s="6" t="str">
        <f>IF(OR(JobAgolMap="", $E122="", $F122=""),"",HYPERLINK(JobAgolMap&amp;IF(ISNUMBER(FIND("?",JobAgolMap)),"&amp;","?")&amp;"center="&amp;$F122&amp;","&amp;$E122&amp;"&amp;level=16&amp;marker="&amp;$F122&amp;","&amp;$E122,"Open"))</f>
        <v/>
      </c>
      <c r="O122" s="6" t="str">
        <f>IF(OR($E122="",$F122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2" s="4"/>
      <c r="Q122" s="4"/>
      <c r="R122" s="4"/>
      <c r="S122" s="4"/>
      <c r="T122" s="4"/>
      <c r="U122" s="4"/>
      <c r="V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HYPERLINK(IF(OR(JobState="MI",JobState=""),"https://fema.maps.arcgis.com/apps/mapviewer/index.html?webmap=6a1702b9147243d1a5ee62cd614bc681&amp;center="&amp;$F123&amp;","&amp;$E123&amp;"&amp;level=16&amp;marker="&amp;$F123&amp;","&amp;$E123&amp;"",IF(JobState="IN","https://fema.maps.arcgis.com/apps/mapviewer/index.html?url=https%3A%2F%2Fgisdata.in.gov%2Fserver%2Frest%2Fservices%2FHosted%2FLRSE_Functional_Class%2FFeatureServer%2F22&amp;find="&amp;$F123&amp;"%2C"&amp;$E123&amp;"&amp;marker="&amp;$F123&amp;","&amp;$E123&amp;",4326&amp;level=16",IF(JobState="WI","https://fema.maps.arcgis.com/apps/mapviewer/index.html?url=https%3A%2F%2Fservices5.arcgis.com%2F0pgGLzT0Nh7FVjon%2Farcgis%2Frest%2Fservices%2FFFCL_gdb%2FFeatureServer%2F3&amp;find="&amp;$F123&amp;"%2C"&amp;$E123&amp;"&amp;marker="&amp;$F123&amp;","&amp;$E123&amp;",4326&amp;level=16","https://fema.maps.arcgis.com/apps/mapviewer/index.html?find="&amp;$F123&amp;"%2C"&amp;$E123&amp;"&amp;marker="&amp;$F123&amp;","&amp;$E123&amp;",4326&amp;level=16"))),"Open"))</f>
        <v/>
      </c>
      <c r="N123" s="6" t="str">
        <f>IF(OR(JobAgolMap="", $E123="", $F123=""),"",HYPERLINK(JobAgolMap&amp;IF(ISNUMBER(FIND("?",JobAgolMap)),"&amp;","?")&amp;"center="&amp;$F123&amp;","&amp;$E123&amp;"&amp;level=16&amp;marker="&amp;$F123&amp;","&amp;$E123,"Open"))</f>
        <v/>
      </c>
      <c r="O123" s="6" t="str">
        <f>IF(OR($E123="",$F123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3" s="4"/>
      <c r="Q123" s="4"/>
      <c r="R123" s="4"/>
      <c r="S123" s="4"/>
      <c r="T123" s="4"/>
      <c r="U123" s="4"/>
      <c r="V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HYPERLINK(IF(OR(JobState="MI",JobState=""),"https://fema.maps.arcgis.com/apps/mapviewer/index.html?webmap=6a1702b9147243d1a5ee62cd614bc681&amp;center="&amp;$F124&amp;","&amp;$E124&amp;"&amp;level=16&amp;marker="&amp;$F124&amp;","&amp;$E124&amp;"",IF(JobState="IN","https://fema.maps.arcgis.com/apps/mapviewer/index.html?url=https%3A%2F%2Fgisdata.in.gov%2Fserver%2Frest%2Fservices%2FHosted%2FLRSE_Functional_Class%2FFeatureServer%2F22&amp;find="&amp;$F124&amp;"%2C"&amp;$E124&amp;"&amp;marker="&amp;$F124&amp;","&amp;$E124&amp;",4326&amp;level=16",IF(JobState="WI","https://fema.maps.arcgis.com/apps/mapviewer/index.html?url=https%3A%2F%2Fservices5.arcgis.com%2F0pgGLzT0Nh7FVjon%2Farcgis%2Frest%2Fservices%2FFFCL_gdb%2FFeatureServer%2F3&amp;find="&amp;$F124&amp;"%2C"&amp;$E124&amp;"&amp;marker="&amp;$F124&amp;","&amp;$E124&amp;",4326&amp;level=16","https://fema.maps.arcgis.com/apps/mapviewer/index.html?find="&amp;$F124&amp;"%2C"&amp;$E124&amp;"&amp;marker="&amp;$F124&amp;","&amp;$E124&amp;",4326&amp;level=16"))),"Open"))</f>
        <v/>
      </c>
      <c r="N124" s="6" t="str">
        <f>IF(OR(JobAgolMap="", $E124="", $F124=""),"",HYPERLINK(JobAgolMap&amp;IF(ISNUMBER(FIND("?",JobAgolMap)),"&amp;","?")&amp;"center="&amp;$F124&amp;","&amp;$E124&amp;"&amp;level=16&amp;marker="&amp;$F124&amp;","&amp;$E124,"Open"))</f>
        <v/>
      </c>
      <c r="O124" s="6" t="str">
        <f>IF(OR($E124="",$F124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4" s="4"/>
      <c r="Q124" s="4"/>
      <c r="R124" s="4"/>
      <c r="S124" s="4"/>
      <c r="T124" s="4"/>
      <c r="U124" s="4"/>
      <c r="V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HYPERLINK(IF(OR(JobState="MI",JobState=""),"https://fema.maps.arcgis.com/apps/mapviewer/index.html?webmap=6a1702b9147243d1a5ee62cd614bc681&amp;center="&amp;$F125&amp;","&amp;$E125&amp;"&amp;level=16&amp;marker="&amp;$F125&amp;","&amp;$E125&amp;"",IF(JobState="IN","https://fema.maps.arcgis.com/apps/mapviewer/index.html?url=https%3A%2F%2Fgisdata.in.gov%2Fserver%2Frest%2Fservices%2FHosted%2FLRSE_Functional_Class%2FFeatureServer%2F22&amp;find="&amp;$F125&amp;"%2C"&amp;$E125&amp;"&amp;marker="&amp;$F125&amp;","&amp;$E125&amp;",4326&amp;level=16",IF(JobState="WI","https://fema.maps.arcgis.com/apps/mapviewer/index.html?url=https%3A%2F%2Fservices5.arcgis.com%2F0pgGLzT0Nh7FVjon%2Farcgis%2Frest%2Fservices%2FFFCL_gdb%2FFeatureServer%2F3&amp;find="&amp;$F125&amp;"%2C"&amp;$E125&amp;"&amp;marker="&amp;$F125&amp;","&amp;$E125&amp;",4326&amp;level=16","https://fema.maps.arcgis.com/apps/mapviewer/index.html?find="&amp;$F125&amp;"%2C"&amp;$E125&amp;"&amp;marker="&amp;$F125&amp;","&amp;$E125&amp;",4326&amp;level=16"))),"Open"))</f>
        <v/>
      </c>
      <c r="N125" s="6" t="str">
        <f>IF(OR(JobAgolMap="", $E125="", $F125=""),"",HYPERLINK(JobAgolMap&amp;IF(ISNUMBER(FIND("?",JobAgolMap)),"&amp;","?")&amp;"center="&amp;$F125&amp;","&amp;$E125&amp;"&amp;level=16&amp;marker="&amp;$F125&amp;","&amp;$E125,"Open"))</f>
        <v/>
      </c>
      <c r="O125" s="6" t="str">
        <f>IF(OR($E125="",$F125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5" s="4"/>
      <c r="Q125" s="4"/>
      <c r="R125" s="4"/>
      <c r="S125" s="4"/>
      <c r="T125" s="4"/>
      <c r="U125" s="4"/>
      <c r="V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HYPERLINK(IF(OR(JobState="MI",JobState=""),"https://fema.maps.arcgis.com/apps/mapviewer/index.html?webmap=6a1702b9147243d1a5ee62cd614bc681&amp;center="&amp;$F126&amp;","&amp;$E126&amp;"&amp;level=16&amp;marker="&amp;$F126&amp;","&amp;$E126&amp;"",IF(JobState="IN","https://fema.maps.arcgis.com/apps/mapviewer/index.html?url=https%3A%2F%2Fgisdata.in.gov%2Fserver%2Frest%2Fservices%2FHosted%2FLRSE_Functional_Class%2FFeatureServer%2F22&amp;find="&amp;$F126&amp;"%2C"&amp;$E126&amp;"&amp;marker="&amp;$F126&amp;","&amp;$E126&amp;",4326&amp;level=16",IF(JobState="WI","https://fema.maps.arcgis.com/apps/mapviewer/index.html?url=https%3A%2F%2Fservices5.arcgis.com%2F0pgGLzT0Nh7FVjon%2Farcgis%2Frest%2Fservices%2FFFCL_gdb%2FFeatureServer%2F3&amp;find="&amp;$F126&amp;"%2C"&amp;$E126&amp;"&amp;marker="&amp;$F126&amp;","&amp;$E126&amp;",4326&amp;level=16","https://fema.maps.arcgis.com/apps/mapviewer/index.html?find="&amp;$F126&amp;"%2C"&amp;$E126&amp;"&amp;marker="&amp;$F126&amp;","&amp;$E126&amp;",4326&amp;level=16"))),"Open"))</f>
        <v/>
      </c>
      <c r="N126" s="6" t="str">
        <f>IF(OR(JobAgolMap="", $E126="", $F126=""),"",HYPERLINK(JobAgolMap&amp;IF(ISNUMBER(FIND("?",JobAgolMap)),"&amp;","?")&amp;"center="&amp;$F126&amp;","&amp;$E126&amp;"&amp;level=16&amp;marker="&amp;$F126&amp;","&amp;$E126,"Open"))</f>
        <v/>
      </c>
      <c r="O126" s="6" t="str">
        <f>IF(OR($E126="",$F126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6" s="4"/>
      <c r="Q126" s="4"/>
      <c r="R126" s="4"/>
      <c r="S126" s="4"/>
      <c r="T126" s="4"/>
      <c r="U126" s="4"/>
      <c r="V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HYPERLINK(IF(OR(JobState="MI",JobState=""),"https://fema.maps.arcgis.com/apps/mapviewer/index.html?webmap=6a1702b9147243d1a5ee62cd614bc681&amp;center="&amp;$F127&amp;","&amp;$E127&amp;"&amp;level=16&amp;marker="&amp;$F127&amp;","&amp;$E127&amp;"",IF(JobState="IN","https://fema.maps.arcgis.com/apps/mapviewer/index.html?url=https%3A%2F%2Fgisdata.in.gov%2Fserver%2Frest%2Fservices%2FHosted%2FLRSE_Functional_Class%2FFeatureServer%2F22&amp;find="&amp;$F127&amp;"%2C"&amp;$E127&amp;"&amp;marker="&amp;$F127&amp;","&amp;$E127&amp;",4326&amp;level=16",IF(JobState="WI","https://fema.maps.arcgis.com/apps/mapviewer/index.html?url=https%3A%2F%2Fservices5.arcgis.com%2F0pgGLzT0Nh7FVjon%2Farcgis%2Frest%2Fservices%2FFFCL_gdb%2FFeatureServer%2F3&amp;find="&amp;$F127&amp;"%2C"&amp;$E127&amp;"&amp;marker="&amp;$F127&amp;","&amp;$E127&amp;",4326&amp;level=16","https://fema.maps.arcgis.com/apps/mapviewer/index.html?find="&amp;$F127&amp;"%2C"&amp;$E127&amp;"&amp;marker="&amp;$F127&amp;","&amp;$E127&amp;",4326&amp;level=16"))),"Open"))</f>
        <v/>
      </c>
      <c r="N127" s="6" t="str">
        <f>IF(OR(JobAgolMap="", $E127="", $F127=""),"",HYPERLINK(JobAgolMap&amp;IF(ISNUMBER(FIND("?",JobAgolMap)),"&amp;","?")&amp;"center="&amp;$F127&amp;","&amp;$E127&amp;"&amp;level=16&amp;marker="&amp;$F127&amp;","&amp;$E127,"Open"))</f>
        <v/>
      </c>
      <c r="O127" s="6" t="str">
        <f>IF(OR($E127="",$F127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7" s="4"/>
      <c r="Q127" s="4"/>
      <c r="R127" s="4"/>
      <c r="S127" s="4"/>
      <c r="T127" s="4"/>
      <c r="U127" s="4"/>
      <c r="V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HYPERLINK(IF(OR(JobState="MI",JobState=""),"https://fema.maps.arcgis.com/apps/mapviewer/index.html?webmap=6a1702b9147243d1a5ee62cd614bc681&amp;center="&amp;$F128&amp;","&amp;$E128&amp;"&amp;level=16&amp;marker="&amp;$F128&amp;","&amp;$E128&amp;"",IF(JobState="IN","https://fema.maps.arcgis.com/apps/mapviewer/index.html?url=https%3A%2F%2Fgisdata.in.gov%2Fserver%2Frest%2Fservices%2FHosted%2FLRSE_Functional_Class%2FFeatureServer%2F22&amp;find="&amp;$F128&amp;"%2C"&amp;$E128&amp;"&amp;marker="&amp;$F128&amp;","&amp;$E128&amp;",4326&amp;level=16",IF(JobState="WI","https://fema.maps.arcgis.com/apps/mapviewer/index.html?url=https%3A%2F%2Fservices5.arcgis.com%2F0pgGLzT0Nh7FVjon%2Farcgis%2Frest%2Fservices%2FFFCL_gdb%2FFeatureServer%2F3&amp;find="&amp;$F128&amp;"%2C"&amp;$E128&amp;"&amp;marker="&amp;$F128&amp;","&amp;$E128&amp;",4326&amp;level=16","https://fema.maps.arcgis.com/apps/mapviewer/index.html?find="&amp;$F128&amp;"%2C"&amp;$E128&amp;"&amp;marker="&amp;$F128&amp;","&amp;$E128&amp;",4326&amp;level=16"))),"Open"))</f>
        <v/>
      </c>
      <c r="N128" s="6" t="str">
        <f>IF(OR(JobAgolMap="", $E128="", $F128=""),"",HYPERLINK(JobAgolMap&amp;IF(ISNUMBER(FIND("?",JobAgolMap)),"&amp;","?")&amp;"center="&amp;$F128&amp;","&amp;$E128&amp;"&amp;level=16&amp;marker="&amp;$F128&amp;","&amp;$E128,"Open"))</f>
        <v/>
      </c>
      <c r="O128" s="6" t="str">
        <f>IF(OR($E128="",$F128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8" s="4"/>
      <c r="Q128" s="4"/>
      <c r="R128" s="4"/>
      <c r="S128" s="4"/>
      <c r="T128" s="4"/>
      <c r="U128" s="4"/>
      <c r="V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HYPERLINK(IF(OR(JobState="MI",JobState=""),"https://fema.maps.arcgis.com/apps/mapviewer/index.html?webmap=6a1702b9147243d1a5ee62cd614bc681&amp;center="&amp;$F129&amp;","&amp;$E129&amp;"&amp;level=16&amp;marker="&amp;$F129&amp;","&amp;$E129&amp;"",IF(JobState="IN","https://fema.maps.arcgis.com/apps/mapviewer/index.html?url=https%3A%2F%2Fgisdata.in.gov%2Fserver%2Frest%2Fservices%2FHosted%2FLRSE_Functional_Class%2FFeatureServer%2F22&amp;find="&amp;$F129&amp;"%2C"&amp;$E129&amp;"&amp;marker="&amp;$F129&amp;","&amp;$E129&amp;",4326&amp;level=16",IF(JobState="WI","https://fema.maps.arcgis.com/apps/mapviewer/index.html?url=https%3A%2F%2Fservices5.arcgis.com%2F0pgGLzT0Nh7FVjon%2Farcgis%2Frest%2Fservices%2FFFCL_gdb%2FFeatureServer%2F3&amp;find="&amp;$F129&amp;"%2C"&amp;$E129&amp;"&amp;marker="&amp;$F129&amp;","&amp;$E129&amp;",4326&amp;level=16","https://fema.maps.arcgis.com/apps/mapviewer/index.html?find="&amp;$F129&amp;"%2C"&amp;$E129&amp;"&amp;marker="&amp;$F129&amp;","&amp;$E129&amp;",4326&amp;level=16"))),"Open"))</f>
        <v/>
      </c>
      <c r="N129" s="6" t="str">
        <f>IF(OR(JobAgolMap="", $E129="", $F129=""),"",HYPERLINK(JobAgolMap&amp;IF(ISNUMBER(FIND("?",JobAgolMap)),"&amp;","?")&amp;"center="&amp;$F129&amp;","&amp;$E129&amp;"&amp;level=16&amp;marker="&amp;$F129&amp;","&amp;$E129,"Open"))</f>
        <v/>
      </c>
      <c r="O129" s="6" t="str">
        <f>IF(OR($E129="",$F129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9" s="4"/>
      <c r="Q129" s="4"/>
      <c r="R129" s="4"/>
      <c r="S129" s="4"/>
      <c r="T129" s="4"/>
      <c r="U129" s="4"/>
      <c r="V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HYPERLINK(IF(OR(JobState="MI",JobState=""),"https://fema.maps.arcgis.com/apps/mapviewer/index.html?webmap=6a1702b9147243d1a5ee62cd614bc681&amp;center="&amp;$F130&amp;","&amp;$E130&amp;"&amp;level=16&amp;marker="&amp;$F130&amp;","&amp;$E130&amp;"",IF(JobState="IN","https://fema.maps.arcgis.com/apps/mapviewer/index.html?url=https%3A%2F%2Fgisdata.in.gov%2Fserver%2Frest%2Fservices%2FHosted%2FLRSE_Functional_Class%2FFeatureServer%2F22&amp;find="&amp;$F130&amp;"%2C"&amp;$E130&amp;"&amp;marker="&amp;$F130&amp;","&amp;$E130&amp;",4326&amp;level=16",IF(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IF(OR(JobAgolMap="", $E130="", $F130=""),"",HYPERLINK(JobAgolMap&amp;IF(ISNUMBER(FIND("?",JobAgolMap)),"&amp;","?")&amp;"center="&amp;$F130&amp;","&amp;$E130&amp;"&amp;level=16&amp;marker="&amp;$F130&amp;","&amp;$E130,"Open"))</f>
        <v/>
      </c>
      <c r="O130" s="6" t="str">
        <f>IF(OR($E130="",$F130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0" s="4"/>
      <c r="Q130" s="4"/>
      <c r="R130" s="4"/>
      <c r="S130" s="4"/>
      <c r="T130" s="4"/>
      <c r="U130" s="4"/>
      <c r="V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HYPERLINK(IF(OR(JobState="MI",JobState=""),"https://fema.maps.arcgis.com/apps/mapviewer/index.html?webmap=6a1702b9147243d1a5ee62cd614bc681&amp;center="&amp;$F131&amp;","&amp;$E131&amp;"&amp;level=16&amp;marker="&amp;$F131&amp;","&amp;$E131&amp;"",IF(JobState="IN","https://fema.maps.arcgis.com/apps/mapviewer/index.html?url=https%3A%2F%2Fgisdata.in.gov%2Fserver%2Frest%2Fservices%2FHosted%2FLRSE_Functional_Class%2FFeatureServer%2F22&amp;find="&amp;$F131&amp;"%2C"&amp;$E131&amp;"&amp;marker="&amp;$F131&amp;","&amp;$E131&amp;",4326&amp;level=16",IF(JobState="WI","https://fema.maps.arcgis.com/apps/mapviewer/index.html?url=https%3A%2F%2Fservices5.arcgis.com%2F0pgGLzT0Nh7FVjon%2Farcgis%2Frest%2Fservices%2FFFCL_gdb%2FFeatureServer%2F3&amp;find="&amp;$F131&amp;"%2C"&amp;$E131&amp;"&amp;marker="&amp;$F131&amp;","&amp;$E131&amp;",4326&amp;level=16","https://fema.maps.arcgis.com/apps/mapviewer/index.html?find="&amp;$F131&amp;"%2C"&amp;$E131&amp;"&amp;marker="&amp;$F131&amp;","&amp;$E131&amp;",4326&amp;level=16"))),"Open"))</f>
        <v/>
      </c>
      <c r="N131" s="6" t="str">
        <f>IF(OR(JobAgolMap="", $E131="", $F131=""),"",HYPERLINK(JobAgolMap&amp;IF(ISNUMBER(FIND("?",JobAgolMap)),"&amp;","?")&amp;"center="&amp;$F131&amp;","&amp;$E131&amp;"&amp;level=16&amp;marker="&amp;$F131&amp;","&amp;$E131,"Open"))</f>
        <v/>
      </c>
      <c r="O131" s="6" t="str">
        <f>IF(OR($E131="",$F131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1" s="4"/>
      <c r="Q131" s="4"/>
      <c r="R131" s="4"/>
      <c r="S131" s="4"/>
      <c r="T131" s="4"/>
      <c r="U131" s="4"/>
      <c r="V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HYPERLINK(IF(OR(JobState="MI",JobState=""),"https://fema.maps.arcgis.com/apps/mapviewer/index.html?webmap=6a1702b9147243d1a5ee62cd614bc681&amp;center="&amp;$F132&amp;","&amp;$E132&amp;"&amp;level=16&amp;marker="&amp;$F132&amp;","&amp;$E132&amp;"",IF(JobState="IN","https://fema.maps.arcgis.com/apps/mapviewer/index.html?url=https%3A%2F%2Fgisdata.in.gov%2Fserver%2Frest%2Fservices%2FHosted%2FLRSE_Functional_Class%2FFeatureServer%2F22&amp;find="&amp;$F132&amp;"%2C"&amp;$E132&amp;"&amp;marker="&amp;$F132&amp;","&amp;$E132&amp;",4326&amp;level=16",IF(JobState="WI","https://fema.maps.arcgis.com/apps/mapviewer/index.html?url=https%3A%2F%2Fservices5.arcgis.com%2F0pgGLzT0Nh7FVjon%2Farcgis%2Frest%2Fservices%2FFFCL_gdb%2FFeatureServer%2F3&amp;find="&amp;$F132&amp;"%2C"&amp;$E132&amp;"&amp;marker="&amp;$F132&amp;","&amp;$E132&amp;",4326&amp;level=16","https://fema.maps.arcgis.com/apps/mapviewer/index.html?find="&amp;$F132&amp;"%2C"&amp;$E132&amp;"&amp;marker="&amp;$F132&amp;","&amp;$E132&amp;",4326&amp;level=16"))),"Open"))</f>
        <v/>
      </c>
      <c r="N132" s="6" t="str">
        <f>IF(OR(JobAgolMap="", $E132="", $F132=""),"",HYPERLINK(JobAgolMap&amp;IF(ISNUMBER(FIND("?",JobAgolMap)),"&amp;","?")&amp;"center="&amp;$F132&amp;","&amp;$E132&amp;"&amp;level=16&amp;marker="&amp;$F132&amp;","&amp;$E132,"Open"))</f>
        <v/>
      </c>
      <c r="O132" s="6" t="str">
        <f>IF(OR($E132="",$F132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2" s="4"/>
      <c r="Q132" s="4"/>
      <c r="R132" s="4"/>
      <c r="S132" s="4"/>
      <c r="T132" s="4"/>
      <c r="U132" s="4"/>
      <c r="V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HYPERLINK(IF(OR(JobState="MI",JobState=""),"https://fema.maps.arcgis.com/apps/mapviewer/index.html?webmap=6a1702b9147243d1a5ee62cd614bc681&amp;center="&amp;$F133&amp;","&amp;$E133&amp;"&amp;level=16&amp;marker="&amp;$F133&amp;","&amp;$E133&amp;"",IF(JobState="IN","https://fema.maps.arcgis.com/apps/mapviewer/index.html?url=https%3A%2F%2Fgisdata.in.gov%2Fserver%2Frest%2Fservices%2FHosted%2FLRSE_Functional_Class%2FFeatureServer%2F22&amp;find="&amp;$F133&amp;"%2C"&amp;$E133&amp;"&amp;marker="&amp;$F133&amp;","&amp;$E133&amp;",4326&amp;level=16",IF(JobState="WI","https://fema.maps.arcgis.com/apps/mapviewer/index.html?url=https%3A%2F%2Fservices5.arcgis.com%2F0pgGLzT0Nh7FVjon%2Farcgis%2Frest%2Fservices%2FFFCL_gdb%2FFeatureServer%2F3&amp;find="&amp;$F133&amp;"%2C"&amp;$E133&amp;"&amp;marker="&amp;$F133&amp;","&amp;$E133&amp;",4326&amp;level=16","https://fema.maps.arcgis.com/apps/mapviewer/index.html?find="&amp;$F133&amp;"%2C"&amp;$E133&amp;"&amp;marker="&amp;$F133&amp;","&amp;$E133&amp;",4326&amp;level=16"))),"Open"))</f>
        <v/>
      </c>
      <c r="N133" s="6" t="str">
        <f>IF(OR(JobAgolMap="", $E133="", $F133=""),"",HYPERLINK(JobAgolMap&amp;IF(ISNUMBER(FIND("?",JobAgolMap)),"&amp;","?")&amp;"center="&amp;$F133&amp;","&amp;$E133&amp;"&amp;level=16&amp;marker="&amp;$F133&amp;","&amp;$E133,"Open"))</f>
        <v/>
      </c>
      <c r="O133" s="6" t="str">
        <f>IF(OR($E133="",$F133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3" s="4"/>
      <c r="Q133" s="4"/>
      <c r="R133" s="4"/>
      <c r="S133" s="4"/>
      <c r="T133" s="4"/>
      <c r="U133" s="4"/>
      <c r="V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HYPERLINK(IF(OR(JobState="MI",JobState=""),"https://fema.maps.arcgis.com/apps/mapviewer/index.html?webmap=6a1702b9147243d1a5ee62cd614bc681&amp;center="&amp;$F134&amp;","&amp;$E134&amp;"&amp;level=16&amp;marker="&amp;$F134&amp;","&amp;$E134&amp;"",IF(JobState="IN","https://fema.maps.arcgis.com/apps/mapviewer/index.html?url=https%3A%2F%2Fgisdata.in.gov%2Fserver%2Frest%2Fservices%2FHosted%2FLRSE_Functional_Class%2FFeatureServer%2F22&amp;find="&amp;$F134&amp;"%2C"&amp;$E134&amp;"&amp;marker="&amp;$F134&amp;","&amp;$E134&amp;",4326&amp;level=16",IF(JobState="WI","https://fema.maps.arcgis.com/apps/mapviewer/index.html?url=https%3A%2F%2Fservices5.arcgis.com%2F0pgGLzT0Nh7FVjon%2Farcgis%2Frest%2Fservices%2FFFCL_gdb%2FFeatureServer%2F3&amp;find="&amp;$F134&amp;"%2C"&amp;$E134&amp;"&amp;marker="&amp;$F134&amp;","&amp;$E134&amp;",4326&amp;level=16","https://fema.maps.arcgis.com/apps/mapviewer/index.html?find="&amp;$F134&amp;"%2C"&amp;$E134&amp;"&amp;marker="&amp;$F134&amp;","&amp;$E134&amp;",4326&amp;level=16"))),"Open"))</f>
        <v/>
      </c>
      <c r="N134" s="6" t="str">
        <f>IF(OR(JobAgolMap="", $E134="", $F134=""),"",HYPERLINK(JobAgolMap&amp;IF(ISNUMBER(FIND("?",JobAgolMap)),"&amp;","?")&amp;"center="&amp;$F134&amp;","&amp;$E134&amp;"&amp;level=16&amp;marker="&amp;$F134&amp;","&amp;$E134,"Open"))</f>
        <v/>
      </c>
      <c r="O134" s="6" t="str">
        <f>IF(OR($E134="",$F134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4" s="4"/>
      <c r="Q134" s="4"/>
      <c r="R134" s="4"/>
      <c r="S134" s="4"/>
      <c r="T134" s="4"/>
      <c r="U134" s="4"/>
      <c r="V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HYPERLINK(IF(OR(JobState="MI",JobState=""),"https://fema.maps.arcgis.com/apps/mapviewer/index.html?webmap=6a1702b9147243d1a5ee62cd614bc681&amp;center="&amp;$F135&amp;","&amp;$E135&amp;"&amp;level=16&amp;marker="&amp;$F135&amp;","&amp;$E135&amp;"",IF(JobState="IN","https://fema.maps.arcgis.com/apps/mapviewer/index.html?url=https%3A%2F%2Fgisdata.in.gov%2Fserver%2Frest%2Fservices%2FHosted%2FLRSE_Functional_Class%2FFeatureServer%2F22&amp;find="&amp;$F135&amp;"%2C"&amp;$E135&amp;"&amp;marker="&amp;$F135&amp;","&amp;$E135&amp;",4326&amp;level=16",IF(JobState="WI","https://fema.maps.arcgis.com/apps/mapviewer/index.html?url=https%3A%2F%2Fservices5.arcgis.com%2F0pgGLzT0Nh7FVjon%2Farcgis%2Frest%2Fservices%2FFFCL_gdb%2FFeatureServer%2F3&amp;find="&amp;$F135&amp;"%2C"&amp;$E135&amp;"&amp;marker="&amp;$F135&amp;","&amp;$E135&amp;",4326&amp;level=16","https://fema.maps.arcgis.com/apps/mapviewer/index.html?find="&amp;$F135&amp;"%2C"&amp;$E135&amp;"&amp;marker="&amp;$F135&amp;","&amp;$E135&amp;",4326&amp;level=16"))),"Open"))</f>
        <v/>
      </c>
      <c r="N135" s="6" t="str">
        <f>IF(OR(JobAgolMap="", $E135="", $F135=""),"",HYPERLINK(JobAgolMap&amp;IF(ISNUMBER(FIND("?",JobAgolMap)),"&amp;","?")&amp;"center="&amp;$F135&amp;","&amp;$E135&amp;"&amp;level=16&amp;marker="&amp;$F135&amp;","&amp;$E135,"Open"))</f>
        <v/>
      </c>
      <c r="O135" s="6" t="str">
        <f>IF(OR($E135="",$F135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5" s="4"/>
      <c r="Q135" s="4"/>
      <c r="R135" s="4"/>
      <c r="S135" s="4"/>
      <c r="T135" s="4"/>
      <c r="U135" s="4"/>
      <c r="V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HYPERLINK(IF(OR(JobState="MI",JobState=""),"https://fema.maps.arcgis.com/apps/mapviewer/index.html?webmap=6a1702b9147243d1a5ee62cd614bc681&amp;center="&amp;$F136&amp;","&amp;$E136&amp;"&amp;level=16&amp;marker="&amp;$F136&amp;","&amp;$E136&amp;"",IF(JobState="IN","https://fema.maps.arcgis.com/apps/mapviewer/index.html?url=https%3A%2F%2Fgisdata.in.gov%2Fserver%2Frest%2Fservices%2FHosted%2FLRSE_Functional_Class%2FFeatureServer%2F22&amp;find="&amp;$F136&amp;"%2C"&amp;$E136&amp;"&amp;marker="&amp;$F136&amp;","&amp;$E136&amp;",4326&amp;level=16",IF(JobState="WI","https://fema.maps.arcgis.com/apps/mapviewer/index.html?url=https%3A%2F%2Fservices5.arcgis.com%2F0pgGLzT0Nh7FVjon%2Farcgis%2Frest%2Fservices%2FFFCL_gdb%2FFeatureServer%2F3&amp;find="&amp;$F136&amp;"%2C"&amp;$E136&amp;"&amp;marker="&amp;$F136&amp;","&amp;$E136&amp;",4326&amp;level=16","https://fema.maps.arcgis.com/apps/mapviewer/index.html?find="&amp;$F136&amp;"%2C"&amp;$E136&amp;"&amp;marker="&amp;$F136&amp;","&amp;$E136&amp;",4326&amp;level=16"))),"Open"))</f>
        <v/>
      </c>
      <c r="N136" s="6" t="str">
        <f>IF(OR(JobAgolMap="", $E136="", $F136=""),"",HYPERLINK(JobAgolMap&amp;IF(ISNUMBER(FIND("?",JobAgolMap)),"&amp;","?")&amp;"center="&amp;$F136&amp;","&amp;$E136&amp;"&amp;level=16&amp;marker="&amp;$F136&amp;","&amp;$E136,"Open"))</f>
        <v/>
      </c>
      <c r="O136" s="6" t="str">
        <f>IF(OR($E136="",$F136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6" s="4"/>
      <c r="Q136" s="4"/>
      <c r="R136" s="4"/>
      <c r="S136" s="4"/>
      <c r="T136" s="4"/>
      <c r="U136" s="4"/>
      <c r="V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HYPERLINK(IF(OR(JobState="MI",JobState=""),"https://fema.maps.arcgis.com/apps/mapviewer/index.html?webmap=6a1702b9147243d1a5ee62cd614bc681&amp;center="&amp;$F137&amp;","&amp;$E137&amp;"&amp;level=16&amp;marker="&amp;$F137&amp;","&amp;$E137&amp;"",IF(JobState="IN","https://fema.maps.arcgis.com/apps/mapviewer/index.html?url=https%3A%2F%2Fgisdata.in.gov%2Fserver%2Frest%2Fservices%2FHosted%2FLRSE_Functional_Class%2FFeatureServer%2F22&amp;find="&amp;$F137&amp;"%2C"&amp;$E137&amp;"&amp;marker="&amp;$F137&amp;","&amp;$E137&amp;",4326&amp;level=16",IF(JobState="WI","https://fema.maps.arcgis.com/apps/mapviewer/index.html?url=https%3A%2F%2Fservices5.arcgis.com%2F0pgGLzT0Nh7FVjon%2Farcgis%2Frest%2Fservices%2FFFCL_gdb%2FFeatureServer%2F3&amp;find="&amp;$F137&amp;"%2C"&amp;$E137&amp;"&amp;marker="&amp;$F137&amp;","&amp;$E137&amp;",4326&amp;level=16","https://fema.maps.arcgis.com/apps/mapviewer/index.html?find="&amp;$F137&amp;"%2C"&amp;$E137&amp;"&amp;marker="&amp;$F137&amp;","&amp;$E137&amp;",4326&amp;level=16"))),"Open"))</f>
        <v/>
      </c>
      <c r="N137" s="6" t="str">
        <f>IF(OR(JobAgolMap="", $E137="", $F137=""),"",HYPERLINK(JobAgolMap&amp;IF(ISNUMBER(FIND("?",JobAgolMap)),"&amp;","?")&amp;"center="&amp;$F137&amp;","&amp;$E137&amp;"&amp;level=16&amp;marker="&amp;$F137&amp;","&amp;$E137,"Open"))</f>
        <v/>
      </c>
      <c r="O137" s="6" t="str">
        <f>IF(OR($E137="",$F137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7" s="4"/>
      <c r="Q137" s="4"/>
      <c r="R137" s="4"/>
      <c r="S137" s="4"/>
      <c r="T137" s="4"/>
      <c r="U137" s="4"/>
      <c r="V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HYPERLINK(IF(OR(JobState="MI",JobState=""),"https://fema.maps.arcgis.com/apps/mapviewer/index.html?webmap=6a1702b9147243d1a5ee62cd614bc681&amp;center="&amp;$F138&amp;","&amp;$E138&amp;"&amp;level=16&amp;marker="&amp;$F138&amp;","&amp;$E138&amp;"",IF(JobState="IN","https://fema.maps.arcgis.com/apps/mapviewer/index.html?url=https%3A%2F%2Fgisdata.in.gov%2Fserver%2Frest%2Fservices%2FHosted%2FLRSE_Functional_Class%2FFeatureServer%2F22&amp;find="&amp;$F138&amp;"%2C"&amp;$E138&amp;"&amp;marker="&amp;$F138&amp;","&amp;$E138&amp;",4326&amp;level=16",IF(JobState="WI","https://fema.maps.arcgis.com/apps/mapviewer/index.html?url=https%3A%2F%2Fservices5.arcgis.com%2F0pgGLzT0Nh7FVjon%2Farcgis%2Frest%2Fservices%2FFFCL_gdb%2FFeatureServer%2F3&amp;find="&amp;$F138&amp;"%2C"&amp;$E138&amp;"&amp;marker="&amp;$F138&amp;","&amp;$E138&amp;",4326&amp;level=16","https://fema.maps.arcgis.com/apps/mapviewer/index.html?find="&amp;$F138&amp;"%2C"&amp;$E138&amp;"&amp;marker="&amp;$F138&amp;","&amp;$E138&amp;",4326&amp;level=16"))),"Open"))</f>
        <v/>
      </c>
      <c r="N138" s="6" t="str">
        <f>IF(OR(JobAgolMap="", $E138="", $F138=""),"",HYPERLINK(JobAgolMap&amp;IF(ISNUMBER(FIND("?",JobAgolMap)),"&amp;","?")&amp;"center="&amp;$F138&amp;","&amp;$E138&amp;"&amp;level=16&amp;marker="&amp;$F138&amp;","&amp;$E138,"Open"))</f>
        <v/>
      </c>
      <c r="O138" s="6" t="str">
        <f>IF(OR($E138="",$F138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8" s="4"/>
      <c r="Q138" s="4"/>
      <c r="R138" s="4"/>
      <c r="S138" s="4"/>
      <c r="T138" s="4"/>
      <c r="U138" s="4"/>
      <c r="V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HYPERLINK(IF(OR(JobState="MI",JobState=""),"https://fema.maps.arcgis.com/apps/mapviewer/index.html?webmap=6a1702b9147243d1a5ee62cd614bc681&amp;center="&amp;$F139&amp;","&amp;$E139&amp;"&amp;level=16&amp;marker="&amp;$F139&amp;","&amp;$E139&amp;"",IF(JobState="IN","https://fema.maps.arcgis.com/apps/mapviewer/index.html?url=https%3A%2F%2Fgisdata.in.gov%2Fserver%2Frest%2Fservices%2FHosted%2FLRSE_Functional_Class%2FFeatureServer%2F22&amp;find="&amp;$F139&amp;"%2C"&amp;$E139&amp;"&amp;marker="&amp;$F139&amp;","&amp;$E139&amp;",4326&amp;level=16",IF(JobState="WI","https://fema.maps.arcgis.com/apps/mapviewer/index.html?url=https%3A%2F%2Fservices5.arcgis.com%2F0pgGLzT0Nh7FVjon%2Farcgis%2Frest%2Fservices%2FFFCL_gdb%2FFeatureServer%2F3&amp;find="&amp;$F139&amp;"%2C"&amp;$E139&amp;"&amp;marker="&amp;$F139&amp;","&amp;$E139&amp;",4326&amp;level=16","https://fema.maps.arcgis.com/apps/mapviewer/index.html?find="&amp;$F139&amp;"%2C"&amp;$E139&amp;"&amp;marker="&amp;$F139&amp;","&amp;$E139&amp;",4326&amp;level=16"))),"Open"))</f>
        <v/>
      </c>
      <c r="N139" s="6" t="str">
        <f>IF(OR(JobAgolMap="", $E139="", $F139=""),"",HYPERLINK(JobAgolMap&amp;IF(ISNUMBER(FIND("?",JobAgolMap)),"&amp;","?")&amp;"center="&amp;$F139&amp;","&amp;$E139&amp;"&amp;level=16&amp;marker="&amp;$F139&amp;","&amp;$E139,"Open"))</f>
        <v/>
      </c>
      <c r="O139" s="6" t="str">
        <f>IF(OR($E139="",$F139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9" s="4"/>
      <c r="Q139" s="4"/>
      <c r="R139" s="4"/>
      <c r="S139" s="4"/>
      <c r="T139" s="4"/>
      <c r="U139" s="4"/>
      <c r="V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HYPERLINK(IF(OR(JobState="MI",JobState=""),"https://fema.maps.arcgis.com/apps/mapviewer/index.html?webmap=6a1702b9147243d1a5ee62cd614bc681&amp;center="&amp;$F140&amp;","&amp;$E140&amp;"&amp;level=16&amp;marker="&amp;$F140&amp;","&amp;$E140&amp;"",IF(JobState="IN","https://fema.maps.arcgis.com/apps/mapviewer/index.html?url=https%3A%2F%2Fgisdata.in.gov%2Fserver%2Frest%2Fservices%2FHosted%2FLRSE_Functional_Class%2FFeatureServer%2F22&amp;find="&amp;$F140&amp;"%2C"&amp;$E140&amp;"&amp;marker="&amp;$F140&amp;","&amp;$E140&amp;",4326&amp;level=16",IF(JobState="WI","https://fema.maps.arcgis.com/apps/mapviewer/index.html?url=https%3A%2F%2Fservices5.arcgis.com%2F0pgGLzT0Nh7FVjon%2Farcgis%2Frest%2Fservices%2FFFCL_gdb%2FFeatureServer%2F3&amp;find="&amp;$F140&amp;"%2C"&amp;$E140&amp;"&amp;marker="&amp;$F140&amp;","&amp;$E140&amp;",4326&amp;level=16","https://fema.maps.arcgis.com/apps/mapviewer/index.html?find="&amp;$F140&amp;"%2C"&amp;$E140&amp;"&amp;marker="&amp;$F140&amp;","&amp;$E140&amp;",4326&amp;level=16"))),"Open"))</f>
        <v/>
      </c>
      <c r="N140" s="6" t="str">
        <f>IF(OR(JobAgolMap="", $E140="", $F140=""),"",HYPERLINK(JobAgolMap&amp;IF(ISNUMBER(FIND("?",JobAgolMap)),"&amp;","?")&amp;"center="&amp;$F140&amp;","&amp;$E140&amp;"&amp;level=16&amp;marker="&amp;$F140&amp;","&amp;$E140,"Open"))</f>
        <v/>
      </c>
      <c r="O140" s="6" t="str">
        <f>IF(OR($E140="",$F140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0" s="4"/>
      <c r="Q140" s="4"/>
      <c r="R140" s="4"/>
      <c r="S140" s="4"/>
      <c r="T140" s="4"/>
      <c r="U140" s="4"/>
      <c r="V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HYPERLINK(IF(OR(JobState="MI",JobState=""),"https://fema.maps.arcgis.com/apps/mapviewer/index.html?webmap=6a1702b9147243d1a5ee62cd614bc681&amp;center="&amp;$F141&amp;","&amp;$E141&amp;"&amp;level=16&amp;marker="&amp;$F141&amp;","&amp;$E141&amp;"",IF(JobState="IN","https://fema.maps.arcgis.com/apps/mapviewer/index.html?url=https%3A%2F%2Fgisdata.in.gov%2Fserver%2Frest%2Fservices%2FHosted%2FLRSE_Functional_Class%2FFeatureServer%2F22&amp;find="&amp;$F141&amp;"%2C"&amp;$E141&amp;"&amp;marker="&amp;$F141&amp;","&amp;$E141&amp;",4326&amp;level=16",IF(JobState="WI","https://fema.maps.arcgis.com/apps/mapviewer/index.html?url=https%3A%2F%2Fservices5.arcgis.com%2F0pgGLzT0Nh7FVjon%2Farcgis%2Frest%2Fservices%2FFFCL_gdb%2FFeatureServer%2F3&amp;find="&amp;$F141&amp;"%2C"&amp;$E141&amp;"&amp;marker="&amp;$F141&amp;","&amp;$E141&amp;",4326&amp;level=16","https://fema.maps.arcgis.com/apps/mapviewer/index.html?find="&amp;$F141&amp;"%2C"&amp;$E141&amp;"&amp;marker="&amp;$F141&amp;","&amp;$E141&amp;",4326&amp;level=16"))),"Open"))</f>
        <v/>
      </c>
      <c r="N141" s="6" t="str">
        <f>IF(OR(JobAgolMap="", $E141="", $F141=""),"",HYPERLINK(JobAgolMap&amp;IF(ISNUMBER(FIND("?",JobAgolMap)),"&amp;","?")&amp;"center="&amp;$F141&amp;","&amp;$E141&amp;"&amp;level=16&amp;marker="&amp;$F141&amp;","&amp;$E141,"Open"))</f>
        <v/>
      </c>
      <c r="O141" s="6" t="str">
        <f>IF(OR($E141="",$F141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1" s="4"/>
      <c r="Q141" s="4"/>
      <c r="R141" s="4"/>
      <c r="S141" s="4"/>
      <c r="T141" s="4"/>
      <c r="U141" s="4"/>
      <c r="V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HYPERLINK(IF(OR(JobState="MI",JobState=""),"https://fema.maps.arcgis.com/apps/mapviewer/index.html?webmap=6a1702b9147243d1a5ee62cd614bc681&amp;center="&amp;$F142&amp;","&amp;$E142&amp;"&amp;level=16&amp;marker="&amp;$F142&amp;","&amp;$E142&amp;"",IF(JobState="IN","https://fema.maps.arcgis.com/apps/mapviewer/index.html?url=https%3A%2F%2Fgisdata.in.gov%2Fserver%2Frest%2Fservices%2FHosted%2FLRSE_Functional_Class%2FFeatureServer%2F22&amp;find="&amp;$F142&amp;"%2C"&amp;$E142&amp;"&amp;marker="&amp;$F142&amp;","&amp;$E142&amp;",4326&amp;level=16",IF(JobState="WI","https://fema.maps.arcgis.com/apps/mapviewer/index.html?url=https%3A%2F%2Fservices5.arcgis.com%2F0pgGLzT0Nh7FVjon%2Farcgis%2Frest%2Fservices%2FFFCL_gdb%2FFeatureServer%2F3&amp;find="&amp;$F142&amp;"%2C"&amp;$E142&amp;"&amp;marker="&amp;$F142&amp;","&amp;$E142&amp;",4326&amp;level=16","https://fema.maps.arcgis.com/apps/mapviewer/index.html?find="&amp;$F142&amp;"%2C"&amp;$E142&amp;"&amp;marker="&amp;$F142&amp;","&amp;$E142&amp;",4326&amp;level=16"))),"Open"))</f>
        <v/>
      </c>
      <c r="N142" s="6" t="str">
        <f>IF(OR(JobAgolMap="", $E142="", $F142=""),"",HYPERLINK(JobAgolMap&amp;IF(ISNUMBER(FIND("?",JobAgolMap)),"&amp;","?")&amp;"center="&amp;$F142&amp;","&amp;$E142&amp;"&amp;level=16&amp;marker="&amp;$F142&amp;","&amp;$E142,"Open"))</f>
        <v/>
      </c>
      <c r="O142" s="6" t="str">
        <f>IF(OR($E142="",$F142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2" s="4"/>
      <c r="Q142" s="4"/>
      <c r="R142" s="4"/>
      <c r="S142" s="4"/>
      <c r="T142" s="4"/>
      <c r="U142" s="4"/>
      <c r="V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HYPERLINK(IF(OR(JobState="MI",JobState=""),"https://fema.maps.arcgis.com/apps/mapviewer/index.html?webmap=6a1702b9147243d1a5ee62cd614bc681&amp;center="&amp;$F143&amp;","&amp;$E143&amp;"&amp;level=16&amp;marker="&amp;$F143&amp;","&amp;$E143&amp;"",IF(JobState="IN","https://fema.maps.arcgis.com/apps/mapviewer/index.html?url=https%3A%2F%2Fgisdata.in.gov%2Fserver%2Frest%2Fservices%2FHosted%2FLRSE_Functional_Class%2FFeatureServer%2F22&amp;find="&amp;$F143&amp;"%2C"&amp;$E143&amp;"&amp;marker="&amp;$F143&amp;","&amp;$E143&amp;",4326&amp;level=16",IF(JobState="WI","https://fema.maps.arcgis.com/apps/mapviewer/index.html?url=https%3A%2F%2Fservices5.arcgis.com%2F0pgGLzT0Nh7FVjon%2Farcgis%2Frest%2Fservices%2FFFCL_gdb%2FFeatureServer%2F3&amp;find="&amp;$F143&amp;"%2C"&amp;$E143&amp;"&amp;marker="&amp;$F143&amp;","&amp;$E143&amp;",4326&amp;level=16","https://fema.maps.arcgis.com/apps/mapviewer/index.html?find="&amp;$F143&amp;"%2C"&amp;$E143&amp;"&amp;marker="&amp;$F143&amp;","&amp;$E143&amp;",4326&amp;level=16"))),"Open"))</f>
        <v/>
      </c>
      <c r="N143" s="6" t="str">
        <f>IF(OR(JobAgolMap="", $E143="", $F143=""),"",HYPERLINK(JobAgolMap&amp;IF(ISNUMBER(FIND("?",JobAgolMap)),"&amp;","?")&amp;"center="&amp;$F143&amp;","&amp;$E143&amp;"&amp;level=16&amp;marker="&amp;$F143&amp;","&amp;$E143,"Open"))</f>
        <v/>
      </c>
      <c r="O143" s="6" t="str">
        <f>IF(OR($E143="",$F143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3" s="4"/>
      <c r="Q143" s="4"/>
      <c r="R143" s="4"/>
      <c r="S143" s="4"/>
      <c r="T143" s="4"/>
      <c r="U143" s="4"/>
      <c r="V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HYPERLINK(IF(OR(JobState="MI",JobState=""),"https://fema.maps.arcgis.com/apps/mapviewer/index.html?webmap=6a1702b9147243d1a5ee62cd614bc681&amp;center="&amp;$F144&amp;","&amp;$E144&amp;"&amp;level=16&amp;marker="&amp;$F144&amp;","&amp;$E144&amp;"",IF(JobState="IN","https://fema.maps.arcgis.com/apps/mapviewer/index.html?url=https%3A%2F%2Fgisdata.in.gov%2Fserver%2Frest%2Fservices%2FHosted%2FLRSE_Functional_Class%2FFeatureServer%2F22&amp;find="&amp;$F144&amp;"%2C"&amp;$E144&amp;"&amp;marker="&amp;$F144&amp;","&amp;$E144&amp;",4326&amp;level=16",IF(JobState="WI","https://fema.maps.arcgis.com/apps/mapviewer/index.html?url=https%3A%2F%2Fservices5.arcgis.com%2F0pgGLzT0Nh7FVjon%2Farcgis%2Frest%2Fservices%2FFFCL_gdb%2FFeatureServer%2F3&amp;find="&amp;$F144&amp;"%2C"&amp;$E144&amp;"&amp;marker="&amp;$F144&amp;","&amp;$E144&amp;",4326&amp;level=16","https://fema.maps.arcgis.com/apps/mapviewer/index.html?find="&amp;$F144&amp;"%2C"&amp;$E144&amp;"&amp;marker="&amp;$F144&amp;","&amp;$E144&amp;",4326&amp;level=16"))),"Open"))</f>
        <v/>
      </c>
      <c r="N144" s="6" t="str">
        <f>IF(OR(JobAgolMap="", $E144="", $F144=""),"",HYPERLINK(JobAgolMap&amp;IF(ISNUMBER(FIND("?",JobAgolMap)),"&amp;","?")&amp;"center="&amp;$F144&amp;","&amp;$E144&amp;"&amp;level=16&amp;marker="&amp;$F144&amp;","&amp;$E144,"Open"))</f>
        <v/>
      </c>
      <c r="O144" s="6" t="str">
        <f>IF(OR($E144="",$F144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4" s="4"/>
      <c r="Q144" s="4"/>
      <c r="R144" s="4"/>
      <c r="S144" s="4"/>
      <c r="T144" s="4"/>
      <c r="U144" s="4"/>
      <c r="V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HYPERLINK(IF(OR(JobState="MI",JobState=""),"https://fema.maps.arcgis.com/apps/mapviewer/index.html?webmap=6a1702b9147243d1a5ee62cd614bc681&amp;center="&amp;$F145&amp;","&amp;$E145&amp;"&amp;level=16&amp;marker="&amp;$F145&amp;","&amp;$E145&amp;"",IF(JobState="IN","https://fema.maps.arcgis.com/apps/mapviewer/index.html?url=https%3A%2F%2Fgisdata.in.gov%2Fserver%2Frest%2Fservices%2FHosted%2FLRSE_Functional_Class%2FFeatureServer%2F22&amp;find="&amp;$F145&amp;"%2C"&amp;$E145&amp;"&amp;marker="&amp;$F145&amp;","&amp;$E145&amp;",4326&amp;level=16",IF(JobState="WI","https://fema.maps.arcgis.com/apps/mapviewer/index.html?url=https%3A%2F%2Fservices5.arcgis.com%2F0pgGLzT0Nh7FVjon%2Farcgis%2Frest%2Fservices%2FFFCL_gdb%2FFeatureServer%2F3&amp;find="&amp;$F145&amp;"%2C"&amp;$E145&amp;"&amp;marker="&amp;$F145&amp;","&amp;$E145&amp;",4326&amp;level=16","https://fema.maps.arcgis.com/apps/mapviewer/index.html?find="&amp;$F145&amp;"%2C"&amp;$E145&amp;"&amp;marker="&amp;$F145&amp;","&amp;$E145&amp;",4326&amp;level=16"))),"Open"))</f>
        <v/>
      </c>
      <c r="N145" s="6" t="str">
        <f>IF(OR(JobAgolMap="", $E145="", $F145=""),"",HYPERLINK(JobAgolMap&amp;IF(ISNUMBER(FIND("?",JobAgolMap)),"&amp;","?")&amp;"center="&amp;$F145&amp;","&amp;$E145&amp;"&amp;level=16&amp;marker="&amp;$F145&amp;","&amp;$E145,"Open"))</f>
        <v/>
      </c>
      <c r="O145" s="6" t="str">
        <f>IF(OR($E145="",$F145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5" s="4"/>
      <c r="Q145" s="4"/>
      <c r="R145" s="4"/>
      <c r="S145" s="4"/>
      <c r="T145" s="4"/>
      <c r="U145" s="4"/>
      <c r="V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HYPERLINK(IF(OR(JobState="MI",JobState=""),"https://fema.maps.arcgis.com/apps/mapviewer/index.html?webmap=6a1702b9147243d1a5ee62cd614bc681&amp;center="&amp;$F146&amp;","&amp;$E146&amp;"&amp;level=16&amp;marker="&amp;$F146&amp;","&amp;$E146&amp;"",IF(JobState="IN","https://fema.maps.arcgis.com/apps/mapviewer/index.html?url=https%3A%2F%2Fgisdata.in.gov%2Fserver%2Frest%2Fservices%2FHosted%2FLRSE_Functional_Class%2FFeatureServer%2F22&amp;find="&amp;$F146&amp;"%2C"&amp;$E146&amp;"&amp;marker="&amp;$F146&amp;","&amp;$E146&amp;",4326&amp;level=16",IF(JobState="WI","https://fema.maps.arcgis.com/apps/mapviewer/index.html?url=https%3A%2F%2Fservices5.arcgis.com%2F0pgGLzT0Nh7FVjon%2Farcgis%2Frest%2Fservices%2FFFCL_gdb%2FFeatureServer%2F3&amp;find="&amp;$F146&amp;"%2C"&amp;$E146&amp;"&amp;marker="&amp;$F146&amp;","&amp;$E146&amp;",4326&amp;level=16","https://fema.maps.arcgis.com/apps/mapviewer/index.html?find="&amp;$F146&amp;"%2C"&amp;$E146&amp;"&amp;marker="&amp;$F146&amp;","&amp;$E146&amp;",4326&amp;level=16"))),"Open"))</f>
        <v/>
      </c>
      <c r="N146" s="6" t="str">
        <f>IF(OR(JobAgolMap="", $E146="", $F146=""),"",HYPERLINK(JobAgolMap&amp;IF(ISNUMBER(FIND("?",JobAgolMap)),"&amp;","?")&amp;"center="&amp;$F146&amp;","&amp;$E146&amp;"&amp;level=16&amp;marker="&amp;$F146&amp;","&amp;$E146,"Open"))</f>
        <v/>
      </c>
      <c r="O146" s="6" t="str">
        <f>IF(OR($E146="",$F146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6" s="4"/>
      <c r="Q146" s="4"/>
      <c r="R146" s="4"/>
      <c r="S146" s="4"/>
      <c r="T146" s="4"/>
      <c r="U146" s="4"/>
      <c r="V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HYPERLINK(IF(OR(JobState="MI",JobState=""),"https://fema.maps.arcgis.com/apps/mapviewer/index.html?webmap=6a1702b9147243d1a5ee62cd614bc681&amp;center="&amp;$F147&amp;","&amp;$E147&amp;"&amp;level=16&amp;marker="&amp;$F147&amp;","&amp;$E147&amp;"",IF(JobState="IN","https://fema.maps.arcgis.com/apps/mapviewer/index.html?url=https%3A%2F%2Fgisdata.in.gov%2Fserver%2Frest%2Fservices%2FHosted%2FLRSE_Functional_Class%2FFeatureServer%2F22&amp;find="&amp;$F147&amp;"%2C"&amp;$E147&amp;"&amp;marker="&amp;$F147&amp;","&amp;$E147&amp;",4326&amp;level=16",IF(JobState="WI","https://fema.maps.arcgis.com/apps/mapviewer/index.html?url=https%3A%2F%2Fservices5.arcgis.com%2F0pgGLzT0Nh7FVjon%2Farcgis%2Frest%2Fservices%2FFFCL_gdb%2FFeatureServer%2F3&amp;find="&amp;$F147&amp;"%2C"&amp;$E147&amp;"&amp;marker="&amp;$F147&amp;","&amp;$E147&amp;",4326&amp;level=16","https://fema.maps.arcgis.com/apps/mapviewer/index.html?find="&amp;$F147&amp;"%2C"&amp;$E147&amp;"&amp;marker="&amp;$F147&amp;","&amp;$E147&amp;",4326&amp;level=16"))),"Open"))</f>
        <v/>
      </c>
      <c r="N147" s="6" t="str">
        <f>IF(OR(JobAgolMap="", $E147="", $F147=""),"",HYPERLINK(JobAgolMap&amp;IF(ISNUMBER(FIND("?",JobAgolMap)),"&amp;","?")&amp;"center="&amp;$F147&amp;","&amp;$E147&amp;"&amp;level=16&amp;marker="&amp;$F147&amp;","&amp;$E147,"Open"))</f>
        <v/>
      </c>
      <c r="O147" s="6" t="str">
        <f>IF(OR($E147="",$F147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7" s="4"/>
      <c r="Q147" s="4"/>
      <c r="R147" s="4"/>
      <c r="S147" s="4"/>
      <c r="T147" s="4"/>
      <c r="U147" s="4"/>
      <c r="V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HYPERLINK(IF(OR(JobState="MI",JobState=""),"https://fema.maps.arcgis.com/apps/mapviewer/index.html?webmap=6a1702b9147243d1a5ee62cd614bc681&amp;center="&amp;$F148&amp;","&amp;$E148&amp;"&amp;level=16&amp;marker="&amp;$F148&amp;","&amp;$E148&amp;"",IF(JobState="IN","https://fema.maps.arcgis.com/apps/mapviewer/index.html?url=https%3A%2F%2Fgisdata.in.gov%2Fserver%2Frest%2Fservices%2FHosted%2FLRSE_Functional_Class%2FFeatureServer%2F22&amp;find="&amp;$F148&amp;"%2C"&amp;$E148&amp;"&amp;marker="&amp;$F148&amp;","&amp;$E148&amp;",4326&amp;level=16",IF(JobState="WI","https://fema.maps.arcgis.com/apps/mapviewer/index.html?url=https%3A%2F%2Fservices5.arcgis.com%2F0pgGLzT0Nh7FVjon%2Farcgis%2Frest%2Fservices%2FFFCL_gdb%2FFeatureServer%2F3&amp;find="&amp;$F148&amp;"%2C"&amp;$E148&amp;"&amp;marker="&amp;$F148&amp;","&amp;$E148&amp;",4326&amp;level=16","https://fema.maps.arcgis.com/apps/mapviewer/index.html?find="&amp;$F148&amp;"%2C"&amp;$E148&amp;"&amp;marker="&amp;$F148&amp;","&amp;$E148&amp;",4326&amp;level=16"))),"Open"))</f>
        <v/>
      </c>
      <c r="N148" s="6" t="str">
        <f>IF(OR(JobAgolMap="", $E148="", $F148=""),"",HYPERLINK(JobAgolMap&amp;IF(ISNUMBER(FIND("?",JobAgolMap)),"&amp;","?")&amp;"center="&amp;$F148&amp;","&amp;$E148&amp;"&amp;level=16&amp;marker="&amp;$F148&amp;","&amp;$E148,"Open"))</f>
        <v/>
      </c>
      <c r="O148" s="6" t="str">
        <f>IF(OR($E148="",$F148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8" s="4"/>
      <c r="Q148" s="4"/>
      <c r="R148" s="4"/>
      <c r="S148" s="4"/>
      <c r="T148" s="4"/>
      <c r="U148" s="4"/>
      <c r="V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HYPERLINK(IF(OR(JobState="MI",JobState=""),"https://fema.maps.arcgis.com/apps/mapviewer/index.html?webmap=6a1702b9147243d1a5ee62cd614bc681&amp;center="&amp;$F149&amp;","&amp;$E149&amp;"&amp;level=16&amp;marker="&amp;$F149&amp;","&amp;$E149&amp;"",IF(JobState="IN","https://fema.maps.arcgis.com/apps/mapviewer/index.html?url=https%3A%2F%2Fgisdata.in.gov%2Fserver%2Frest%2Fservices%2FHosted%2FLRSE_Functional_Class%2FFeatureServer%2F22&amp;find="&amp;$F149&amp;"%2C"&amp;$E149&amp;"&amp;marker="&amp;$F149&amp;","&amp;$E149&amp;",4326&amp;level=16",IF(JobState="WI","https://fema.maps.arcgis.com/apps/mapviewer/index.html?url=https%3A%2F%2Fservices5.arcgis.com%2F0pgGLzT0Nh7FVjon%2Farcgis%2Frest%2Fservices%2FFFCL_gdb%2FFeatureServer%2F3&amp;find="&amp;$F149&amp;"%2C"&amp;$E149&amp;"&amp;marker="&amp;$F149&amp;","&amp;$E149&amp;",4326&amp;level=16","https://fema.maps.arcgis.com/apps/mapviewer/index.html?find="&amp;$F149&amp;"%2C"&amp;$E149&amp;"&amp;marker="&amp;$F149&amp;","&amp;$E149&amp;",4326&amp;level=16"))),"Open"))</f>
        <v/>
      </c>
      <c r="N149" s="6" t="str">
        <f>IF(OR(JobAgolMap="", $E149="", $F149=""),"",HYPERLINK(JobAgolMap&amp;IF(ISNUMBER(FIND("?",JobAgolMap)),"&amp;","?")&amp;"center="&amp;$F149&amp;","&amp;$E149&amp;"&amp;level=16&amp;marker="&amp;$F149&amp;","&amp;$E149,"Open"))</f>
        <v/>
      </c>
      <c r="O149" s="6" t="str">
        <f>IF(OR($E149="",$F149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9" s="4"/>
      <c r="Q149" s="4"/>
      <c r="R149" s="4"/>
      <c r="S149" s="4"/>
      <c r="T149" s="4"/>
      <c r="U149" s="4"/>
      <c r="V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HYPERLINK(IF(OR(JobState="MI",JobState=""),"https://fema.maps.arcgis.com/apps/mapviewer/index.html?webmap=6a1702b9147243d1a5ee62cd614bc681&amp;center="&amp;$F150&amp;","&amp;$E150&amp;"&amp;level=16&amp;marker="&amp;$F150&amp;","&amp;$E150&amp;"",IF(JobState="IN","https://fema.maps.arcgis.com/apps/mapviewer/index.html?url=https%3A%2F%2Fgisdata.in.gov%2Fserver%2Frest%2Fservices%2FHosted%2FLRSE_Functional_Class%2FFeatureServer%2F22&amp;find="&amp;$F150&amp;"%2C"&amp;$E150&amp;"&amp;marker="&amp;$F150&amp;","&amp;$E150&amp;",4326&amp;level=16",IF(JobState="WI","https://fema.maps.arcgis.com/apps/mapviewer/index.html?url=https%3A%2F%2Fservices5.arcgis.com%2F0pgGLzT0Nh7FVjon%2Farcgis%2Frest%2Fservices%2FFFCL_gdb%2FFeatureServer%2F3&amp;find="&amp;$F150&amp;"%2C"&amp;$E150&amp;"&amp;marker="&amp;$F150&amp;","&amp;$E150&amp;",4326&amp;level=16","https://fema.maps.arcgis.com/apps/mapviewer/index.html?find="&amp;$F150&amp;"%2C"&amp;$E150&amp;"&amp;marker="&amp;$F150&amp;","&amp;$E150&amp;",4326&amp;level=16"))),"Open"))</f>
        <v/>
      </c>
      <c r="N150" s="6" t="str">
        <f>IF(OR(JobAgolMap="", $E150="", $F150=""),"",HYPERLINK(JobAgolMap&amp;IF(ISNUMBER(FIND("?",JobAgolMap)),"&amp;","?")&amp;"center="&amp;$F150&amp;","&amp;$E150&amp;"&amp;level=16&amp;marker="&amp;$F150&amp;","&amp;$E150,"Open"))</f>
        <v/>
      </c>
      <c r="O150" s="6" t="str">
        <f>IF(OR($E150="",$F150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0" s="4"/>
      <c r="Q150" s="4"/>
      <c r="R150" s="4"/>
      <c r="S150" s="4"/>
      <c r="T150" s="4"/>
      <c r="U150" s="4"/>
      <c r="V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HYPERLINK(IF(OR(JobState="MI",JobState=""),"https://fema.maps.arcgis.com/apps/mapviewer/index.html?webmap=6a1702b9147243d1a5ee62cd614bc681&amp;center="&amp;$F151&amp;","&amp;$E151&amp;"&amp;level=16&amp;marker="&amp;$F151&amp;","&amp;$E151&amp;"",IF(JobState="IN","https://fema.maps.arcgis.com/apps/mapviewer/index.html?url=https%3A%2F%2Fgisdata.in.gov%2Fserver%2Frest%2Fservices%2FHosted%2FLRSE_Functional_Class%2FFeatureServer%2F22&amp;find="&amp;$F151&amp;"%2C"&amp;$E151&amp;"&amp;marker="&amp;$F151&amp;","&amp;$E151&amp;",4326&amp;level=16",IF(JobState="WI","https://fema.maps.arcgis.com/apps/mapviewer/index.html?url=https%3A%2F%2Fservices5.arcgis.com%2F0pgGLzT0Nh7FVjon%2Farcgis%2Frest%2Fservices%2FFFCL_gdb%2FFeatureServer%2F3&amp;find="&amp;$F151&amp;"%2C"&amp;$E151&amp;"&amp;marker="&amp;$F151&amp;","&amp;$E151&amp;",4326&amp;level=16","https://fema.maps.arcgis.com/apps/mapviewer/index.html?find="&amp;$F151&amp;"%2C"&amp;$E151&amp;"&amp;marker="&amp;$F151&amp;","&amp;$E151&amp;",4326&amp;level=16"))),"Open"))</f>
        <v/>
      </c>
      <c r="N151" s="6" t="str">
        <f>IF(OR(JobAgolMap="", $E151="", $F151=""),"",HYPERLINK(JobAgolMap&amp;IF(ISNUMBER(FIND("?",JobAgolMap)),"&amp;","?")&amp;"center="&amp;$F151&amp;","&amp;$E151&amp;"&amp;level=16&amp;marker="&amp;$F151&amp;","&amp;$E151,"Open"))</f>
        <v/>
      </c>
      <c r="O151" s="6" t="str">
        <f>IF(OR($E151="",$F151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1" s="4"/>
      <c r="Q151" s="4"/>
      <c r="R151" s="4"/>
      <c r="S151" s="4"/>
      <c r="T151" s="4"/>
      <c r="U151" s="4"/>
      <c r="V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HYPERLINK(IF(OR(JobState="MI",JobState=""),"https://fema.maps.arcgis.com/apps/mapviewer/index.html?webmap=6a1702b9147243d1a5ee62cd614bc681&amp;center="&amp;$F152&amp;","&amp;$E152&amp;"&amp;level=16&amp;marker="&amp;$F152&amp;","&amp;$E152&amp;"",IF(JobState="IN","https://fema.maps.arcgis.com/apps/mapviewer/index.html?url=https%3A%2F%2Fgisdata.in.gov%2Fserver%2Frest%2Fservices%2FHosted%2FLRSE_Functional_Class%2FFeatureServer%2F22&amp;find="&amp;$F152&amp;"%2C"&amp;$E152&amp;"&amp;marker="&amp;$F152&amp;","&amp;$E152&amp;",4326&amp;level=16",IF(JobState="WI","https://fema.maps.arcgis.com/apps/mapviewer/index.html?url=https%3A%2F%2Fservices5.arcgis.com%2F0pgGLzT0Nh7FVjon%2Farcgis%2Frest%2Fservices%2FFFCL_gdb%2FFeatureServer%2F3&amp;find="&amp;$F152&amp;"%2C"&amp;$E152&amp;"&amp;marker="&amp;$F152&amp;","&amp;$E152&amp;",4326&amp;level=16","https://fema.maps.arcgis.com/apps/mapviewer/index.html?find="&amp;$F152&amp;"%2C"&amp;$E152&amp;"&amp;marker="&amp;$F152&amp;","&amp;$E152&amp;",4326&amp;level=16"))),"Open"))</f>
        <v/>
      </c>
      <c r="N152" s="6" t="str">
        <f>IF(OR(JobAgolMap="", $E152="", $F152=""),"",HYPERLINK(JobAgolMap&amp;IF(ISNUMBER(FIND("?",JobAgolMap)),"&amp;","?")&amp;"center="&amp;$F152&amp;","&amp;$E152&amp;"&amp;level=16&amp;marker="&amp;$F152&amp;","&amp;$E152,"Open"))</f>
        <v/>
      </c>
      <c r="O152" s="6" t="str">
        <f>IF(OR($E152="",$F152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2" s="4"/>
      <c r="Q152" s="4"/>
      <c r="R152" s="4"/>
      <c r="S152" s="4"/>
      <c r="T152" s="4"/>
      <c r="U152" s="4"/>
      <c r="V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HYPERLINK(IF(OR(JobState="MI",JobState=""),"https://fema.maps.arcgis.com/apps/mapviewer/index.html?webmap=6a1702b9147243d1a5ee62cd614bc681&amp;center="&amp;$F153&amp;","&amp;$E153&amp;"&amp;level=16&amp;marker="&amp;$F153&amp;","&amp;$E153&amp;"",IF(JobState="IN","https://fema.maps.arcgis.com/apps/mapviewer/index.html?url=https%3A%2F%2Fgisdata.in.gov%2Fserver%2Frest%2Fservices%2FHosted%2FLRSE_Functional_Class%2FFeatureServer%2F22&amp;find="&amp;$F153&amp;"%2C"&amp;$E153&amp;"&amp;marker="&amp;$F153&amp;","&amp;$E153&amp;",4326&amp;level=16",IF(JobState="WI","https://fema.maps.arcgis.com/apps/mapviewer/index.html?url=https%3A%2F%2Fservices5.arcgis.com%2F0pgGLzT0Nh7FVjon%2Farcgis%2Frest%2Fservices%2FFFCL_gdb%2FFeatureServer%2F3&amp;find="&amp;$F153&amp;"%2C"&amp;$E153&amp;"&amp;marker="&amp;$F153&amp;","&amp;$E153&amp;",4326&amp;level=16","https://fema.maps.arcgis.com/apps/mapviewer/index.html?find="&amp;$F153&amp;"%2C"&amp;$E153&amp;"&amp;marker="&amp;$F153&amp;","&amp;$E153&amp;",4326&amp;level=16"))),"Open"))</f>
        <v/>
      </c>
      <c r="N153" s="6" t="str">
        <f>IF(OR(JobAgolMap="", $E153="", $F153=""),"",HYPERLINK(JobAgolMap&amp;IF(ISNUMBER(FIND("?",JobAgolMap)),"&amp;","?")&amp;"center="&amp;$F153&amp;","&amp;$E153&amp;"&amp;level=16&amp;marker="&amp;$F153&amp;","&amp;$E153,"Open"))</f>
        <v/>
      </c>
      <c r="O153" s="6" t="str">
        <f>IF(OR($E153="",$F153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3" s="4"/>
      <c r="Q153" s="4"/>
      <c r="R153" s="4"/>
      <c r="S153" s="4"/>
      <c r="T153" s="4"/>
      <c r="U153" s="4"/>
      <c r="V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HYPERLINK(IF(OR(JobState="MI",JobState=""),"https://fema.maps.arcgis.com/apps/mapviewer/index.html?webmap=6a1702b9147243d1a5ee62cd614bc681&amp;center="&amp;$F154&amp;","&amp;$E154&amp;"&amp;level=16&amp;marker="&amp;$F154&amp;","&amp;$E154&amp;"",IF(JobState="IN","https://fema.maps.arcgis.com/apps/mapviewer/index.html?url=https%3A%2F%2Fgisdata.in.gov%2Fserver%2Frest%2Fservices%2FHosted%2FLRSE_Functional_Class%2FFeatureServer%2F22&amp;find="&amp;$F154&amp;"%2C"&amp;$E154&amp;"&amp;marker="&amp;$F154&amp;","&amp;$E154&amp;",4326&amp;level=16",IF(JobState="WI","https://fema.maps.arcgis.com/apps/mapviewer/index.html?url=https%3A%2F%2Fservices5.arcgis.com%2F0pgGLzT0Nh7FVjon%2Farcgis%2Frest%2Fservices%2FFFCL_gdb%2FFeatureServer%2F3&amp;find="&amp;$F154&amp;"%2C"&amp;$E154&amp;"&amp;marker="&amp;$F154&amp;","&amp;$E154&amp;",4326&amp;level=16","https://fema.maps.arcgis.com/apps/mapviewer/index.html?find="&amp;$F154&amp;"%2C"&amp;$E154&amp;"&amp;marker="&amp;$F154&amp;","&amp;$E154&amp;",4326&amp;level=16"))),"Open"))</f>
        <v/>
      </c>
      <c r="N154" s="6" t="str">
        <f>IF(OR(JobAgolMap="", $E154="", $F154=""),"",HYPERLINK(JobAgolMap&amp;IF(ISNUMBER(FIND("?",JobAgolMap)),"&amp;","?")&amp;"center="&amp;$F154&amp;","&amp;$E154&amp;"&amp;level=16&amp;marker="&amp;$F154&amp;","&amp;$E154,"Open"))</f>
        <v/>
      </c>
      <c r="O154" s="6" t="str">
        <f>IF(OR($E154="",$F154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4" s="4"/>
      <c r="Q154" s="4"/>
      <c r="R154" s="4"/>
      <c r="S154" s="4"/>
      <c r="T154" s="4"/>
      <c r="U154" s="4"/>
      <c r="V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HYPERLINK(IF(OR(JobState="MI",JobState=""),"https://fema.maps.arcgis.com/apps/mapviewer/index.html?webmap=6a1702b9147243d1a5ee62cd614bc681&amp;center="&amp;$F155&amp;","&amp;$E155&amp;"&amp;level=16&amp;marker="&amp;$F155&amp;","&amp;$E155&amp;"",IF(JobState="IN","https://fema.maps.arcgis.com/apps/mapviewer/index.html?url=https%3A%2F%2Fgisdata.in.gov%2Fserver%2Frest%2Fservices%2FHosted%2FLRSE_Functional_Class%2FFeatureServer%2F22&amp;find="&amp;$F155&amp;"%2C"&amp;$E155&amp;"&amp;marker="&amp;$F155&amp;","&amp;$E155&amp;",4326&amp;level=16",IF(JobState="WI","https://fema.maps.arcgis.com/apps/mapviewer/index.html?url=https%3A%2F%2Fservices5.arcgis.com%2F0pgGLzT0Nh7FVjon%2Farcgis%2Frest%2Fservices%2FFFCL_gdb%2FFeatureServer%2F3&amp;find="&amp;$F155&amp;"%2C"&amp;$E155&amp;"&amp;marker="&amp;$F155&amp;","&amp;$E155&amp;",4326&amp;level=16","https://fema.maps.arcgis.com/apps/mapviewer/index.html?find="&amp;$F155&amp;"%2C"&amp;$E155&amp;"&amp;marker="&amp;$F155&amp;","&amp;$E155&amp;",4326&amp;level=16"))),"Open"))</f>
        <v/>
      </c>
      <c r="N155" s="6" t="str">
        <f>IF(OR(JobAgolMap="", $E155="", $F155=""),"",HYPERLINK(JobAgolMap&amp;IF(ISNUMBER(FIND("?",JobAgolMap)),"&amp;","?")&amp;"center="&amp;$F155&amp;","&amp;$E155&amp;"&amp;level=16&amp;marker="&amp;$F155&amp;","&amp;$E155,"Open"))</f>
        <v/>
      </c>
      <c r="O155" s="6" t="str">
        <f>IF(OR($E155="",$F155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5" s="4"/>
      <c r="Q155" s="4"/>
      <c r="R155" s="4"/>
      <c r="S155" s="4"/>
      <c r="T155" s="4"/>
      <c r="U155" s="4"/>
      <c r="V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HYPERLINK(IF(OR(JobState="MI",JobState=""),"https://fema.maps.arcgis.com/apps/mapviewer/index.html?webmap=6a1702b9147243d1a5ee62cd614bc681&amp;center="&amp;$F156&amp;","&amp;$E156&amp;"&amp;level=16&amp;marker="&amp;$F156&amp;","&amp;$E156&amp;"",IF(JobState="IN","https://fema.maps.arcgis.com/apps/mapviewer/index.html?url=https%3A%2F%2Fgisdata.in.gov%2Fserver%2Frest%2Fservices%2FHosted%2FLRSE_Functional_Class%2FFeatureServer%2F22&amp;find="&amp;$F156&amp;"%2C"&amp;$E156&amp;"&amp;marker="&amp;$F156&amp;","&amp;$E156&amp;",4326&amp;level=16",IF(JobState="WI","https://fema.maps.arcgis.com/apps/mapviewer/index.html?url=https%3A%2F%2Fservices5.arcgis.com%2F0pgGLzT0Nh7FVjon%2Farcgis%2Frest%2Fservices%2FFFCL_gdb%2FFeatureServer%2F3&amp;find="&amp;$F156&amp;"%2C"&amp;$E156&amp;"&amp;marker="&amp;$F156&amp;","&amp;$E156&amp;",4326&amp;level=16","https://fema.maps.arcgis.com/apps/mapviewer/index.html?find="&amp;$F156&amp;"%2C"&amp;$E156&amp;"&amp;marker="&amp;$F156&amp;","&amp;$E156&amp;",4326&amp;level=16"))),"Open"))</f>
        <v/>
      </c>
      <c r="N156" s="6" t="str">
        <f>IF(OR(JobAgolMap="", $E156="", $F156=""),"",HYPERLINK(JobAgolMap&amp;IF(ISNUMBER(FIND("?",JobAgolMap)),"&amp;","?")&amp;"center="&amp;$F156&amp;","&amp;$E156&amp;"&amp;level=16&amp;marker="&amp;$F156&amp;","&amp;$E156,"Open"))</f>
        <v/>
      </c>
      <c r="O156" s="6" t="str">
        <f>IF(OR($E156="",$F156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6" s="4"/>
      <c r="Q156" s="4"/>
      <c r="R156" s="4"/>
      <c r="S156" s="4"/>
      <c r="T156" s="4"/>
      <c r="U156" s="4"/>
      <c r="V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HYPERLINK(IF(OR(JobState="MI",JobState=""),"https://fema.maps.arcgis.com/apps/mapviewer/index.html?webmap=6a1702b9147243d1a5ee62cd614bc681&amp;center="&amp;$F157&amp;","&amp;$E157&amp;"&amp;level=16&amp;marker="&amp;$F157&amp;","&amp;$E157&amp;"",IF(JobState="IN","https://fema.maps.arcgis.com/apps/mapviewer/index.html?url=https%3A%2F%2Fgisdata.in.gov%2Fserver%2Frest%2Fservices%2FHosted%2FLRSE_Functional_Class%2FFeatureServer%2F22&amp;find="&amp;$F157&amp;"%2C"&amp;$E157&amp;"&amp;marker="&amp;$F157&amp;","&amp;$E157&amp;",4326&amp;level=16",IF(JobState="WI","https://fema.maps.arcgis.com/apps/mapviewer/index.html?url=https%3A%2F%2Fservices5.arcgis.com%2F0pgGLzT0Nh7FVjon%2Farcgis%2Frest%2Fservices%2FFFCL_gdb%2FFeatureServer%2F3&amp;find="&amp;$F157&amp;"%2C"&amp;$E157&amp;"&amp;marker="&amp;$F157&amp;","&amp;$E157&amp;",4326&amp;level=16","https://fema.maps.arcgis.com/apps/mapviewer/index.html?find="&amp;$F157&amp;"%2C"&amp;$E157&amp;"&amp;marker="&amp;$F157&amp;","&amp;$E157&amp;",4326&amp;level=16"))),"Open"))</f>
        <v/>
      </c>
      <c r="N157" s="6" t="str">
        <f>IF(OR(JobAgolMap="", $E157="", $F157=""),"",HYPERLINK(JobAgolMap&amp;IF(ISNUMBER(FIND("?",JobAgolMap)),"&amp;","?")&amp;"center="&amp;$F157&amp;","&amp;$E157&amp;"&amp;level=16&amp;marker="&amp;$F157&amp;","&amp;$E157,"Open"))</f>
        <v/>
      </c>
      <c r="O157" s="6" t="str">
        <f>IF(OR($E157="",$F157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7" s="4"/>
      <c r="Q157" s="4"/>
      <c r="R157" s="4"/>
      <c r="S157" s="4"/>
      <c r="T157" s="4"/>
      <c r="U157" s="4"/>
      <c r="V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HYPERLINK(IF(OR(JobState="MI",JobState=""),"https://fema.maps.arcgis.com/apps/mapviewer/index.html?webmap=6a1702b9147243d1a5ee62cd614bc681&amp;center="&amp;$F158&amp;","&amp;$E158&amp;"&amp;level=16&amp;marker="&amp;$F158&amp;","&amp;$E158&amp;"",IF(JobState="IN","https://fema.maps.arcgis.com/apps/mapviewer/index.html?url=https%3A%2F%2Fgisdata.in.gov%2Fserver%2Frest%2Fservices%2FHosted%2FLRSE_Functional_Class%2FFeatureServer%2F22&amp;find="&amp;$F158&amp;"%2C"&amp;$E158&amp;"&amp;marker="&amp;$F158&amp;","&amp;$E158&amp;",4326&amp;level=16",IF(JobState="WI","https://fema.maps.arcgis.com/apps/mapviewer/index.html?url=https%3A%2F%2Fservices5.arcgis.com%2F0pgGLzT0Nh7FVjon%2Farcgis%2Frest%2Fservices%2FFFCL_gdb%2FFeatureServer%2F3&amp;find="&amp;$F158&amp;"%2C"&amp;$E158&amp;"&amp;marker="&amp;$F158&amp;","&amp;$E158&amp;",4326&amp;level=16","https://fema.maps.arcgis.com/apps/mapviewer/index.html?find="&amp;$F158&amp;"%2C"&amp;$E158&amp;"&amp;marker="&amp;$F158&amp;","&amp;$E158&amp;",4326&amp;level=16"))),"Open"))</f>
        <v/>
      </c>
      <c r="N158" s="6" t="str">
        <f>IF(OR(JobAgolMap="", $E158="", $F158=""),"",HYPERLINK(JobAgolMap&amp;IF(ISNUMBER(FIND("?",JobAgolMap)),"&amp;","?")&amp;"center="&amp;$F158&amp;","&amp;$E158&amp;"&amp;level=16&amp;marker="&amp;$F158&amp;","&amp;$E158,"Open"))</f>
        <v/>
      </c>
      <c r="O158" s="6" t="str">
        <f>IF(OR($E158="",$F158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8" s="4"/>
      <c r="Q158" s="4"/>
      <c r="R158" s="4"/>
      <c r="S158" s="4"/>
      <c r="T158" s="4"/>
      <c r="U158" s="4"/>
      <c r="V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HYPERLINK(IF(OR(JobState="MI",JobState=""),"https://fema.maps.arcgis.com/apps/mapviewer/index.html?webmap=6a1702b9147243d1a5ee62cd614bc681&amp;center="&amp;$F159&amp;","&amp;$E159&amp;"&amp;level=16&amp;marker="&amp;$F159&amp;","&amp;$E159&amp;"",IF(JobState="IN","https://fema.maps.arcgis.com/apps/mapviewer/index.html?url=https%3A%2F%2Fgisdata.in.gov%2Fserver%2Frest%2Fservices%2FHosted%2FLRSE_Functional_Class%2FFeatureServer%2F22&amp;find="&amp;$F159&amp;"%2C"&amp;$E159&amp;"&amp;marker="&amp;$F159&amp;","&amp;$E159&amp;",4326&amp;level=16",IF(JobState="WI","https://fema.maps.arcgis.com/apps/mapviewer/index.html?url=https%3A%2F%2Fservices5.arcgis.com%2F0pgGLzT0Nh7FVjon%2Farcgis%2Frest%2Fservices%2FFFCL_gdb%2FFeatureServer%2F3&amp;find="&amp;$F159&amp;"%2C"&amp;$E159&amp;"&amp;marker="&amp;$F159&amp;","&amp;$E159&amp;",4326&amp;level=16","https://fema.maps.arcgis.com/apps/mapviewer/index.html?find="&amp;$F159&amp;"%2C"&amp;$E159&amp;"&amp;marker="&amp;$F159&amp;","&amp;$E159&amp;",4326&amp;level=16"))),"Open"))</f>
        <v/>
      </c>
      <c r="N159" s="6" t="str">
        <f>IF(OR(JobAgolMap="", $E159="", $F159=""),"",HYPERLINK(JobAgolMap&amp;IF(ISNUMBER(FIND("?",JobAgolMap)),"&amp;","?")&amp;"center="&amp;$F159&amp;","&amp;$E159&amp;"&amp;level=16&amp;marker="&amp;$F159&amp;","&amp;$E159,"Open"))</f>
        <v/>
      </c>
      <c r="O159" s="6" t="str">
        <f>IF(OR($E159="",$F159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9" s="4"/>
      <c r="Q159" s="4"/>
      <c r="R159" s="4"/>
      <c r="S159" s="4"/>
      <c r="T159" s="4"/>
      <c r="U159" s="4"/>
      <c r="V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HYPERLINK(IF(OR(JobState="MI",JobState=""),"https://fema.maps.arcgis.com/apps/mapviewer/index.html?webmap=6a1702b9147243d1a5ee62cd614bc681&amp;center="&amp;$F160&amp;","&amp;$E160&amp;"&amp;level=16&amp;marker="&amp;$F160&amp;","&amp;$E160&amp;"",IF(JobState="IN","https://fema.maps.arcgis.com/apps/mapviewer/index.html?url=https%3A%2F%2Fgisdata.in.gov%2Fserver%2Frest%2Fservices%2FHosted%2FLRSE_Functional_Class%2FFeatureServer%2F22&amp;find="&amp;$F160&amp;"%2C"&amp;$E160&amp;"&amp;marker="&amp;$F160&amp;","&amp;$E160&amp;",4326&amp;level=16",IF(JobState="WI","https://fema.maps.arcgis.com/apps/mapviewer/index.html?url=https%3A%2F%2Fservices5.arcgis.com%2F0pgGLzT0Nh7FVjon%2Farcgis%2Frest%2Fservices%2FFFCL_gdb%2FFeatureServer%2F3&amp;find="&amp;$F160&amp;"%2C"&amp;$E160&amp;"&amp;marker="&amp;$F160&amp;","&amp;$E160&amp;",4326&amp;level=16","https://fema.maps.arcgis.com/apps/mapviewer/index.html?find="&amp;$F160&amp;"%2C"&amp;$E160&amp;"&amp;marker="&amp;$F160&amp;","&amp;$E160&amp;",4326&amp;level=16"))),"Open"))</f>
        <v/>
      </c>
      <c r="N160" s="6" t="str">
        <f>IF(OR(JobAgolMap="", $E160="", $F160=""),"",HYPERLINK(JobAgolMap&amp;IF(ISNUMBER(FIND("?",JobAgolMap)),"&amp;","?")&amp;"center="&amp;$F160&amp;","&amp;$E160&amp;"&amp;level=16&amp;marker="&amp;$F160&amp;","&amp;$E160,"Open"))</f>
        <v/>
      </c>
      <c r="O160" s="6" t="str">
        <f>IF(OR($E160="",$F160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0" s="4"/>
      <c r="Q160" s="4"/>
      <c r="R160" s="4"/>
      <c r="S160" s="4"/>
      <c r="T160" s="4"/>
      <c r="U160" s="4"/>
      <c r="V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HYPERLINK(IF(OR(JobState="MI",JobState=""),"https://fema.maps.arcgis.com/apps/mapviewer/index.html?webmap=6a1702b9147243d1a5ee62cd614bc681&amp;center="&amp;$F161&amp;","&amp;$E161&amp;"&amp;level=16&amp;marker="&amp;$F161&amp;","&amp;$E161&amp;"",IF(JobState="IN","https://fema.maps.arcgis.com/apps/mapviewer/index.html?url=https%3A%2F%2Fgisdata.in.gov%2Fserver%2Frest%2Fservices%2FHosted%2FLRSE_Functional_Class%2FFeatureServer%2F22&amp;find="&amp;$F161&amp;"%2C"&amp;$E161&amp;"&amp;marker="&amp;$F161&amp;","&amp;$E161&amp;",4326&amp;level=16",IF(JobState="WI","https://fema.maps.arcgis.com/apps/mapviewer/index.html?url=https%3A%2F%2Fservices5.arcgis.com%2F0pgGLzT0Nh7FVjon%2Farcgis%2Frest%2Fservices%2FFFCL_gdb%2FFeatureServer%2F3&amp;find="&amp;$F161&amp;"%2C"&amp;$E161&amp;"&amp;marker="&amp;$F161&amp;","&amp;$E161&amp;",4326&amp;level=16","https://fema.maps.arcgis.com/apps/mapviewer/index.html?find="&amp;$F161&amp;"%2C"&amp;$E161&amp;"&amp;marker="&amp;$F161&amp;","&amp;$E161&amp;",4326&amp;level=16"))),"Open"))</f>
        <v/>
      </c>
      <c r="N161" s="6" t="str">
        <f>IF(OR(JobAgolMap="", $E161="", $F161=""),"",HYPERLINK(JobAgolMap&amp;IF(ISNUMBER(FIND("?",JobAgolMap)),"&amp;","?")&amp;"center="&amp;$F161&amp;","&amp;$E161&amp;"&amp;level=16&amp;marker="&amp;$F161&amp;","&amp;$E161,"Open"))</f>
        <v/>
      </c>
      <c r="O161" s="6" t="str">
        <f>IF(OR($E161="",$F161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1" s="4"/>
      <c r="Q161" s="4"/>
      <c r="R161" s="4"/>
      <c r="S161" s="4"/>
      <c r="T161" s="4"/>
      <c r="U161" s="4"/>
      <c r="V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HYPERLINK(IF(OR(JobState="MI",JobState=""),"https://fema.maps.arcgis.com/apps/mapviewer/index.html?webmap=6a1702b9147243d1a5ee62cd614bc681&amp;center="&amp;$F162&amp;","&amp;$E162&amp;"&amp;level=16&amp;marker="&amp;$F162&amp;","&amp;$E162&amp;"",IF(JobState="IN","https://fema.maps.arcgis.com/apps/mapviewer/index.html?url=https%3A%2F%2Fgisdata.in.gov%2Fserver%2Frest%2Fservices%2FHosted%2FLRSE_Functional_Class%2FFeatureServer%2F22&amp;find="&amp;$F162&amp;"%2C"&amp;$E162&amp;"&amp;marker="&amp;$F162&amp;","&amp;$E162&amp;",4326&amp;level=16",IF(JobState="WI","https://fema.maps.arcgis.com/apps/mapviewer/index.html?url=https%3A%2F%2Fservices5.arcgis.com%2F0pgGLzT0Nh7FVjon%2Farcgis%2Frest%2Fservices%2FFFCL_gdb%2FFeatureServer%2F3&amp;find="&amp;$F162&amp;"%2C"&amp;$E162&amp;"&amp;marker="&amp;$F162&amp;","&amp;$E162&amp;",4326&amp;level=16","https://fema.maps.arcgis.com/apps/mapviewer/index.html?find="&amp;$F162&amp;"%2C"&amp;$E162&amp;"&amp;marker="&amp;$F162&amp;","&amp;$E162&amp;",4326&amp;level=16"))),"Open"))</f>
        <v/>
      </c>
      <c r="N162" s="6" t="str">
        <f>IF(OR(JobAgolMap="", $E162="", $F162=""),"",HYPERLINK(JobAgolMap&amp;IF(ISNUMBER(FIND("?",JobAgolMap)),"&amp;","?")&amp;"center="&amp;$F162&amp;","&amp;$E162&amp;"&amp;level=16&amp;marker="&amp;$F162&amp;","&amp;$E162,"Open"))</f>
        <v/>
      </c>
      <c r="O162" s="6" t="str">
        <f>IF(OR($E162="",$F162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2" s="4"/>
      <c r="Q162" s="4"/>
      <c r="R162" s="4"/>
      <c r="S162" s="4"/>
      <c r="T162" s="4"/>
      <c r="U162" s="4"/>
      <c r="V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HYPERLINK(IF(OR(JobState="MI",JobState=""),"https://fema.maps.arcgis.com/apps/mapviewer/index.html?webmap=6a1702b9147243d1a5ee62cd614bc681&amp;center="&amp;$F163&amp;","&amp;$E163&amp;"&amp;level=16&amp;marker="&amp;$F163&amp;","&amp;$E163&amp;"",IF(JobState="IN","https://fema.maps.arcgis.com/apps/mapviewer/index.html?url=https%3A%2F%2Fgisdata.in.gov%2Fserver%2Frest%2Fservices%2FHosted%2FLRSE_Functional_Class%2FFeatureServer%2F22&amp;find="&amp;$F163&amp;"%2C"&amp;$E163&amp;"&amp;marker="&amp;$F163&amp;","&amp;$E163&amp;",4326&amp;level=16",IF(JobState="WI","https://fema.maps.arcgis.com/apps/mapviewer/index.html?url=https%3A%2F%2Fservices5.arcgis.com%2F0pgGLzT0Nh7FVjon%2Farcgis%2Frest%2Fservices%2FFFCL_gdb%2FFeatureServer%2F3&amp;find="&amp;$F163&amp;"%2C"&amp;$E163&amp;"&amp;marker="&amp;$F163&amp;","&amp;$E163&amp;",4326&amp;level=16","https://fema.maps.arcgis.com/apps/mapviewer/index.html?find="&amp;$F163&amp;"%2C"&amp;$E163&amp;"&amp;marker="&amp;$F163&amp;","&amp;$E163&amp;",4326&amp;level=16"))),"Open"))</f>
        <v/>
      </c>
      <c r="N163" s="6" t="str">
        <f>IF(OR(JobAgolMap="", $E163="", $F163=""),"",HYPERLINK(JobAgolMap&amp;IF(ISNUMBER(FIND("?",JobAgolMap)),"&amp;","?")&amp;"center="&amp;$F163&amp;","&amp;$E163&amp;"&amp;level=16&amp;marker="&amp;$F163&amp;","&amp;$E163,"Open"))</f>
        <v/>
      </c>
      <c r="O163" s="6" t="str">
        <f>IF(OR($E163="",$F163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3" s="4"/>
      <c r="Q163" s="4"/>
      <c r="R163" s="4"/>
      <c r="S163" s="4"/>
      <c r="T163" s="4"/>
      <c r="U163" s="4"/>
      <c r="V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HYPERLINK(IF(OR(JobState="MI",JobState=""),"https://fema.maps.arcgis.com/apps/mapviewer/index.html?webmap=6a1702b9147243d1a5ee62cd614bc681&amp;center="&amp;$F164&amp;","&amp;$E164&amp;"&amp;level=16&amp;marker="&amp;$F164&amp;","&amp;$E164&amp;"",IF(JobState="IN","https://fema.maps.arcgis.com/apps/mapviewer/index.html?url=https%3A%2F%2Fgisdata.in.gov%2Fserver%2Frest%2Fservices%2FHosted%2FLRSE_Functional_Class%2FFeatureServer%2F22&amp;find="&amp;$F164&amp;"%2C"&amp;$E164&amp;"&amp;marker="&amp;$F164&amp;","&amp;$E164&amp;",4326&amp;level=16",IF(JobState="WI","https://fema.maps.arcgis.com/apps/mapviewer/index.html?url=https%3A%2F%2Fservices5.arcgis.com%2F0pgGLzT0Nh7FVjon%2Farcgis%2Frest%2Fservices%2FFFCL_gdb%2FFeatureServer%2F3&amp;find="&amp;$F164&amp;"%2C"&amp;$E164&amp;"&amp;marker="&amp;$F164&amp;","&amp;$E164&amp;",4326&amp;level=16","https://fema.maps.arcgis.com/apps/mapviewer/index.html?find="&amp;$F164&amp;"%2C"&amp;$E164&amp;"&amp;marker="&amp;$F164&amp;","&amp;$E164&amp;",4326&amp;level=16"))),"Open"))</f>
        <v/>
      </c>
      <c r="N164" s="6" t="str">
        <f>IF(OR(JobAgolMap="", $E164="", $F164=""),"",HYPERLINK(JobAgolMap&amp;IF(ISNUMBER(FIND("?",JobAgolMap)),"&amp;","?")&amp;"center="&amp;$F164&amp;","&amp;$E164&amp;"&amp;level=16&amp;marker="&amp;$F164&amp;","&amp;$E164,"Open"))</f>
        <v/>
      </c>
      <c r="O164" s="6" t="str">
        <f>IF(OR($E164="",$F164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4" s="4"/>
      <c r="Q164" s="4"/>
      <c r="R164" s="4"/>
      <c r="S164" s="4"/>
      <c r="T164" s="4"/>
      <c r="U164" s="4"/>
      <c r="V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HYPERLINK(IF(OR(JobState="MI",JobState=""),"https://fema.maps.arcgis.com/apps/mapviewer/index.html?webmap=6a1702b9147243d1a5ee62cd614bc681&amp;center="&amp;$F165&amp;","&amp;$E165&amp;"&amp;level=16&amp;marker="&amp;$F165&amp;","&amp;$E165&amp;"",IF(JobState="IN","https://fema.maps.arcgis.com/apps/mapviewer/index.html?url=https%3A%2F%2Fgisdata.in.gov%2Fserver%2Frest%2Fservices%2FHosted%2FLRSE_Functional_Class%2FFeatureServer%2F22&amp;find="&amp;$F165&amp;"%2C"&amp;$E165&amp;"&amp;marker="&amp;$F165&amp;","&amp;$E165&amp;",4326&amp;level=16",IF(JobState="WI","https://fema.maps.arcgis.com/apps/mapviewer/index.html?url=https%3A%2F%2Fservices5.arcgis.com%2F0pgGLzT0Nh7FVjon%2Farcgis%2Frest%2Fservices%2FFFCL_gdb%2FFeatureServer%2F3&amp;find="&amp;$F165&amp;"%2C"&amp;$E165&amp;"&amp;marker="&amp;$F165&amp;","&amp;$E165&amp;",4326&amp;level=16","https://fema.maps.arcgis.com/apps/mapviewer/index.html?find="&amp;$F165&amp;"%2C"&amp;$E165&amp;"&amp;marker="&amp;$F165&amp;","&amp;$E165&amp;",4326&amp;level=16"))),"Open"))</f>
        <v/>
      </c>
      <c r="N165" s="6" t="str">
        <f>IF(OR(JobAgolMap="", $E165="", $F165=""),"",HYPERLINK(JobAgolMap&amp;IF(ISNUMBER(FIND("?",JobAgolMap)),"&amp;","?")&amp;"center="&amp;$F165&amp;","&amp;$E165&amp;"&amp;level=16&amp;marker="&amp;$F165&amp;","&amp;$E165,"Open"))</f>
        <v/>
      </c>
      <c r="O165" s="6" t="str">
        <f>IF(OR($E165="",$F165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5" s="4"/>
      <c r="Q165" s="4"/>
      <c r="R165" s="4"/>
      <c r="S165" s="4"/>
      <c r="T165" s="4"/>
      <c r="U165" s="4"/>
      <c r="V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HYPERLINK(IF(OR(JobState="MI",JobState=""),"https://fema.maps.arcgis.com/apps/mapviewer/index.html?webmap=6a1702b9147243d1a5ee62cd614bc681&amp;center="&amp;$F166&amp;","&amp;$E166&amp;"&amp;level=16&amp;marker="&amp;$F166&amp;","&amp;$E166&amp;"",IF(JobState="IN","https://fema.maps.arcgis.com/apps/mapviewer/index.html?url=https%3A%2F%2Fgisdata.in.gov%2Fserver%2Frest%2Fservices%2FHosted%2FLRSE_Functional_Class%2FFeatureServer%2F22&amp;find="&amp;$F166&amp;"%2C"&amp;$E166&amp;"&amp;marker="&amp;$F166&amp;","&amp;$E166&amp;",4326&amp;level=16",IF(JobState="WI","https://fema.maps.arcgis.com/apps/mapviewer/index.html?url=https%3A%2F%2Fservices5.arcgis.com%2F0pgGLzT0Nh7FVjon%2Farcgis%2Frest%2Fservices%2FFFCL_gdb%2FFeatureServer%2F3&amp;find="&amp;$F166&amp;"%2C"&amp;$E166&amp;"&amp;marker="&amp;$F166&amp;","&amp;$E166&amp;",4326&amp;level=16","https://fema.maps.arcgis.com/apps/mapviewer/index.html?find="&amp;$F166&amp;"%2C"&amp;$E166&amp;"&amp;marker="&amp;$F166&amp;","&amp;$E166&amp;",4326&amp;level=16"))),"Open"))</f>
        <v/>
      </c>
      <c r="N166" s="6" t="str">
        <f>IF(OR(JobAgolMap="", $E166="", $F166=""),"",HYPERLINK(JobAgolMap&amp;IF(ISNUMBER(FIND("?",JobAgolMap)),"&amp;","?")&amp;"center="&amp;$F166&amp;","&amp;$E166&amp;"&amp;level=16&amp;marker="&amp;$F166&amp;","&amp;$E166,"Open"))</f>
        <v/>
      </c>
      <c r="O166" s="6" t="str">
        <f>IF(OR($E166="",$F166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6" s="4"/>
      <c r="Q166" s="4"/>
      <c r="R166" s="4"/>
      <c r="S166" s="4"/>
      <c r="T166" s="4"/>
      <c r="U166" s="4"/>
      <c r="V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HYPERLINK(IF(OR(JobState="MI",JobState=""),"https://fema.maps.arcgis.com/apps/mapviewer/index.html?webmap=6a1702b9147243d1a5ee62cd614bc681&amp;center="&amp;$F167&amp;","&amp;$E167&amp;"&amp;level=16&amp;marker="&amp;$F167&amp;","&amp;$E167&amp;"",IF(JobState="IN","https://fema.maps.arcgis.com/apps/mapviewer/index.html?url=https%3A%2F%2Fgisdata.in.gov%2Fserver%2Frest%2Fservices%2FHosted%2FLRSE_Functional_Class%2FFeatureServer%2F22&amp;find="&amp;$F167&amp;"%2C"&amp;$E167&amp;"&amp;marker="&amp;$F167&amp;","&amp;$E167&amp;",4326&amp;level=16",IF(JobState="WI","https://fema.maps.arcgis.com/apps/mapviewer/index.html?url=https%3A%2F%2Fservices5.arcgis.com%2F0pgGLzT0Nh7FVjon%2Farcgis%2Frest%2Fservices%2FFFCL_gdb%2FFeatureServer%2F3&amp;find="&amp;$F167&amp;"%2C"&amp;$E167&amp;"&amp;marker="&amp;$F167&amp;","&amp;$E167&amp;",4326&amp;level=16","https://fema.maps.arcgis.com/apps/mapviewer/index.html?find="&amp;$F167&amp;"%2C"&amp;$E167&amp;"&amp;marker="&amp;$F167&amp;","&amp;$E167&amp;",4326&amp;level=16"))),"Open"))</f>
        <v/>
      </c>
      <c r="N167" s="6" t="str">
        <f>IF(OR(JobAgolMap="", $E167="", $F167=""),"",HYPERLINK(JobAgolMap&amp;IF(ISNUMBER(FIND("?",JobAgolMap)),"&amp;","?")&amp;"center="&amp;$F167&amp;","&amp;$E167&amp;"&amp;level=16&amp;marker="&amp;$F167&amp;","&amp;$E167,"Open"))</f>
        <v/>
      </c>
      <c r="O167" s="6" t="str">
        <f>IF(OR($E167="",$F167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7" s="4"/>
      <c r="Q167" s="4"/>
      <c r="R167" s="4"/>
      <c r="S167" s="4"/>
      <c r="T167" s="4"/>
      <c r="U167" s="4"/>
      <c r="V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HYPERLINK(IF(OR(JobState="MI",JobState=""),"https://fema.maps.arcgis.com/apps/mapviewer/index.html?webmap=6a1702b9147243d1a5ee62cd614bc681&amp;center="&amp;$F168&amp;","&amp;$E168&amp;"&amp;level=16&amp;marker="&amp;$F168&amp;","&amp;$E168&amp;"",IF(JobState="IN","https://fema.maps.arcgis.com/apps/mapviewer/index.html?url=https%3A%2F%2Fgisdata.in.gov%2Fserver%2Frest%2Fservices%2FHosted%2FLRSE_Functional_Class%2FFeatureServer%2F22&amp;find="&amp;$F168&amp;"%2C"&amp;$E168&amp;"&amp;marker="&amp;$F168&amp;","&amp;$E168&amp;",4326&amp;level=16",IF(JobState="WI","https://fema.maps.arcgis.com/apps/mapviewer/index.html?url=https%3A%2F%2Fservices5.arcgis.com%2F0pgGLzT0Nh7FVjon%2Farcgis%2Frest%2Fservices%2FFFCL_gdb%2FFeatureServer%2F3&amp;find="&amp;$F168&amp;"%2C"&amp;$E168&amp;"&amp;marker="&amp;$F168&amp;","&amp;$E168&amp;",4326&amp;level=16","https://fema.maps.arcgis.com/apps/mapviewer/index.html?find="&amp;$F168&amp;"%2C"&amp;$E168&amp;"&amp;marker="&amp;$F168&amp;","&amp;$E168&amp;",4326&amp;level=16"))),"Open"))</f>
        <v/>
      </c>
      <c r="N168" s="6" t="str">
        <f>IF(OR(JobAgolMap="", $E168="", $F168=""),"",HYPERLINK(JobAgolMap&amp;IF(ISNUMBER(FIND("?",JobAgolMap)),"&amp;","?")&amp;"center="&amp;$F168&amp;","&amp;$E168&amp;"&amp;level=16&amp;marker="&amp;$F168&amp;","&amp;$E168,"Open"))</f>
        <v/>
      </c>
      <c r="O168" s="6" t="str">
        <f>IF(OR($E168="",$F168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8" s="4"/>
      <c r="Q168" s="4"/>
      <c r="R168" s="4"/>
      <c r="S168" s="4"/>
      <c r="T168" s="4"/>
      <c r="U168" s="4"/>
      <c r="V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HYPERLINK(IF(OR(JobState="MI",JobState=""),"https://fema.maps.arcgis.com/apps/mapviewer/index.html?webmap=6a1702b9147243d1a5ee62cd614bc681&amp;center="&amp;$F169&amp;","&amp;$E169&amp;"&amp;level=16&amp;marker="&amp;$F169&amp;","&amp;$E169&amp;"",IF(JobState="IN","https://fema.maps.arcgis.com/apps/mapviewer/index.html?url=https%3A%2F%2Fgisdata.in.gov%2Fserver%2Frest%2Fservices%2FHosted%2FLRSE_Functional_Class%2FFeatureServer%2F22&amp;find="&amp;$F169&amp;"%2C"&amp;$E169&amp;"&amp;marker="&amp;$F169&amp;","&amp;$E169&amp;",4326&amp;level=16",IF(JobState="WI","https://fema.maps.arcgis.com/apps/mapviewer/index.html?url=https%3A%2F%2Fservices5.arcgis.com%2F0pgGLzT0Nh7FVjon%2Farcgis%2Frest%2Fservices%2FFFCL_gdb%2FFeatureServer%2F3&amp;find="&amp;$F169&amp;"%2C"&amp;$E169&amp;"&amp;marker="&amp;$F169&amp;","&amp;$E169&amp;",4326&amp;level=16","https://fema.maps.arcgis.com/apps/mapviewer/index.html?find="&amp;$F169&amp;"%2C"&amp;$E169&amp;"&amp;marker="&amp;$F169&amp;","&amp;$E169&amp;",4326&amp;level=16"))),"Open"))</f>
        <v/>
      </c>
      <c r="N169" s="6" t="str">
        <f>IF(OR(JobAgolMap="", $E169="", $F169=""),"",HYPERLINK(JobAgolMap&amp;IF(ISNUMBER(FIND("?",JobAgolMap)),"&amp;","?")&amp;"center="&amp;$F169&amp;","&amp;$E169&amp;"&amp;level=16&amp;marker="&amp;$F169&amp;","&amp;$E169,"Open"))</f>
        <v/>
      </c>
      <c r="O169" s="6" t="str">
        <f>IF(OR($E169="",$F169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9" s="4"/>
      <c r="Q169" s="4"/>
      <c r="R169" s="4"/>
      <c r="S169" s="4"/>
      <c r="T169" s="4"/>
      <c r="U169" s="4"/>
      <c r="V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HYPERLINK(IF(OR(JobState="MI",JobState=""),"https://fema.maps.arcgis.com/apps/mapviewer/index.html?webmap=6a1702b9147243d1a5ee62cd614bc681&amp;center="&amp;$F170&amp;","&amp;$E170&amp;"&amp;level=16&amp;marker="&amp;$F170&amp;","&amp;$E170&amp;"",IF(JobState="IN","https://fema.maps.arcgis.com/apps/mapviewer/index.html?url=https%3A%2F%2Fgisdata.in.gov%2Fserver%2Frest%2Fservices%2FHosted%2FLRSE_Functional_Class%2FFeatureServer%2F22&amp;find="&amp;$F170&amp;"%2C"&amp;$E170&amp;"&amp;marker="&amp;$F170&amp;","&amp;$E170&amp;",4326&amp;level=16",IF(JobState="WI","https://fema.maps.arcgis.com/apps/mapviewer/index.html?url=https%3A%2F%2Fservices5.arcgis.com%2F0pgGLzT0Nh7FVjon%2Farcgis%2Frest%2Fservices%2FFFCL_gdb%2FFeatureServer%2F3&amp;find="&amp;$F170&amp;"%2C"&amp;$E170&amp;"&amp;marker="&amp;$F170&amp;","&amp;$E170&amp;",4326&amp;level=16","https://fema.maps.arcgis.com/apps/mapviewer/index.html?find="&amp;$F170&amp;"%2C"&amp;$E170&amp;"&amp;marker="&amp;$F170&amp;","&amp;$E170&amp;",4326&amp;level=16"))),"Open"))</f>
        <v/>
      </c>
      <c r="N170" s="6" t="str">
        <f>IF(OR(JobAgolMap="", $E170="", $F170=""),"",HYPERLINK(JobAgolMap&amp;IF(ISNUMBER(FIND("?",JobAgolMap)),"&amp;","?")&amp;"center="&amp;$F170&amp;","&amp;$E170&amp;"&amp;level=16&amp;marker="&amp;$F170&amp;","&amp;$E170,"Open"))</f>
        <v/>
      </c>
      <c r="O170" s="6" t="str">
        <f>IF(OR($E170="",$F170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0" s="4"/>
      <c r="Q170" s="4"/>
      <c r="R170" s="4"/>
      <c r="S170" s="4"/>
      <c r="T170" s="4"/>
      <c r="U170" s="4"/>
      <c r="V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HYPERLINK(IF(OR(JobState="MI",JobState=""),"https://fema.maps.arcgis.com/apps/mapviewer/index.html?webmap=6a1702b9147243d1a5ee62cd614bc681&amp;center="&amp;$F171&amp;","&amp;$E171&amp;"&amp;level=16&amp;marker="&amp;$F171&amp;","&amp;$E171&amp;"",IF(JobState="IN","https://fema.maps.arcgis.com/apps/mapviewer/index.html?url=https%3A%2F%2Fgisdata.in.gov%2Fserver%2Frest%2Fservices%2FHosted%2FLRSE_Functional_Class%2FFeatureServer%2F22&amp;find="&amp;$F171&amp;"%2C"&amp;$E171&amp;"&amp;marker="&amp;$F171&amp;","&amp;$E171&amp;",4326&amp;level=16",IF(JobState="WI","https://fema.maps.arcgis.com/apps/mapviewer/index.html?url=https%3A%2F%2Fservices5.arcgis.com%2F0pgGLzT0Nh7FVjon%2Farcgis%2Frest%2Fservices%2FFFCL_gdb%2FFeatureServer%2F3&amp;find="&amp;$F171&amp;"%2C"&amp;$E171&amp;"&amp;marker="&amp;$F171&amp;","&amp;$E171&amp;",4326&amp;level=16","https://fema.maps.arcgis.com/apps/mapviewer/index.html?find="&amp;$F171&amp;"%2C"&amp;$E171&amp;"&amp;marker="&amp;$F171&amp;","&amp;$E171&amp;",4326&amp;level=16"))),"Open"))</f>
        <v/>
      </c>
      <c r="N171" s="6" t="str">
        <f>IF(OR(JobAgolMap="", $E171="", $F171=""),"",HYPERLINK(JobAgolMap&amp;IF(ISNUMBER(FIND("?",JobAgolMap)),"&amp;","?")&amp;"center="&amp;$F171&amp;","&amp;$E171&amp;"&amp;level=16&amp;marker="&amp;$F171&amp;","&amp;$E171,"Open"))</f>
        <v/>
      </c>
      <c r="O171" s="6" t="str">
        <f>IF(OR($E171="",$F171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1" s="4"/>
      <c r="Q171" s="4"/>
      <c r="R171" s="4"/>
      <c r="S171" s="4"/>
      <c r="T171" s="4"/>
      <c r="U171" s="4"/>
      <c r="V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HYPERLINK(IF(OR(JobState="MI",JobState=""),"https://fema.maps.arcgis.com/apps/mapviewer/index.html?webmap=6a1702b9147243d1a5ee62cd614bc681&amp;center="&amp;$F172&amp;","&amp;$E172&amp;"&amp;level=16&amp;marker="&amp;$F172&amp;","&amp;$E172&amp;"",IF(JobState="IN","https://fema.maps.arcgis.com/apps/mapviewer/index.html?url=https%3A%2F%2Fgisdata.in.gov%2Fserver%2Frest%2Fservices%2FHosted%2FLRSE_Functional_Class%2FFeatureServer%2F22&amp;find="&amp;$F172&amp;"%2C"&amp;$E172&amp;"&amp;marker="&amp;$F172&amp;","&amp;$E172&amp;",4326&amp;level=16",IF(JobState="WI","https://fema.maps.arcgis.com/apps/mapviewer/index.html?url=https%3A%2F%2Fservices5.arcgis.com%2F0pgGLzT0Nh7FVjon%2Farcgis%2Frest%2Fservices%2FFFCL_gdb%2FFeatureServer%2F3&amp;find="&amp;$F172&amp;"%2C"&amp;$E172&amp;"&amp;marker="&amp;$F172&amp;","&amp;$E172&amp;",4326&amp;level=16","https://fema.maps.arcgis.com/apps/mapviewer/index.html?find="&amp;$F172&amp;"%2C"&amp;$E172&amp;"&amp;marker="&amp;$F172&amp;","&amp;$E172&amp;",4326&amp;level=16"))),"Open"))</f>
        <v/>
      </c>
      <c r="N172" s="6" t="str">
        <f>IF(OR(JobAgolMap="", $E172="", $F172=""),"",HYPERLINK(JobAgolMap&amp;IF(ISNUMBER(FIND("?",JobAgolMap)),"&amp;","?")&amp;"center="&amp;$F172&amp;","&amp;$E172&amp;"&amp;level=16&amp;marker="&amp;$F172&amp;","&amp;$E172,"Open"))</f>
        <v/>
      </c>
      <c r="O172" s="6" t="str">
        <f>IF(OR($E172="",$F172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2" s="4"/>
      <c r="Q172" s="4"/>
      <c r="R172" s="4"/>
      <c r="S172" s="4"/>
      <c r="T172" s="4"/>
      <c r="U172" s="4"/>
      <c r="V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HYPERLINK(IF(OR(JobState="MI",JobState=""),"https://fema.maps.arcgis.com/apps/mapviewer/index.html?webmap=6a1702b9147243d1a5ee62cd614bc681&amp;center="&amp;$F173&amp;","&amp;$E173&amp;"&amp;level=16&amp;marker="&amp;$F173&amp;","&amp;$E173&amp;"",IF(JobState="IN","https://fema.maps.arcgis.com/apps/mapviewer/index.html?url=https%3A%2F%2Fgisdata.in.gov%2Fserver%2Frest%2Fservices%2FHosted%2FLRSE_Functional_Class%2FFeatureServer%2F22&amp;find="&amp;$F173&amp;"%2C"&amp;$E173&amp;"&amp;marker="&amp;$F173&amp;","&amp;$E173&amp;",4326&amp;level=16",IF(JobState="WI","https://fema.maps.arcgis.com/apps/mapviewer/index.html?url=https%3A%2F%2Fservices5.arcgis.com%2F0pgGLzT0Nh7FVjon%2Farcgis%2Frest%2Fservices%2FFFCL_gdb%2FFeatureServer%2F3&amp;find="&amp;$F173&amp;"%2C"&amp;$E173&amp;"&amp;marker="&amp;$F173&amp;","&amp;$E173&amp;",4326&amp;level=16","https://fema.maps.arcgis.com/apps/mapviewer/index.html?find="&amp;$F173&amp;"%2C"&amp;$E173&amp;"&amp;marker="&amp;$F173&amp;","&amp;$E173&amp;",4326&amp;level=16"))),"Open"))</f>
        <v/>
      </c>
      <c r="N173" s="6" t="str">
        <f>IF(OR(JobAgolMap="", $E173="", $F173=""),"",HYPERLINK(JobAgolMap&amp;IF(ISNUMBER(FIND("?",JobAgolMap)),"&amp;","?")&amp;"center="&amp;$F173&amp;","&amp;$E173&amp;"&amp;level=16&amp;marker="&amp;$F173&amp;","&amp;$E173,"Open"))</f>
        <v/>
      </c>
      <c r="O173" s="6" t="str">
        <f>IF(OR($E173="",$F173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3" s="4"/>
      <c r="Q173" s="4"/>
      <c r="R173" s="4"/>
      <c r="S173" s="4"/>
      <c r="T173" s="4"/>
      <c r="U173" s="4"/>
      <c r="V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HYPERLINK(IF(OR(JobState="MI",JobState=""),"https://fema.maps.arcgis.com/apps/mapviewer/index.html?webmap=6a1702b9147243d1a5ee62cd614bc681&amp;center="&amp;$F174&amp;","&amp;$E174&amp;"&amp;level=16&amp;marker="&amp;$F174&amp;","&amp;$E174&amp;"",IF(JobState="IN","https://fema.maps.arcgis.com/apps/mapviewer/index.html?url=https%3A%2F%2Fgisdata.in.gov%2Fserver%2Frest%2Fservices%2FHosted%2FLRSE_Functional_Class%2FFeatureServer%2F22&amp;find="&amp;$F174&amp;"%2C"&amp;$E174&amp;"&amp;marker="&amp;$F174&amp;","&amp;$E174&amp;",4326&amp;level=16",IF(JobState="WI","https://fema.maps.arcgis.com/apps/mapviewer/index.html?url=https%3A%2F%2Fservices5.arcgis.com%2F0pgGLzT0Nh7FVjon%2Farcgis%2Frest%2Fservices%2FFFCL_gdb%2FFeatureServer%2F3&amp;find="&amp;$F174&amp;"%2C"&amp;$E174&amp;"&amp;marker="&amp;$F174&amp;","&amp;$E174&amp;",4326&amp;level=16","https://fema.maps.arcgis.com/apps/mapviewer/index.html?find="&amp;$F174&amp;"%2C"&amp;$E174&amp;"&amp;marker="&amp;$F174&amp;","&amp;$E174&amp;",4326&amp;level=16"))),"Open"))</f>
        <v/>
      </c>
      <c r="N174" s="6" t="str">
        <f>IF(OR(JobAgolMap="", $E174="", $F174=""),"",HYPERLINK(JobAgolMap&amp;IF(ISNUMBER(FIND("?",JobAgolMap)),"&amp;","?")&amp;"center="&amp;$F174&amp;","&amp;$E174&amp;"&amp;level=16&amp;marker="&amp;$F174&amp;","&amp;$E174,"Open"))</f>
        <v/>
      </c>
      <c r="O174" s="6" t="str">
        <f>IF(OR($E174="",$F174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4" s="4"/>
      <c r="Q174" s="4"/>
      <c r="R174" s="4"/>
      <c r="S174" s="4"/>
      <c r="T174" s="4"/>
      <c r="U174" s="4"/>
      <c r="V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HYPERLINK(IF(OR(JobState="MI",JobState=""),"https://fema.maps.arcgis.com/apps/mapviewer/index.html?webmap=6a1702b9147243d1a5ee62cd614bc681&amp;center="&amp;$F175&amp;","&amp;$E175&amp;"&amp;level=16&amp;marker="&amp;$F175&amp;","&amp;$E175&amp;"",IF(JobState="IN","https://fema.maps.arcgis.com/apps/mapviewer/index.html?url=https%3A%2F%2Fgisdata.in.gov%2Fserver%2Frest%2Fservices%2FHosted%2FLRSE_Functional_Class%2FFeatureServer%2F22&amp;find="&amp;$F175&amp;"%2C"&amp;$E175&amp;"&amp;marker="&amp;$F175&amp;","&amp;$E175&amp;",4326&amp;level=16",IF(JobState="WI","https://fema.maps.arcgis.com/apps/mapviewer/index.html?url=https%3A%2F%2Fservices5.arcgis.com%2F0pgGLzT0Nh7FVjon%2Farcgis%2Frest%2Fservices%2FFFCL_gdb%2FFeatureServer%2F3&amp;find="&amp;$F175&amp;"%2C"&amp;$E175&amp;"&amp;marker="&amp;$F175&amp;","&amp;$E175&amp;",4326&amp;level=16","https://fema.maps.arcgis.com/apps/mapviewer/index.html?find="&amp;$F175&amp;"%2C"&amp;$E175&amp;"&amp;marker="&amp;$F175&amp;","&amp;$E175&amp;",4326&amp;level=16"))),"Open"))</f>
        <v/>
      </c>
      <c r="N175" s="6" t="str">
        <f>IF(OR(JobAgolMap="", $E175="", $F175=""),"",HYPERLINK(JobAgolMap&amp;IF(ISNUMBER(FIND("?",JobAgolMap)),"&amp;","?")&amp;"center="&amp;$F175&amp;","&amp;$E175&amp;"&amp;level=16&amp;marker="&amp;$F175&amp;","&amp;$E175,"Open"))</f>
        <v/>
      </c>
      <c r="O175" s="6" t="str">
        <f>IF(OR($E175="",$F175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5" s="4"/>
      <c r="Q175" s="4"/>
      <c r="R175" s="4"/>
      <c r="S175" s="4"/>
      <c r="T175" s="4"/>
      <c r="U175" s="4"/>
      <c r="V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HYPERLINK(IF(OR(JobState="MI",JobState=""),"https://fema.maps.arcgis.com/apps/mapviewer/index.html?webmap=6a1702b9147243d1a5ee62cd614bc681&amp;center="&amp;$F176&amp;","&amp;$E176&amp;"&amp;level=16&amp;marker="&amp;$F176&amp;","&amp;$E176&amp;"",IF(JobState="IN","https://fema.maps.arcgis.com/apps/mapviewer/index.html?url=https%3A%2F%2Fgisdata.in.gov%2Fserver%2Frest%2Fservices%2FHosted%2FLRSE_Functional_Class%2FFeatureServer%2F22&amp;find="&amp;$F176&amp;"%2C"&amp;$E176&amp;"&amp;marker="&amp;$F176&amp;","&amp;$E176&amp;",4326&amp;level=16",IF(JobState="WI","https://fema.maps.arcgis.com/apps/mapviewer/index.html?url=https%3A%2F%2Fservices5.arcgis.com%2F0pgGLzT0Nh7FVjon%2Farcgis%2Frest%2Fservices%2FFFCL_gdb%2FFeatureServer%2F3&amp;find="&amp;$F176&amp;"%2C"&amp;$E176&amp;"&amp;marker="&amp;$F176&amp;","&amp;$E176&amp;",4326&amp;level=16","https://fema.maps.arcgis.com/apps/mapviewer/index.html?find="&amp;$F176&amp;"%2C"&amp;$E176&amp;"&amp;marker="&amp;$F176&amp;","&amp;$E176&amp;",4326&amp;level=16"))),"Open"))</f>
        <v/>
      </c>
      <c r="N176" s="6" t="str">
        <f>IF(OR(JobAgolMap="", $E176="", $F176=""),"",HYPERLINK(JobAgolMap&amp;IF(ISNUMBER(FIND("?",JobAgolMap)),"&amp;","?")&amp;"center="&amp;$F176&amp;","&amp;$E176&amp;"&amp;level=16&amp;marker="&amp;$F176&amp;","&amp;$E176,"Open"))</f>
        <v/>
      </c>
      <c r="O176" s="6" t="str">
        <f>IF(OR($E176="",$F176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6" s="4"/>
      <c r="Q176" s="4"/>
      <c r="R176" s="4"/>
      <c r="S176" s="4"/>
      <c r="T176" s="4"/>
      <c r="U176" s="4"/>
      <c r="V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HYPERLINK(IF(OR(JobState="MI",JobState=""),"https://fema.maps.arcgis.com/apps/mapviewer/index.html?webmap=6a1702b9147243d1a5ee62cd614bc681&amp;center="&amp;$F177&amp;","&amp;$E177&amp;"&amp;level=16&amp;marker="&amp;$F177&amp;","&amp;$E177&amp;"",IF(JobState="IN","https://fema.maps.arcgis.com/apps/mapviewer/index.html?url=https%3A%2F%2Fgisdata.in.gov%2Fserver%2Frest%2Fservices%2FHosted%2FLRSE_Functional_Class%2FFeatureServer%2F22&amp;find="&amp;$F177&amp;"%2C"&amp;$E177&amp;"&amp;marker="&amp;$F177&amp;","&amp;$E177&amp;",4326&amp;level=16",IF(JobState="WI","https://fema.maps.arcgis.com/apps/mapviewer/index.html?url=https%3A%2F%2Fservices5.arcgis.com%2F0pgGLzT0Nh7FVjon%2Farcgis%2Frest%2Fservices%2FFFCL_gdb%2FFeatureServer%2F3&amp;find="&amp;$F177&amp;"%2C"&amp;$E177&amp;"&amp;marker="&amp;$F177&amp;","&amp;$E177&amp;",4326&amp;level=16","https://fema.maps.arcgis.com/apps/mapviewer/index.html?find="&amp;$F177&amp;"%2C"&amp;$E177&amp;"&amp;marker="&amp;$F177&amp;","&amp;$E177&amp;",4326&amp;level=16"))),"Open"))</f>
        <v/>
      </c>
      <c r="N177" s="6" t="str">
        <f>IF(OR(JobAgolMap="", $E177="", $F177=""),"",HYPERLINK(JobAgolMap&amp;IF(ISNUMBER(FIND("?",JobAgolMap)),"&amp;","?")&amp;"center="&amp;$F177&amp;","&amp;$E177&amp;"&amp;level=16&amp;marker="&amp;$F177&amp;","&amp;$E177,"Open"))</f>
        <v/>
      </c>
      <c r="O177" s="6" t="str">
        <f>IF(OR($E177="",$F177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7" s="4"/>
      <c r="Q177" s="4"/>
      <c r="R177" s="4"/>
      <c r="S177" s="4"/>
      <c r="T177" s="4"/>
      <c r="U177" s="4"/>
      <c r="V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HYPERLINK(IF(OR(JobState="MI",JobState=""),"https://fema.maps.arcgis.com/apps/mapviewer/index.html?webmap=6a1702b9147243d1a5ee62cd614bc681&amp;center="&amp;$F178&amp;","&amp;$E178&amp;"&amp;level=16&amp;marker="&amp;$F178&amp;","&amp;$E178&amp;"",IF(JobState="IN","https://fema.maps.arcgis.com/apps/mapviewer/index.html?url=https%3A%2F%2Fgisdata.in.gov%2Fserver%2Frest%2Fservices%2FHosted%2FLRSE_Functional_Class%2FFeatureServer%2F22&amp;find="&amp;$F178&amp;"%2C"&amp;$E178&amp;"&amp;marker="&amp;$F178&amp;","&amp;$E178&amp;",4326&amp;level=16",IF(JobState="WI","https://fema.maps.arcgis.com/apps/mapviewer/index.html?url=https%3A%2F%2Fservices5.arcgis.com%2F0pgGLzT0Nh7FVjon%2Farcgis%2Frest%2Fservices%2FFFCL_gdb%2FFeatureServer%2F3&amp;find="&amp;$F178&amp;"%2C"&amp;$E178&amp;"&amp;marker="&amp;$F178&amp;","&amp;$E178&amp;",4326&amp;level=16","https://fema.maps.arcgis.com/apps/mapviewer/index.html?find="&amp;$F178&amp;"%2C"&amp;$E178&amp;"&amp;marker="&amp;$F178&amp;","&amp;$E178&amp;",4326&amp;level=16"))),"Open"))</f>
        <v/>
      </c>
      <c r="N178" s="6" t="str">
        <f>IF(OR(JobAgolMap="", $E178="", $F178=""),"",HYPERLINK(JobAgolMap&amp;IF(ISNUMBER(FIND("?",JobAgolMap)),"&amp;","?")&amp;"center="&amp;$F178&amp;","&amp;$E178&amp;"&amp;level=16&amp;marker="&amp;$F178&amp;","&amp;$E178,"Open"))</f>
        <v/>
      </c>
      <c r="O178" s="6" t="str">
        <f>IF(OR($E178="",$F178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8" s="4"/>
      <c r="Q178" s="4"/>
      <c r="R178" s="4"/>
      <c r="S178" s="4"/>
      <c r="T178" s="4"/>
      <c r="U178" s="4"/>
      <c r="V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HYPERLINK(IF(OR(JobState="MI",JobState=""),"https://fema.maps.arcgis.com/apps/mapviewer/index.html?webmap=6a1702b9147243d1a5ee62cd614bc681&amp;center="&amp;$F179&amp;","&amp;$E179&amp;"&amp;level=16&amp;marker="&amp;$F179&amp;","&amp;$E179&amp;"",IF(JobState="IN","https://fema.maps.arcgis.com/apps/mapviewer/index.html?url=https%3A%2F%2Fgisdata.in.gov%2Fserver%2Frest%2Fservices%2FHosted%2FLRSE_Functional_Class%2FFeatureServer%2F22&amp;find="&amp;$F179&amp;"%2C"&amp;$E179&amp;"&amp;marker="&amp;$F179&amp;","&amp;$E179&amp;",4326&amp;level=16",IF(JobState="WI","https://fema.maps.arcgis.com/apps/mapviewer/index.html?url=https%3A%2F%2Fservices5.arcgis.com%2F0pgGLzT0Nh7FVjon%2Farcgis%2Frest%2Fservices%2FFFCL_gdb%2FFeatureServer%2F3&amp;find="&amp;$F179&amp;"%2C"&amp;$E179&amp;"&amp;marker="&amp;$F179&amp;","&amp;$E179&amp;",4326&amp;level=16","https://fema.maps.arcgis.com/apps/mapviewer/index.html?find="&amp;$F179&amp;"%2C"&amp;$E179&amp;"&amp;marker="&amp;$F179&amp;","&amp;$E179&amp;",4326&amp;level=16"))),"Open"))</f>
        <v/>
      </c>
      <c r="N179" s="6" t="str">
        <f>IF(OR(JobAgolMap="", $E179="", $F179=""),"",HYPERLINK(JobAgolMap&amp;IF(ISNUMBER(FIND("?",JobAgolMap)),"&amp;","?")&amp;"center="&amp;$F179&amp;","&amp;$E179&amp;"&amp;level=16&amp;marker="&amp;$F179&amp;","&amp;$E179,"Open"))</f>
        <v/>
      </c>
      <c r="O179" s="6" t="str">
        <f>IF(OR($E179="",$F179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9" s="4"/>
      <c r="Q179" s="4"/>
      <c r="R179" s="4"/>
      <c r="S179" s="4"/>
      <c r="T179" s="4"/>
      <c r="U179" s="4"/>
      <c r="V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HYPERLINK(IF(OR(JobState="MI",JobState=""),"https://fema.maps.arcgis.com/apps/mapviewer/index.html?webmap=6a1702b9147243d1a5ee62cd614bc681&amp;center="&amp;$F180&amp;","&amp;$E180&amp;"&amp;level=16&amp;marker="&amp;$F180&amp;","&amp;$E180&amp;"",IF(JobState="IN","https://fema.maps.arcgis.com/apps/mapviewer/index.html?url=https%3A%2F%2Fgisdata.in.gov%2Fserver%2Frest%2Fservices%2FHosted%2FLRSE_Functional_Class%2FFeatureServer%2F22&amp;find="&amp;$F180&amp;"%2C"&amp;$E180&amp;"&amp;marker="&amp;$F180&amp;","&amp;$E180&amp;",4326&amp;level=16",IF(JobState="WI","https://fema.maps.arcgis.com/apps/mapviewer/index.html?url=https%3A%2F%2Fservices5.arcgis.com%2F0pgGLzT0Nh7FVjon%2Farcgis%2Frest%2Fservices%2FFFCL_gdb%2FFeatureServer%2F3&amp;find="&amp;$F180&amp;"%2C"&amp;$E180&amp;"&amp;marker="&amp;$F180&amp;","&amp;$E180&amp;",4326&amp;level=16","https://fema.maps.arcgis.com/apps/mapviewer/index.html?find="&amp;$F180&amp;"%2C"&amp;$E180&amp;"&amp;marker="&amp;$F180&amp;","&amp;$E180&amp;",4326&amp;level=16"))),"Open"))</f>
        <v/>
      </c>
      <c r="N180" s="6" t="str">
        <f>IF(OR(JobAgolMap="", $E180="", $F180=""),"",HYPERLINK(JobAgolMap&amp;IF(ISNUMBER(FIND("?",JobAgolMap)),"&amp;","?")&amp;"center="&amp;$F180&amp;","&amp;$E180&amp;"&amp;level=16&amp;marker="&amp;$F180&amp;","&amp;$E180,"Open"))</f>
        <v/>
      </c>
      <c r="O180" s="6" t="str">
        <f>IF(OR($E180="",$F180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0" s="4"/>
      <c r="Q180" s="4"/>
      <c r="R180" s="4"/>
      <c r="S180" s="4"/>
      <c r="T180" s="4"/>
      <c r="U180" s="4"/>
      <c r="V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HYPERLINK(IF(OR(JobState="MI",JobState=""),"https://fema.maps.arcgis.com/apps/mapviewer/index.html?webmap=6a1702b9147243d1a5ee62cd614bc681&amp;center="&amp;$F181&amp;","&amp;$E181&amp;"&amp;level=16&amp;marker="&amp;$F181&amp;","&amp;$E181&amp;"",IF(JobState="IN","https://fema.maps.arcgis.com/apps/mapviewer/index.html?url=https%3A%2F%2Fgisdata.in.gov%2Fserver%2Frest%2Fservices%2FHosted%2FLRSE_Functional_Class%2FFeatureServer%2F22&amp;find="&amp;$F181&amp;"%2C"&amp;$E181&amp;"&amp;marker="&amp;$F181&amp;","&amp;$E181&amp;",4326&amp;level=16",IF(JobState="WI","https://fema.maps.arcgis.com/apps/mapviewer/index.html?url=https%3A%2F%2Fservices5.arcgis.com%2F0pgGLzT0Nh7FVjon%2Farcgis%2Frest%2Fservices%2FFFCL_gdb%2FFeatureServer%2F3&amp;find="&amp;$F181&amp;"%2C"&amp;$E181&amp;"&amp;marker="&amp;$F181&amp;","&amp;$E181&amp;",4326&amp;level=16","https://fema.maps.arcgis.com/apps/mapviewer/index.html?find="&amp;$F181&amp;"%2C"&amp;$E181&amp;"&amp;marker="&amp;$F181&amp;","&amp;$E181&amp;",4326&amp;level=16"))),"Open"))</f>
        <v/>
      </c>
      <c r="N181" s="6" t="str">
        <f>IF(OR(JobAgolMap="", $E181="", $F181=""),"",HYPERLINK(JobAgolMap&amp;IF(ISNUMBER(FIND("?",JobAgolMap)),"&amp;","?")&amp;"center="&amp;$F181&amp;","&amp;$E181&amp;"&amp;level=16&amp;marker="&amp;$F181&amp;","&amp;$E181,"Open"))</f>
        <v/>
      </c>
      <c r="O181" s="6" t="str">
        <f>IF(OR($E181="",$F181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1" s="4"/>
      <c r="Q181" s="4"/>
      <c r="R181" s="4"/>
      <c r="S181" s="4"/>
      <c r="T181" s="4"/>
      <c r="U181" s="4"/>
      <c r="V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HYPERLINK(IF(OR(JobState="MI",JobState=""),"https://fema.maps.arcgis.com/apps/mapviewer/index.html?webmap=6a1702b9147243d1a5ee62cd614bc681&amp;center="&amp;$F182&amp;","&amp;$E182&amp;"&amp;level=16&amp;marker="&amp;$F182&amp;","&amp;$E182&amp;"",IF(JobState="IN","https://fema.maps.arcgis.com/apps/mapviewer/index.html?url=https%3A%2F%2Fgisdata.in.gov%2Fserver%2Frest%2Fservices%2FHosted%2FLRSE_Functional_Class%2FFeatureServer%2F22&amp;find="&amp;$F182&amp;"%2C"&amp;$E182&amp;"&amp;marker="&amp;$F182&amp;","&amp;$E182&amp;",4326&amp;level=16",IF(JobState="WI","https://fema.maps.arcgis.com/apps/mapviewer/index.html?url=https%3A%2F%2Fservices5.arcgis.com%2F0pgGLzT0Nh7FVjon%2Farcgis%2Frest%2Fservices%2FFFCL_gdb%2FFeatureServer%2F3&amp;find="&amp;$F182&amp;"%2C"&amp;$E182&amp;"&amp;marker="&amp;$F182&amp;","&amp;$E182&amp;",4326&amp;level=16","https://fema.maps.arcgis.com/apps/mapviewer/index.html?find="&amp;$F182&amp;"%2C"&amp;$E182&amp;"&amp;marker="&amp;$F182&amp;","&amp;$E182&amp;",4326&amp;level=16"))),"Open"))</f>
        <v/>
      </c>
      <c r="N182" s="6" t="str">
        <f>IF(OR(JobAgolMap="", $E182="", $F182=""),"",HYPERLINK(JobAgolMap&amp;IF(ISNUMBER(FIND("?",JobAgolMap)),"&amp;","?")&amp;"center="&amp;$F182&amp;","&amp;$E182&amp;"&amp;level=16&amp;marker="&amp;$F182&amp;","&amp;$E182,"Open"))</f>
        <v/>
      </c>
      <c r="O182" s="6" t="str">
        <f>IF(OR($E182="",$F182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2" s="4"/>
      <c r="Q182" s="4"/>
      <c r="R182" s="4"/>
      <c r="S182" s="4"/>
      <c r="T182" s="4"/>
      <c r="U182" s="4"/>
      <c r="V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HYPERLINK(IF(OR(JobState="MI",JobState=""),"https://fema.maps.arcgis.com/apps/mapviewer/index.html?webmap=6a1702b9147243d1a5ee62cd614bc681&amp;center="&amp;$F183&amp;","&amp;$E183&amp;"&amp;level=16&amp;marker="&amp;$F183&amp;","&amp;$E183&amp;"",IF(JobState="IN","https://fema.maps.arcgis.com/apps/mapviewer/index.html?url=https%3A%2F%2Fgisdata.in.gov%2Fserver%2Frest%2Fservices%2FHosted%2FLRSE_Functional_Class%2FFeatureServer%2F22&amp;find="&amp;$F183&amp;"%2C"&amp;$E183&amp;"&amp;marker="&amp;$F183&amp;","&amp;$E183&amp;",4326&amp;level=16",IF(JobState="WI","https://fema.maps.arcgis.com/apps/mapviewer/index.html?url=https%3A%2F%2Fservices5.arcgis.com%2F0pgGLzT0Nh7FVjon%2Farcgis%2Frest%2Fservices%2FFFCL_gdb%2FFeatureServer%2F3&amp;find="&amp;$F183&amp;"%2C"&amp;$E183&amp;"&amp;marker="&amp;$F183&amp;","&amp;$E183&amp;",4326&amp;level=16","https://fema.maps.arcgis.com/apps/mapviewer/index.html?find="&amp;$F183&amp;"%2C"&amp;$E183&amp;"&amp;marker="&amp;$F183&amp;","&amp;$E183&amp;",4326&amp;level=16"))),"Open"))</f>
        <v/>
      </c>
      <c r="N183" s="6" t="str">
        <f>IF(OR(JobAgolMap="", $E183="", $F183=""),"",HYPERLINK(JobAgolMap&amp;IF(ISNUMBER(FIND("?",JobAgolMap)),"&amp;","?")&amp;"center="&amp;$F183&amp;","&amp;$E183&amp;"&amp;level=16&amp;marker="&amp;$F183&amp;","&amp;$E183,"Open"))</f>
        <v/>
      </c>
      <c r="O183" s="6" t="str">
        <f>IF(OR($E183="",$F183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3" s="4"/>
      <c r="Q183" s="4"/>
      <c r="R183" s="4"/>
      <c r="S183" s="4"/>
      <c r="T183" s="4"/>
      <c r="U183" s="4"/>
      <c r="V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HYPERLINK(IF(OR(JobState="MI",JobState=""),"https://fema.maps.arcgis.com/apps/mapviewer/index.html?webmap=6a1702b9147243d1a5ee62cd614bc681&amp;center="&amp;$F184&amp;","&amp;$E184&amp;"&amp;level=16&amp;marker="&amp;$F184&amp;","&amp;$E184&amp;"",IF(JobState="IN","https://fema.maps.arcgis.com/apps/mapviewer/index.html?url=https%3A%2F%2Fgisdata.in.gov%2Fserver%2Frest%2Fservices%2FHosted%2FLRSE_Functional_Class%2FFeatureServer%2F22&amp;find="&amp;$F184&amp;"%2C"&amp;$E184&amp;"&amp;marker="&amp;$F184&amp;","&amp;$E184&amp;",4326&amp;level=16",IF(JobState="WI","https://fema.maps.arcgis.com/apps/mapviewer/index.html?url=https%3A%2F%2Fservices5.arcgis.com%2F0pgGLzT0Nh7FVjon%2Farcgis%2Frest%2Fservices%2FFFCL_gdb%2FFeatureServer%2F3&amp;find="&amp;$F184&amp;"%2C"&amp;$E184&amp;"&amp;marker="&amp;$F184&amp;","&amp;$E184&amp;",4326&amp;level=16","https://fema.maps.arcgis.com/apps/mapviewer/index.html?find="&amp;$F184&amp;"%2C"&amp;$E184&amp;"&amp;marker="&amp;$F184&amp;","&amp;$E184&amp;",4326&amp;level=16"))),"Open"))</f>
        <v/>
      </c>
      <c r="N184" s="6" t="str">
        <f>IF(OR(JobAgolMap="", $E184="", $F184=""),"",HYPERLINK(JobAgolMap&amp;IF(ISNUMBER(FIND("?",JobAgolMap)),"&amp;","?")&amp;"center="&amp;$F184&amp;","&amp;$E184&amp;"&amp;level=16&amp;marker="&amp;$F184&amp;","&amp;$E184,"Open"))</f>
        <v/>
      </c>
      <c r="O184" s="6" t="str">
        <f>IF(OR($E184="",$F184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4" s="4"/>
      <c r="Q184" s="4"/>
      <c r="R184" s="4"/>
      <c r="S184" s="4"/>
      <c r="T184" s="4"/>
      <c r="U184" s="4"/>
      <c r="V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HYPERLINK(IF(OR(JobState="MI",JobState=""),"https://fema.maps.arcgis.com/apps/mapviewer/index.html?webmap=6a1702b9147243d1a5ee62cd614bc681&amp;center="&amp;$F185&amp;","&amp;$E185&amp;"&amp;level=16&amp;marker="&amp;$F185&amp;","&amp;$E185&amp;"",IF(JobState="IN","https://fema.maps.arcgis.com/apps/mapviewer/index.html?url=https%3A%2F%2Fgisdata.in.gov%2Fserver%2Frest%2Fservices%2FHosted%2FLRSE_Functional_Class%2FFeatureServer%2F22&amp;find="&amp;$F185&amp;"%2C"&amp;$E185&amp;"&amp;marker="&amp;$F185&amp;","&amp;$E185&amp;",4326&amp;level=16",IF(JobState="WI","https://fema.maps.arcgis.com/apps/mapviewer/index.html?url=https%3A%2F%2Fservices5.arcgis.com%2F0pgGLzT0Nh7FVjon%2Farcgis%2Frest%2Fservices%2FFFCL_gdb%2FFeatureServer%2F3&amp;find="&amp;$F185&amp;"%2C"&amp;$E185&amp;"&amp;marker="&amp;$F185&amp;","&amp;$E185&amp;",4326&amp;level=16","https://fema.maps.arcgis.com/apps/mapviewer/index.html?find="&amp;$F185&amp;"%2C"&amp;$E185&amp;"&amp;marker="&amp;$F185&amp;","&amp;$E185&amp;",4326&amp;level=16"))),"Open"))</f>
        <v/>
      </c>
      <c r="N185" s="6" t="str">
        <f>IF(OR(JobAgolMap="", $E185="", $F185=""),"",HYPERLINK(JobAgolMap&amp;IF(ISNUMBER(FIND("?",JobAgolMap)),"&amp;","?")&amp;"center="&amp;$F185&amp;","&amp;$E185&amp;"&amp;level=16&amp;marker="&amp;$F185&amp;","&amp;$E185,"Open"))</f>
        <v/>
      </c>
      <c r="O185" s="6" t="str">
        <f>IF(OR($E185="",$F185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5" s="4"/>
      <c r="Q185" s="4"/>
      <c r="R185" s="4"/>
      <c r="S185" s="4"/>
      <c r="T185" s="4"/>
      <c r="U185" s="4"/>
      <c r="V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HYPERLINK(IF(OR(JobState="MI",JobState=""),"https://fema.maps.arcgis.com/apps/mapviewer/index.html?webmap=6a1702b9147243d1a5ee62cd614bc681&amp;center="&amp;$F186&amp;","&amp;$E186&amp;"&amp;level=16&amp;marker="&amp;$F186&amp;","&amp;$E186&amp;"",IF(JobState="IN","https://fema.maps.arcgis.com/apps/mapviewer/index.html?url=https%3A%2F%2Fgisdata.in.gov%2Fserver%2Frest%2Fservices%2FHosted%2FLRSE_Functional_Class%2FFeatureServer%2F22&amp;find="&amp;$F186&amp;"%2C"&amp;$E186&amp;"&amp;marker="&amp;$F186&amp;","&amp;$E186&amp;",4326&amp;level=16",IF(JobState="WI","https://fema.maps.arcgis.com/apps/mapviewer/index.html?url=https%3A%2F%2Fservices5.arcgis.com%2F0pgGLzT0Nh7FVjon%2Farcgis%2Frest%2Fservices%2FFFCL_gdb%2FFeatureServer%2F3&amp;find="&amp;$F186&amp;"%2C"&amp;$E186&amp;"&amp;marker="&amp;$F186&amp;","&amp;$E186&amp;",4326&amp;level=16","https://fema.maps.arcgis.com/apps/mapviewer/index.html?find="&amp;$F186&amp;"%2C"&amp;$E186&amp;"&amp;marker="&amp;$F186&amp;","&amp;$E186&amp;",4326&amp;level=16"))),"Open"))</f>
        <v/>
      </c>
      <c r="N186" s="6" t="str">
        <f>IF(OR(JobAgolMap="", $E186="", $F186=""),"",HYPERLINK(JobAgolMap&amp;IF(ISNUMBER(FIND("?",JobAgolMap)),"&amp;","?")&amp;"center="&amp;$F186&amp;","&amp;$E186&amp;"&amp;level=16&amp;marker="&amp;$F186&amp;","&amp;$E186,"Open"))</f>
        <v/>
      </c>
      <c r="O186" s="6" t="str">
        <f>IF(OR($E186="",$F186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6" s="4"/>
      <c r="Q186" s="4"/>
      <c r="R186" s="4"/>
      <c r="S186" s="4"/>
      <c r="T186" s="4"/>
      <c r="U186" s="4"/>
      <c r="V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HYPERLINK(IF(OR(JobState="MI",JobState=""),"https://fema.maps.arcgis.com/apps/mapviewer/index.html?webmap=6a1702b9147243d1a5ee62cd614bc681&amp;center="&amp;$F187&amp;","&amp;$E187&amp;"&amp;level=16&amp;marker="&amp;$F187&amp;","&amp;$E187&amp;"",IF(JobState="IN","https://fema.maps.arcgis.com/apps/mapviewer/index.html?url=https%3A%2F%2Fgisdata.in.gov%2Fserver%2Frest%2Fservices%2FHosted%2FLRSE_Functional_Class%2FFeatureServer%2F22&amp;find="&amp;$F187&amp;"%2C"&amp;$E187&amp;"&amp;marker="&amp;$F187&amp;","&amp;$E187&amp;",4326&amp;level=16",IF(JobState="WI","https://fema.maps.arcgis.com/apps/mapviewer/index.html?url=https%3A%2F%2Fservices5.arcgis.com%2F0pgGLzT0Nh7FVjon%2Farcgis%2Frest%2Fservices%2FFFCL_gdb%2FFeatureServer%2F3&amp;find="&amp;$F187&amp;"%2C"&amp;$E187&amp;"&amp;marker="&amp;$F187&amp;","&amp;$E187&amp;",4326&amp;level=16","https://fema.maps.arcgis.com/apps/mapviewer/index.html?find="&amp;$F187&amp;"%2C"&amp;$E187&amp;"&amp;marker="&amp;$F187&amp;","&amp;$E187&amp;",4326&amp;level=16"))),"Open"))</f>
        <v/>
      </c>
      <c r="N187" s="6" t="str">
        <f>IF(OR(JobAgolMap="", $E187="", $F187=""),"",HYPERLINK(JobAgolMap&amp;IF(ISNUMBER(FIND("?",JobAgolMap)),"&amp;","?")&amp;"center="&amp;$F187&amp;","&amp;$E187&amp;"&amp;level=16&amp;marker="&amp;$F187&amp;","&amp;$E187,"Open"))</f>
        <v/>
      </c>
      <c r="O187" s="6" t="str">
        <f>IF(OR($E187="",$F187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7" s="4"/>
      <c r="Q187" s="4"/>
      <c r="R187" s="4"/>
      <c r="S187" s="4"/>
      <c r="T187" s="4"/>
      <c r="U187" s="4"/>
      <c r="V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HYPERLINK(IF(OR(JobState="MI",JobState=""),"https://fema.maps.arcgis.com/apps/mapviewer/index.html?webmap=6a1702b9147243d1a5ee62cd614bc681&amp;center="&amp;$F188&amp;","&amp;$E188&amp;"&amp;level=16&amp;marker="&amp;$F188&amp;","&amp;$E188&amp;"",IF(JobState="IN","https://fema.maps.arcgis.com/apps/mapviewer/index.html?url=https%3A%2F%2Fgisdata.in.gov%2Fserver%2Frest%2Fservices%2FHosted%2FLRSE_Functional_Class%2FFeatureServer%2F22&amp;find="&amp;$F188&amp;"%2C"&amp;$E188&amp;"&amp;marker="&amp;$F188&amp;","&amp;$E188&amp;",4326&amp;level=16",IF(JobState="WI","https://fema.maps.arcgis.com/apps/mapviewer/index.html?url=https%3A%2F%2Fservices5.arcgis.com%2F0pgGLzT0Nh7FVjon%2Farcgis%2Frest%2Fservices%2FFFCL_gdb%2FFeatureServer%2F3&amp;find="&amp;$F188&amp;"%2C"&amp;$E188&amp;"&amp;marker="&amp;$F188&amp;","&amp;$E188&amp;",4326&amp;level=16","https://fema.maps.arcgis.com/apps/mapviewer/index.html?find="&amp;$F188&amp;"%2C"&amp;$E188&amp;"&amp;marker="&amp;$F188&amp;","&amp;$E188&amp;",4326&amp;level=16"))),"Open"))</f>
        <v/>
      </c>
      <c r="N188" s="6" t="str">
        <f>IF(OR(JobAgolMap="", $E188="", $F188=""),"",HYPERLINK(JobAgolMap&amp;IF(ISNUMBER(FIND("?",JobAgolMap)),"&amp;","?")&amp;"center="&amp;$F188&amp;","&amp;$E188&amp;"&amp;level=16&amp;marker="&amp;$F188&amp;","&amp;$E188,"Open"))</f>
        <v/>
      </c>
      <c r="O188" s="6" t="str">
        <f>IF(OR($E188="",$F188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8" s="4"/>
      <c r="Q188" s="4"/>
      <c r="R188" s="4"/>
      <c r="S188" s="4"/>
      <c r="T188" s="4"/>
      <c r="U188" s="4"/>
      <c r="V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HYPERLINK(IF(OR(JobState="MI",JobState=""),"https://fema.maps.arcgis.com/apps/mapviewer/index.html?webmap=6a1702b9147243d1a5ee62cd614bc681&amp;center="&amp;$F189&amp;","&amp;$E189&amp;"&amp;level=16&amp;marker="&amp;$F189&amp;","&amp;$E189&amp;"",IF(JobState="IN","https://fema.maps.arcgis.com/apps/mapviewer/index.html?url=https%3A%2F%2Fgisdata.in.gov%2Fserver%2Frest%2Fservices%2FHosted%2FLRSE_Functional_Class%2FFeatureServer%2F22&amp;find="&amp;$F189&amp;"%2C"&amp;$E189&amp;"&amp;marker="&amp;$F189&amp;","&amp;$E189&amp;",4326&amp;level=16",IF(JobState="WI","https://fema.maps.arcgis.com/apps/mapviewer/index.html?url=https%3A%2F%2Fservices5.arcgis.com%2F0pgGLzT0Nh7FVjon%2Farcgis%2Frest%2Fservices%2FFFCL_gdb%2FFeatureServer%2F3&amp;find="&amp;$F189&amp;"%2C"&amp;$E189&amp;"&amp;marker="&amp;$F189&amp;","&amp;$E189&amp;",4326&amp;level=16","https://fema.maps.arcgis.com/apps/mapviewer/index.html?find="&amp;$F189&amp;"%2C"&amp;$E189&amp;"&amp;marker="&amp;$F189&amp;","&amp;$E189&amp;",4326&amp;level=16"))),"Open"))</f>
        <v/>
      </c>
      <c r="N189" s="6" t="str">
        <f>IF(OR(JobAgolMap="", $E189="", $F189=""),"",HYPERLINK(JobAgolMap&amp;IF(ISNUMBER(FIND("?",JobAgolMap)),"&amp;","?")&amp;"center="&amp;$F189&amp;","&amp;$E189&amp;"&amp;level=16&amp;marker="&amp;$F189&amp;","&amp;$E189,"Open"))</f>
        <v/>
      </c>
      <c r="O189" s="6" t="str">
        <f>IF(OR($E189="",$F189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9" s="4"/>
      <c r="Q189" s="4"/>
      <c r="R189" s="4"/>
      <c r="S189" s="4"/>
      <c r="T189" s="4"/>
      <c r="U189" s="4"/>
      <c r="V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HYPERLINK(IF(OR(JobState="MI",JobState=""),"https://fema.maps.arcgis.com/apps/mapviewer/index.html?webmap=6a1702b9147243d1a5ee62cd614bc681&amp;center="&amp;$F190&amp;","&amp;$E190&amp;"&amp;level=16&amp;marker="&amp;$F190&amp;","&amp;$E190&amp;"",IF(JobState="IN","https://fema.maps.arcgis.com/apps/mapviewer/index.html?url=https%3A%2F%2Fgisdata.in.gov%2Fserver%2Frest%2Fservices%2FHosted%2FLRSE_Functional_Class%2FFeatureServer%2F22&amp;find="&amp;$F190&amp;"%2C"&amp;$E190&amp;"&amp;marker="&amp;$F190&amp;","&amp;$E190&amp;",4326&amp;level=16",IF(JobState="WI","https://fema.maps.arcgis.com/apps/mapviewer/index.html?url=https%3A%2F%2Fservices5.arcgis.com%2F0pgGLzT0Nh7FVjon%2Farcgis%2Frest%2Fservices%2FFFCL_gdb%2FFeatureServer%2F3&amp;find="&amp;$F190&amp;"%2C"&amp;$E190&amp;"&amp;marker="&amp;$F190&amp;","&amp;$E190&amp;",4326&amp;level=16","https://fema.maps.arcgis.com/apps/mapviewer/index.html?find="&amp;$F190&amp;"%2C"&amp;$E190&amp;"&amp;marker="&amp;$F190&amp;","&amp;$E190&amp;",4326&amp;level=16"))),"Open"))</f>
        <v/>
      </c>
      <c r="N190" s="6" t="str">
        <f>IF(OR(JobAgolMap="", $E190="", $F190=""),"",HYPERLINK(JobAgolMap&amp;IF(ISNUMBER(FIND("?",JobAgolMap)),"&amp;","?")&amp;"center="&amp;$F190&amp;","&amp;$E190&amp;"&amp;level=16&amp;marker="&amp;$F190&amp;","&amp;$E190,"Open"))</f>
        <v/>
      </c>
      <c r="O190" s="6" t="str">
        <f>IF(OR($E190="",$F190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0" s="4"/>
      <c r="Q190" s="4"/>
      <c r="R190" s="4"/>
      <c r="S190" s="4"/>
      <c r="T190" s="4"/>
      <c r="U190" s="4"/>
      <c r="V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HYPERLINK(IF(OR(JobState="MI",JobState=""),"https://fema.maps.arcgis.com/apps/mapviewer/index.html?webmap=6a1702b9147243d1a5ee62cd614bc681&amp;center="&amp;$F191&amp;","&amp;$E191&amp;"&amp;level=16&amp;marker="&amp;$F191&amp;","&amp;$E191&amp;"",IF(JobState="IN","https://fema.maps.arcgis.com/apps/mapviewer/index.html?url=https%3A%2F%2Fgisdata.in.gov%2Fserver%2Frest%2Fservices%2FHosted%2FLRSE_Functional_Class%2FFeatureServer%2F22&amp;find="&amp;$F191&amp;"%2C"&amp;$E191&amp;"&amp;marker="&amp;$F191&amp;","&amp;$E191&amp;",4326&amp;level=16",IF(JobState="WI","https://fema.maps.arcgis.com/apps/mapviewer/index.html?url=https%3A%2F%2Fservices5.arcgis.com%2F0pgGLzT0Nh7FVjon%2Farcgis%2Frest%2Fservices%2FFFCL_gdb%2FFeatureServer%2F3&amp;find="&amp;$F191&amp;"%2C"&amp;$E191&amp;"&amp;marker="&amp;$F191&amp;","&amp;$E191&amp;",4326&amp;level=16","https://fema.maps.arcgis.com/apps/mapviewer/index.html?find="&amp;$F191&amp;"%2C"&amp;$E191&amp;"&amp;marker="&amp;$F191&amp;","&amp;$E191&amp;",4326&amp;level=16"))),"Open"))</f>
        <v/>
      </c>
      <c r="N191" s="6" t="str">
        <f>IF(OR(JobAgolMap="", $E191="", $F191=""),"",HYPERLINK(JobAgolMap&amp;IF(ISNUMBER(FIND("?",JobAgolMap)),"&amp;","?")&amp;"center="&amp;$F191&amp;","&amp;$E191&amp;"&amp;level=16&amp;marker="&amp;$F191&amp;","&amp;$E191,"Open"))</f>
        <v/>
      </c>
      <c r="O191" s="6" t="str">
        <f>IF(OR($E191="",$F191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1" s="4"/>
      <c r="Q191" s="4"/>
      <c r="R191" s="4"/>
      <c r="S191" s="4"/>
      <c r="T191" s="4"/>
      <c r="U191" s="4"/>
      <c r="V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HYPERLINK(IF(OR(JobState="MI",JobState=""),"https://fema.maps.arcgis.com/apps/mapviewer/index.html?webmap=6a1702b9147243d1a5ee62cd614bc681&amp;center="&amp;$F192&amp;","&amp;$E192&amp;"&amp;level=16&amp;marker="&amp;$F192&amp;","&amp;$E192&amp;"",IF(JobState="IN","https://fema.maps.arcgis.com/apps/mapviewer/index.html?url=https%3A%2F%2Fgisdata.in.gov%2Fserver%2Frest%2Fservices%2FHosted%2FLRSE_Functional_Class%2FFeatureServer%2F22&amp;find="&amp;$F192&amp;"%2C"&amp;$E192&amp;"&amp;marker="&amp;$F192&amp;","&amp;$E192&amp;",4326&amp;level=16",IF(JobState="WI","https://fema.maps.arcgis.com/apps/mapviewer/index.html?url=https%3A%2F%2Fservices5.arcgis.com%2F0pgGLzT0Nh7FVjon%2Farcgis%2Frest%2Fservices%2FFFCL_gdb%2FFeatureServer%2F3&amp;find="&amp;$F192&amp;"%2C"&amp;$E192&amp;"&amp;marker="&amp;$F192&amp;","&amp;$E192&amp;",4326&amp;level=16","https://fema.maps.arcgis.com/apps/mapviewer/index.html?find="&amp;$F192&amp;"%2C"&amp;$E192&amp;"&amp;marker="&amp;$F192&amp;","&amp;$E192&amp;",4326&amp;level=16"))),"Open"))</f>
        <v/>
      </c>
      <c r="N192" s="6" t="str">
        <f>IF(OR(JobAgolMap="", $E192="", $F192=""),"",HYPERLINK(JobAgolMap&amp;IF(ISNUMBER(FIND("?",JobAgolMap)),"&amp;","?")&amp;"center="&amp;$F192&amp;","&amp;$E192&amp;"&amp;level=16&amp;marker="&amp;$F192&amp;","&amp;$E192,"Open"))</f>
        <v/>
      </c>
      <c r="O192" s="6" t="str">
        <f>IF(OR($E192="",$F192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2" s="4"/>
      <c r="Q192" s="4"/>
      <c r="R192" s="4"/>
      <c r="S192" s="4"/>
      <c r="T192" s="4"/>
      <c r="U192" s="4"/>
      <c r="V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HYPERLINK(IF(OR(JobState="MI",JobState=""),"https://fema.maps.arcgis.com/apps/mapviewer/index.html?webmap=6a1702b9147243d1a5ee62cd614bc681&amp;center="&amp;$F193&amp;","&amp;$E193&amp;"&amp;level=16&amp;marker="&amp;$F193&amp;","&amp;$E193&amp;"",IF(JobState="IN","https://fema.maps.arcgis.com/apps/mapviewer/index.html?url=https%3A%2F%2Fgisdata.in.gov%2Fserver%2Frest%2Fservices%2FHosted%2FLRSE_Functional_Class%2FFeatureServer%2F22&amp;find="&amp;$F193&amp;"%2C"&amp;$E193&amp;"&amp;marker="&amp;$F193&amp;","&amp;$E193&amp;",4326&amp;level=16",IF(JobState="WI","https://fema.maps.arcgis.com/apps/mapviewer/index.html?url=https%3A%2F%2Fservices5.arcgis.com%2F0pgGLzT0Nh7FVjon%2Farcgis%2Frest%2Fservices%2FFFCL_gdb%2FFeatureServer%2F3&amp;find="&amp;$F193&amp;"%2C"&amp;$E193&amp;"&amp;marker="&amp;$F193&amp;","&amp;$E193&amp;",4326&amp;level=16","https://fema.maps.arcgis.com/apps/mapviewer/index.html?find="&amp;$F193&amp;"%2C"&amp;$E193&amp;"&amp;marker="&amp;$F193&amp;","&amp;$E193&amp;",4326&amp;level=16"))),"Open"))</f>
        <v/>
      </c>
      <c r="N193" s="6" t="str">
        <f>IF(OR(JobAgolMap="", $E193="", $F193=""),"",HYPERLINK(JobAgolMap&amp;IF(ISNUMBER(FIND("?",JobAgolMap)),"&amp;","?")&amp;"center="&amp;$F193&amp;","&amp;$E193&amp;"&amp;level=16&amp;marker="&amp;$F193&amp;","&amp;$E193,"Open"))</f>
        <v/>
      </c>
      <c r="O193" s="6" t="str">
        <f>IF(OR($E193="",$F193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3" s="4"/>
      <c r="Q193" s="4"/>
      <c r="R193" s="4"/>
      <c r="S193" s="4"/>
      <c r="T193" s="4"/>
      <c r="U193" s="4"/>
      <c r="V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HYPERLINK(IF(OR(JobState="MI",JobState=""),"https://fema.maps.arcgis.com/apps/mapviewer/index.html?webmap=6a1702b9147243d1a5ee62cd614bc681&amp;center="&amp;$F194&amp;","&amp;$E194&amp;"&amp;level=16&amp;marker="&amp;$F194&amp;","&amp;$E194&amp;"",IF(JobState="IN","https://fema.maps.arcgis.com/apps/mapviewer/index.html?url=https%3A%2F%2Fgisdata.in.gov%2Fserver%2Frest%2Fservices%2FHosted%2FLRSE_Functional_Class%2FFeatureServer%2F22&amp;find="&amp;$F194&amp;"%2C"&amp;$E194&amp;"&amp;marker="&amp;$F194&amp;","&amp;$E194&amp;",4326&amp;level=16",IF(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IF(OR(JobAgolMap="", $E194="", $F194=""),"",HYPERLINK(JobAgolMap&amp;IF(ISNUMBER(FIND("?",JobAgolMap)),"&amp;","?")&amp;"center="&amp;$F194&amp;","&amp;$E194&amp;"&amp;level=16&amp;marker="&amp;$F194&amp;","&amp;$E194,"Open"))</f>
        <v/>
      </c>
      <c r="O194" s="6" t="str">
        <f>IF(OR($E194="",$F194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4" s="4"/>
      <c r="Q194" s="4"/>
      <c r="R194" s="4"/>
      <c r="S194" s="4"/>
      <c r="T194" s="4"/>
      <c r="U194" s="4"/>
      <c r="V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HYPERLINK(IF(OR(JobState="MI",JobState=""),"https://fema.maps.arcgis.com/apps/mapviewer/index.html?webmap=6a1702b9147243d1a5ee62cd614bc681&amp;center="&amp;$F195&amp;","&amp;$E195&amp;"&amp;level=16&amp;marker="&amp;$F195&amp;","&amp;$E195&amp;"",IF(JobState="IN","https://fema.maps.arcgis.com/apps/mapviewer/index.html?url=https%3A%2F%2Fgisdata.in.gov%2Fserver%2Frest%2Fservices%2FHosted%2FLRSE_Functional_Class%2FFeatureServer%2F22&amp;find="&amp;$F195&amp;"%2C"&amp;$E195&amp;"&amp;marker="&amp;$F195&amp;","&amp;$E195&amp;",4326&amp;level=16",IF(JobState="WI","https://fema.maps.arcgis.com/apps/mapviewer/index.html?url=https%3A%2F%2Fservices5.arcgis.com%2F0pgGLzT0Nh7FVjon%2Farcgis%2Frest%2Fservices%2FFFCL_gdb%2FFeatureServer%2F3&amp;find="&amp;$F195&amp;"%2C"&amp;$E195&amp;"&amp;marker="&amp;$F195&amp;","&amp;$E195&amp;",4326&amp;level=16","https://fema.maps.arcgis.com/apps/mapviewer/index.html?find="&amp;$F195&amp;"%2C"&amp;$E195&amp;"&amp;marker="&amp;$F195&amp;","&amp;$E195&amp;",4326&amp;level=16"))),"Open"))</f>
        <v/>
      </c>
      <c r="N195" s="6" t="str">
        <f>IF(OR(JobAgolMap="", $E195="", $F195=""),"",HYPERLINK(JobAgolMap&amp;IF(ISNUMBER(FIND("?",JobAgolMap)),"&amp;","?")&amp;"center="&amp;$F195&amp;","&amp;$E195&amp;"&amp;level=16&amp;marker="&amp;$F195&amp;","&amp;$E195,"Open"))</f>
        <v/>
      </c>
      <c r="O195" s="6" t="str">
        <f>IF(OR($E195="",$F195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5" s="4"/>
      <c r="Q195" s="4"/>
      <c r="R195" s="4"/>
      <c r="S195" s="4"/>
      <c r="T195" s="4"/>
      <c r="U195" s="4"/>
      <c r="V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HYPERLINK(IF(OR(JobState="MI",JobState=""),"https://fema.maps.arcgis.com/apps/mapviewer/index.html?webmap=6a1702b9147243d1a5ee62cd614bc681&amp;center="&amp;$F196&amp;","&amp;$E196&amp;"&amp;level=16&amp;marker="&amp;$F196&amp;","&amp;$E196&amp;"",IF(JobState="IN","https://fema.maps.arcgis.com/apps/mapviewer/index.html?url=https%3A%2F%2Fgisdata.in.gov%2Fserver%2Frest%2Fservices%2FHosted%2FLRSE_Functional_Class%2FFeatureServer%2F22&amp;find="&amp;$F196&amp;"%2C"&amp;$E196&amp;"&amp;marker="&amp;$F196&amp;","&amp;$E196&amp;",4326&amp;level=16",IF(JobState="WI","https://fema.maps.arcgis.com/apps/mapviewer/index.html?url=https%3A%2F%2Fservices5.arcgis.com%2F0pgGLzT0Nh7FVjon%2Farcgis%2Frest%2Fservices%2FFFCL_gdb%2FFeatureServer%2F3&amp;find="&amp;$F196&amp;"%2C"&amp;$E196&amp;"&amp;marker="&amp;$F196&amp;","&amp;$E196&amp;",4326&amp;level=16","https://fema.maps.arcgis.com/apps/mapviewer/index.html?find="&amp;$F196&amp;"%2C"&amp;$E196&amp;"&amp;marker="&amp;$F196&amp;","&amp;$E196&amp;",4326&amp;level=16"))),"Open"))</f>
        <v/>
      </c>
      <c r="N196" s="6" t="str">
        <f>IF(OR(JobAgolMap="", $E196="", $F196=""),"",HYPERLINK(JobAgolMap&amp;IF(ISNUMBER(FIND("?",JobAgolMap)),"&amp;","?")&amp;"center="&amp;$F196&amp;","&amp;$E196&amp;"&amp;level=16&amp;marker="&amp;$F196&amp;","&amp;$E196,"Open"))</f>
        <v/>
      </c>
      <c r="O196" s="6" t="str">
        <f>IF(OR($E196="",$F196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6" s="4"/>
      <c r="Q196" s="4"/>
      <c r="R196" s="4"/>
      <c r="S196" s="4"/>
      <c r="T196" s="4"/>
      <c r="U196" s="4"/>
      <c r="V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HYPERLINK(IF(OR(JobState="MI",JobState=""),"https://fema.maps.arcgis.com/apps/mapviewer/index.html?webmap=6a1702b9147243d1a5ee62cd614bc681&amp;center="&amp;$F197&amp;","&amp;$E197&amp;"&amp;level=16&amp;marker="&amp;$F197&amp;","&amp;$E197&amp;"",IF(JobState="IN","https://fema.maps.arcgis.com/apps/mapviewer/index.html?url=https%3A%2F%2Fgisdata.in.gov%2Fserver%2Frest%2Fservices%2FHosted%2FLRSE_Functional_Class%2FFeatureServer%2F22&amp;find="&amp;$F197&amp;"%2C"&amp;$E197&amp;"&amp;marker="&amp;$F197&amp;","&amp;$E197&amp;",4326&amp;level=16",IF(JobState="WI","https://fema.maps.arcgis.com/apps/mapviewer/index.html?url=https%3A%2F%2Fservices5.arcgis.com%2F0pgGLzT0Nh7FVjon%2Farcgis%2Frest%2Fservices%2FFFCL_gdb%2FFeatureServer%2F3&amp;find="&amp;$F197&amp;"%2C"&amp;$E197&amp;"&amp;marker="&amp;$F197&amp;","&amp;$E197&amp;",4326&amp;level=16","https://fema.maps.arcgis.com/apps/mapviewer/index.html?find="&amp;$F197&amp;"%2C"&amp;$E197&amp;"&amp;marker="&amp;$F197&amp;","&amp;$E197&amp;",4326&amp;level=16"))),"Open"))</f>
        <v/>
      </c>
      <c r="N197" s="6" t="str">
        <f>IF(OR(JobAgolMap="", $E197="", $F197=""),"",HYPERLINK(JobAgolMap&amp;IF(ISNUMBER(FIND("?",JobAgolMap)),"&amp;","?")&amp;"center="&amp;$F197&amp;","&amp;$E197&amp;"&amp;level=16&amp;marker="&amp;$F197&amp;","&amp;$E197,"Open"))</f>
        <v/>
      </c>
      <c r="O197" s="6" t="str">
        <f>IF(OR($E197="",$F197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7" s="4"/>
      <c r="Q197" s="4"/>
      <c r="R197" s="4"/>
      <c r="S197" s="4"/>
      <c r="T197" s="4"/>
      <c r="U197" s="4"/>
      <c r="V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HYPERLINK(IF(OR(JobState="MI",JobState=""),"https://fema.maps.arcgis.com/apps/mapviewer/index.html?webmap=6a1702b9147243d1a5ee62cd614bc681&amp;center="&amp;$F198&amp;","&amp;$E198&amp;"&amp;level=16&amp;marker="&amp;$F198&amp;","&amp;$E198&amp;"",IF(JobState="IN","https://fema.maps.arcgis.com/apps/mapviewer/index.html?url=https%3A%2F%2Fgisdata.in.gov%2Fserver%2Frest%2Fservices%2FHosted%2FLRSE_Functional_Class%2FFeatureServer%2F22&amp;find="&amp;$F198&amp;"%2C"&amp;$E198&amp;"&amp;marker="&amp;$F198&amp;","&amp;$E198&amp;",4326&amp;level=16",IF(JobState="WI","https://fema.maps.arcgis.com/apps/mapviewer/index.html?url=https%3A%2F%2Fservices5.arcgis.com%2F0pgGLzT0Nh7FVjon%2Farcgis%2Frest%2Fservices%2FFFCL_gdb%2FFeatureServer%2F3&amp;find="&amp;$F198&amp;"%2C"&amp;$E198&amp;"&amp;marker="&amp;$F198&amp;","&amp;$E198&amp;",4326&amp;level=16","https://fema.maps.arcgis.com/apps/mapviewer/index.html?find="&amp;$F198&amp;"%2C"&amp;$E198&amp;"&amp;marker="&amp;$F198&amp;","&amp;$E198&amp;",4326&amp;level=16"))),"Open"))</f>
        <v/>
      </c>
      <c r="N198" s="6" t="str">
        <f>IF(OR(JobAgolMap="", $E198="", $F198=""),"",HYPERLINK(JobAgolMap&amp;IF(ISNUMBER(FIND("?",JobAgolMap)),"&amp;","?")&amp;"center="&amp;$F198&amp;","&amp;$E198&amp;"&amp;level=16&amp;marker="&amp;$F198&amp;","&amp;$E198,"Open"))</f>
        <v/>
      </c>
      <c r="O198" s="6" t="str">
        <f>IF(OR($E198="",$F198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8" s="4"/>
      <c r="Q198" s="4"/>
      <c r="R198" s="4"/>
      <c r="S198" s="4"/>
      <c r="T198" s="4"/>
      <c r="U198" s="4"/>
      <c r="V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HYPERLINK(IF(OR(JobState="MI",JobState=""),"https://fema.maps.arcgis.com/apps/mapviewer/index.html?webmap=6a1702b9147243d1a5ee62cd614bc681&amp;center="&amp;$F199&amp;","&amp;$E199&amp;"&amp;level=16&amp;marker="&amp;$F199&amp;","&amp;$E199&amp;"",IF(JobState="IN","https://fema.maps.arcgis.com/apps/mapviewer/index.html?url=https%3A%2F%2Fgisdata.in.gov%2Fserver%2Frest%2Fservices%2FHosted%2FLRSE_Functional_Class%2FFeatureServer%2F22&amp;find="&amp;$F199&amp;"%2C"&amp;$E199&amp;"&amp;marker="&amp;$F199&amp;","&amp;$E199&amp;",4326&amp;level=16",IF(JobState="WI","https://fema.maps.arcgis.com/apps/mapviewer/index.html?url=https%3A%2F%2Fservices5.arcgis.com%2F0pgGLzT0Nh7FVjon%2Farcgis%2Frest%2Fservices%2FFFCL_gdb%2FFeatureServer%2F3&amp;find="&amp;$F199&amp;"%2C"&amp;$E199&amp;"&amp;marker="&amp;$F199&amp;","&amp;$E199&amp;",4326&amp;level=16","https://fema.maps.arcgis.com/apps/mapviewer/index.html?find="&amp;$F199&amp;"%2C"&amp;$E199&amp;"&amp;marker="&amp;$F199&amp;","&amp;$E199&amp;",4326&amp;level=16"))),"Open"))</f>
        <v/>
      </c>
      <c r="N199" s="6" t="str">
        <f>IF(OR(JobAgolMap="", $E199="", $F199=""),"",HYPERLINK(JobAgolMap&amp;IF(ISNUMBER(FIND("?",JobAgolMap)),"&amp;","?")&amp;"center="&amp;$F199&amp;","&amp;$E199&amp;"&amp;level=16&amp;marker="&amp;$F199&amp;","&amp;$E199,"Open"))</f>
        <v/>
      </c>
      <c r="O199" s="6" t="str">
        <f>IF(OR($E199="",$F199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9" s="4"/>
      <c r="Q199" s="4"/>
      <c r="R199" s="4"/>
      <c r="S199" s="4"/>
      <c r="T199" s="4"/>
      <c r="U199" s="4"/>
      <c r="V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HYPERLINK(IF(OR(JobState="MI",JobState=""),"https://fema.maps.arcgis.com/apps/mapviewer/index.html?webmap=6a1702b9147243d1a5ee62cd614bc681&amp;center="&amp;$F200&amp;","&amp;$E200&amp;"&amp;level=16&amp;marker="&amp;$F200&amp;","&amp;$E200&amp;"",IF(JobState="IN","https://fema.maps.arcgis.com/apps/mapviewer/index.html?url=https%3A%2F%2Fgisdata.in.gov%2Fserver%2Frest%2Fservices%2FHosted%2FLRSE_Functional_Class%2FFeatureServer%2F22&amp;find="&amp;$F200&amp;"%2C"&amp;$E200&amp;"&amp;marker="&amp;$F200&amp;","&amp;$E200&amp;",4326&amp;level=16",IF(JobState="WI","https://fema.maps.arcgis.com/apps/mapviewer/index.html?url=https%3A%2F%2Fservices5.arcgis.com%2F0pgGLzT0Nh7FVjon%2Farcgis%2Frest%2Fservices%2FFFCL_gdb%2FFeatureServer%2F3&amp;find="&amp;$F200&amp;"%2C"&amp;$E200&amp;"&amp;marker="&amp;$F200&amp;","&amp;$E200&amp;",4326&amp;level=16","https://fema.maps.arcgis.com/apps/mapviewer/index.html?find="&amp;$F200&amp;"%2C"&amp;$E200&amp;"&amp;marker="&amp;$F200&amp;","&amp;$E200&amp;",4326&amp;level=16"))),"Open"))</f>
        <v/>
      </c>
      <c r="N200" s="6" t="str">
        <f>IF(OR(JobAgolMap="", $E200="", $F200=""),"",HYPERLINK(JobAgolMap&amp;IF(ISNUMBER(FIND("?",JobAgolMap)),"&amp;","?")&amp;"center="&amp;$F200&amp;","&amp;$E200&amp;"&amp;level=16&amp;marker="&amp;$F200&amp;","&amp;$E200,"Open"))</f>
        <v/>
      </c>
      <c r="O200" s="6" t="str">
        <f>IF(OR($E200="",$F200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0" s="4"/>
      <c r="Q200" s="4"/>
      <c r="R200" s="4"/>
      <c r="S200" s="4"/>
      <c r="T200" s="4"/>
      <c r="U200" s="4"/>
      <c r="V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HYPERLINK(IF(OR(JobState="MI",JobState=""),"https://fema.maps.arcgis.com/apps/mapviewer/index.html?webmap=6a1702b9147243d1a5ee62cd614bc681&amp;center="&amp;$F201&amp;","&amp;$E201&amp;"&amp;level=16&amp;marker="&amp;$F201&amp;","&amp;$E201&amp;"",IF(JobState="IN","https://fema.maps.arcgis.com/apps/mapviewer/index.html?url=https%3A%2F%2Fgisdata.in.gov%2Fserver%2Frest%2Fservices%2FHosted%2FLRSE_Functional_Class%2FFeatureServer%2F22&amp;find="&amp;$F201&amp;"%2C"&amp;$E201&amp;"&amp;marker="&amp;$F201&amp;","&amp;$E201&amp;",4326&amp;level=16",IF(JobState="WI","https://fema.maps.arcgis.com/apps/mapviewer/index.html?url=https%3A%2F%2Fservices5.arcgis.com%2F0pgGLzT0Nh7FVjon%2Farcgis%2Frest%2Fservices%2FFFCL_gdb%2FFeatureServer%2F3&amp;find="&amp;$F201&amp;"%2C"&amp;$E201&amp;"&amp;marker="&amp;$F201&amp;","&amp;$E201&amp;",4326&amp;level=16","https://fema.maps.arcgis.com/apps/mapviewer/index.html?find="&amp;$F201&amp;"%2C"&amp;$E201&amp;"&amp;marker="&amp;$F201&amp;","&amp;$E201&amp;",4326&amp;level=16"))),"Open"))</f>
        <v/>
      </c>
      <c r="N201" s="6" t="str">
        <f>IF(OR(JobAgolMap="", $E201="", $F201=""),"",HYPERLINK(JobAgolMap&amp;IF(ISNUMBER(FIND("?",JobAgolMap)),"&amp;","?")&amp;"center="&amp;$F201&amp;","&amp;$E201&amp;"&amp;level=16&amp;marker="&amp;$F201&amp;","&amp;$E201,"Open"))</f>
        <v/>
      </c>
      <c r="O201" s="6" t="str">
        <f>IF(OR($E201="",$F201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1" s="4"/>
      <c r="Q201" s="4"/>
      <c r="R201" s="4"/>
      <c r="S201" s="4"/>
      <c r="T201" s="4"/>
      <c r="U201" s="4"/>
      <c r="V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HYPERLINK(IF(OR(JobState="MI",JobState=""),"https://fema.maps.arcgis.com/apps/mapviewer/index.html?webmap=6a1702b9147243d1a5ee62cd614bc681&amp;center="&amp;$F202&amp;","&amp;$E202&amp;"&amp;level=16&amp;marker="&amp;$F202&amp;","&amp;$E202&amp;"",IF(JobState="IN","https://fema.maps.arcgis.com/apps/mapviewer/index.html?url=https%3A%2F%2Fgisdata.in.gov%2Fserver%2Frest%2Fservices%2FHosted%2FLRSE_Functional_Class%2FFeatureServer%2F22&amp;find="&amp;$F202&amp;"%2C"&amp;$E202&amp;"&amp;marker="&amp;$F202&amp;","&amp;$E202&amp;",4326&amp;level=16",IF(JobState="WI","https://fema.maps.arcgis.com/apps/mapviewer/index.html?url=https%3A%2F%2Fservices5.arcgis.com%2F0pgGLzT0Nh7FVjon%2Farcgis%2Frest%2Fservices%2FFFCL_gdb%2FFeatureServer%2F3&amp;find="&amp;$F202&amp;"%2C"&amp;$E202&amp;"&amp;marker="&amp;$F202&amp;","&amp;$E202&amp;",4326&amp;level=16","https://fema.maps.arcgis.com/apps/mapviewer/index.html?find="&amp;$F202&amp;"%2C"&amp;$E202&amp;"&amp;marker="&amp;$F202&amp;","&amp;$E202&amp;",4326&amp;level=16"))),"Open"))</f>
        <v/>
      </c>
      <c r="N202" s="6" t="str">
        <f>IF(OR(JobAgolMap="", $E202="", $F202=""),"",HYPERLINK(JobAgolMap&amp;IF(ISNUMBER(FIND("?",JobAgolMap)),"&amp;","?")&amp;"center="&amp;$F202&amp;","&amp;$E202&amp;"&amp;level=16&amp;marker="&amp;$F202&amp;","&amp;$E202,"Open"))</f>
        <v/>
      </c>
      <c r="O202" s="6" t="str">
        <f>IF(OR($E202="",$F202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2" s="4"/>
      <c r="Q202" s="4"/>
      <c r="R202" s="4"/>
      <c r="S202" s="4"/>
      <c r="T202" s="4"/>
      <c r="U202" s="4"/>
      <c r="V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HYPERLINK(IF(OR(JobState="MI",JobState=""),"https://fema.maps.arcgis.com/apps/mapviewer/index.html?webmap=6a1702b9147243d1a5ee62cd614bc681&amp;center="&amp;$F203&amp;","&amp;$E203&amp;"&amp;level=16&amp;marker="&amp;$F203&amp;","&amp;$E203&amp;"",IF(JobState="IN","https://fema.maps.arcgis.com/apps/mapviewer/index.html?url=https%3A%2F%2Fgisdata.in.gov%2Fserver%2Frest%2Fservices%2FHosted%2FLRSE_Functional_Class%2FFeatureServer%2F22&amp;find="&amp;$F203&amp;"%2C"&amp;$E203&amp;"&amp;marker="&amp;$F203&amp;","&amp;$E203&amp;",4326&amp;level=16",IF(JobState="WI","https://fema.maps.arcgis.com/apps/mapviewer/index.html?url=https%3A%2F%2Fservices5.arcgis.com%2F0pgGLzT0Nh7FVjon%2Farcgis%2Frest%2Fservices%2FFFCL_gdb%2FFeatureServer%2F3&amp;find="&amp;$F203&amp;"%2C"&amp;$E203&amp;"&amp;marker="&amp;$F203&amp;","&amp;$E203&amp;",4326&amp;level=16","https://fema.maps.arcgis.com/apps/mapviewer/index.html?find="&amp;$F203&amp;"%2C"&amp;$E203&amp;"&amp;marker="&amp;$F203&amp;","&amp;$E203&amp;",4326&amp;level=16"))),"Open"))</f>
        <v/>
      </c>
      <c r="N203" s="6" t="str">
        <f>IF(OR(JobAgolMap="", $E203="", $F203=""),"",HYPERLINK(JobAgolMap&amp;IF(ISNUMBER(FIND("?",JobAgolMap)),"&amp;","?")&amp;"center="&amp;$F203&amp;","&amp;$E203&amp;"&amp;level=16&amp;marker="&amp;$F203&amp;","&amp;$E203,"Open"))</f>
        <v/>
      </c>
      <c r="O203" s="6" t="str">
        <f>IF(OR($E203="",$F203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3" s="4"/>
      <c r="Q203" s="4"/>
      <c r="R203" s="4"/>
      <c r="S203" s="4"/>
      <c r="T203" s="4"/>
      <c r="U203" s="4"/>
      <c r="V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HYPERLINK(IF(OR(JobState="MI",JobState=""),"https://fema.maps.arcgis.com/apps/mapviewer/index.html?webmap=6a1702b9147243d1a5ee62cd614bc681&amp;center="&amp;$F204&amp;","&amp;$E204&amp;"&amp;level=16&amp;marker="&amp;$F204&amp;","&amp;$E204&amp;"",IF(JobState="IN","https://fema.maps.arcgis.com/apps/mapviewer/index.html?url=https%3A%2F%2Fgisdata.in.gov%2Fserver%2Frest%2Fservices%2FHosted%2FLRSE_Functional_Class%2FFeatureServer%2F22&amp;find="&amp;$F204&amp;"%2C"&amp;$E204&amp;"&amp;marker="&amp;$F204&amp;","&amp;$E204&amp;",4326&amp;level=16",IF(JobState="WI","https://fema.maps.arcgis.com/apps/mapviewer/index.html?url=https%3A%2F%2Fservices5.arcgis.com%2F0pgGLzT0Nh7FVjon%2Farcgis%2Frest%2Fservices%2FFFCL_gdb%2FFeatureServer%2F3&amp;find="&amp;$F204&amp;"%2C"&amp;$E204&amp;"&amp;marker="&amp;$F204&amp;","&amp;$E204&amp;",4326&amp;level=16","https://fema.maps.arcgis.com/apps/mapviewer/index.html?find="&amp;$F204&amp;"%2C"&amp;$E204&amp;"&amp;marker="&amp;$F204&amp;","&amp;$E204&amp;",4326&amp;level=16"))),"Open"))</f>
        <v/>
      </c>
      <c r="N204" s="6" t="str">
        <f>IF(OR(JobAgolMap="", $E204="", $F204=""),"",HYPERLINK(JobAgolMap&amp;IF(ISNUMBER(FIND("?",JobAgolMap)),"&amp;","?")&amp;"center="&amp;$F204&amp;","&amp;$E204&amp;"&amp;level=16&amp;marker="&amp;$F204&amp;","&amp;$E204,"Open"))</f>
        <v/>
      </c>
      <c r="O204" s="6" t="str">
        <f>IF(OR($E204="",$F204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4" s="4"/>
      <c r="Q204" s="4"/>
      <c r="R204" s="4"/>
      <c r="S204" s="4"/>
      <c r="T204" s="4"/>
      <c r="U204" s="4"/>
      <c r="V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HYPERLINK(IF(OR(JobState="MI",JobState=""),"https://fema.maps.arcgis.com/apps/mapviewer/index.html?webmap=6a1702b9147243d1a5ee62cd614bc681&amp;center="&amp;$F205&amp;","&amp;$E205&amp;"&amp;level=16&amp;marker="&amp;$F205&amp;","&amp;$E205&amp;"",IF(JobState="IN","https://fema.maps.arcgis.com/apps/mapviewer/index.html?url=https%3A%2F%2Fgisdata.in.gov%2Fserver%2Frest%2Fservices%2FHosted%2FLRSE_Functional_Class%2FFeatureServer%2F22&amp;find="&amp;$F205&amp;"%2C"&amp;$E205&amp;"&amp;marker="&amp;$F205&amp;","&amp;$E205&amp;",4326&amp;level=16",IF(JobState="WI","https://fema.maps.arcgis.com/apps/mapviewer/index.html?url=https%3A%2F%2Fservices5.arcgis.com%2F0pgGLzT0Nh7FVjon%2Farcgis%2Frest%2Fservices%2FFFCL_gdb%2FFeatureServer%2F3&amp;find="&amp;$F205&amp;"%2C"&amp;$E205&amp;"&amp;marker="&amp;$F205&amp;","&amp;$E205&amp;",4326&amp;level=16","https://fema.maps.arcgis.com/apps/mapviewer/index.html?find="&amp;$F205&amp;"%2C"&amp;$E205&amp;"&amp;marker="&amp;$F205&amp;","&amp;$E205&amp;",4326&amp;level=16"))),"Open"))</f>
        <v/>
      </c>
      <c r="N205" s="6" t="str">
        <f>IF(OR(JobAgolMap="", $E205="", $F205=""),"",HYPERLINK(JobAgolMap&amp;IF(ISNUMBER(FIND("?",JobAgolMap)),"&amp;","?")&amp;"center="&amp;$F205&amp;","&amp;$E205&amp;"&amp;level=16&amp;marker="&amp;$F205&amp;","&amp;$E205,"Open"))</f>
        <v/>
      </c>
      <c r="O205" s="6" t="str">
        <f>IF(OR($E205="",$F205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5" s="4"/>
      <c r="Q205" s="4"/>
      <c r="R205" s="4"/>
      <c r="S205" s="4"/>
      <c r="T205" s="4"/>
      <c r="U205" s="4"/>
      <c r="V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HYPERLINK(IF(OR(JobState="MI",JobState=""),"https://fema.maps.arcgis.com/apps/mapviewer/index.html?webmap=6a1702b9147243d1a5ee62cd614bc681&amp;center="&amp;$F206&amp;","&amp;$E206&amp;"&amp;level=16&amp;marker="&amp;$F206&amp;","&amp;$E206&amp;"",IF(JobState="IN","https://fema.maps.arcgis.com/apps/mapviewer/index.html?url=https%3A%2F%2Fgisdata.in.gov%2Fserver%2Frest%2Fservices%2FHosted%2FLRSE_Functional_Class%2FFeatureServer%2F22&amp;find="&amp;$F206&amp;"%2C"&amp;$E206&amp;"&amp;marker="&amp;$F206&amp;","&amp;$E206&amp;",4326&amp;level=16",IF(JobState="WI","https://fema.maps.arcgis.com/apps/mapviewer/index.html?url=https%3A%2F%2Fservices5.arcgis.com%2F0pgGLzT0Nh7FVjon%2Farcgis%2Frest%2Fservices%2FFFCL_gdb%2FFeatureServer%2F3&amp;find="&amp;$F206&amp;"%2C"&amp;$E206&amp;"&amp;marker="&amp;$F206&amp;","&amp;$E206&amp;",4326&amp;level=16","https://fema.maps.arcgis.com/apps/mapviewer/index.html?find="&amp;$F206&amp;"%2C"&amp;$E206&amp;"&amp;marker="&amp;$F206&amp;","&amp;$E206&amp;",4326&amp;level=16"))),"Open"))</f>
        <v/>
      </c>
      <c r="N206" s="6" t="str">
        <f>IF(OR(JobAgolMap="", $E206="", $F206=""),"",HYPERLINK(JobAgolMap&amp;IF(ISNUMBER(FIND("?",JobAgolMap)),"&amp;","?")&amp;"center="&amp;$F206&amp;","&amp;$E206&amp;"&amp;level=16&amp;marker="&amp;$F206&amp;","&amp;$E206,"Open"))</f>
        <v/>
      </c>
      <c r="O206" s="6" t="str">
        <f>IF(OR($E206="",$F206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6" s="4"/>
      <c r="Q206" s="4"/>
      <c r="R206" s="4"/>
      <c r="S206" s="4"/>
      <c r="T206" s="4"/>
      <c r="U206" s="4"/>
      <c r="V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HYPERLINK(IF(OR(JobState="MI",JobState=""),"https://fema.maps.arcgis.com/apps/mapviewer/index.html?webmap=6a1702b9147243d1a5ee62cd614bc681&amp;center="&amp;$F207&amp;","&amp;$E207&amp;"&amp;level=16&amp;marker="&amp;$F207&amp;","&amp;$E207&amp;"",IF(JobState="IN","https://fema.maps.arcgis.com/apps/mapviewer/index.html?url=https%3A%2F%2Fgisdata.in.gov%2Fserver%2Frest%2Fservices%2FHosted%2FLRSE_Functional_Class%2FFeatureServer%2F22&amp;find="&amp;$F207&amp;"%2C"&amp;$E207&amp;"&amp;marker="&amp;$F207&amp;","&amp;$E207&amp;",4326&amp;level=16",IF(JobState="WI","https://fema.maps.arcgis.com/apps/mapviewer/index.html?url=https%3A%2F%2Fservices5.arcgis.com%2F0pgGLzT0Nh7FVjon%2Farcgis%2Frest%2Fservices%2FFFCL_gdb%2FFeatureServer%2F3&amp;find="&amp;$F207&amp;"%2C"&amp;$E207&amp;"&amp;marker="&amp;$F207&amp;","&amp;$E207&amp;",4326&amp;level=16","https://fema.maps.arcgis.com/apps/mapviewer/index.html?find="&amp;$F207&amp;"%2C"&amp;$E207&amp;"&amp;marker="&amp;$F207&amp;","&amp;$E207&amp;",4326&amp;level=16"))),"Open"))</f>
        <v/>
      </c>
      <c r="N207" s="6" t="str">
        <f>IF(OR(JobAgolMap="", $E207="", $F207=""),"",HYPERLINK(JobAgolMap&amp;IF(ISNUMBER(FIND("?",JobAgolMap)),"&amp;","?")&amp;"center="&amp;$F207&amp;","&amp;$E207&amp;"&amp;level=16&amp;marker="&amp;$F207&amp;","&amp;$E207,"Open"))</f>
        <v/>
      </c>
      <c r="O207" s="6" t="str">
        <f>IF(OR($E207="",$F207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7" s="4"/>
      <c r="Q207" s="4"/>
      <c r="R207" s="4"/>
      <c r="S207" s="4"/>
      <c r="T207" s="4"/>
      <c r="U207" s="4"/>
      <c r="V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HYPERLINK(IF(OR(JobState="MI",JobState=""),"https://fema.maps.arcgis.com/apps/mapviewer/index.html?webmap=6a1702b9147243d1a5ee62cd614bc681&amp;center="&amp;$F208&amp;","&amp;$E208&amp;"&amp;level=16&amp;marker="&amp;$F208&amp;","&amp;$E208&amp;"",IF(JobState="IN","https://fema.maps.arcgis.com/apps/mapviewer/index.html?url=https%3A%2F%2Fgisdata.in.gov%2Fserver%2Frest%2Fservices%2FHosted%2FLRSE_Functional_Class%2FFeatureServer%2F22&amp;find="&amp;$F208&amp;"%2C"&amp;$E208&amp;"&amp;marker="&amp;$F208&amp;","&amp;$E208&amp;",4326&amp;level=16",IF(JobState="WI","https://fema.maps.arcgis.com/apps/mapviewer/index.html?url=https%3A%2F%2Fservices5.arcgis.com%2F0pgGLzT0Nh7FVjon%2Farcgis%2Frest%2Fservices%2FFFCL_gdb%2FFeatureServer%2F3&amp;find="&amp;$F208&amp;"%2C"&amp;$E208&amp;"&amp;marker="&amp;$F208&amp;","&amp;$E208&amp;",4326&amp;level=16","https://fema.maps.arcgis.com/apps/mapviewer/index.html?find="&amp;$F208&amp;"%2C"&amp;$E208&amp;"&amp;marker="&amp;$F208&amp;","&amp;$E208&amp;",4326&amp;level=16"))),"Open"))</f>
        <v/>
      </c>
      <c r="N208" s="6" t="str">
        <f>IF(OR(JobAgolMap="", $E208="", $F208=""),"",HYPERLINK(JobAgolMap&amp;IF(ISNUMBER(FIND("?",JobAgolMap)),"&amp;","?")&amp;"center="&amp;$F208&amp;","&amp;$E208&amp;"&amp;level=16&amp;marker="&amp;$F208&amp;","&amp;$E208,"Open"))</f>
        <v/>
      </c>
      <c r="O208" s="6" t="str">
        <f>IF(OR($E208="",$F208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8" s="4"/>
      <c r="Q208" s="4"/>
      <c r="R208" s="4"/>
      <c r="S208" s="4"/>
      <c r="T208" s="4"/>
      <c r="U208" s="4"/>
      <c r="V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HYPERLINK(IF(OR(JobState="MI",JobState=""),"https://fema.maps.arcgis.com/apps/mapviewer/index.html?webmap=6a1702b9147243d1a5ee62cd614bc681&amp;center="&amp;$F209&amp;","&amp;$E209&amp;"&amp;level=16&amp;marker="&amp;$F209&amp;","&amp;$E209&amp;"",IF(JobState="IN","https://fema.maps.arcgis.com/apps/mapviewer/index.html?url=https%3A%2F%2Fgisdata.in.gov%2Fserver%2Frest%2Fservices%2FHosted%2FLRSE_Functional_Class%2FFeatureServer%2F22&amp;find="&amp;$F209&amp;"%2C"&amp;$E209&amp;"&amp;marker="&amp;$F209&amp;","&amp;$E209&amp;",4326&amp;level=16",IF(JobState="WI","https://fema.maps.arcgis.com/apps/mapviewer/index.html?url=https%3A%2F%2Fservices5.arcgis.com%2F0pgGLzT0Nh7FVjon%2Farcgis%2Frest%2Fservices%2FFFCL_gdb%2FFeatureServer%2F3&amp;find="&amp;$F209&amp;"%2C"&amp;$E209&amp;"&amp;marker="&amp;$F209&amp;","&amp;$E209&amp;",4326&amp;level=16","https://fema.maps.arcgis.com/apps/mapviewer/index.html?find="&amp;$F209&amp;"%2C"&amp;$E209&amp;"&amp;marker="&amp;$F209&amp;","&amp;$E209&amp;",4326&amp;level=16"))),"Open"))</f>
        <v/>
      </c>
      <c r="N209" s="6" t="str">
        <f>IF(OR(JobAgolMap="", $E209="", $F209=""),"",HYPERLINK(JobAgolMap&amp;IF(ISNUMBER(FIND("?",JobAgolMap)),"&amp;","?")&amp;"center="&amp;$F209&amp;","&amp;$E209&amp;"&amp;level=16&amp;marker="&amp;$F209&amp;","&amp;$E209,"Open"))</f>
        <v/>
      </c>
      <c r="O209" s="6" t="str">
        <f>IF(OR($E209="",$F209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9" s="4"/>
      <c r="Q209" s="4"/>
      <c r="R209" s="4"/>
      <c r="S209" s="4"/>
      <c r="T209" s="4"/>
      <c r="U209" s="4"/>
      <c r="V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HYPERLINK(IF(OR(JobState="MI",JobState=""),"https://fema.maps.arcgis.com/apps/mapviewer/index.html?webmap=6a1702b9147243d1a5ee62cd614bc681&amp;center="&amp;$F210&amp;","&amp;$E210&amp;"&amp;level=16&amp;marker="&amp;$F210&amp;","&amp;$E210&amp;"",IF(JobState="IN","https://fema.maps.arcgis.com/apps/mapviewer/index.html?url=https%3A%2F%2Fgisdata.in.gov%2Fserver%2Frest%2Fservices%2FHosted%2FLRSE_Functional_Class%2FFeatureServer%2F22&amp;find="&amp;$F210&amp;"%2C"&amp;$E210&amp;"&amp;marker="&amp;$F210&amp;","&amp;$E210&amp;",4326&amp;level=16",IF(JobState="WI","https://fema.maps.arcgis.com/apps/mapviewer/index.html?url=https%3A%2F%2Fservices5.arcgis.com%2F0pgGLzT0Nh7FVjon%2Farcgis%2Frest%2Fservices%2FFFCL_gdb%2FFeatureServer%2F3&amp;find="&amp;$F210&amp;"%2C"&amp;$E210&amp;"&amp;marker="&amp;$F210&amp;","&amp;$E210&amp;",4326&amp;level=16","https://fema.maps.arcgis.com/apps/mapviewer/index.html?find="&amp;$F210&amp;"%2C"&amp;$E210&amp;"&amp;marker="&amp;$F210&amp;","&amp;$E210&amp;",4326&amp;level=16"))),"Open"))</f>
        <v/>
      </c>
      <c r="N210" s="6" t="str">
        <f>IF(OR(JobAgolMap="", $E210="", $F210=""),"",HYPERLINK(JobAgolMap&amp;IF(ISNUMBER(FIND("?",JobAgolMap)),"&amp;","?")&amp;"center="&amp;$F210&amp;","&amp;$E210&amp;"&amp;level=16&amp;marker="&amp;$F210&amp;","&amp;$E210,"Open"))</f>
        <v/>
      </c>
      <c r="O210" s="6" t="str">
        <f>IF(OR($E210="",$F210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0" s="4"/>
      <c r="Q210" s="4"/>
      <c r="R210" s="4"/>
      <c r="S210" s="4"/>
      <c r="T210" s="4"/>
      <c r="U210" s="4"/>
      <c r="V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HYPERLINK(IF(OR(JobState="MI",JobState=""),"https://fema.maps.arcgis.com/apps/mapviewer/index.html?webmap=6a1702b9147243d1a5ee62cd614bc681&amp;center="&amp;$F211&amp;","&amp;$E211&amp;"&amp;level=16&amp;marker="&amp;$F211&amp;","&amp;$E211&amp;"",IF(JobState="IN","https://fema.maps.arcgis.com/apps/mapviewer/index.html?url=https%3A%2F%2Fgisdata.in.gov%2Fserver%2Frest%2Fservices%2FHosted%2FLRSE_Functional_Class%2FFeatureServer%2F22&amp;find="&amp;$F211&amp;"%2C"&amp;$E211&amp;"&amp;marker="&amp;$F211&amp;","&amp;$E211&amp;",4326&amp;level=16",IF(JobState="WI","https://fema.maps.arcgis.com/apps/mapviewer/index.html?url=https%3A%2F%2Fservices5.arcgis.com%2F0pgGLzT0Nh7FVjon%2Farcgis%2Frest%2Fservices%2FFFCL_gdb%2FFeatureServer%2F3&amp;find="&amp;$F211&amp;"%2C"&amp;$E211&amp;"&amp;marker="&amp;$F211&amp;","&amp;$E211&amp;",4326&amp;level=16","https://fema.maps.arcgis.com/apps/mapviewer/index.html?find="&amp;$F211&amp;"%2C"&amp;$E211&amp;"&amp;marker="&amp;$F211&amp;","&amp;$E211&amp;",4326&amp;level=16"))),"Open"))</f>
        <v/>
      </c>
      <c r="N211" s="6" t="str">
        <f>IF(OR(JobAgolMap="", $E211="", $F211=""),"",HYPERLINK(JobAgolMap&amp;IF(ISNUMBER(FIND("?",JobAgolMap)),"&amp;","?")&amp;"center="&amp;$F211&amp;","&amp;$E211&amp;"&amp;level=16&amp;marker="&amp;$F211&amp;","&amp;$E211,"Open"))</f>
        <v/>
      </c>
      <c r="O211" s="6" t="str">
        <f>IF(OR($E211="",$F211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1" s="4"/>
      <c r="Q211" s="4"/>
      <c r="R211" s="4"/>
      <c r="S211" s="4"/>
      <c r="T211" s="4"/>
      <c r="U211" s="4"/>
      <c r="V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HYPERLINK(IF(OR(JobState="MI",JobState=""),"https://fema.maps.arcgis.com/apps/mapviewer/index.html?webmap=6a1702b9147243d1a5ee62cd614bc681&amp;center="&amp;$F212&amp;","&amp;$E212&amp;"&amp;level=16&amp;marker="&amp;$F212&amp;","&amp;$E212&amp;"",IF(JobState="IN","https://fema.maps.arcgis.com/apps/mapviewer/index.html?url=https%3A%2F%2Fgisdata.in.gov%2Fserver%2Frest%2Fservices%2FHosted%2FLRSE_Functional_Class%2FFeatureServer%2F22&amp;find="&amp;$F212&amp;"%2C"&amp;$E212&amp;"&amp;marker="&amp;$F212&amp;","&amp;$E212&amp;",4326&amp;level=16",IF(JobState="WI","https://fema.maps.arcgis.com/apps/mapviewer/index.html?url=https%3A%2F%2Fservices5.arcgis.com%2F0pgGLzT0Nh7FVjon%2Farcgis%2Frest%2Fservices%2FFFCL_gdb%2FFeatureServer%2F3&amp;find="&amp;$F212&amp;"%2C"&amp;$E212&amp;"&amp;marker="&amp;$F212&amp;","&amp;$E212&amp;",4326&amp;level=16","https://fema.maps.arcgis.com/apps/mapviewer/index.html?find="&amp;$F212&amp;"%2C"&amp;$E212&amp;"&amp;marker="&amp;$F212&amp;","&amp;$E212&amp;",4326&amp;level=16"))),"Open"))</f>
        <v/>
      </c>
      <c r="N212" s="6" t="str">
        <f>IF(OR(JobAgolMap="", $E212="", $F212=""),"",HYPERLINK(JobAgolMap&amp;IF(ISNUMBER(FIND("?",JobAgolMap)),"&amp;","?")&amp;"center="&amp;$F212&amp;","&amp;$E212&amp;"&amp;level=16&amp;marker="&amp;$F212&amp;","&amp;$E212,"Open"))</f>
        <v/>
      </c>
      <c r="O212" s="6" t="str">
        <f>IF(OR($E212="",$F212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2" s="4"/>
      <c r="Q212" s="4"/>
      <c r="R212" s="4"/>
      <c r="S212" s="4"/>
      <c r="T212" s="4"/>
      <c r="U212" s="4"/>
      <c r="V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HYPERLINK(IF(OR(JobState="MI",JobState=""),"https://fema.maps.arcgis.com/apps/mapviewer/index.html?webmap=6a1702b9147243d1a5ee62cd614bc681&amp;center="&amp;$F213&amp;","&amp;$E213&amp;"&amp;level=16&amp;marker="&amp;$F213&amp;","&amp;$E213&amp;"",IF(JobState="IN","https://fema.maps.arcgis.com/apps/mapviewer/index.html?url=https%3A%2F%2Fgisdata.in.gov%2Fserver%2Frest%2Fservices%2FHosted%2FLRSE_Functional_Class%2FFeatureServer%2F22&amp;find="&amp;$F213&amp;"%2C"&amp;$E213&amp;"&amp;marker="&amp;$F213&amp;","&amp;$E213&amp;",4326&amp;level=16",IF(JobState="WI","https://fema.maps.arcgis.com/apps/mapviewer/index.html?url=https%3A%2F%2Fservices5.arcgis.com%2F0pgGLzT0Nh7FVjon%2Farcgis%2Frest%2Fservices%2FFFCL_gdb%2FFeatureServer%2F3&amp;find="&amp;$F213&amp;"%2C"&amp;$E213&amp;"&amp;marker="&amp;$F213&amp;","&amp;$E213&amp;",4326&amp;level=16","https://fema.maps.arcgis.com/apps/mapviewer/index.html?find="&amp;$F213&amp;"%2C"&amp;$E213&amp;"&amp;marker="&amp;$F213&amp;","&amp;$E213&amp;",4326&amp;level=16"))),"Open"))</f>
        <v/>
      </c>
      <c r="N213" s="6" t="str">
        <f>IF(OR(JobAgolMap="", $E213="", $F213=""),"",HYPERLINK(JobAgolMap&amp;IF(ISNUMBER(FIND("?",JobAgolMap)),"&amp;","?")&amp;"center="&amp;$F213&amp;","&amp;$E213&amp;"&amp;level=16&amp;marker="&amp;$F213&amp;","&amp;$E213,"Open"))</f>
        <v/>
      </c>
      <c r="O213" s="6" t="str">
        <f>IF(OR($E213="",$F213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3" s="4"/>
      <c r="Q213" s="4"/>
      <c r="R213" s="4"/>
      <c r="S213" s="4"/>
      <c r="T213" s="4"/>
      <c r="U213" s="4"/>
      <c r="V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HYPERLINK(IF(OR(JobState="MI",JobState=""),"https://fema.maps.arcgis.com/apps/mapviewer/index.html?webmap=6a1702b9147243d1a5ee62cd614bc681&amp;center="&amp;$F214&amp;","&amp;$E214&amp;"&amp;level=16&amp;marker="&amp;$F214&amp;","&amp;$E214&amp;"",IF(JobState="IN","https://fema.maps.arcgis.com/apps/mapviewer/index.html?url=https%3A%2F%2Fgisdata.in.gov%2Fserver%2Frest%2Fservices%2FHosted%2FLRSE_Functional_Class%2FFeatureServer%2F22&amp;find="&amp;$F214&amp;"%2C"&amp;$E214&amp;"&amp;marker="&amp;$F214&amp;","&amp;$E214&amp;",4326&amp;level=16",IF(JobState="WI","https://fema.maps.arcgis.com/apps/mapviewer/index.html?url=https%3A%2F%2Fservices5.arcgis.com%2F0pgGLzT0Nh7FVjon%2Farcgis%2Frest%2Fservices%2FFFCL_gdb%2FFeatureServer%2F3&amp;find="&amp;$F214&amp;"%2C"&amp;$E214&amp;"&amp;marker="&amp;$F214&amp;","&amp;$E214&amp;",4326&amp;level=16","https://fema.maps.arcgis.com/apps/mapviewer/index.html?find="&amp;$F214&amp;"%2C"&amp;$E214&amp;"&amp;marker="&amp;$F214&amp;","&amp;$E214&amp;",4326&amp;level=16"))),"Open"))</f>
        <v/>
      </c>
      <c r="N214" s="6" t="str">
        <f>IF(OR(JobAgolMap="", $E214="", $F214=""),"",HYPERLINK(JobAgolMap&amp;IF(ISNUMBER(FIND("?",JobAgolMap)),"&amp;","?")&amp;"center="&amp;$F214&amp;","&amp;$E214&amp;"&amp;level=16&amp;marker="&amp;$F214&amp;","&amp;$E214,"Open"))</f>
        <v/>
      </c>
      <c r="O214" s="6" t="str">
        <f>IF(OR($E214="",$F214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4" s="4"/>
      <c r="Q214" s="4"/>
      <c r="R214" s="4"/>
      <c r="S214" s="4"/>
      <c r="T214" s="4"/>
      <c r="U214" s="4"/>
      <c r="V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HYPERLINK(IF(OR(JobState="MI",JobState=""),"https://fema.maps.arcgis.com/apps/mapviewer/index.html?webmap=6a1702b9147243d1a5ee62cd614bc681&amp;center="&amp;$F215&amp;","&amp;$E215&amp;"&amp;level=16&amp;marker="&amp;$F215&amp;","&amp;$E215&amp;"",IF(JobState="IN","https://fema.maps.arcgis.com/apps/mapviewer/index.html?url=https%3A%2F%2Fgisdata.in.gov%2Fserver%2Frest%2Fservices%2FHosted%2FLRSE_Functional_Class%2FFeatureServer%2F22&amp;find="&amp;$F215&amp;"%2C"&amp;$E215&amp;"&amp;marker="&amp;$F215&amp;","&amp;$E215&amp;",4326&amp;level=16",IF(JobState="WI","https://fema.maps.arcgis.com/apps/mapviewer/index.html?url=https%3A%2F%2Fservices5.arcgis.com%2F0pgGLzT0Nh7FVjon%2Farcgis%2Frest%2Fservices%2FFFCL_gdb%2FFeatureServer%2F3&amp;find="&amp;$F215&amp;"%2C"&amp;$E215&amp;"&amp;marker="&amp;$F215&amp;","&amp;$E215&amp;",4326&amp;level=16","https://fema.maps.arcgis.com/apps/mapviewer/index.html?find="&amp;$F215&amp;"%2C"&amp;$E215&amp;"&amp;marker="&amp;$F215&amp;","&amp;$E215&amp;",4326&amp;level=16"))),"Open"))</f>
        <v/>
      </c>
      <c r="N215" s="6" t="str">
        <f>IF(OR(JobAgolMap="", $E215="", $F215=""),"",HYPERLINK(JobAgolMap&amp;IF(ISNUMBER(FIND("?",JobAgolMap)),"&amp;","?")&amp;"center="&amp;$F215&amp;","&amp;$E215&amp;"&amp;level=16&amp;marker="&amp;$F215&amp;","&amp;$E215,"Open"))</f>
        <v/>
      </c>
      <c r="O215" s="6" t="str">
        <f>IF(OR($E215="",$F215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5" s="4"/>
      <c r="Q215" s="4"/>
      <c r="R215" s="4"/>
      <c r="S215" s="4"/>
      <c r="T215" s="4"/>
      <c r="U215" s="4"/>
      <c r="V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HYPERLINK(IF(OR(JobState="MI",JobState=""),"https://fema.maps.arcgis.com/apps/mapviewer/index.html?webmap=6a1702b9147243d1a5ee62cd614bc681&amp;center="&amp;$F216&amp;","&amp;$E216&amp;"&amp;level=16&amp;marker="&amp;$F216&amp;","&amp;$E216&amp;"",IF(JobState="IN","https://fema.maps.arcgis.com/apps/mapviewer/index.html?url=https%3A%2F%2Fgisdata.in.gov%2Fserver%2Frest%2Fservices%2FHosted%2FLRSE_Functional_Class%2FFeatureServer%2F22&amp;find="&amp;$F216&amp;"%2C"&amp;$E216&amp;"&amp;marker="&amp;$F216&amp;","&amp;$E216&amp;",4326&amp;level=16",IF(JobState="WI","https://fema.maps.arcgis.com/apps/mapviewer/index.html?url=https%3A%2F%2Fservices5.arcgis.com%2F0pgGLzT0Nh7FVjon%2Farcgis%2Frest%2Fservices%2FFFCL_gdb%2FFeatureServer%2F3&amp;find="&amp;$F216&amp;"%2C"&amp;$E216&amp;"&amp;marker="&amp;$F216&amp;","&amp;$E216&amp;",4326&amp;level=16","https://fema.maps.arcgis.com/apps/mapviewer/index.html?find="&amp;$F216&amp;"%2C"&amp;$E216&amp;"&amp;marker="&amp;$F216&amp;","&amp;$E216&amp;",4326&amp;level=16"))),"Open"))</f>
        <v/>
      </c>
      <c r="N216" s="6" t="str">
        <f>IF(OR(JobAgolMap="", $E216="", $F216=""),"",HYPERLINK(JobAgolMap&amp;IF(ISNUMBER(FIND("?",JobAgolMap)),"&amp;","?")&amp;"center="&amp;$F216&amp;","&amp;$E216&amp;"&amp;level=16&amp;marker="&amp;$F216&amp;","&amp;$E216,"Open"))</f>
        <v/>
      </c>
      <c r="O216" s="6" t="str">
        <f>IF(OR($E216="",$F216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6" s="4"/>
      <c r="Q216" s="4"/>
      <c r="R216" s="4"/>
      <c r="S216" s="4"/>
      <c r="T216" s="4"/>
      <c r="U216" s="4"/>
      <c r="V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HYPERLINK(IF(OR(JobState="MI",JobState=""),"https://fema.maps.arcgis.com/apps/mapviewer/index.html?webmap=6a1702b9147243d1a5ee62cd614bc681&amp;center="&amp;$F217&amp;","&amp;$E217&amp;"&amp;level=16&amp;marker="&amp;$F217&amp;","&amp;$E217&amp;"",IF(JobState="IN","https://fema.maps.arcgis.com/apps/mapviewer/index.html?url=https%3A%2F%2Fgisdata.in.gov%2Fserver%2Frest%2Fservices%2FHosted%2FLRSE_Functional_Class%2FFeatureServer%2F22&amp;find="&amp;$F217&amp;"%2C"&amp;$E217&amp;"&amp;marker="&amp;$F217&amp;","&amp;$E217&amp;",4326&amp;level=16",IF(JobState="WI","https://fema.maps.arcgis.com/apps/mapviewer/index.html?url=https%3A%2F%2Fservices5.arcgis.com%2F0pgGLzT0Nh7FVjon%2Farcgis%2Frest%2Fservices%2FFFCL_gdb%2FFeatureServer%2F3&amp;find="&amp;$F217&amp;"%2C"&amp;$E217&amp;"&amp;marker="&amp;$F217&amp;","&amp;$E217&amp;",4326&amp;level=16","https://fema.maps.arcgis.com/apps/mapviewer/index.html?find="&amp;$F217&amp;"%2C"&amp;$E217&amp;"&amp;marker="&amp;$F217&amp;","&amp;$E217&amp;",4326&amp;level=16"))),"Open"))</f>
        <v/>
      </c>
      <c r="N217" s="6" t="str">
        <f>IF(OR(JobAgolMap="", $E217="", $F217=""),"",HYPERLINK(JobAgolMap&amp;IF(ISNUMBER(FIND("?",JobAgolMap)),"&amp;","?")&amp;"center="&amp;$F217&amp;","&amp;$E217&amp;"&amp;level=16&amp;marker="&amp;$F217&amp;","&amp;$E217,"Open"))</f>
        <v/>
      </c>
      <c r="O217" s="6" t="str">
        <f>IF(OR($E217="",$F217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7" s="4"/>
      <c r="Q217" s="4"/>
      <c r="R217" s="4"/>
      <c r="S217" s="4"/>
      <c r="T217" s="4"/>
      <c r="U217" s="4"/>
      <c r="V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HYPERLINK(IF(OR(JobState="MI",JobState=""),"https://fema.maps.arcgis.com/apps/mapviewer/index.html?webmap=6a1702b9147243d1a5ee62cd614bc681&amp;center="&amp;$F218&amp;","&amp;$E218&amp;"&amp;level=16&amp;marker="&amp;$F218&amp;","&amp;$E218&amp;"",IF(JobState="IN","https://fema.maps.arcgis.com/apps/mapviewer/index.html?url=https%3A%2F%2Fgisdata.in.gov%2Fserver%2Frest%2Fservices%2FHosted%2FLRSE_Functional_Class%2FFeatureServer%2F22&amp;find="&amp;$F218&amp;"%2C"&amp;$E218&amp;"&amp;marker="&amp;$F218&amp;","&amp;$E218&amp;",4326&amp;level=16",IF(JobState="WI","https://fema.maps.arcgis.com/apps/mapviewer/index.html?url=https%3A%2F%2Fservices5.arcgis.com%2F0pgGLzT0Nh7FVjon%2Farcgis%2Frest%2Fservices%2FFFCL_gdb%2FFeatureServer%2F3&amp;find="&amp;$F218&amp;"%2C"&amp;$E218&amp;"&amp;marker="&amp;$F218&amp;","&amp;$E218&amp;",4326&amp;level=16","https://fema.maps.arcgis.com/apps/mapviewer/index.html?find="&amp;$F218&amp;"%2C"&amp;$E218&amp;"&amp;marker="&amp;$F218&amp;","&amp;$E218&amp;",4326&amp;level=16"))),"Open"))</f>
        <v/>
      </c>
      <c r="N218" s="6" t="str">
        <f>IF(OR(JobAgolMap="", $E218="", $F218=""),"",HYPERLINK(JobAgolMap&amp;IF(ISNUMBER(FIND("?",JobAgolMap)),"&amp;","?")&amp;"center="&amp;$F218&amp;","&amp;$E218&amp;"&amp;level=16&amp;marker="&amp;$F218&amp;","&amp;$E218,"Open"))</f>
        <v/>
      </c>
      <c r="O218" s="6" t="str">
        <f>IF(OR($E218="",$F218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8" s="4"/>
      <c r="Q218" s="4"/>
      <c r="R218" s="4"/>
      <c r="S218" s="4"/>
      <c r="T218" s="4"/>
      <c r="U218" s="4"/>
      <c r="V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HYPERLINK(IF(OR(JobState="MI",JobState=""),"https://fema.maps.arcgis.com/apps/mapviewer/index.html?webmap=6a1702b9147243d1a5ee62cd614bc681&amp;center="&amp;$F219&amp;","&amp;$E219&amp;"&amp;level=16&amp;marker="&amp;$F219&amp;","&amp;$E219&amp;"",IF(JobState="IN","https://fema.maps.arcgis.com/apps/mapviewer/index.html?url=https%3A%2F%2Fgisdata.in.gov%2Fserver%2Frest%2Fservices%2FHosted%2FLRSE_Functional_Class%2FFeatureServer%2F22&amp;find="&amp;$F219&amp;"%2C"&amp;$E219&amp;"&amp;marker="&amp;$F219&amp;","&amp;$E219&amp;",4326&amp;level=16",IF(JobState="WI","https://fema.maps.arcgis.com/apps/mapviewer/index.html?url=https%3A%2F%2Fservices5.arcgis.com%2F0pgGLzT0Nh7FVjon%2Farcgis%2Frest%2Fservices%2FFFCL_gdb%2FFeatureServer%2F3&amp;find="&amp;$F219&amp;"%2C"&amp;$E219&amp;"&amp;marker="&amp;$F219&amp;","&amp;$E219&amp;",4326&amp;level=16","https://fema.maps.arcgis.com/apps/mapviewer/index.html?find="&amp;$F219&amp;"%2C"&amp;$E219&amp;"&amp;marker="&amp;$F219&amp;","&amp;$E219&amp;",4326&amp;level=16"))),"Open"))</f>
        <v/>
      </c>
      <c r="N219" s="6" t="str">
        <f>IF(OR(JobAgolMap="", $E219="", $F219=""),"",HYPERLINK(JobAgolMap&amp;IF(ISNUMBER(FIND("?",JobAgolMap)),"&amp;","?")&amp;"center="&amp;$F219&amp;","&amp;$E219&amp;"&amp;level=16&amp;marker="&amp;$F219&amp;","&amp;$E219,"Open"))</f>
        <v/>
      </c>
      <c r="O219" s="6" t="str">
        <f>IF(OR($E219="",$F219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9" s="4"/>
      <c r="Q219" s="4"/>
      <c r="R219" s="4"/>
      <c r="S219" s="4"/>
      <c r="T219" s="4"/>
      <c r="U219" s="4"/>
      <c r="V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HYPERLINK(IF(OR(JobState="MI",JobState=""),"https://fema.maps.arcgis.com/apps/mapviewer/index.html?webmap=6a1702b9147243d1a5ee62cd614bc681&amp;center="&amp;$F220&amp;","&amp;$E220&amp;"&amp;level=16&amp;marker="&amp;$F220&amp;","&amp;$E220&amp;"",IF(JobState="IN","https://fema.maps.arcgis.com/apps/mapviewer/index.html?url=https%3A%2F%2Fgisdata.in.gov%2Fserver%2Frest%2Fservices%2FHosted%2FLRSE_Functional_Class%2FFeatureServer%2F22&amp;find="&amp;$F220&amp;"%2C"&amp;$E220&amp;"&amp;marker="&amp;$F220&amp;","&amp;$E220&amp;",4326&amp;level=16",IF(JobState="WI","https://fema.maps.arcgis.com/apps/mapviewer/index.html?url=https%3A%2F%2Fservices5.arcgis.com%2F0pgGLzT0Nh7FVjon%2Farcgis%2Frest%2Fservices%2FFFCL_gdb%2FFeatureServer%2F3&amp;find="&amp;$F220&amp;"%2C"&amp;$E220&amp;"&amp;marker="&amp;$F220&amp;","&amp;$E220&amp;",4326&amp;level=16","https://fema.maps.arcgis.com/apps/mapviewer/index.html?find="&amp;$F220&amp;"%2C"&amp;$E220&amp;"&amp;marker="&amp;$F220&amp;","&amp;$E220&amp;",4326&amp;level=16"))),"Open"))</f>
        <v/>
      </c>
      <c r="N220" s="6" t="str">
        <f>IF(OR(JobAgolMap="", $E220="", $F220=""),"",HYPERLINK(JobAgolMap&amp;IF(ISNUMBER(FIND("?",JobAgolMap)),"&amp;","?")&amp;"center="&amp;$F220&amp;","&amp;$E220&amp;"&amp;level=16&amp;marker="&amp;$F220&amp;","&amp;$E220,"Open"))</f>
        <v/>
      </c>
      <c r="O220" s="6" t="str">
        <f>IF(OR($E220="",$F220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0" s="4"/>
      <c r="Q220" s="4"/>
      <c r="R220" s="4"/>
      <c r="S220" s="4"/>
      <c r="T220" s="4"/>
      <c r="U220" s="4"/>
      <c r="V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HYPERLINK(IF(OR(JobState="MI",JobState=""),"https://fema.maps.arcgis.com/apps/mapviewer/index.html?webmap=6a1702b9147243d1a5ee62cd614bc681&amp;center="&amp;$F221&amp;","&amp;$E221&amp;"&amp;level=16&amp;marker="&amp;$F221&amp;","&amp;$E221&amp;"",IF(JobState="IN","https://fema.maps.arcgis.com/apps/mapviewer/index.html?url=https%3A%2F%2Fgisdata.in.gov%2Fserver%2Frest%2Fservices%2FHosted%2FLRSE_Functional_Class%2FFeatureServer%2F22&amp;find="&amp;$F221&amp;"%2C"&amp;$E221&amp;"&amp;marker="&amp;$F221&amp;","&amp;$E221&amp;",4326&amp;level=16",IF(JobState="WI","https://fema.maps.arcgis.com/apps/mapviewer/index.html?url=https%3A%2F%2Fservices5.arcgis.com%2F0pgGLzT0Nh7FVjon%2Farcgis%2Frest%2Fservices%2FFFCL_gdb%2FFeatureServer%2F3&amp;find="&amp;$F221&amp;"%2C"&amp;$E221&amp;"&amp;marker="&amp;$F221&amp;","&amp;$E221&amp;",4326&amp;level=16","https://fema.maps.arcgis.com/apps/mapviewer/index.html?find="&amp;$F221&amp;"%2C"&amp;$E221&amp;"&amp;marker="&amp;$F221&amp;","&amp;$E221&amp;",4326&amp;level=16"))),"Open"))</f>
        <v/>
      </c>
      <c r="N221" s="6" t="str">
        <f>IF(OR(JobAgolMap="", $E221="", $F221=""),"",HYPERLINK(JobAgolMap&amp;IF(ISNUMBER(FIND("?",JobAgolMap)),"&amp;","?")&amp;"center="&amp;$F221&amp;","&amp;$E221&amp;"&amp;level=16&amp;marker="&amp;$F221&amp;","&amp;$E221,"Open"))</f>
        <v/>
      </c>
      <c r="O221" s="6" t="str">
        <f>IF(OR($E221="",$F221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1" s="4"/>
      <c r="Q221" s="4"/>
      <c r="R221" s="4"/>
      <c r="S221" s="4"/>
      <c r="T221" s="4"/>
      <c r="U221" s="4"/>
      <c r="V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HYPERLINK(IF(OR(JobState="MI",JobState=""),"https://fema.maps.arcgis.com/apps/mapviewer/index.html?webmap=6a1702b9147243d1a5ee62cd614bc681&amp;center="&amp;$F222&amp;","&amp;$E222&amp;"&amp;level=16&amp;marker="&amp;$F222&amp;","&amp;$E222&amp;"",IF(JobState="IN","https://fema.maps.arcgis.com/apps/mapviewer/index.html?url=https%3A%2F%2Fgisdata.in.gov%2Fserver%2Frest%2Fservices%2FHosted%2FLRSE_Functional_Class%2FFeatureServer%2F22&amp;find="&amp;$F222&amp;"%2C"&amp;$E222&amp;"&amp;marker="&amp;$F222&amp;","&amp;$E222&amp;",4326&amp;level=16",IF(JobState="WI","https://fema.maps.arcgis.com/apps/mapviewer/index.html?url=https%3A%2F%2Fservices5.arcgis.com%2F0pgGLzT0Nh7FVjon%2Farcgis%2Frest%2Fservices%2FFFCL_gdb%2FFeatureServer%2F3&amp;find="&amp;$F222&amp;"%2C"&amp;$E222&amp;"&amp;marker="&amp;$F222&amp;","&amp;$E222&amp;",4326&amp;level=16","https://fema.maps.arcgis.com/apps/mapviewer/index.html?find="&amp;$F222&amp;"%2C"&amp;$E222&amp;"&amp;marker="&amp;$F222&amp;","&amp;$E222&amp;",4326&amp;level=16"))),"Open"))</f>
        <v/>
      </c>
      <c r="N222" s="6" t="str">
        <f>IF(OR(JobAgolMap="", $E222="", $F222=""),"",HYPERLINK(JobAgolMap&amp;IF(ISNUMBER(FIND("?",JobAgolMap)),"&amp;","?")&amp;"center="&amp;$F222&amp;","&amp;$E222&amp;"&amp;level=16&amp;marker="&amp;$F222&amp;","&amp;$E222,"Open"))</f>
        <v/>
      </c>
      <c r="O222" s="6" t="str">
        <f>IF(OR($E222="",$F222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2" s="4"/>
      <c r="Q222" s="4"/>
      <c r="R222" s="4"/>
      <c r="S222" s="4"/>
      <c r="T222" s="4"/>
      <c r="U222" s="4"/>
      <c r="V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HYPERLINK(IF(OR(JobState="MI",JobState=""),"https://fema.maps.arcgis.com/apps/mapviewer/index.html?webmap=6a1702b9147243d1a5ee62cd614bc681&amp;center="&amp;$F223&amp;","&amp;$E223&amp;"&amp;level=16&amp;marker="&amp;$F223&amp;","&amp;$E223&amp;"",IF(JobState="IN","https://fema.maps.arcgis.com/apps/mapviewer/index.html?url=https%3A%2F%2Fgisdata.in.gov%2Fserver%2Frest%2Fservices%2FHosted%2FLRSE_Functional_Class%2FFeatureServer%2F22&amp;find="&amp;$F223&amp;"%2C"&amp;$E223&amp;"&amp;marker="&amp;$F223&amp;","&amp;$E223&amp;",4326&amp;level=16",IF(JobState="WI","https://fema.maps.arcgis.com/apps/mapviewer/index.html?url=https%3A%2F%2Fservices5.arcgis.com%2F0pgGLzT0Nh7FVjon%2Farcgis%2Frest%2Fservices%2FFFCL_gdb%2FFeatureServer%2F3&amp;find="&amp;$F223&amp;"%2C"&amp;$E223&amp;"&amp;marker="&amp;$F223&amp;","&amp;$E223&amp;",4326&amp;level=16","https://fema.maps.arcgis.com/apps/mapviewer/index.html?find="&amp;$F223&amp;"%2C"&amp;$E223&amp;"&amp;marker="&amp;$F223&amp;","&amp;$E223&amp;",4326&amp;level=16"))),"Open"))</f>
        <v/>
      </c>
      <c r="N223" s="6" t="str">
        <f>IF(OR(JobAgolMap="", $E223="", $F223=""),"",HYPERLINK(JobAgolMap&amp;IF(ISNUMBER(FIND("?",JobAgolMap)),"&amp;","?")&amp;"center="&amp;$F223&amp;","&amp;$E223&amp;"&amp;level=16&amp;marker="&amp;$F223&amp;","&amp;$E223,"Open"))</f>
        <v/>
      </c>
      <c r="O223" s="6" t="str">
        <f>IF(OR($E223="",$F223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3" s="4"/>
      <c r="Q223" s="4"/>
      <c r="R223" s="4"/>
      <c r="S223" s="4"/>
      <c r="T223" s="4"/>
      <c r="U223" s="4"/>
      <c r="V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HYPERLINK(IF(OR(JobState="MI",JobState=""),"https://fema.maps.arcgis.com/apps/mapviewer/index.html?webmap=6a1702b9147243d1a5ee62cd614bc681&amp;center="&amp;$F224&amp;","&amp;$E224&amp;"&amp;level=16&amp;marker="&amp;$F224&amp;","&amp;$E224&amp;"",IF(JobState="IN","https://fema.maps.arcgis.com/apps/mapviewer/index.html?url=https%3A%2F%2Fgisdata.in.gov%2Fserver%2Frest%2Fservices%2FHosted%2FLRSE_Functional_Class%2FFeatureServer%2F22&amp;find="&amp;$F224&amp;"%2C"&amp;$E224&amp;"&amp;marker="&amp;$F224&amp;","&amp;$E224&amp;",4326&amp;level=16",IF(JobState="WI","https://fema.maps.arcgis.com/apps/mapviewer/index.html?url=https%3A%2F%2Fservices5.arcgis.com%2F0pgGLzT0Nh7FVjon%2Farcgis%2Frest%2Fservices%2FFFCL_gdb%2FFeatureServer%2F3&amp;find="&amp;$F224&amp;"%2C"&amp;$E224&amp;"&amp;marker="&amp;$F224&amp;","&amp;$E224&amp;",4326&amp;level=16","https://fema.maps.arcgis.com/apps/mapviewer/index.html?find="&amp;$F224&amp;"%2C"&amp;$E224&amp;"&amp;marker="&amp;$F224&amp;","&amp;$E224&amp;",4326&amp;level=16"))),"Open"))</f>
        <v/>
      </c>
      <c r="N224" s="6" t="str">
        <f>IF(OR(JobAgolMap="", $E224="", $F224=""),"",HYPERLINK(JobAgolMap&amp;IF(ISNUMBER(FIND("?",JobAgolMap)),"&amp;","?")&amp;"center="&amp;$F224&amp;","&amp;$E224&amp;"&amp;level=16&amp;marker="&amp;$F224&amp;","&amp;$E224,"Open"))</f>
        <v/>
      </c>
      <c r="O224" s="6" t="str">
        <f>IF(OR($E224="",$F224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4" s="4"/>
      <c r="Q224" s="4"/>
      <c r="R224" s="4"/>
      <c r="S224" s="4"/>
      <c r="T224" s="4"/>
      <c r="U224" s="4"/>
      <c r="V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HYPERLINK(IF(OR(JobState="MI",JobState=""),"https://fema.maps.arcgis.com/apps/mapviewer/index.html?webmap=6a1702b9147243d1a5ee62cd614bc681&amp;center="&amp;$F225&amp;","&amp;$E225&amp;"&amp;level=16&amp;marker="&amp;$F225&amp;","&amp;$E225&amp;"",IF(JobState="IN","https://fema.maps.arcgis.com/apps/mapviewer/index.html?url=https%3A%2F%2Fgisdata.in.gov%2Fserver%2Frest%2Fservices%2FHosted%2FLRSE_Functional_Class%2FFeatureServer%2F22&amp;find="&amp;$F225&amp;"%2C"&amp;$E225&amp;"&amp;marker="&amp;$F225&amp;","&amp;$E225&amp;",4326&amp;level=16",IF(JobState="WI","https://fema.maps.arcgis.com/apps/mapviewer/index.html?url=https%3A%2F%2Fservices5.arcgis.com%2F0pgGLzT0Nh7FVjon%2Farcgis%2Frest%2Fservices%2FFFCL_gdb%2FFeatureServer%2F3&amp;find="&amp;$F225&amp;"%2C"&amp;$E225&amp;"&amp;marker="&amp;$F225&amp;","&amp;$E225&amp;",4326&amp;level=16","https://fema.maps.arcgis.com/apps/mapviewer/index.html?find="&amp;$F225&amp;"%2C"&amp;$E225&amp;"&amp;marker="&amp;$F225&amp;","&amp;$E225&amp;",4326&amp;level=16"))),"Open"))</f>
        <v/>
      </c>
      <c r="N225" s="6" t="str">
        <f>IF(OR(JobAgolMap="", $E225="", $F225=""),"",HYPERLINK(JobAgolMap&amp;IF(ISNUMBER(FIND("?",JobAgolMap)),"&amp;","?")&amp;"center="&amp;$F225&amp;","&amp;$E225&amp;"&amp;level=16&amp;marker="&amp;$F225&amp;","&amp;$E225,"Open"))</f>
        <v/>
      </c>
      <c r="O225" s="6" t="str">
        <f>IF(OR($E225="",$F225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5" s="4"/>
      <c r="Q225" s="4"/>
      <c r="R225" s="4"/>
      <c r="S225" s="4"/>
      <c r="T225" s="4"/>
      <c r="U225" s="4"/>
      <c r="V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HYPERLINK(IF(OR(JobState="MI",JobState=""),"https://fema.maps.arcgis.com/apps/mapviewer/index.html?webmap=6a1702b9147243d1a5ee62cd614bc681&amp;center="&amp;$F226&amp;","&amp;$E226&amp;"&amp;level=16&amp;marker="&amp;$F226&amp;","&amp;$E226&amp;"",IF(JobState="IN","https://fema.maps.arcgis.com/apps/mapviewer/index.html?url=https%3A%2F%2Fgisdata.in.gov%2Fserver%2Frest%2Fservices%2FHosted%2FLRSE_Functional_Class%2FFeatureServer%2F22&amp;find="&amp;$F226&amp;"%2C"&amp;$E226&amp;"&amp;marker="&amp;$F226&amp;","&amp;$E226&amp;",4326&amp;level=16",IF(JobState="WI","https://fema.maps.arcgis.com/apps/mapviewer/index.html?url=https%3A%2F%2Fservices5.arcgis.com%2F0pgGLzT0Nh7FVjon%2Farcgis%2Frest%2Fservices%2FFFCL_gdb%2FFeatureServer%2F3&amp;find="&amp;$F226&amp;"%2C"&amp;$E226&amp;"&amp;marker="&amp;$F226&amp;","&amp;$E226&amp;",4326&amp;level=16","https://fema.maps.arcgis.com/apps/mapviewer/index.html?find="&amp;$F226&amp;"%2C"&amp;$E226&amp;"&amp;marker="&amp;$F226&amp;","&amp;$E226&amp;",4326&amp;level=16"))),"Open"))</f>
        <v/>
      </c>
      <c r="N226" s="6" t="str">
        <f>IF(OR(JobAgolMap="", $E226="", $F226=""),"",HYPERLINK(JobAgolMap&amp;IF(ISNUMBER(FIND("?",JobAgolMap)),"&amp;","?")&amp;"center="&amp;$F226&amp;","&amp;$E226&amp;"&amp;level=16&amp;marker="&amp;$F226&amp;","&amp;$E226,"Open"))</f>
        <v/>
      </c>
      <c r="O226" s="6" t="str">
        <f>IF(OR($E226="",$F226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6" s="4"/>
      <c r="Q226" s="4"/>
      <c r="R226" s="4"/>
      <c r="S226" s="4"/>
      <c r="T226" s="4"/>
      <c r="U226" s="4"/>
      <c r="V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HYPERLINK(IF(OR(JobState="MI",JobState=""),"https://fema.maps.arcgis.com/apps/mapviewer/index.html?webmap=6a1702b9147243d1a5ee62cd614bc681&amp;center="&amp;$F227&amp;","&amp;$E227&amp;"&amp;level=16&amp;marker="&amp;$F227&amp;","&amp;$E227&amp;"",IF(JobState="IN","https://fema.maps.arcgis.com/apps/mapviewer/index.html?url=https%3A%2F%2Fgisdata.in.gov%2Fserver%2Frest%2Fservices%2FHosted%2FLRSE_Functional_Class%2FFeatureServer%2F22&amp;find="&amp;$F227&amp;"%2C"&amp;$E227&amp;"&amp;marker="&amp;$F227&amp;","&amp;$E227&amp;",4326&amp;level=16",IF(JobState="WI","https://fema.maps.arcgis.com/apps/mapviewer/index.html?url=https%3A%2F%2Fservices5.arcgis.com%2F0pgGLzT0Nh7FVjon%2Farcgis%2Frest%2Fservices%2FFFCL_gdb%2FFeatureServer%2F3&amp;find="&amp;$F227&amp;"%2C"&amp;$E227&amp;"&amp;marker="&amp;$F227&amp;","&amp;$E227&amp;",4326&amp;level=16","https://fema.maps.arcgis.com/apps/mapviewer/index.html?find="&amp;$F227&amp;"%2C"&amp;$E227&amp;"&amp;marker="&amp;$F227&amp;","&amp;$E227&amp;",4326&amp;level=16"))),"Open"))</f>
        <v/>
      </c>
      <c r="N227" s="6" t="str">
        <f>IF(OR(JobAgolMap="", $E227="", $F227=""),"",HYPERLINK(JobAgolMap&amp;IF(ISNUMBER(FIND("?",JobAgolMap)),"&amp;","?")&amp;"center="&amp;$F227&amp;","&amp;$E227&amp;"&amp;level=16&amp;marker="&amp;$F227&amp;","&amp;$E227,"Open"))</f>
        <v/>
      </c>
      <c r="O227" s="6" t="str">
        <f>IF(OR($E227="",$F227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7" s="4"/>
      <c r="Q227" s="4"/>
      <c r="R227" s="4"/>
      <c r="S227" s="4"/>
      <c r="T227" s="4"/>
      <c r="U227" s="4"/>
      <c r="V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HYPERLINK(IF(OR(JobState="MI",JobState=""),"https://fema.maps.arcgis.com/apps/mapviewer/index.html?webmap=6a1702b9147243d1a5ee62cd614bc681&amp;center="&amp;$F228&amp;","&amp;$E228&amp;"&amp;level=16&amp;marker="&amp;$F228&amp;","&amp;$E228&amp;"",IF(JobState="IN","https://fema.maps.arcgis.com/apps/mapviewer/index.html?url=https%3A%2F%2Fgisdata.in.gov%2Fserver%2Frest%2Fservices%2FHosted%2FLRSE_Functional_Class%2FFeatureServer%2F22&amp;find="&amp;$F228&amp;"%2C"&amp;$E228&amp;"&amp;marker="&amp;$F228&amp;","&amp;$E228&amp;",4326&amp;level=16",IF(JobState="WI","https://fema.maps.arcgis.com/apps/mapviewer/index.html?url=https%3A%2F%2Fservices5.arcgis.com%2F0pgGLzT0Nh7FVjon%2Farcgis%2Frest%2Fservices%2FFFCL_gdb%2FFeatureServer%2F3&amp;find="&amp;$F228&amp;"%2C"&amp;$E228&amp;"&amp;marker="&amp;$F228&amp;","&amp;$E228&amp;",4326&amp;level=16","https://fema.maps.arcgis.com/apps/mapviewer/index.html?find="&amp;$F228&amp;"%2C"&amp;$E228&amp;"&amp;marker="&amp;$F228&amp;","&amp;$E228&amp;",4326&amp;level=16"))),"Open"))</f>
        <v/>
      </c>
      <c r="N228" s="6" t="str">
        <f>IF(OR(JobAgolMap="", $E228="", $F228=""),"",HYPERLINK(JobAgolMap&amp;IF(ISNUMBER(FIND("?",JobAgolMap)),"&amp;","?")&amp;"center="&amp;$F228&amp;","&amp;$E228&amp;"&amp;level=16&amp;marker="&amp;$F228&amp;","&amp;$E228,"Open"))</f>
        <v/>
      </c>
      <c r="O228" s="6" t="str">
        <f>IF(OR($E228="",$F228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8" s="4"/>
      <c r="Q228" s="4"/>
      <c r="R228" s="4"/>
      <c r="S228" s="4"/>
      <c r="T228" s="4"/>
      <c r="U228" s="4"/>
      <c r="V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HYPERLINK(IF(OR(JobState="MI",JobState=""),"https://fema.maps.arcgis.com/apps/mapviewer/index.html?webmap=6a1702b9147243d1a5ee62cd614bc681&amp;center="&amp;$F229&amp;","&amp;$E229&amp;"&amp;level=16&amp;marker="&amp;$F229&amp;","&amp;$E229&amp;"",IF(JobState="IN","https://fema.maps.arcgis.com/apps/mapviewer/index.html?url=https%3A%2F%2Fgisdata.in.gov%2Fserver%2Frest%2Fservices%2FHosted%2FLRSE_Functional_Class%2FFeatureServer%2F22&amp;find="&amp;$F229&amp;"%2C"&amp;$E229&amp;"&amp;marker="&amp;$F229&amp;","&amp;$E229&amp;",4326&amp;level=16",IF(JobState="WI","https://fema.maps.arcgis.com/apps/mapviewer/index.html?url=https%3A%2F%2Fservices5.arcgis.com%2F0pgGLzT0Nh7FVjon%2Farcgis%2Frest%2Fservices%2FFFCL_gdb%2FFeatureServer%2F3&amp;find="&amp;$F229&amp;"%2C"&amp;$E229&amp;"&amp;marker="&amp;$F229&amp;","&amp;$E229&amp;",4326&amp;level=16","https://fema.maps.arcgis.com/apps/mapviewer/index.html?find="&amp;$F229&amp;"%2C"&amp;$E229&amp;"&amp;marker="&amp;$F229&amp;","&amp;$E229&amp;",4326&amp;level=16"))),"Open"))</f>
        <v/>
      </c>
      <c r="N229" s="6" t="str">
        <f>IF(OR(JobAgolMap="", $E229="", $F229=""),"",HYPERLINK(JobAgolMap&amp;IF(ISNUMBER(FIND("?",JobAgolMap)),"&amp;","?")&amp;"center="&amp;$F229&amp;","&amp;$E229&amp;"&amp;level=16&amp;marker="&amp;$F229&amp;","&amp;$E229,"Open"))</f>
        <v/>
      </c>
      <c r="O229" s="6" t="str">
        <f>IF(OR($E229="",$F229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9" s="4"/>
      <c r="Q229" s="4"/>
      <c r="R229" s="4"/>
      <c r="S229" s="4"/>
      <c r="T229" s="4"/>
      <c r="U229" s="4"/>
      <c r="V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HYPERLINK(IF(OR(JobState="MI",JobState=""),"https://fema.maps.arcgis.com/apps/mapviewer/index.html?webmap=6a1702b9147243d1a5ee62cd614bc681&amp;center="&amp;$F230&amp;","&amp;$E230&amp;"&amp;level=16&amp;marker="&amp;$F230&amp;","&amp;$E230&amp;"",IF(JobState="IN","https://fema.maps.arcgis.com/apps/mapviewer/index.html?url=https%3A%2F%2Fgisdata.in.gov%2Fserver%2Frest%2Fservices%2FHosted%2FLRSE_Functional_Class%2FFeatureServer%2F22&amp;find="&amp;$F230&amp;"%2C"&amp;$E230&amp;"&amp;marker="&amp;$F230&amp;","&amp;$E230&amp;",4326&amp;level=16",IF(JobState="WI","https://fema.maps.arcgis.com/apps/mapviewer/index.html?url=https%3A%2F%2Fservices5.arcgis.com%2F0pgGLzT0Nh7FVjon%2Farcgis%2Frest%2Fservices%2FFFCL_gdb%2FFeatureServer%2F3&amp;find="&amp;$F230&amp;"%2C"&amp;$E230&amp;"&amp;marker="&amp;$F230&amp;","&amp;$E230&amp;",4326&amp;level=16","https://fema.maps.arcgis.com/apps/mapviewer/index.html?find="&amp;$F230&amp;"%2C"&amp;$E230&amp;"&amp;marker="&amp;$F230&amp;","&amp;$E230&amp;",4326&amp;level=16"))),"Open"))</f>
        <v/>
      </c>
      <c r="N230" s="6" t="str">
        <f>IF(OR(JobAgolMap="", $E230="", $F230=""),"",HYPERLINK(JobAgolMap&amp;IF(ISNUMBER(FIND("?",JobAgolMap)),"&amp;","?")&amp;"center="&amp;$F230&amp;","&amp;$E230&amp;"&amp;level=16&amp;marker="&amp;$F230&amp;","&amp;$E230,"Open"))</f>
        <v/>
      </c>
      <c r="O230" s="6" t="str">
        <f>IF(OR($E230="",$F230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0" s="4"/>
      <c r="Q230" s="4"/>
      <c r="R230" s="4"/>
      <c r="S230" s="4"/>
      <c r="T230" s="4"/>
      <c r="U230" s="4"/>
      <c r="V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HYPERLINK(IF(OR(JobState="MI",JobState=""),"https://fema.maps.arcgis.com/apps/mapviewer/index.html?webmap=6a1702b9147243d1a5ee62cd614bc681&amp;center="&amp;$F231&amp;","&amp;$E231&amp;"&amp;level=16&amp;marker="&amp;$F231&amp;","&amp;$E231&amp;"",IF(JobState="IN","https://fema.maps.arcgis.com/apps/mapviewer/index.html?url=https%3A%2F%2Fgisdata.in.gov%2Fserver%2Frest%2Fservices%2FHosted%2FLRSE_Functional_Class%2FFeatureServer%2F22&amp;find="&amp;$F231&amp;"%2C"&amp;$E231&amp;"&amp;marker="&amp;$F231&amp;","&amp;$E231&amp;",4326&amp;level=16",IF(JobState="WI","https://fema.maps.arcgis.com/apps/mapviewer/index.html?url=https%3A%2F%2Fservices5.arcgis.com%2F0pgGLzT0Nh7FVjon%2Farcgis%2Frest%2Fservices%2FFFCL_gdb%2FFeatureServer%2F3&amp;find="&amp;$F231&amp;"%2C"&amp;$E231&amp;"&amp;marker="&amp;$F231&amp;","&amp;$E231&amp;",4326&amp;level=16","https://fema.maps.arcgis.com/apps/mapviewer/index.html?find="&amp;$F231&amp;"%2C"&amp;$E231&amp;"&amp;marker="&amp;$F231&amp;","&amp;$E231&amp;",4326&amp;level=16"))),"Open"))</f>
        <v/>
      </c>
      <c r="N231" s="6" t="str">
        <f>IF(OR(JobAgolMap="", $E231="", $F231=""),"",HYPERLINK(JobAgolMap&amp;IF(ISNUMBER(FIND("?",JobAgolMap)),"&amp;","?")&amp;"center="&amp;$F231&amp;","&amp;$E231&amp;"&amp;level=16&amp;marker="&amp;$F231&amp;","&amp;$E231,"Open"))</f>
        <v/>
      </c>
      <c r="O231" s="6" t="str">
        <f>IF(OR($E231="",$F231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1" s="4"/>
      <c r="Q231" s="4"/>
      <c r="R231" s="4"/>
      <c r="S231" s="4"/>
      <c r="T231" s="4"/>
      <c r="U231" s="4"/>
      <c r="V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HYPERLINK(IF(OR(JobState="MI",JobState=""),"https://fema.maps.arcgis.com/apps/mapviewer/index.html?webmap=6a1702b9147243d1a5ee62cd614bc681&amp;center="&amp;$F232&amp;","&amp;$E232&amp;"&amp;level=16&amp;marker="&amp;$F232&amp;","&amp;$E232&amp;"",IF(JobState="IN","https://fema.maps.arcgis.com/apps/mapviewer/index.html?url=https%3A%2F%2Fgisdata.in.gov%2Fserver%2Frest%2Fservices%2FHosted%2FLRSE_Functional_Class%2FFeatureServer%2F22&amp;find="&amp;$F232&amp;"%2C"&amp;$E232&amp;"&amp;marker="&amp;$F232&amp;","&amp;$E232&amp;",4326&amp;level=16",IF(JobState="WI","https://fema.maps.arcgis.com/apps/mapviewer/index.html?url=https%3A%2F%2Fservices5.arcgis.com%2F0pgGLzT0Nh7FVjon%2Farcgis%2Frest%2Fservices%2FFFCL_gdb%2FFeatureServer%2F3&amp;find="&amp;$F232&amp;"%2C"&amp;$E232&amp;"&amp;marker="&amp;$F232&amp;","&amp;$E232&amp;",4326&amp;level=16","https://fema.maps.arcgis.com/apps/mapviewer/index.html?find="&amp;$F232&amp;"%2C"&amp;$E232&amp;"&amp;marker="&amp;$F232&amp;","&amp;$E232&amp;",4326&amp;level=16"))),"Open"))</f>
        <v/>
      </c>
      <c r="N232" s="6" t="str">
        <f>IF(OR(JobAgolMap="", $E232="", $F232=""),"",HYPERLINK(JobAgolMap&amp;IF(ISNUMBER(FIND("?",JobAgolMap)),"&amp;","?")&amp;"center="&amp;$F232&amp;","&amp;$E232&amp;"&amp;level=16&amp;marker="&amp;$F232&amp;","&amp;$E232,"Open"))</f>
        <v/>
      </c>
      <c r="O232" s="6" t="str">
        <f>IF(OR($E232="",$F232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2" s="4"/>
      <c r="Q232" s="4"/>
      <c r="R232" s="4"/>
      <c r="S232" s="4"/>
      <c r="T232" s="4"/>
      <c r="U232" s="4"/>
      <c r="V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HYPERLINK(IF(OR(JobState="MI",JobState=""),"https://fema.maps.arcgis.com/apps/mapviewer/index.html?webmap=6a1702b9147243d1a5ee62cd614bc681&amp;center="&amp;$F233&amp;","&amp;$E233&amp;"&amp;level=16&amp;marker="&amp;$F233&amp;","&amp;$E233&amp;"",IF(JobState="IN","https://fema.maps.arcgis.com/apps/mapviewer/index.html?url=https%3A%2F%2Fgisdata.in.gov%2Fserver%2Frest%2Fservices%2FHosted%2FLRSE_Functional_Class%2FFeatureServer%2F22&amp;find="&amp;$F233&amp;"%2C"&amp;$E233&amp;"&amp;marker="&amp;$F233&amp;","&amp;$E233&amp;",4326&amp;level=16",IF(JobState="WI","https://fema.maps.arcgis.com/apps/mapviewer/index.html?url=https%3A%2F%2Fservices5.arcgis.com%2F0pgGLzT0Nh7FVjon%2Farcgis%2Frest%2Fservices%2FFFCL_gdb%2FFeatureServer%2F3&amp;find="&amp;$F233&amp;"%2C"&amp;$E233&amp;"&amp;marker="&amp;$F233&amp;","&amp;$E233&amp;",4326&amp;level=16","https://fema.maps.arcgis.com/apps/mapviewer/index.html?find="&amp;$F233&amp;"%2C"&amp;$E233&amp;"&amp;marker="&amp;$F233&amp;","&amp;$E233&amp;",4326&amp;level=16"))),"Open"))</f>
        <v/>
      </c>
      <c r="N233" s="6" t="str">
        <f>IF(OR(JobAgolMap="", $E233="", $F233=""),"",HYPERLINK(JobAgolMap&amp;IF(ISNUMBER(FIND("?",JobAgolMap)),"&amp;","?")&amp;"center="&amp;$F233&amp;","&amp;$E233&amp;"&amp;level=16&amp;marker="&amp;$F233&amp;","&amp;$E233,"Open"))</f>
        <v/>
      </c>
      <c r="O233" s="6" t="str">
        <f>IF(OR($E233="",$F233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3" s="4"/>
      <c r="Q233" s="4"/>
      <c r="R233" s="4"/>
      <c r="S233" s="4"/>
      <c r="T233" s="4"/>
      <c r="U233" s="4"/>
      <c r="V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HYPERLINK(IF(OR(JobState="MI",JobState=""),"https://fema.maps.arcgis.com/apps/mapviewer/index.html?webmap=6a1702b9147243d1a5ee62cd614bc681&amp;center="&amp;$F234&amp;","&amp;$E234&amp;"&amp;level=16&amp;marker="&amp;$F234&amp;","&amp;$E234&amp;"",IF(JobState="IN","https://fema.maps.arcgis.com/apps/mapviewer/index.html?url=https%3A%2F%2Fgisdata.in.gov%2Fserver%2Frest%2Fservices%2FHosted%2FLRSE_Functional_Class%2FFeatureServer%2F22&amp;find="&amp;$F234&amp;"%2C"&amp;$E234&amp;"&amp;marker="&amp;$F234&amp;","&amp;$E234&amp;",4326&amp;level=16",IF(JobState="WI","https://fema.maps.arcgis.com/apps/mapviewer/index.html?url=https%3A%2F%2Fservices5.arcgis.com%2F0pgGLzT0Nh7FVjon%2Farcgis%2Frest%2Fservices%2FFFCL_gdb%2FFeatureServer%2F3&amp;find="&amp;$F234&amp;"%2C"&amp;$E234&amp;"&amp;marker="&amp;$F234&amp;","&amp;$E234&amp;",4326&amp;level=16","https://fema.maps.arcgis.com/apps/mapviewer/index.html?find="&amp;$F234&amp;"%2C"&amp;$E234&amp;"&amp;marker="&amp;$F234&amp;","&amp;$E234&amp;",4326&amp;level=16"))),"Open"))</f>
        <v/>
      </c>
      <c r="N234" s="6" t="str">
        <f>IF(OR(JobAgolMap="", $E234="", $F234=""),"",HYPERLINK(JobAgolMap&amp;IF(ISNUMBER(FIND("?",JobAgolMap)),"&amp;","?")&amp;"center="&amp;$F234&amp;","&amp;$E234&amp;"&amp;level=16&amp;marker="&amp;$F234&amp;","&amp;$E234,"Open"))</f>
        <v/>
      </c>
      <c r="O234" s="6" t="str">
        <f>IF(OR($E234="",$F234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4" s="4"/>
      <c r="Q234" s="4"/>
      <c r="R234" s="4"/>
      <c r="S234" s="4"/>
      <c r="T234" s="4"/>
      <c r="U234" s="4"/>
      <c r="V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HYPERLINK(IF(OR(JobState="MI",JobState=""),"https://fema.maps.arcgis.com/apps/mapviewer/index.html?webmap=6a1702b9147243d1a5ee62cd614bc681&amp;center="&amp;$F235&amp;","&amp;$E235&amp;"&amp;level=16&amp;marker="&amp;$F235&amp;","&amp;$E235&amp;"",IF(JobState="IN","https://fema.maps.arcgis.com/apps/mapviewer/index.html?url=https%3A%2F%2Fgisdata.in.gov%2Fserver%2Frest%2Fservices%2FHosted%2FLRSE_Functional_Class%2FFeatureServer%2F22&amp;find="&amp;$F235&amp;"%2C"&amp;$E235&amp;"&amp;marker="&amp;$F235&amp;","&amp;$E235&amp;",4326&amp;level=16",IF(JobState="WI","https://fema.maps.arcgis.com/apps/mapviewer/index.html?url=https%3A%2F%2Fservices5.arcgis.com%2F0pgGLzT0Nh7FVjon%2Farcgis%2Frest%2Fservices%2FFFCL_gdb%2FFeatureServer%2F3&amp;find="&amp;$F235&amp;"%2C"&amp;$E235&amp;"&amp;marker="&amp;$F235&amp;","&amp;$E235&amp;",4326&amp;level=16","https://fema.maps.arcgis.com/apps/mapviewer/index.html?find="&amp;$F235&amp;"%2C"&amp;$E235&amp;"&amp;marker="&amp;$F235&amp;","&amp;$E235&amp;",4326&amp;level=16"))),"Open"))</f>
        <v/>
      </c>
      <c r="N235" s="6" t="str">
        <f>IF(OR(JobAgolMap="", $E235="", $F235=""),"",HYPERLINK(JobAgolMap&amp;IF(ISNUMBER(FIND("?",JobAgolMap)),"&amp;","?")&amp;"center="&amp;$F235&amp;","&amp;$E235&amp;"&amp;level=16&amp;marker="&amp;$F235&amp;","&amp;$E235,"Open"))</f>
        <v/>
      </c>
      <c r="O235" s="6" t="str">
        <f>IF(OR($E235="",$F235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5" s="4"/>
      <c r="Q235" s="4"/>
      <c r="R235" s="4"/>
      <c r="S235" s="4"/>
      <c r="T235" s="4"/>
      <c r="U235" s="4"/>
      <c r="V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HYPERLINK(IF(OR(JobState="MI",JobState=""),"https://fema.maps.arcgis.com/apps/mapviewer/index.html?webmap=6a1702b9147243d1a5ee62cd614bc681&amp;center="&amp;$F236&amp;","&amp;$E236&amp;"&amp;level=16&amp;marker="&amp;$F236&amp;","&amp;$E236&amp;"",IF(JobState="IN","https://fema.maps.arcgis.com/apps/mapviewer/index.html?url=https%3A%2F%2Fgisdata.in.gov%2Fserver%2Frest%2Fservices%2FHosted%2FLRSE_Functional_Class%2FFeatureServer%2F22&amp;find="&amp;$F236&amp;"%2C"&amp;$E236&amp;"&amp;marker="&amp;$F236&amp;","&amp;$E236&amp;",4326&amp;level=16",IF(JobState="WI","https://fema.maps.arcgis.com/apps/mapviewer/index.html?url=https%3A%2F%2Fservices5.arcgis.com%2F0pgGLzT0Nh7FVjon%2Farcgis%2Frest%2Fservices%2FFFCL_gdb%2FFeatureServer%2F3&amp;find="&amp;$F236&amp;"%2C"&amp;$E236&amp;"&amp;marker="&amp;$F236&amp;","&amp;$E236&amp;",4326&amp;level=16","https://fema.maps.arcgis.com/apps/mapviewer/index.html?find="&amp;$F236&amp;"%2C"&amp;$E236&amp;"&amp;marker="&amp;$F236&amp;","&amp;$E236&amp;",4326&amp;level=16"))),"Open"))</f>
        <v/>
      </c>
      <c r="N236" s="6" t="str">
        <f>IF(OR(JobAgolMap="", $E236="", $F236=""),"",HYPERLINK(JobAgolMap&amp;IF(ISNUMBER(FIND("?",JobAgolMap)),"&amp;","?")&amp;"center="&amp;$F236&amp;","&amp;$E236&amp;"&amp;level=16&amp;marker="&amp;$F236&amp;","&amp;$E236,"Open"))</f>
        <v/>
      </c>
      <c r="O236" s="6" t="str">
        <f>IF(OR($E236="",$F236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6" s="4"/>
      <c r="Q236" s="4"/>
      <c r="R236" s="4"/>
      <c r="S236" s="4"/>
      <c r="T236" s="4"/>
      <c r="U236" s="4"/>
      <c r="V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HYPERLINK(IF(OR(JobState="MI",JobState=""),"https://fema.maps.arcgis.com/apps/mapviewer/index.html?webmap=6a1702b9147243d1a5ee62cd614bc681&amp;center="&amp;$F237&amp;","&amp;$E237&amp;"&amp;level=16&amp;marker="&amp;$F237&amp;","&amp;$E237&amp;"",IF(JobState="IN","https://fema.maps.arcgis.com/apps/mapviewer/index.html?url=https%3A%2F%2Fgisdata.in.gov%2Fserver%2Frest%2Fservices%2FHosted%2FLRSE_Functional_Class%2FFeatureServer%2F22&amp;find="&amp;$F237&amp;"%2C"&amp;$E237&amp;"&amp;marker="&amp;$F237&amp;","&amp;$E237&amp;",4326&amp;level=16",IF(JobState="WI","https://fema.maps.arcgis.com/apps/mapviewer/index.html?url=https%3A%2F%2Fservices5.arcgis.com%2F0pgGLzT0Nh7FVjon%2Farcgis%2Frest%2Fservices%2FFFCL_gdb%2FFeatureServer%2F3&amp;find="&amp;$F237&amp;"%2C"&amp;$E237&amp;"&amp;marker="&amp;$F237&amp;","&amp;$E237&amp;",4326&amp;level=16","https://fema.maps.arcgis.com/apps/mapviewer/index.html?find="&amp;$F237&amp;"%2C"&amp;$E237&amp;"&amp;marker="&amp;$F237&amp;","&amp;$E237&amp;",4326&amp;level=16"))),"Open"))</f>
        <v/>
      </c>
      <c r="N237" s="6" t="str">
        <f>IF(OR(JobAgolMap="", $E237="", $F237=""),"",HYPERLINK(JobAgolMap&amp;IF(ISNUMBER(FIND("?",JobAgolMap)),"&amp;","?")&amp;"center="&amp;$F237&amp;","&amp;$E237&amp;"&amp;level=16&amp;marker="&amp;$F237&amp;","&amp;$E237,"Open"))</f>
        <v/>
      </c>
      <c r="O237" s="6" t="str">
        <f>IF(OR($E237="",$F237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7" s="4"/>
      <c r="Q237" s="4"/>
      <c r="R237" s="4"/>
      <c r="S237" s="4"/>
      <c r="T237" s="4"/>
      <c r="U237" s="4"/>
      <c r="V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HYPERLINK(IF(OR(JobState="MI",JobState=""),"https://fema.maps.arcgis.com/apps/mapviewer/index.html?webmap=6a1702b9147243d1a5ee62cd614bc681&amp;center="&amp;$F238&amp;","&amp;$E238&amp;"&amp;level=16&amp;marker="&amp;$F238&amp;","&amp;$E238&amp;"",IF(JobState="IN","https://fema.maps.arcgis.com/apps/mapviewer/index.html?url=https%3A%2F%2Fgisdata.in.gov%2Fserver%2Frest%2Fservices%2FHosted%2FLRSE_Functional_Class%2FFeatureServer%2F22&amp;find="&amp;$F238&amp;"%2C"&amp;$E238&amp;"&amp;marker="&amp;$F238&amp;","&amp;$E238&amp;",4326&amp;level=16",IF(JobState="WI","https://fema.maps.arcgis.com/apps/mapviewer/index.html?url=https%3A%2F%2Fservices5.arcgis.com%2F0pgGLzT0Nh7FVjon%2Farcgis%2Frest%2Fservices%2FFFCL_gdb%2FFeatureServer%2F3&amp;find="&amp;$F238&amp;"%2C"&amp;$E238&amp;"&amp;marker="&amp;$F238&amp;","&amp;$E238&amp;",4326&amp;level=16","https://fema.maps.arcgis.com/apps/mapviewer/index.html?find="&amp;$F238&amp;"%2C"&amp;$E238&amp;"&amp;marker="&amp;$F238&amp;","&amp;$E238&amp;",4326&amp;level=16"))),"Open"))</f>
        <v/>
      </c>
      <c r="N238" s="6" t="str">
        <f>IF(OR(JobAgolMap="", $E238="", $F238=""),"",HYPERLINK(JobAgolMap&amp;IF(ISNUMBER(FIND("?",JobAgolMap)),"&amp;","?")&amp;"center="&amp;$F238&amp;","&amp;$E238&amp;"&amp;level=16&amp;marker="&amp;$F238&amp;","&amp;$E238,"Open"))</f>
        <v/>
      </c>
      <c r="O238" s="6" t="str">
        <f>IF(OR($E238="",$F238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8" s="4"/>
      <c r="Q238" s="4"/>
      <c r="R238" s="4"/>
      <c r="S238" s="4"/>
      <c r="T238" s="4"/>
      <c r="U238" s="4"/>
      <c r="V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HYPERLINK(IF(OR(JobState="MI",JobState=""),"https://fema.maps.arcgis.com/apps/mapviewer/index.html?webmap=6a1702b9147243d1a5ee62cd614bc681&amp;center="&amp;$F239&amp;","&amp;$E239&amp;"&amp;level=16&amp;marker="&amp;$F239&amp;","&amp;$E239&amp;"",IF(JobState="IN","https://fema.maps.arcgis.com/apps/mapviewer/index.html?url=https%3A%2F%2Fgisdata.in.gov%2Fserver%2Frest%2Fservices%2FHosted%2FLRSE_Functional_Class%2FFeatureServer%2F22&amp;find="&amp;$F239&amp;"%2C"&amp;$E239&amp;"&amp;marker="&amp;$F239&amp;","&amp;$E239&amp;",4326&amp;level=16",IF(JobState="WI","https://fema.maps.arcgis.com/apps/mapviewer/index.html?url=https%3A%2F%2Fservices5.arcgis.com%2F0pgGLzT0Nh7FVjon%2Farcgis%2Frest%2Fservices%2FFFCL_gdb%2FFeatureServer%2F3&amp;find="&amp;$F239&amp;"%2C"&amp;$E239&amp;"&amp;marker="&amp;$F239&amp;","&amp;$E239&amp;",4326&amp;level=16","https://fema.maps.arcgis.com/apps/mapviewer/index.html?find="&amp;$F239&amp;"%2C"&amp;$E239&amp;"&amp;marker="&amp;$F239&amp;","&amp;$E239&amp;",4326&amp;level=16"))),"Open"))</f>
        <v/>
      </c>
      <c r="N239" s="6" t="str">
        <f>IF(OR(JobAgolMap="", $E239="", $F239=""),"",HYPERLINK(JobAgolMap&amp;IF(ISNUMBER(FIND("?",JobAgolMap)),"&amp;","?")&amp;"center="&amp;$F239&amp;","&amp;$E239&amp;"&amp;level=16&amp;marker="&amp;$F239&amp;","&amp;$E239,"Open"))</f>
        <v/>
      </c>
      <c r="O239" s="6" t="str">
        <f>IF(OR($E239="",$F239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9" s="4"/>
      <c r="Q239" s="4"/>
      <c r="R239" s="4"/>
      <c r="S239" s="4"/>
      <c r="T239" s="4"/>
      <c r="U239" s="4"/>
      <c r="V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HYPERLINK(IF(OR(JobState="MI",JobState=""),"https://fema.maps.arcgis.com/apps/mapviewer/index.html?webmap=6a1702b9147243d1a5ee62cd614bc681&amp;center="&amp;$F240&amp;","&amp;$E240&amp;"&amp;level=16&amp;marker="&amp;$F240&amp;","&amp;$E240&amp;"",IF(JobState="IN","https://fema.maps.arcgis.com/apps/mapviewer/index.html?url=https%3A%2F%2Fgisdata.in.gov%2Fserver%2Frest%2Fservices%2FHosted%2FLRSE_Functional_Class%2FFeatureServer%2F22&amp;find="&amp;$F240&amp;"%2C"&amp;$E240&amp;"&amp;marker="&amp;$F240&amp;","&amp;$E240&amp;",4326&amp;level=16",IF(JobState="WI","https://fema.maps.arcgis.com/apps/mapviewer/index.html?url=https%3A%2F%2Fservices5.arcgis.com%2F0pgGLzT0Nh7FVjon%2Farcgis%2Frest%2Fservices%2FFFCL_gdb%2FFeatureServer%2F3&amp;find="&amp;$F240&amp;"%2C"&amp;$E240&amp;"&amp;marker="&amp;$F240&amp;","&amp;$E240&amp;",4326&amp;level=16","https://fema.maps.arcgis.com/apps/mapviewer/index.html?find="&amp;$F240&amp;"%2C"&amp;$E240&amp;"&amp;marker="&amp;$F240&amp;","&amp;$E240&amp;",4326&amp;level=16"))),"Open"))</f>
        <v/>
      </c>
      <c r="N240" s="6" t="str">
        <f>IF(OR(JobAgolMap="", $E240="", $F240=""),"",HYPERLINK(JobAgolMap&amp;IF(ISNUMBER(FIND("?",JobAgolMap)),"&amp;","?")&amp;"center="&amp;$F240&amp;","&amp;$E240&amp;"&amp;level=16&amp;marker="&amp;$F240&amp;","&amp;$E240,"Open"))</f>
        <v/>
      </c>
      <c r="O240" s="6" t="str">
        <f>IF(OR($E240="",$F240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0" s="4"/>
      <c r="Q240" s="4"/>
      <c r="R240" s="4"/>
      <c r="S240" s="4"/>
      <c r="T240" s="4"/>
      <c r="U240" s="4"/>
      <c r="V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HYPERLINK(IF(OR(JobState="MI",JobState=""),"https://fema.maps.arcgis.com/apps/mapviewer/index.html?webmap=6a1702b9147243d1a5ee62cd614bc681&amp;center="&amp;$F241&amp;","&amp;$E241&amp;"&amp;level=16&amp;marker="&amp;$F241&amp;","&amp;$E241&amp;"",IF(JobState="IN","https://fema.maps.arcgis.com/apps/mapviewer/index.html?url=https%3A%2F%2Fgisdata.in.gov%2Fserver%2Frest%2Fservices%2FHosted%2FLRSE_Functional_Class%2FFeatureServer%2F22&amp;find="&amp;$F241&amp;"%2C"&amp;$E241&amp;"&amp;marker="&amp;$F241&amp;","&amp;$E241&amp;",4326&amp;level=16",IF(JobState="WI","https://fema.maps.arcgis.com/apps/mapviewer/index.html?url=https%3A%2F%2Fservices5.arcgis.com%2F0pgGLzT0Nh7FVjon%2Farcgis%2Frest%2Fservices%2FFFCL_gdb%2FFeatureServer%2F3&amp;find="&amp;$F241&amp;"%2C"&amp;$E241&amp;"&amp;marker="&amp;$F241&amp;","&amp;$E241&amp;",4326&amp;level=16","https://fema.maps.arcgis.com/apps/mapviewer/index.html?find="&amp;$F241&amp;"%2C"&amp;$E241&amp;"&amp;marker="&amp;$F241&amp;","&amp;$E241&amp;",4326&amp;level=16"))),"Open"))</f>
        <v/>
      </c>
      <c r="N241" s="6" t="str">
        <f>IF(OR(JobAgolMap="", $E241="", $F241=""),"",HYPERLINK(JobAgolMap&amp;IF(ISNUMBER(FIND("?",JobAgolMap)),"&amp;","?")&amp;"center="&amp;$F241&amp;","&amp;$E241&amp;"&amp;level=16&amp;marker="&amp;$F241&amp;","&amp;$E241,"Open"))</f>
        <v/>
      </c>
      <c r="O241" s="6" t="str">
        <f>IF(OR($E241="",$F241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1" s="4"/>
      <c r="Q241" s="4"/>
      <c r="R241" s="4"/>
      <c r="S241" s="4"/>
      <c r="T241" s="4"/>
      <c r="U241" s="4"/>
      <c r="V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HYPERLINK(IF(OR(JobState="MI",JobState=""),"https://fema.maps.arcgis.com/apps/mapviewer/index.html?webmap=6a1702b9147243d1a5ee62cd614bc681&amp;center="&amp;$F242&amp;","&amp;$E242&amp;"&amp;level=16&amp;marker="&amp;$F242&amp;","&amp;$E242&amp;"",IF(JobState="IN","https://fema.maps.arcgis.com/apps/mapviewer/index.html?url=https%3A%2F%2Fgisdata.in.gov%2Fserver%2Frest%2Fservices%2FHosted%2FLRSE_Functional_Class%2FFeatureServer%2F22&amp;find="&amp;$F242&amp;"%2C"&amp;$E242&amp;"&amp;marker="&amp;$F242&amp;","&amp;$E242&amp;",4326&amp;level=16",IF(JobState="WI","https://fema.maps.arcgis.com/apps/mapviewer/index.html?url=https%3A%2F%2Fservices5.arcgis.com%2F0pgGLzT0Nh7FVjon%2Farcgis%2Frest%2Fservices%2FFFCL_gdb%2FFeatureServer%2F3&amp;find="&amp;$F242&amp;"%2C"&amp;$E242&amp;"&amp;marker="&amp;$F242&amp;","&amp;$E242&amp;",4326&amp;level=16","https://fema.maps.arcgis.com/apps/mapviewer/index.html?find="&amp;$F242&amp;"%2C"&amp;$E242&amp;"&amp;marker="&amp;$F242&amp;","&amp;$E242&amp;",4326&amp;level=16"))),"Open"))</f>
        <v/>
      </c>
      <c r="N242" s="6" t="str">
        <f>IF(OR(JobAgolMap="", $E242="", $F242=""),"",HYPERLINK(JobAgolMap&amp;IF(ISNUMBER(FIND("?",JobAgolMap)),"&amp;","?")&amp;"center="&amp;$F242&amp;","&amp;$E242&amp;"&amp;level=16&amp;marker="&amp;$F242&amp;","&amp;$E242,"Open"))</f>
        <v/>
      </c>
      <c r="O242" s="6" t="str">
        <f>IF(OR($E242="",$F242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2" s="4"/>
      <c r="Q242" s="4"/>
      <c r="R242" s="4"/>
      <c r="S242" s="4"/>
      <c r="T242" s="4"/>
      <c r="U242" s="4"/>
      <c r="V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HYPERLINK(IF(OR(JobState="MI",JobState=""),"https://fema.maps.arcgis.com/apps/mapviewer/index.html?webmap=6a1702b9147243d1a5ee62cd614bc681&amp;center="&amp;$F243&amp;","&amp;$E243&amp;"&amp;level=16&amp;marker="&amp;$F243&amp;","&amp;$E243&amp;"",IF(JobState="IN","https://fema.maps.arcgis.com/apps/mapviewer/index.html?url=https%3A%2F%2Fgisdata.in.gov%2Fserver%2Frest%2Fservices%2FHosted%2FLRSE_Functional_Class%2FFeatureServer%2F22&amp;find="&amp;$F243&amp;"%2C"&amp;$E243&amp;"&amp;marker="&amp;$F243&amp;","&amp;$E243&amp;",4326&amp;level=16",IF(JobState="WI","https://fema.maps.arcgis.com/apps/mapviewer/index.html?url=https%3A%2F%2Fservices5.arcgis.com%2F0pgGLzT0Nh7FVjon%2Farcgis%2Frest%2Fservices%2FFFCL_gdb%2FFeatureServer%2F3&amp;find="&amp;$F243&amp;"%2C"&amp;$E243&amp;"&amp;marker="&amp;$F243&amp;","&amp;$E243&amp;",4326&amp;level=16","https://fema.maps.arcgis.com/apps/mapviewer/index.html?find="&amp;$F243&amp;"%2C"&amp;$E243&amp;"&amp;marker="&amp;$F243&amp;","&amp;$E243&amp;",4326&amp;level=16"))),"Open"))</f>
        <v/>
      </c>
      <c r="N243" s="6" t="str">
        <f>IF(OR(JobAgolMap="", $E243="", $F243=""),"",HYPERLINK(JobAgolMap&amp;IF(ISNUMBER(FIND("?",JobAgolMap)),"&amp;","?")&amp;"center="&amp;$F243&amp;","&amp;$E243&amp;"&amp;level=16&amp;marker="&amp;$F243&amp;","&amp;$E243,"Open"))</f>
        <v/>
      </c>
      <c r="O243" s="6" t="str">
        <f>IF(OR($E243="",$F243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3" s="4"/>
      <c r="Q243" s="4"/>
      <c r="R243" s="4"/>
      <c r="S243" s="4"/>
      <c r="T243" s="4"/>
      <c r="U243" s="4"/>
      <c r="V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HYPERLINK(IF(OR(JobState="MI",JobState=""),"https://fema.maps.arcgis.com/apps/mapviewer/index.html?webmap=6a1702b9147243d1a5ee62cd614bc681&amp;center="&amp;$F244&amp;","&amp;$E244&amp;"&amp;level=16&amp;marker="&amp;$F244&amp;","&amp;$E244&amp;"",IF(JobState="IN","https://fema.maps.arcgis.com/apps/mapviewer/index.html?url=https%3A%2F%2Fgisdata.in.gov%2Fserver%2Frest%2Fservices%2FHosted%2FLRSE_Functional_Class%2FFeatureServer%2F22&amp;find="&amp;$F244&amp;"%2C"&amp;$E244&amp;"&amp;marker="&amp;$F244&amp;","&amp;$E244&amp;",4326&amp;level=16",IF(JobState="WI","https://fema.maps.arcgis.com/apps/mapviewer/index.html?url=https%3A%2F%2Fservices5.arcgis.com%2F0pgGLzT0Nh7FVjon%2Farcgis%2Frest%2Fservices%2FFFCL_gdb%2FFeatureServer%2F3&amp;find="&amp;$F244&amp;"%2C"&amp;$E244&amp;"&amp;marker="&amp;$F244&amp;","&amp;$E244&amp;",4326&amp;level=16","https://fema.maps.arcgis.com/apps/mapviewer/index.html?find="&amp;$F244&amp;"%2C"&amp;$E244&amp;"&amp;marker="&amp;$F244&amp;","&amp;$E244&amp;",4326&amp;level=16"))),"Open"))</f>
        <v/>
      </c>
      <c r="N244" s="6" t="str">
        <f>IF(OR(JobAgolMap="", $E244="", $F244=""),"",HYPERLINK(JobAgolMap&amp;IF(ISNUMBER(FIND("?",JobAgolMap)),"&amp;","?")&amp;"center="&amp;$F244&amp;","&amp;$E244&amp;"&amp;level=16&amp;marker="&amp;$F244&amp;","&amp;$E244,"Open"))</f>
        <v/>
      </c>
      <c r="O244" s="6" t="str">
        <f>IF(OR($E244="",$F244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4" s="4"/>
      <c r="Q244" s="4"/>
      <c r="R244" s="4"/>
      <c r="S244" s="4"/>
      <c r="T244" s="4"/>
      <c r="U244" s="4"/>
      <c r="V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HYPERLINK(IF(OR(JobState="MI",JobState=""),"https://fema.maps.arcgis.com/apps/mapviewer/index.html?webmap=6a1702b9147243d1a5ee62cd614bc681&amp;center="&amp;$F245&amp;","&amp;$E245&amp;"&amp;level=16&amp;marker="&amp;$F245&amp;","&amp;$E245&amp;"",IF(JobState="IN","https://fema.maps.arcgis.com/apps/mapviewer/index.html?url=https%3A%2F%2Fgisdata.in.gov%2Fserver%2Frest%2Fservices%2FHosted%2FLRSE_Functional_Class%2FFeatureServer%2F22&amp;find="&amp;$F245&amp;"%2C"&amp;$E245&amp;"&amp;marker="&amp;$F245&amp;","&amp;$E245&amp;",4326&amp;level=16",IF(JobState="WI","https://fema.maps.arcgis.com/apps/mapviewer/index.html?url=https%3A%2F%2Fservices5.arcgis.com%2F0pgGLzT0Nh7FVjon%2Farcgis%2Frest%2Fservices%2FFFCL_gdb%2FFeatureServer%2F3&amp;find="&amp;$F245&amp;"%2C"&amp;$E245&amp;"&amp;marker="&amp;$F245&amp;","&amp;$E245&amp;",4326&amp;level=16","https://fema.maps.arcgis.com/apps/mapviewer/index.html?find="&amp;$F245&amp;"%2C"&amp;$E245&amp;"&amp;marker="&amp;$F245&amp;","&amp;$E245&amp;",4326&amp;level=16"))),"Open"))</f>
        <v/>
      </c>
      <c r="N245" s="6" t="str">
        <f>IF(OR(JobAgolMap="", $E245="", $F245=""),"",HYPERLINK(JobAgolMap&amp;IF(ISNUMBER(FIND("?",JobAgolMap)),"&amp;","?")&amp;"center="&amp;$F245&amp;","&amp;$E245&amp;"&amp;level=16&amp;marker="&amp;$F245&amp;","&amp;$E245,"Open"))</f>
        <v/>
      </c>
      <c r="O245" s="6" t="str">
        <f>IF(OR($E245="",$F245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5" s="4"/>
      <c r="Q245" s="4"/>
      <c r="R245" s="4"/>
      <c r="S245" s="4"/>
      <c r="T245" s="4"/>
      <c r="U245" s="4"/>
      <c r="V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HYPERLINK(IF(OR(JobState="MI",JobState=""),"https://fema.maps.arcgis.com/apps/mapviewer/index.html?webmap=6a1702b9147243d1a5ee62cd614bc681&amp;center="&amp;$F246&amp;","&amp;$E246&amp;"&amp;level=16&amp;marker="&amp;$F246&amp;","&amp;$E246&amp;"",IF(JobState="IN","https://fema.maps.arcgis.com/apps/mapviewer/index.html?url=https%3A%2F%2Fgisdata.in.gov%2Fserver%2Frest%2Fservices%2FHosted%2FLRSE_Functional_Class%2FFeatureServer%2F22&amp;find="&amp;$F246&amp;"%2C"&amp;$E246&amp;"&amp;marker="&amp;$F246&amp;","&amp;$E246&amp;",4326&amp;level=16",IF(JobState="WI","https://fema.maps.arcgis.com/apps/mapviewer/index.html?url=https%3A%2F%2Fservices5.arcgis.com%2F0pgGLzT0Nh7FVjon%2Farcgis%2Frest%2Fservices%2FFFCL_gdb%2FFeatureServer%2F3&amp;find="&amp;$F246&amp;"%2C"&amp;$E246&amp;"&amp;marker="&amp;$F246&amp;","&amp;$E246&amp;",4326&amp;level=16","https://fema.maps.arcgis.com/apps/mapviewer/index.html?find="&amp;$F246&amp;"%2C"&amp;$E246&amp;"&amp;marker="&amp;$F246&amp;","&amp;$E246&amp;",4326&amp;level=16"))),"Open"))</f>
        <v/>
      </c>
      <c r="N246" s="6" t="str">
        <f>IF(OR(JobAgolMap="", $E246="", $F246=""),"",HYPERLINK(JobAgolMap&amp;IF(ISNUMBER(FIND("?",JobAgolMap)),"&amp;","?")&amp;"center="&amp;$F246&amp;","&amp;$E246&amp;"&amp;level=16&amp;marker="&amp;$F246&amp;","&amp;$E246,"Open"))</f>
        <v/>
      </c>
      <c r="O246" s="6" t="str">
        <f>IF(OR($E246="",$F246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6" s="4"/>
      <c r="Q246" s="4"/>
      <c r="R246" s="4"/>
      <c r="S246" s="4"/>
      <c r="T246" s="4"/>
      <c r="U246" s="4"/>
      <c r="V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HYPERLINK(IF(OR(JobState="MI",JobState=""),"https://fema.maps.arcgis.com/apps/mapviewer/index.html?webmap=6a1702b9147243d1a5ee62cd614bc681&amp;center="&amp;$F247&amp;","&amp;$E247&amp;"&amp;level=16&amp;marker="&amp;$F247&amp;","&amp;$E247&amp;"",IF(JobState="IN","https://fema.maps.arcgis.com/apps/mapviewer/index.html?url=https%3A%2F%2Fgisdata.in.gov%2Fserver%2Frest%2Fservices%2FHosted%2FLRSE_Functional_Class%2FFeatureServer%2F22&amp;find="&amp;$F247&amp;"%2C"&amp;$E247&amp;"&amp;marker="&amp;$F247&amp;","&amp;$E247&amp;",4326&amp;level=16",IF(JobState="WI","https://fema.maps.arcgis.com/apps/mapviewer/index.html?url=https%3A%2F%2Fservices5.arcgis.com%2F0pgGLzT0Nh7FVjon%2Farcgis%2Frest%2Fservices%2FFFCL_gdb%2FFeatureServer%2F3&amp;find="&amp;$F247&amp;"%2C"&amp;$E247&amp;"&amp;marker="&amp;$F247&amp;","&amp;$E247&amp;",4326&amp;level=16","https://fema.maps.arcgis.com/apps/mapviewer/index.html?find="&amp;$F247&amp;"%2C"&amp;$E247&amp;"&amp;marker="&amp;$F247&amp;","&amp;$E247&amp;",4326&amp;level=16"))),"Open"))</f>
        <v/>
      </c>
      <c r="N247" s="6" t="str">
        <f>IF(OR(JobAgolMap="", $E247="", $F247=""),"",HYPERLINK(JobAgolMap&amp;IF(ISNUMBER(FIND("?",JobAgolMap)),"&amp;","?")&amp;"center="&amp;$F247&amp;","&amp;$E247&amp;"&amp;level=16&amp;marker="&amp;$F247&amp;","&amp;$E247,"Open"))</f>
        <v/>
      </c>
      <c r="O247" s="6" t="str">
        <f>IF(OR($E247="",$F247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7" s="4"/>
      <c r="Q247" s="4"/>
      <c r="R247" s="4"/>
      <c r="S247" s="4"/>
      <c r="T247" s="4"/>
      <c r="U247" s="4"/>
      <c r="V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HYPERLINK(IF(OR(JobState="MI",JobState=""),"https://fema.maps.arcgis.com/apps/mapviewer/index.html?webmap=6a1702b9147243d1a5ee62cd614bc681&amp;center="&amp;$F248&amp;","&amp;$E248&amp;"&amp;level=16&amp;marker="&amp;$F248&amp;","&amp;$E248&amp;"",IF(JobState="IN","https://fema.maps.arcgis.com/apps/mapviewer/index.html?url=https%3A%2F%2Fgisdata.in.gov%2Fserver%2Frest%2Fservices%2FHosted%2FLRSE_Functional_Class%2FFeatureServer%2F22&amp;find="&amp;$F248&amp;"%2C"&amp;$E248&amp;"&amp;marker="&amp;$F248&amp;","&amp;$E248&amp;",4326&amp;level=16",IF(JobState="WI","https://fema.maps.arcgis.com/apps/mapviewer/index.html?url=https%3A%2F%2Fservices5.arcgis.com%2F0pgGLzT0Nh7FVjon%2Farcgis%2Frest%2Fservices%2FFFCL_gdb%2FFeatureServer%2F3&amp;find="&amp;$F248&amp;"%2C"&amp;$E248&amp;"&amp;marker="&amp;$F248&amp;","&amp;$E248&amp;",4326&amp;level=16","https://fema.maps.arcgis.com/apps/mapviewer/index.html?find="&amp;$F248&amp;"%2C"&amp;$E248&amp;"&amp;marker="&amp;$F248&amp;","&amp;$E248&amp;",4326&amp;level=16"))),"Open"))</f>
        <v/>
      </c>
      <c r="N248" s="6" t="str">
        <f>IF(OR(JobAgolMap="", $E248="", $F248=""),"",HYPERLINK(JobAgolMap&amp;IF(ISNUMBER(FIND("?",JobAgolMap)),"&amp;","?")&amp;"center="&amp;$F248&amp;","&amp;$E248&amp;"&amp;level=16&amp;marker="&amp;$F248&amp;","&amp;$E248,"Open"))</f>
        <v/>
      </c>
      <c r="O248" s="6" t="str">
        <f>IF(OR($E248="",$F248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8" s="4"/>
      <c r="Q248" s="4"/>
      <c r="R248" s="4"/>
      <c r="S248" s="4"/>
      <c r="T248" s="4"/>
      <c r="U248" s="4"/>
      <c r="V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HYPERLINK(IF(OR(JobState="MI",JobState=""),"https://fema.maps.arcgis.com/apps/mapviewer/index.html?webmap=6a1702b9147243d1a5ee62cd614bc681&amp;center="&amp;$F249&amp;","&amp;$E249&amp;"&amp;level=16&amp;marker="&amp;$F249&amp;","&amp;$E249&amp;"",IF(JobState="IN","https://fema.maps.arcgis.com/apps/mapviewer/index.html?url=https%3A%2F%2Fgisdata.in.gov%2Fserver%2Frest%2Fservices%2FHosted%2FLRSE_Functional_Class%2FFeatureServer%2F22&amp;find="&amp;$F249&amp;"%2C"&amp;$E249&amp;"&amp;marker="&amp;$F249&amp;","&amp;$E249&amp;",4326&amp;level=16",IF(JobState="WI","https://fema.maps.arcgis.com/apps/mapviewer/index.html?url=https%3A%2F%2Fservices5.arcgis.com%2F0pgGLzT0Nh7FVjon%2Farcgis%2Frest%2Fservices%2FFFCL_gdb%2FFeatureServer%2F3&amp;find="&amp;$F249&amp;"%2C"&amp;$E249&amp;"&amp;marker="&amp;$F249&amp;","&amp;$E249&amp;",4326&amp;level=16","https://fema.maps.arcgis.com/apps/mapviewer/index.html?find="&amp;$F249&amp;"%2C"&amp;$E249&amp;"&amp;marker="&amp;$F249&amp;","&amp;$E249&amp;",4326&amp;level=16"))),"Open"))</f>
        <v/>
      </c>
      <c r="N249" s="6" t="str">
        <f>IF(OR(JobAgolMap="", $E249="", $F249=""),"",HYPERLINK(JobAgolMap&amp;IF(ISNUMBER(FIND("?",JobAgolMap)),"&amp;","?")&amp;"center="&amp;$F249&amp;","&amp;$E249&amp;"&amp;level=16&amp;marker="&amp;$F249&amp;","&amp;$E249,"Open"))</f>
        <v/>
      </c>
      <c r="O249" s="6" t="str">
        <f>IF(OR($E249="",$F249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9" s="4"/>
      <c r="Q249" s="4"/>
      <c r="R249" s="4"/>
      <c r="S249" s="4"/>
      <c r="T249" s="4"/>
      <c r="U249" s="4"/>
      <c r="V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HYPERLINK(IF(OR(JobState="MI",JobState=""),"https://fema.maps.arcgis.com/apps/mapviewer/index.html?webmap=6a1702b9147243d1a5ee62cd614bc681&amp;center="&amp;$F250&amp;","&amp;$E250&amp;"&amp;level=16&amp;marker="&amp;$F250&amp;","&amp;$E250&amp;"",IF(JobState="IN","https://fema.maps.arcgis.com/apps/mapviewer/index.html?url=https%3A%2F%2Fgisdata.in.gov%2Fserver%2Frest%2Fservices%2FHosted%2FLRSE_Functional_Class%2FFeatureServer%2F22&amp;find="&amp;$F250&amp;"%2C"&amp;$E250&amp;"&amp;marker="&amp;$F250&amp;","&amp;$E250&amp;",4326&amp;level=16",IF(JobState="WI","https://fema.maps.arcgis.com/apps/mapviewer/index.html?url=https%3A%2F%2Fservices5.arcgis.com%2F0pgGLzT0Nh7FVjon%2Farcgis%2Frest%2Fservices%2FFFCL_gdb%2FFeatureServer%2F3&amp;find="&amp;$F250&amp;"%2C"&amp;$E250&amp;"&amp;marker="&amp;$F250&amp;","&amp;$E250&amp;",4326&amp;level=16","https://fema.maps.arcgis.com/apps/mapviewer/index.html?find="&amp;$F250&amp;"%2C"&amp;$E250&amp;"&amp;marker="&amp;$F250&amp;","&amp;$E250&amp;",4326&amp;level=16"))),"Open"))</f>
        <v/>
      </c>
      <c r="N250" s="6" t="str">
        <f>IF(OR(JobAgolMap="", $E250="", $F250=""),"",HYPERLINK(JobAgolMap&amp;IF(ISNUMBER(FIND("?",JobAgolMap)),"&amp;","?")&amp;"center="&amp;$F250&amp;","&amp;$E250&amp;"&amp;level=16&amp;marker="&amp;$F250&amp;","&amp;$E250,"Open"))</f>
        <v/>
      </c>
      <c r="O250" s="6" t="str">
        <f>IF(OR($E250="",$F250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0" s="4"/>
      <c r="Q250" s="4"/>
      <c r="R250" s="4"/>
      <c r="S250" s="4"/>
      <c r="T250" s="4"/>
      <c r="U250" s="4"/>
      <c r="V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HYPERLINK(IF(OR(JobState="MI",JobState=""),"https://fema.maps.arcgis.com/apps/mapviewer/index.html?webmap=6a1702b9147243d1a5ee62cd614bc681&amp;center="&amp;$F251&amp;","&amp;$E251&amp;"&amp;level=16&amp;marker="&amp;$F251&amp;","&amp;$E251&amp;"",IF(JobState="IN","https://fema.maps.arcgis.com/apps/mapviewer/index.html?url=https%3A%2F%2Fgisdata.in.gov%2Fserver%2Frest%2Fservices%2FHosted%2FLRSE_Functional_Class%2FFeatureServer%2F22&amp;find="&amp;$F251&amp;"%2C"&amp;$E251&amp;"&amp;marker="&amp;$F251&amp;","&amp;$E251&amp;",4326&amp;level=16",IF(JobState="WI","https://fema.maps.arcgis.com/apps/mapviewer/index.html?url=https%3A%2F%2Fservices5.arcgis.com%2F0pgGLzT0Nh7FVjon%2Farcgis%2Frest%2Fservices%2FFFCL_gdb%2FFeatureServer%2F3&amp;find="&amp;$F251&amp;"%2C"&amp;$E251&amp;"&amp;marker="&amp;$F251&amp;","&amp;$E251&amp;",4326&amp;level=16","https://fema.maps.arcgis.com/apps/mapviewer/index.html?find="&amp;$F251&amp;"%2C"&amp;$E251&amp;"&amp;marker="&amp;$F251&amp;","&amp;$E251&amp;",4326&amp;level=16"))),"Open"))</f>
        <v/>
      </c>
      <c r="N251" s="6" t="str">
        <f>IF(OR(JobAgolMap="", $E251="", $F251=""),"",HYPERLINK(JobAgolMap&amp;IF(ISNUMBER(FIND("?",JobAgolMap)),"&amp;","?")&amp;"center="&amp;$F251&amp;","&amp;$E251&amp;"&amp;level=16&amp;marker="&amp;$F251&amp;","&amp;$E251,"Open"))</f>
        <v/>
      </c>
      <c r="O251" s="6" t="str">
        <f>IF(OR($E251="",$F251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1" s="4"/>
      <c r="Q251" s="4"/>
      <c r="R251" s="4"/>
      <c r="S251" s="4"/>
      <c r="T251" s="4"/>
      <c r="U251" s="4"/>
      <c r="V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HYPERLINK(IF(OR(JobState="MI",JobState=""),"https://fema.maps.arcgis.com/apps/mapviewer/index.html?webmap=6a1702b9147243d1a5ee62cd614bc681&amp;center="&amp;$F252&amp;","&amp;$E252&amp;"&amp;level=16&amp;marker="&amp;$F252&amp;","&amp;$E252&amp;"",IF(JobState="IN","https://fema.maps.arcgis.com/apps/mapviewer/index.html?url=https%3A%2F%2Fgisdata.in.gov%2Fserver%2Frest%2Fservices%2FHosted%2FLRSE_Functional_Class%2FFeatureServer%2F22&amp;find="&amp;$F252&amp;"%2C"&amp;$E252&amp;"&amp;marker="&amp;$F252&amp;","&amp;$E252&amp;",4326&amp;level=16",IF(JobState="WI","https://fema.maps.arcgis.com/apps/mapviewer/index.html?url=https%3A%2F%2Fservices5.arcgis.com%2F0pgGLzT0Nh7FVjon%2Farcgis%2Frest%2Fservices%2FFFCL_gdb%2FFeatureServer%2F3&amp;find="&amp;$F252&amp;"%2C"&amp;$E252&amp;"&amp;marker="&amp;$F252&amp;","&amp;$E252&amp;",4326&amp;level=16","https://fema.maps.arcgis.com/apps/mapviewer/index.html?find="&amp;$F252&amp;"%2C"&amp;$E252&amp;"&amp;marker="&amp;$F252&amp;","&amp;$E252&amp;",4326&amp;level=16"))),"Open"))</f>
        <v/>
      </c>
      <c r="N252" s="6" t="str">
        <f>IF(OR(JobAgolMap="", $E252="", $F252=""),"",HYPERLINK(JobAgolMap&amp;IF(ISNUMBER(FIND("?",JobAgolMap)),"&amp;","?")&amp;"center="&amp;$F252&amp;","&amp;$E252&amp;"&amp;level=16&amp;marker="&amp;$F252&amp;","&amp;$E252,"Open"))</f>
        <v/>
      </c>
      <c r="O252" s="6" t="str">
        <f>IF(OR($E252="",$F252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2" s="4"/>
      <c r="Q252" s="4"/>
      <c r="R252" s="4"/>
      <c r="S252" s="4"/>
      <c r="T252" s="4"/>
      <c r="U252" s="4"/>
      <c r="V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HYPERLINK(IF(OR(JobState="MI",JobState=""),"https://fema.maps.arcgis.com/apps/mapviewer/index.html?webmap=6a1702b9147243d1a5ee62cd614bc681&amp;center="&amp;$F253&amp;","&amp;$E253&amp;"&amp;level=16&amp;marker="&amp;$F253&amp;","&amp;$E253&amp;"",IF(JobState="IN","https://fema.maps.arcgis.com/apps/mapviewer/index.html?url=https%3A%2F%2Fgisdata.in.gov%2Fserver%2Frest%2Fservices%2FHosted%2FLRSE_Functional_Class%2FFeatureServer%2F22&amp;find="&amp;$F253&amp;"%2C"&amp;$E253&amp;"&amp;marker="&amp;$F253&amp;","&amp;$E253&amp;",4326&amp;level=16",IF(JobState="WI","https://fema.maps.arcgis.com/apps/mapviewer/index.html?url=https%3A%2F%2Fservices5.arcgis.com%2F0pgGLzT0Nh7FVjon%2Farcgis%2Frest%2Fservices%2FFFCL_gdb%2FFeatureServer%2F3&amp;find="&amp;$F253&amp;"%2C"&amp;$E253&amp;"&amp;marker="&amp;$F253&amp;","&amp;$E253&amp;",4326&amp;level=16","https://fema.maps.arcgis.com/apps/mapviewer/index.html?find="&amp;$F253&amp;"%2C"&amp;$E253&amp;"&amp;marker="&amp;$F253&amp;","&amp;$E253&amp;",4326&amp;level=16"))),"Open"))</f>
        <v/>
      </c>
      <c r="N253" s="6" t="str">
        <f>IF(OR(JobAgolMap="", $E253="", $F253=""),"",HYPERLINK(JobAgolMap&amp;IF(ISNUMBER(FIND("?",JobAgolMap)),"&amp;","?")&amp;"center="&amp;$F253&amp;","&amp;$E253&amp;"&amp;level=16&amp;marker="&amp;$F253&amp;","&amp;$E253,"Open"))</f>
        <v/>
      </c>
      <c r="O253" s="6" t="str">
        <f>IF(OR($E253="",$F253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3" s="4"/>
      <c r="Q253" s="4"/>
      <c r="R253" s="4"/>
      <c r="S253" s="4"/>
      <c r="T253" s="4"/>
      <c r="U253" s="4"/>
      <c r="V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HYPERLINK(IF(OR(JobState="MI",JobState=""),"https://fema.maps.arcgis.com/apps/mapviewer/index.html?webmap=6a1702b9147243d1a5ee62cd614bc681&amp;center="&amp;$F254&amp;","&amp;$E254&amp;"&amp;level=16&amp;marker="&amp;$F254&amp;","&amp;$E254&amp;"",IF(JobState="IN","https://fema.maps.arcgis.com/apps/mapviewer/index.html?url=https%3A%2F%2Fgisdata.in.gov%2Fserver%2Frest%2Fservices%2FHosted%2FLRSE_Functional_Class%2FFeatureServer%2F22&amp;find="&amp;$F254&amp;"%2C"&amp;$E254&amp;"&amp;marker="&amp;$F254&amp;","&amp;$E254&amp;",4326&amp;level=16",IF(JobState="WI","https://fema.maps.arcgis.com/apps/mapviewer/index.html?url=https%3A%2F%2Fservices5.arcgis.com%2F0pgGLzT0Nh7FVjon%2Farcgis%2Frest%2Fservices%2FFFCL_gdb%2FFeatureServer%2F3&amp;find="&amp;$F254&amp;"%2C"&amp;$E254&amp;"&amp;marker="&amp;$F254&amp;","&amp;$E254&amp;",4326&amp;level=16","https://fema.maps.arcgis.com/apps/mapviewer/index.html?find="&amp;$F254&amp;"%2C"&amp;$E254&amp;"&amp;marker="&amp;$F254&amp;","&amp;$E254&amp;",4326&amp;level=16"))),"Open"))</f>
        <v/>
      </c>
      <c r="N254" s="6" t="str">
        <f>IF(OR(JobAgolMap="", $E254="", $F254=""),"",HYPERLINK(JobAgolMap&amp;IF(ISNUMBER(FIND("?",JobAgolMap)),"&amp;","?")&amp;"center="&amp;$F254&amp;","&amp;$E254&amp;"&amp;level=16&amp;marker="&amp;$F254&amp;","&amp;$E254,"Open"))</f>
        <v/>
      </c>
      <c r="O254" s="6" t="str">
        <f>IF(OR($E254="",$F254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4" s="4"/>
      <c r="Q254" s="4"/>
      <c r="R254" s="4"/>
      <c r="S254" s="4"/>
      <c r="T254" s="4"/>
      <c r="U254" s="4"/>
      <c r="V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HYPERLINK(IF(OR(JobState="MI",JobState=""),"https://fema.maps.arcgis.com/apps/mapviewer/index.html?webmap=6a1702b9147243d1a5ee62cd614bc681&amp;center="&amp;$F255&amp;","&amp;$E255&amp;"&amp;level=16&amp;marker="&amp;$F255&amp;","&amp;$E255&amp;"",IF(JobState="IN","https://fema.maps.arcgis.com/apps/mapviewer/index.html?url=https%3A%2F%2Fgisdata.in.gov%2Fserver%2Frest%2Fservices%2FHosted%2FLRSE_Functional_Class%2FFeatureServer%2F22&amp;find="&amp;$F255&amp;"%2C"&amp;$E255&amp;"&amp;marker="&amp;$F255&amp;","&amp;$E255&amp;",4326&amp;level=16",IF(JobState="WI","https://fema.maps.arcgis.com/apps/mapviewer/index.html?url=https%3A%2F%2Fservices5.arcgis.com%2F0pgGLzT0Nh7FVjon%2Farcgis%2Frest%2Fservices%2FFFCL_gdb%2FFeatureServer%2F3&amp;find="&amp;$F255&amp;"%2C"&amp;$E255&amp;"&amp;marker="&amp;$F255&amp;","&amp;$E255&amp;",4326&amp;level=16","https://fema.maps.arcgis.com/apps/mapviewer/index.html?find="&amp;$F255&amp;"%2C"&amp;$E255&amp;"&amp;marker="&amp;$F255&amp;","&amp;$E255&amp;",4326&amp;level=16"))),"Open"))</f>
        <v/>
      </c>
      <c r="N255" s="6" t="str">
        <f>IF(OR(JobAgolMap="", $E255="", $F255=""),"",HYPERLINK(JobAgolMap&amp;IF(ISNUMBER(FIND("?",JobAgolMap)),"&amp;","?")&amp;"center="&amp;$F255&amp;","&amp;$E255&amp;"&amp;level=16&amp;marker="&amp;$F255&amp;","&amp;$E255,"Open"))</f>
        <v/>
      </c>
      <c r="O255" s="6" t="str">
        <f>IF(OR($E255="",$F255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5" s="4"/>
      <c r="Q255" s="4"/>
      <c r="R255" s="4"/>
      <c r="S255" s="4"/>
      <c r="T255" s="4"/>
      <c r="U255" s="4"/>
      <c r="V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HYPERLINK(IF(OR(JobState="MI",JobState=""),"https://fema.maps.arcgis.com/apps/mapviewer/index.html?webmap=6a1702b9147243d1a5ee62cd614bc681&amp;center="&amp;$F256&amp;","&amp;$E256&amp;"&amp;level=16&amp;marker="&amp;$F256&amp;","&amp;$E256&amp;"",IF(JobState="IN","https://fema.maps.arcgis.com/apps/mapviewer/index.html?url=https%3A%2F%2Fgisdata.in.gov%2Fserver%2Frest%2Fservices%2FHosted%2FLRSE_Functional_Class%2FFeatureServer%2F22&amp;find="&amp;$F256&amp;"%2C"&amp;$E256&amp;"&amp;marker="&amp;$F256&amp;","&amp;$E256&amp;",4326&amp;level=16",IF(JobState="WI","https://fema.maps.arcgis.com/apps/mapviewer/index.html?url=https%3A%2F%2Fservices5.arcgis.com%2F0pgGLzT0Nh7FVjon%2Farcgis%2Frest%2Fservices%2FFFCL_gdb%2FFeatureServer%2F3&amp;find="&amp;$F256&amp;"%2C"&amp;$E256&amp;"&amp;marker="&amp;$F256&amp;","&amp;$E256&amp;",4326&amp;level=16","https://fema.maps.arcgis.com/apps/mapviewer/index.html?find="&amp;$F256&amp;"%2C"&amp;$E256&amp;"&amp;marker="&amp;$F256&amp;","&amp;$E256&amp;",4326&amp;level=16"))),"Open"))</f>
        <v/>
      </c>
      <c r="N256" s="6" t="str">
        <f>IF(OR(JobAgolMap="", $E256="", $F256=""),"",HYPERLINK(JobAgolMap&amp;IF(ISNUMBER(FIND("?",JobAgolMap)),"&amp;","?")&amp;"center="&amp;$F256&amp;","&amp;$E256&amp;"&amp;level=16&amp;marker="&amp;$F256&amp;","&amp;$E256,"Open"))</f>
        <v/>
      </c>
      <c r="O256" s="6" t="str">
        <f>IF(OR($E256="",$F256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6" s="4"/>
      <c r="Q256" s="4"/>
      <c r="R256" s="4"/>
      <c r="S256" s="4"/>
      <c r="T256" s="4"/>
      <c r="U256" s="4"/>
      <c r="V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HYPERLINK(IF(OR(JobState="MI",JobState=""),"https://fema.maps.arcgis.com/apps/mapviewer/index.html?webmap=6a1702b9147243d1a5ee62cd614bc681&amp;center="&amp;$F257&amp;","&amp;$E257&amp;"&amp;level=16&amp;marker="&amp;$F257&amp;","&amp;$E257&amp;"",IF(JobState="IN","https://fema.maps.arcgis.com/apps/mapviewer/index.html?url=https%3A%2F%2Fgisdata.in.gov%2Fserver%2Frest%2Fservices%2FHosted%2FLRSE_Functional_Class%2FFeatureServer%2F22&amp;find="&amp;$F257&amp;"%2C"&amp;$E257&amp;"&amp;marker="&amp;$F257&amp;","&amp;$E257&amp;",4326&amp;level=16",IF(JobState="WI","https://fema.maps.arcgis.com/apps/mapviewer/index.html?url=https%3A%2F%2Fservices5.arcgis.com%2F0pgGLzT0Nh7FVjon%2Farcgis%2Frest%2Fservices%2FFFCL_gdb%2FFeatureServer%2F3&amp;find="&amp;$F257&amp;"%2C"&amp;$E257&amp;"&amp;marker="&amp;$F257&amp;","&amp;$E257&amp;",4326&amp;level=16","https://fema.maps.arcgis.com/apps/mapviewer/index.html?find="&amp;$F257&amp;"%2C"&amp;$E257&amp;"&amp;marker="&amp;$F257&amp;","&amp;$E257&amp;",4326&amp;level=16"))),"Open"))</f>
        <v/>
      </c>
      <c r="N257" s="6" t="str">
        <f>IF(OR(JobAgolMap="", $E257="", $F257=""),"",HYPERLINK(JobAgolMap&amp;IF(ISNUMBER(FIND("?",JobAgolMap)),"&amp;","?")&amp;"center="&amp;$F257&amp;","&amp;$E257&amp;"&amp;level=16&amp;marker="&amp;$F257&amp;","&amp;$E257,"Open"))</f>
        <v/>
      </c>
      <c r="O257" s="6" t="str">
        <f>IF(OR($E257="",$F257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7" s="4"/>
      <c r="Q257" s="4"/>
      <c r="R257" s="4"/>
      <c r="S257" s="4"/>
      <c r="T257" s="4"/>
      <c r="U257" s="4"/>
      <c r="V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HYPERLINK(IF(OR(JobState="MI",JobState=""),"https://fema.maps.arcgis.com/apps/mapviewer/index.html?webmap=6a1702b9147243d1a5ee62cd614bc681&amp;center="&amp;$F258&amp;","&amp;$E258&amp;"&amp;level=16&amp;marker="&amp;$F258&amp;","&amp;$E258&amp;"",IF(JobState="IN","https://fema.maps.arcgis.com/apps/mapviewer/index.html?url=https%3A%2F%2Fgisdata.in.gov%2Fserver%2Frest%2Fservices%2FHosted%2FLRSE_Functional_Class%2FFeatureServer%2F22&amp;find="&amp;$F258&amp;"%2C"&amp;$E258&amp;"&amp;marker="&amp;$F258&amp;","&amp;$E258&amp;",4326&amp;level=16",IF(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IF(OR(JobAgolMap="", $E258="", $F258=""),"",HYPERLINK(JobAgolMap&amp;IF(ISNUMBER(FIND("?",JobAgolMap)),"&amp;","?")&amp;"center="&amp;$F258&amp;","&amp;$E258&amp;"&amp;level=16&amp;marker="&amp;$F258&amp;","&amp;$E258,"Open"))</f>
        <v/>
      </c>
      <c r="O258" s="6" t="str">
        <f>IF(OR($E258="",$F258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8" s="4"/>
      <c r="Q258" s="4"/>
      <c r="R258" s="4"/>
      <c r="S258" s="4"/>
      <c r="T258" s="4"/>
      <c r="U258" s="4"/>
      <c r="V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HYPERLINK(IF(OR(JobState="MI",JobState=""),"https://fema.maps.arcgis.com/apps/mapviewer/index.html?webmap=6a1702b9147243d1a5ee62cd614bc681&amp;center="&amp;$F259&amp;","&amp;$E259&amp;"&amp;level=16&amp;marker="&amp;$F259&amp;","&amp;$E259&amp;"",IF(JobState="IN","https://fema.maps.arcgis.com/apps/mapviewer/index.html?url=https%3A%2F%2Fgisdata.in.gov%2Fserver%2Frest%2Fservices%2FHosted%2FLRSE_Functional_Class%2FFeatureServer%2F22&amp;find="&amp;$F259&amp;"%2C"&amp;$E259&amp;"&amp;marker="&amp;$F259&amp;","&amp;$E259&amp;",4326&amp;level=16",IF(JobState="WI","https://fema.maps.arcgis.com/apps/mapviewer/index.html?url=https%3A%2F%2Fservices5.arcgis.com%2F0pgGLzT0Nh7FVjon%2Farcgis%2Frest%2Fservices%2FFFCL_gdb%2FFeatureServer%2F3&amp;find="&amp;$F259&amp;"%2C"&amp;$E259&amp;"&amp;marker="&amp;$F259&amp;","&amp;$E259&amp;",4326&amp;level=16","https://fema.maps.arcgis.com/apps/mapviewer/index.html?find="&amp;$F259&amp;"%2C"&amp;$E259&amp;"&amp;marker="&amp;$F259&amp;","&amp;$E259&amp;",4326&amp;level=16"))),"Open"))</f>
        <v/>
      </c>
      <c r="N259" s="6" t="str">
        <f>IF(OR(JobAgolMap="", $E259="", $F259=""),"",HYPERLINK(JobAgolMap&amp;IF(ISNUMBER(FIND("?",JobAgolMap)),"&amp;","?")&amp;"center="&amp;$F259&amp;","&amp;$E259&amp;"&amp;level=16&amp;marker="&amp;$F259&amp;","&amp;$E259,"Open"))</f>
        <v/>
      </c>
      <c r="O259" s="6" t="str">
        <f>IF(OR($E259="",$F259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9" s="4"/>
      <c r="Q259" s="4"/>
      <c r="R259" s="4"/>
      <c r="S259" s="4"/>
      <c r="T259" s="4"/>
      <c r="U259" s="4"/>
      <c r="V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HYPERLINK(IF(OR(JobState="MI",JobState=""),"https://fema.maps.arcgis.com/apps/mapviewer/index.html?webmap=6a1702b9147243d1a5ee62cd614bc681&amp;center="&amp;$F260&amp;","&amp;$E260&amp;"&amp;level=16&amp;marker="&amp;$F260&amp;","&amp;$E260&amp;"",IF(JobState="IN","https://fema.maps.arcgis.com/apps/mapviewer/index.html?url=https%3A%2F%2Fgisdata.in.gov%2Fserver%2Frest%2Fservices%2FHosted%2FLRSE_Functional_Class%2FFeatureServer%2F22&amp;find="&amp;$F260&amp;"%2C"&amp;$E260&amp;"&amp;marker="&amp;$F260&amp;","&amp;$E260&amp;",4326&amp;level=16",IF(JobState="WI","https://fema.maps.arcgis.com/apps/mapviewer/index.html?url=https%3A%2F%2Fservices5.arcgis.com%2F0pgGLzT0Nh7FVjon%2Farcgis%2Frest%2Fservices%2FFFCL_gdb%2FFeatureServer%2F3&amp;find="&amp;$F260&amp;"%2C"&amp;$E260&amp;"&amp;marker="&amp;$F260&amp;","&amp;$E260&amp;",4326&amp;level=16","https://fema.maps.arcgis.com/apps/mapviewer/index.html?find="&amp;$F260&amp;"%2C"&amp;$E260&amp;"&amp;marker="&amp;$F260&amp;","&amp;$E260&amp;",4326&amp;level=16"))),"Open"))</f>
        <v/>
      </c>
      <c r="N260" s="6" t="str">
        <f>IF(OR(JobAgolMap="", $E260="", $F260=""),"",HYPERLINK(JobAgolMap&amp;IF(ISNUMBER(FIND("?",JobAgolMap)),"&amp;","?")&amp;"center="&amp;$F260&amp;","&amp;$E260&amp;"&amp;level=16&amp;marker="&amp;$F260&amp;","&amp;$E260,"Open"))</f>
        <v/>
      </c>
      <c r="O260" s="6" t="str">
        <f>IF(OR($E260="",$F260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0" s="4"/>
      <c r="Q260" s="4"/>
      <c r="R260" s="4"/>
      <c r="S260" s="4"/>
      <c r="T260" s="4"/>
      <c r="U260" s="4"/>
      <c r="V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HYPERLINK(IF(OR(JobState="MI",JobState=""),"https://fema.maps.arcgis.com/apps/mapviewer/index.html?webmap=6a1702b9147243d1a5ee62cd614bc681&amp;center="&amp;$F261&amp;","&amp;$E261&amp;"&amp;level=16&amp;marker="&amp;$F261&amp;","&amp;$E261&amp;"",IF(JobState="IN","https://fema.maps.arcgis.com/apps/mapviewer/index.html?url=https%3A%2F%2Fgisdata.in.gov%2Fserver%2Frest%2Fservices%2FHosted%2FLRSE_Functional_Class%2FFeatureServer%2F22&amp;find="&amp;$F261&amp;"%2C"&amp;$E261&amp;"&amp;marker="&amp;$F261&amp;","&amp;$E261&amp;",4326&amp;level=16",IF(JobState="WI","https://fema.maps.arcgis.com/apps/mapviewer/index.html?url=https%3A%2F%2Fservices5.arcgis.com%2F0pgGLzT0Nh7FVjon%2Farcgis%2Frest%2Fservices%2FFFCL_gdb%2FFeatureServer%2F3&amp;find="&amp;$F261&amp;"%2C"&amp;$E261&amp;"&amp;marker="&amp;$F261&amp;","&amp;$E261&amp;",4326&amp;level=16","https://fema.maps.arcgis.com/apps/mapviewer/index.html?find="&amp;$F261&amp;"%2C"&amp;$E261&amp;"&amp;marker="&amp;$F261&amp;","&amp;$E261&amp;",4326&amp;level=16"))),"Open"))</f>
        <v/>
      </c>
      <c r="N261" s="6" t="str">
        <f>IF(OR(JobAgolMap="", $E261="", $F261=""),"",HYPERLINK(JobAgolMap&amp;IF(ISNUMBER(FIND("?",JobAgolMap)),"&amp;","?")&amp;"center="&amp;$F261&amp;","&amp;$E261&amp;"&amp;level=16&amp;marker="&amp;$F261&amp;","&amp;$E261,"Open"))</f>
        <v/>
      </c>
      <c r="O261" s="6" t="str">
        <f>IF(OR($E261="",$F261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1" s="4"/>
      <c r="Q261" s="4"/>
      <c r="R261" s="4"/>
      <c r="S261" s="4"/>
      <c r="T261" s="4"/>
      <c r="U261" s="4"/>
      <c r="V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HYPERLINK(IF(OR(JobState="MI",JobState=""),"https://fema.maps.arcgis.com/apps/mapviewer/index.html?webmap=6a1702b9147243d1a5ee62cd614bc681&amp;center="&amp;$F262&amp;","&amp;$E262&amp;"&amp;level=16&amp;marker="&amp;$F262&amp;","&amp;$E262&amp;"",IF(JobState="IN","https://fema.maps.arcgis.com/apps/mapviewer/index.html?url=https%3A%2F%2Fgisdata.in.gov%2Fserver%2Frest%2Fservices%2FHosted%2FLRSE_Functional_Class%2FFeatureServer%2F22&amp;find="&amp;$F262&amp;"%2C"&amp;$E262&amp;"&amp;marker="&amp;$F262&amp;","&amp;$E262&amp;",4326&amp;level=16",IF(JobState="WI","https://fema.maps.arcgis.com/apps/mapviewer/index.html?url=https%3A%2F%2Fservices5.arcgis.com%2F0pgGLzT0Nh7FVjon%2Farcgis%2Frest%2Fservices%2FFFCL_gdb%2FFeatureServer%2F3&amp;find="&amp;$F262&amp;"%2C"&amp;$E262&amp;"&amp;marker="&amp;$F262&amp;","&amp;$E262&amp;",4326&amp;level=16","https://fema.maps.arcgis.com/apps/mapviewer/index.html?find="&amp;$F262&amp;"%2C"&amp;$E262&amp;"&amp;marker="&amp;$F262&amp;","&amp;$E262&amp;",4326&amp;level=16"))),"Open"))</f>
        <v/>
      </c>
      <c r="N262" s="6" t="str">
        <f>IF(OR(JobAgolMap="", $E262="", $F262=""),"",HYPERLINK(JobAgolMap&amp;IF(ISNUMBER(FIND("?",JobAgolMap)),"&amp;","?")&amp;"center="&amp;$F262&amp;","&amp;$E262&amp;"&amp;level=16&amp;marker="&amp;$F262&amp;","&amp;$E262,"Open"))</f>
        <v/>
      </c>
      <c r="O262" s="6" t="str">
        <f>IF(OR($E262="",$F262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2" s="4"/>
      <c r="Q262" s="4"/>
      <c r="R262" s="4"/>
      <c r="S262" s="4"/>
      <c r="T262" s="4"/>
      <c r="U262" s="4"/>
      <c r="V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HYPERLINK(IF(OR(JobState="MI",JobState=""),"https://fema.maps.arcgis.com/apps/mapviewer/index.html?webmap=6a1702b9147243d1a5ee62cd614bc681&amp;center="&amp;$F263&amp;","&amp;$E263&amp;"&amp;level=16&amp;marker="&amp;$F263&amp;","&amp;$E263&amp;"",IF(JobState="IN","https://fema.maps.arcgis.com/apps/mapviewer/index.html?url=https%3A%2F%2Fgisdata.in.gov%2Fserver%2Frest%2Fservices%2FHosted%2FLRSE_Functional_Class%2FFeatureServer%2F22&amp;find="&amp;$F263&amp;"%2C"&amp;$E263&amp;"&amp;marker="&amp;$F263&amp;","&amp;$E263&amp;",4326&amp;level=16",IF(JobState="WI","https://fema.maps.arcgis.com/apps/mapviewer/index.html?url=https%3A%2F%2Fservices5.arcgis.com%2F0pgGLzT0Nh7FVjon%2Farcgis%2Frest%2Fservices%2FFFCL_gdb%2FFeatureServer%2F3&amp;find="&amp;$F263&amp;"%2C"&amp;$E263&amp;"&amp;marker="&amp;$F263&amp;","&amp;$E263&amp;",4326&amp;level=16","https://fema.maps.arcgis.com/apps/mapviewer/index.html?find="&amp;$F263&amp;"%2C"&amp;$E263&amp;"&amp;marker="&amp;$F263&amp;","&amp;$E263&amp;",4326&amp;level=16"))),"Open"))</f>
        <v/>
      </c>
      <c r="N263" s="6" t="str">
        <f>IF(OR(JobAgolMap="", $E263="", $F263=""),"",HYPERLINK(JobAgolMap&amp;IF(ISNUMBER(FIND("?",JobAgolMap)),"&amp;","?")&amp;"center="&amp;$F263&amp;","&amp;$E263&amp;"&amp;level=16&amp;marker="&amp;$F263&amp;","&amp;$E263,"Open"))</f>
        <v/>
      </c>
      <c r="O263" s="6" t="str">
        <f>IF(OR($E263="",$F263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3" s="4"/>
      <c r="Q263" s="4"/>
      <c r="R263" s="4"/>
      <c r="S263" s="4"/>
      <c r="T263" s="4"/>
      <c r="U263" s="4"/>
      <c r="V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HYPERLINK(IF(OR(JobState="MI",JobState=""),"https://fema.maps.arcgis.com/apps/mapviewer/index.html?webmap=6a1702b9147243d1a5ee62cd614bc681&amp;center="&amp;$F264&amp;","&amp;$E264&amp;"&amp;level=16&amp;marker="&amp;$F264&amp;","&amp;$E264&amp;"",IF(JobState="IN","https://fema.maps.arcgis.com/apps/mapviewer/index.html?url=https%3A%2F%2Fgisdata.in.gov%2Fserver%2Frest%2Fservices%2FHosted%2FLRSE_Functional_Class%2FFeatureServer%2F22&amp;find="&amp;$F264&amp;"%2C"&amp;$E264&amp;"&amp;marker="&amp;$F264&amp;","&amp;$E264&amp;",4326&amp;level=16",IF(JobState="WI","https://fema.maps.arcgis.com/apps/mapviewer/index.html?url=https%3A%2F%2Fservices5.arcgis.com%2F0pgGLzT0Nh7FVjon%2Farcgis%2Frest%2Fservices%2FFFCL_gdb%2FFeatureServer%2F3&amp;find="&amp;$F264&amp;"%2C"&amp;$E264&amp;"&amp;marker="&amp;$F264&amp;","&amp;$E264&amp;",4326&amp;level=16","https://fema.maps.arcgis.com/apps/mapviewer/index.html?find="&amp;$F264&amp;"%2C"&amp;$E264&amp;"&amp;marker="&amp;$F264&amp;","&amp;$E264&amp;",4326&amp;level=16"))),"Open"))</f>
        <v/>
      </c>
      <c r="N264" s="6" t="str">
        <f>IF(OR(JobAgolMap="", $E264="", $F264=""),"",HYPERLINK(JobAgolMap&amp;IF(ISNUMBER(FIND("?",JobAgolMap)),"&amp;","?")&amp;"center="&amp;$F264&amp;","&amp;$E264&amp;"&amp;level=16&amp;marker="&amp;$F264&amp;","&amp;$E264,"Open"))</f>
        <v/>
      </c>
      <c r="O264" s="6" t="str">
        <f>IF(OR($E264="",$F264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4" s="4"/>
      <c r="Q264" s="4"/>
      <c r="R264" s="4"/>
      <c r="S264" s="4"/>
      <c r="T264" s="4"/>
      <c r="U264" s="4"/>
      <c r="V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HYPERLINK(IF(OR(JobState="MI",JobState=""),"https://fema.maps.arcgis.com/apps/mapviewer/index.html?webmap=6a1702b9147243d1a5ee62cd614bc681&amp;center="&amp;$F265&amp;","&amp;$E265&amp;"&amp;level=16&amp;marker="&amp;$F265&amp;","&amp;$E265&amp;"",IF(JobState="IN","https://fema.maps.arcgis.com/apps/mapviewer/index.html?url=https%3A%2F%2Fgisdata.in.gov%2Fserver%2Frest%2Fservices%2FHosted%2FLRSE_Functional_Class%2FFeatureServer%2F22&amp;find="&amp;$F265&amp;"%2C"&amp;$E265&amp;"&amp;marker="&amp;$F265&amp;","&amp;$E265&amp;",4326&amp;level=16",IF(JobState="WI","https://fema.maps.arcgis.com/apps/mapviewer/index.html?url=https%3A%2F%2Fservices5.arcgis.com%2F0pgGLzT0Nh7FVjon%2Farcgis%2Frest%2Fservices%2FFFCL_gdb%2FFeatureServer%2F3&amp;find="&amp;$F265&amp;"%2C"&amp;$E265&amp;"&amp;marker="&amp;$F265&amp;","&amp;$E265&amp;",4326&amp;level=16","https://fema.maps.arcgis.com/apps/mapviewer/index.html?find="&amp;$F265&amp;"%2C"&amp;$E265&amp;"&amp;marker="&amp;$F265&amp;","&amp;$E265&amp;",4326&amp;level=16"))),"Open"))</f>
        <v/>
      </c>
      <c r="N265" s="6" t="str">
        <f>IF(OR(JobAgolMap="", $E265="", $F265=""),"",HYPERLINK(JobAgolMap&amp;IF(ISNUMBER(FIND("?",JobAgolMap)),"&amp;","?")&amp;"center="&amp;$F265&amp;","&amp;$E265&amp;"&amp;level=16&amp;marker="&amp;$F265&amp;","&amp;$E265,"Open"))</f>
        <v/>
      </c>
      <c r="O265" s="6" t="str">
        <f>IF(OR($E265="",$F265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5" s="4"/>
      <c r="Q265" s="4"/>
      <c r="R265" s="4"/>
      <c r="S265" s="4"/>
      <c r="T265" s="4"/>
      <c r="U265" s="4"/>
      <c r="V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HYPERLINK(IF(OR(JobState="MI",JobState=""),"https://fema.maps.arcgis.com/apps/mapviewer/index.html?webmap=6a1702b9147243d1a5ee62cd614bc681&amp;center="&amp;$F266&amp;","&amp;$E266&amp;"&amp;level=16&amp;marker="&amp;$F266&amp;","&amp;$E266&amp;"",IF(JobState="IN","https://fema.maps.arcgis.com/apps/mapviewer/index.html?url=https%3A%2F%2Fgisdata.in.gov%2Fserver%2Frest%2Fservices%2FHosted%2FLRSE_Functional_Class%2FFeatureServer%2F22&amp;find="&amp;$F266&amp;"%2C"&amp;$E266&amp;"&amp;marker="&amp;$F266&amp;","&amp;$E266&amp;",4326&amp;level=16",IF(JobState="WI","https://fema.maps.arcgis.com/apps/mapviewer/index.html?url=https%3A%2F%2Fservices5.arcgis.com%2F0pgGLzT0Nh7FVjon%2Farcgis%2Frest%2Fservices%2FFFCL_gdb%2FFeatureServer%2F3&amp;find="&amp;$F266&amp;"%2C"&amp;$E266&amp;"&amp;marker="&amp;$F266&amp;","&amp;$E266&amp;",4326&amp;level=16","https://fema.maps.arcgis.com/apps/mapviewer/index.html?find="&amp;$F266&amp;"%2C"&amp;$E266&amp;"&amp;marker="&amp;$F266&amp;","&amp;$E266&amp;",4326&amp;level=16"))),"Open"))</f>
        <v/>
      </c>
      <c r="N266" s="6" t="str">
        <f>IF(OR(JobAgolMap="", $E266="", $F266=""),"",HYPERLINK(JobAgolMap&amp;IF(ISNUMBER(FIND("?",JobAgolMap)),"&amp;","?")&amp;"center="&amp;$F266&amp;","&amp;$E266&amp;"&amp;level=16&amp;marker="&amp;$F266&amp;","&amp;$E266,"Open"))</f>
        <v/>
      </c>
      <c r="O266" s="6" t="str">
        <f>IF(OR($E266="",$F266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6" s="4"/>
      <c r="Q266" s="4"/>
      <c r="R266" s="4"/>
      <c r="S266" s="4"/>
      <c r="T266" s="4"/>
      <c r="U266" s="4"/>
      <c r="V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HYPERLINK(IF(OR(JobState="MI",JobState=""),"https://fema.maps.arcgis.com/apps/mapviewer/index.html?webmap=6a1702b9147243d1a5ee62cd614bc681&amp;center="&amp;$F267&amp;","&amp;$E267&amp;"&amp;level=16&amp;marker="&amp;$F267&amp;","&amp;$E267&amp;"",IF(JobState="IN","https://fema.maps.arcgis.com/apps/mapviewer/index.html?url=https%3A%2F%2Fgisdata.in.gov%2Fserver%2Frest%2Fservices%2FHosted%2FLRSE_Functional_Class%2FFeatureServer%2F22&amp;find="&amp;$F267&amp;"%2C"&amp;$E267&amp;"&amp;marker="&amp;$F267&amp;","&amp;$E267&amp;",4326&amp;level=16",IF(JobState="WI","https://fema.maps.arcgis.com/apps/mapviewer/index.html?url=https%3A%2F%2Fservices5.arcgis.com%2F0pgGLzT0Nh7FVjon%2Farcgis%2Frest%2Fservices%2FFFCL_gdb%2FFeatureServer%2F3&amp;find="&amp;$F267&amp;"%2C"&amp;$E267&amp;"&amp;marker="&amp;$F267&amp;","&amp;$E267&amp;",4326&amp;level=16","https://fema.maps.arcgis.com/apps/mapviewer/index.html?find="&amp;$F267&amp;"%2C"&amp;$E267&amp;"&amp;marker="&amp;$F267&amp;","&amp;$E267&amp;",4326&amp;level=16"))),"Open"))</f>
        <v/>
      </c>
      <c r="N267" s="6" t="str">
        <f>IF(OR(JobAgolMap="", $E267="", $F267=""),"",HYPERLINK(JobAgolMap&amp;IF(ISNUMBER(FIND("?",JobAgolMap)),"&amp;","?")&amp;"center="&amp;$F267&amp;","&amp;$E267&amp;"&amp;level=16&amp;marker="&amp;$F267&amp;","&amp;$E267,"Open"))</f>
        <v/>
      </c>
      <c r="O267" s="6" t="str">
        <f>IF(OR($E267="",$F267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7" s="4"/>
      <c r="Q267" s="4"/>
      <c r="R267" s="4"/>
      <c r="S267" s="4"/>
      <c r="T267" s="4"/>
      <c r="U267" s="4"/>
      <c r="V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HYPERLINK(IF(OR(JobState="MI",JobState=""),"https://fema.maps.arcgis.com/apps/mapviewer/index.html?webmap=6a1702b9147243d1a5ee62cd614bc681&amp;center="&amp;$F268&amp;","&amp;$E268&amp;"&amp;level=16&amp;marker="&amp;$F268&amp;","&amp;$E268&amp;"",IF(JobState="IN","https://fema.maps.arcgis.com/apps/mapviewer/index.html?url=https%3A%2F%2Fgisdata.in.gov%2Fserver%2Frest%2Fservices%2FHosted%2FLRSE_Functional_Class%2FFeatureServer%2F22&amp;find="&amp;$F268&amp;"%2C"&amp;$E268&amp;"&amp;marker="&amp;$F268&amp;","&amp;$E268&amp;",4326&amp;level=16",IF(JobState="WI","https://fema.maps.arcgis.com/apps/mapviewer/index.html?url=https%3A%2F%2Fservices5.arcgis.com%2F0pgGLzT0Nh7FVjon%2Farcgis%2Frest%2Fservices%2FFFCL_gdb%2FFeatureServer%2F3&amp;find="&amp;$F268&amp;"%2C"&amp;$E268&amp;"&amp;marker="&amp;$F268&amp;","&amp;$E268&amp;",4326&amp;level=16","https://fema.maps.arcgis.com/apps/mapviewer/index.html?find="&amp;$F268&amp;"%2C"&amp;$E268&amp;"&amp;marker="&amp;$F268&amp;","&amp;$E268&amp;",4326&amp;level=16"))),"Open"))</f>
        <v/>
      </c>
      <c r="N268" s="6" t="str">
        <f>IF(OR(JobAgolMap="", $E268="", $F268=""),"",HYPERLINK(JobAgolMap&amp;IF(ISNUMBER(FIND("?",JobAgolMap)),"&amp;","?")&amp;"center="&amp;$F268&amp;","&amp;$E268&amp;"&amp;level=16&amp;marker="&amp;$F268&amp;","&amp;$E268,"Open"))</f>
        <v/>
      </c>
      <c r="O268" s="6" t="str">
        <f>IF(OR($E268="",$F268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8" s="4"/>
      <c r="Q268" s="4"/>
      <c r="R268" s="4"/>
      <c r="S268" s="4"/>
      <c r="T268" s="4"/>
      <c r="U268" s="4"/>
      <c r="V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HYPERLINK(IF(OR(JobState="MI",JobState=""),"https://fema.maps.arcgis.com/apps/mapviewer/index.html?webmap=6a1702b9147243d1a5ee62cd614bc681&amp;center="&amp;$F269&amp;","&amp;$E269&amp;"&amp;level=16&amp;marker="&amp;$F269&amp;","&amp;$E269&amp;"",IF(JobState="IN","https://fema.maps.arcgis.com/apps/mapviewer/index.html?url=https%3A%2F%2Fgisdata.in.gov%2Fserver%2Frest%2Fservices%2FHosted%2FLRSE_Functional_Class%2FFeatureServer%2F22&amp;find="&amp;$F269&amp;"%2C"&amp;$E269&amp;"&amp;marker="&amp;$F269&amp;","&amp;$E269&amp;",4326&amp;level=16",IF(JobState="WI","https://fema.maps.arcgis.com/apps/mapviewer/index.html?url=https%3A%2F%2Fservices5.arcgis.com%2F0pgGLzT0Nh7FVjon%2Farcgis%2Frest%2Fservices%2FFFCL_gdb%2FFeatureServer%2F3&amp;find="&amp;$F269&amp;"%2C"&amp;$E269&amp;"&amp;marker="&amp;$F269&amp;","&amp;$E269&amp;",4326&amp;level=16","https://fema.maps.arcgis.com/apps/mapviewer/index.html?find="&amp;$F269&amp;"%2C"&amp;$E269&amp;"&amp;marker="&amp;$F269&amp;","&amp;$E269&amp;",4326&amp;level=16"))),"Open"))</f>
        <v/>
      </c>
      <c r="N269" s="6" t="str">
        <f>IF(OR(JobAgolMap="", $E269="", $F269=""),"",HYPERLINK(JobAgolMap&amp;IF(ISNUMBER(FIND("?",JobAgolMap)),"&amp;","?")&amp;"center="&amp;$F269&amp;","&amp;$E269&amp;"&amp;level=16&amp;marker="&amp;$F269&amp;","&amp;$E269,"Open"))</f>
        <v/>
      </c>
      <c r="O269" s="6" t="str">
        <f>IF(OR($E269="",$F269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9" s="4"/>
      <c r="Q269" s="4"/>
      <c r="R269" s="4"/>
      <c r="S269" s="4"/>
      <c r="T269" s="4"/>
      <c r="U269" s="4"/>
      <c r="V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HYPERLINK(IF(OR(JobState="MI",JobState=""),"https://fema.maps.arcgis.com/apps/mapviewer/index.html?webmap=6a1702b9147243d1a5ee62cd614bc681&amp;center="&amp;$F270&amp;","&amp;$E270&amp;"&amp;level=16&amp;marker="&amp;$F270&amp;","&amp;$E270&amp;"",IF(JobState="IN","https://fema.maps.arcgis.com/apps/mapviewer/index.html?url=https%3A%2F%2Fgisdata.in.gov%2Fserver%2Frest%2Fservices%2FHosted%2FLRSE_Functional_Class%2FFeatureServer%2F22&amp;find="&amp;$F270&amp;"%2C"&amp;$E270&amp;"&amp;marker="&amp;$F270&amp;","&amp;$E270&amp;",4326&amp;level=16",IF(JobState="WI","https://fema.maps.arcgis.com/apps/mapviewer/index.html?url=https%3A%2F%2Fservices5.arcgis.com%2F0pgGLzT0Nh7FVjon%2Farcgis%2Frest%2Fservices%2FFFCL_gdb%2FFeatureServer%2F3&amp;find="&amp;$F270&amp;"%2C"&amp;$E270&amp;"&amp;marker="&amp;$F270&amp;","&amp;$E270&amp;",4326&amp;level=16","https://fema.maps.arcgis.com/apps/mapviewer/index.html?find="&amp;$F270&amp;"%2C"&amp;$E270&amp;"&amp;marker="&amp;$F270&amp;","&amp;$E270&amp;",4326&amp;level=16"))),"Open"))</f>
        <v/>
      </c>
      <c r="N270" s="6" t="str">
        <f>IF(OR(JobAgolMap="", $E270="", $F270=""),"",HYPERLINK(JobAgolMap&amp;IF(ISNUMBER(FIND("?",JobAgolMap)),"&amp;","?")&amp;"center="&amp;$F270&amp;","&amp;$E270&amp;"&amp;level=16&amp;marker="&amp;$F270&amp;","&amp;$E270,"Open"))</f>
        <v/>
      </c>
      <c r="O270" s="6" t="str">
        <f>IF(OR($E270="",$F270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0" s="4"/>
      <c r="Q270" s="4"/>
      <c r="R270" s="4"/>
      <c r="S270" s="4"/>
      <c r="T270" s="4"/>
      <c r="U270" s="4"/>
      <c r="V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HYPERLINK(IF(OR(JobState="MI",JobState=""),"https://fema.maps.arcgis.com/apps/mapviewer/index.html?webmap=6a1702b9147243d1a5ee62cd614bc681&amp;center="&amp;$F271&amp;","&amp;$E271&amp;"&amp;level=16&amp;marker="&amp;$F271&amp;","&amp;$E271&amp;"",IF(JobState="IN","https://fema.maps.arcgis.com/apps/mapviewer/index.html?url=https%3A%2F%2Fgisdata.in.gov%2Fserver%2Frest%2Fservices%2FHosted%2FLRSE_Functional_Class%2FFeatureServer%2F22&amp;find="&amp;$F271&amp;"%2C"&amp;$E271&amp;"&amp;marker="&amp;$F271&amp;","&amp;$E271&amp;",4326&amp;level=16",IF(JobState="WI","https://fema.maps.arcgis.com/apps/mapviewer/index.html?url=https%3A%2F%2Fservices5.arcgis.com%2F0pgGLzT0Nh7FVjon%2Farcgis%2Frest%2Fservices%2FFFCL_gdb%2FFeatureServer%2F3&amp;find="&amp;$F271&amp;"%2C"&amp;$E271&amp;"&amp;marker="&amp;$F271&amp;","&amp;$E271&amp;",4326&amp;level=16","https://fema.maps.arcgis.com/apps/mapviewer/index.html?find="&amp;$F271&amp;"%2C"&amp;$E271&amp;"&amp;marker="&amp;$F271&amp;","&amp;$E271&amp;",4326&amp;level=16"))),"Open"))</f>
        <v/>
      </c>
      <c r="N271" s="6" t="str">
        <f>IF(OR(JobAgolMap="", $E271="", $F271=""),"",HYPERLINK(JobAgolMap&amp;IF(ISNUMBER(FIND("?",JobAgolMap)),"&amp;","?")&amp;"center="&amp;$F271&amp;","&amp;$E271&amp;"&amp;level=16&amp;marker="&amp;$F271&amp;","&amp;$E271,"Open"))</f>
        <v/>
      </c>
      <c r="O271" s="6" t="str">
        <f>IF(OR($E271="",$F271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1" s="4"/>
      <c r="Q271" s="4"/>
      <c r="R271" s="4"/>
      <c r="S271" s="4"/>
      <c r="T271" s="4"/>
      <c r="U271" s="4"/>
      <c r="V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HYPERLINK(IF(OR(JobState="MI",JobState=""),"https://fema.maps.arcgis.com/apps/mapviewer/index.html?webmap=6a1702b9147243d1a5ee62cd614bc681&amp;center="&amp;$F272&amp;","&amp;$E272&amp;"&amp;level=16&amp;marker="&amp;$F272&amp;","&amp;$E272&amp;"",IF(JobState="IN","https://fema.maps.arcgis.com/apps/mapviewer/index.html?url=https%3A%2F%2Fgisdata.in.gov%2Fserver%2Frest%2Fservices%2FHosted%2FLRSE_Functional_Class%2FFeatureServer%2F22&amp;find="&amp;$F272&amp;"%2C"&amp;$E272&amp;"&amp;marker="&amp;$F272&amp;","&amp;$E272&amp;",4326&amp;level=16",IF(JobState="WI","https://fema.maps.arcgis.com/apps/mapviewer/index.html?url=https%3A%2F%2Fservices5.arcgis.com%2F0pgGLzT0Nh7FVjon%2Farcgis%2Frest%2Fservices%2FFFCL_gdb%2FFeatureServer%2F3&amp;find="&amp;$F272&amp;"%2C"&amp;$E272&amp;"&amp;marker="&amp;$F272&amp;","&amp;$E272&amp;",4326&amp;level=16","https://fema.maps.arcgis.com/apps/mapviewer/index.html?find="&amp;$F272&amp;"%2C"&amp;$E272&amp;"&amp;marker="&amp;$F272&amp;","&amp;$E272&amp;",4326&amp;level=16"))),"Open"))</f>
        <v/>
      </c>
      <c r="N272" s="6" t="str">
        <f>IF(OR(JobAgolMap="", $E272="", $F272=""),"",HYPERLINK(JobAgolMap&amp;IF(ISNUMBER(FIND("?",JobAgolMap)),"&amp;","?")&amp;"center="&amp;$F272&amp;","&amp;$E272&amp;"&amp;level=16&amp;marker="&amp;$F272&amp;","&amp;$E272,"Open"))</f>
        <v/>
      </c>
      <c r="O272" s="6" t="str">
        <f>IF(OR($E272="",$F272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2" s="4"/>
      <c r="Q272" s="4"/>
      <c r="R272" s="4"/>
      <c r="S272" s="4"/>
      <c r="T272" s="4"/>
      <c r="U272" s="4"/>
      <c r="V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HYPERLINK(IF(OR(JobState="MI",JobState=""),"https://fema.maps.arcgis.com/apps/mapviewer/index.html?webmap=6a1702b9147243d1a5ee62cd614bc681&amp;center="&amp;$F273&amp;","&amp;$E273&amp;"&amp;level=16&amp;marker="&amp;$F273&amp;","&amp;$E273&amp;"",IF(JobState="IN","https://fema.maps.arcgis.com/apps/mapviewer/index.html?url=https%3A%2F%2Fgisdata.in.gov%2Fserver%2Frest%2Fservices%2FHosted%2FLRSE_Functional_Class%2FFeatureServer%2F22&amp;find="&amp;$F273&amp;"%2C"&amp;$E273&amp;"&amp;marker="&amp;$F273&amp;","&amp;$E273&amp;",4326&amp;level=16",IF(JobState="WI","https://fema.maps.arcgis.com/apps/mapviewer/index.html?url=https%3A%2F%2Fservices5.arcgis.com%2F0pgGLzT0Nh7FVjon%2Farcgis%2Frest%2Fservices%2FFFCL_gdb%2FFeatureServer%2F3&amp;find="&amp;$F273&amp;"%2C"&amp;$E273&amp;"&amp;marker="&amp;$F273&amp;","&amp;$E273&amp;",4326&amp;level=16","https://fema.maps.arcgis.com/apps/mapviewer/index.html?find="&amp;$F273&amp;"%2C"&amp;$E273&amp;"&amp;marker="&amp;$F273&amp;","&amp;$E273&amp;",4326&amp;level=16"))),"Open"))</f>
        <v/>
      </c>
      <c r="N273" s="6" t="str">
        <f>IF(OR(JobAgolMap="", $E273="", $F273=""),"",HYPERLINK(JobAgolMap&amp;IF(ISNUMBER(FIND("?",JobAgolMap)),"&amp;","?")&amp;"center="&amp;$F273&amp;","&amp;$E273&amp;"&amp;level=16&amp;marker="&amp;$F273&amp;","&amp;$E273,"Open"))</f>
        <v/>
      </c>
      <c r="O273" s="6" t="str">
        <f>IF(OR($E273="",$F273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3" s="4"/>
      <c r="Q273" s="4"/>
      <c r="R273" s="4"/>
      <c r="S273" s="4"/>
      <c r="T273" s="4"/>
      <c r="U273" s="4"/>
      <c r="V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HYPERLINK(IF(OR(JobState="MI",JobState=""),"https://fema.maps.arcgis.com/apps/mapviewer/index.html?webmap=6a1702b9147243d1a5ee62cd614bc681&amp;center="&amp;$F274&amp;","&amp;$E274&amp;"&amp;level=16&amp;marker="&amp;$F274&amp;","&amp;$E274&amp;"",IF(JobState="IN","https://fema.maps.arcgis.com/apps/mapviewer/index.html?url=https%3A%2F%2Fgisdata.in.gov%2Fserver%2Frest%2Fservices%2FHosted%2FLRSE_Functional_Class%2FFeatureServer%2F22&amp;find="&amp;$F274&amp;"%2C"&amp;$E274&amp;"&amp;marker="&amp;$F274&amp;","&amp;$E274&amp;",4326&amp;level=16",IF(JobState="WI","https://fema.maps.arcgis.com/apps/mapviewer/index.html?url=https%3A%2F%2Fservices5.arcgis.com%2F0pgGLzT0Nh7FVjon%2Farcgis%2Frest%2Fservices%2FFFCL_gdb%2FFeatureServer%2F3&amp;find="&amp;$F274&amp;"%2C"&amp;$E274&amp;"&amp;marker="&amp;$F274&amp;","&amp;$E274&amp;",4326&amp;level=16","https://fema.maps.arcgis.com/apps/mapviewer/index.html?find="&amp;$F274&amp;"%2C"&amp;$E274&amp;"&amp;marker="&amp;$F274&amp;","&amp;$E274&amp;",4326&amp;level=16"))),"Open"))</f>
        <v/>
      </c>
      <c r="N274" s="6" t="str">
        <f>IF(OR(JobAgolMap="", $E274="", $F274=""),"",HYPERLINK(JobAgolMap&amp;IF(ISNUMBER(FIND("?",JobAgolMap)),"&amp;","?")&amp;"center="&amp;$F274&amp;","&amp;$E274&amp;"&amp;level=16&amp;marker="&amp;$F274&amp;","&amp;$E274,"Open"))</f>
        <v/>
      </c>
      <c r="O274" s="6" t="str">
        <f>IF(OR($E274="",$F274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4" s="4"/>
      <c r="Q274" s="4"/>
      <c r="R274" s="4"/>
      <c r="S274" s="4"/>
      <c r="T274" s="4"/>
      <c r="U274" s="4"/>
      <c r="V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HYPERLINK(IF(OR(JobState="MI",JobState=""),"https://fema.maps.arcgis.com/apps/mapviewer/index.html?webmap=6a1702b9147243d1a5ee62cd614bc681&amp;center="&amp;$F275&amp;","&amp;$E275&amp;"&amp;level=16&amp;marker="&amp;$F275&amp;","&amp;$E275&amp;"",IF(JobState="IN","https://fema.maps.arcgis.com/apps/mapviewer/index.html?url=https%3A%2F%2Fgisdata.in.gov%2Fserver%2Frest%2Fservices%2FHosted%2FLRSE_Functional_Class%2FFeatureServer%2F22&amp;find="&amp;$F275&amp;"%2C"&amp;$E275&amp;"&amp;marker="&amp;$F275&amp;","&amp;$E275&amp;",4326&amp;level=16",IF(JobState="WI","https://fema.maps.arcgis.com/apps/mapviewer/index.html?url=https%3A%2F%2Fservices5.arcgis.com%2F0pgGLzT0Nh7FVjon%2Farcgis%2Frest%2Fservices%2FFFCL_gdb%2FFeatureServer%2F3&amp;find="&amp;$F275&amp;"%2C"&amp;$E275&amp;"&amp;marker="&amp;$F275&amp;","&amp;$E275&amp;",4326&amp;level=16","https://fema.maps.arcgis.com/apps/mapviewer/index.html?find="&amp;$F275&amp;"%2C"&amp;$E275&amp;"&amp;marker="&amp;$F275&amp;","&amp;$E275&amp;",4326&amp;level=16"))),"Open"))</f>
        <v/>
      </c>
      <c r="N275" s="6" t="str">
        <f>IF(OR(JobAgolMap="", $E275="", $F275=""),"",HYPERLINK(JobAgolMap&amp;IF(ISNUMBER(FIND("?",JobAgolMap)),"&amp;","?")&amp;"center="&amp;$F275&amp;","&amp;$E275&amp;"&amp;level=16&amp;marker="&amp;$F275&amp;","&amp;$E275,"Open"))</f>
        <v/>
      </c>
      <c r="O275" s="6" t="str">
        <f>IF(OR($E275="",$F275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5" s="4"/>
      <c r="Q275" s="4"/>
      <c r="R275" s="4"/>
      <c r="S275" s="4"/>
      <c r="T275" s="4"/>
      <c r="U275" s="4"/>
      <c r="V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HYPERLINK(IF(OR(JobState="MI",JobState=""),"https://fema.maps.arcgis.com/apps/mapviewer/index.html?webmap=6a1702b9147243d1a5ee62cd614bc681&amp;center="&amp;$F276&amp;","&amp;$E276&amp;"&amp;level=16&amp;marker="&amp;$F276&amp;","&amp;$E276&amp;"",IF(JobState="IN","https://fema.maps.arcgis.com/apps/mapviewer/index.html?url=https%3A%2F%2Fgisdata.in.gov%2Fserver%2Frest%2Fservices%2FHosted%2FLRSE_Functional_Class%2FFeatureServer%2F22&amp;find="&amp;$F276&amp;"%2C"&amp;$E276&amp;"&amp;marker="&amp;$F276&amp;","&amp;$E276&amp;",4326&amp;level=16",IF(JobState="WI","https://fema.maps.arcgis.com/apps/mapviewer/index.html?url=https%3A%2F%2Fservices5.arcgis.com%2F0pgGLzT0Nh7FVjon%2Farcgis%2Frest%2Fservices%2FFFCL_gdb%2FFeatureServer%2F3&amp;find="&amp;$F276&amp;"%2C"&amp;$E276&amp;"&amp;marker="&amp;$F276&amp;","&amp;$E276&amp;",4326&amp;level=16","https://fema.maps.arcgis.com/apps/mapviewer/index.html?find="&amp;$F276&amp;"%2C"&amp;$E276&amp;"&amp;marker="&amp;$F276&amp;","&amp;$E276&amp;",4326&amp;level=16"))),"Open"))</f>
        <v/>
      </c>
      <c r="N276" s="6" t="str">
        <f>IF(OR(JobAgolMap="", $E276="", $F276=""),"",HYPERLINK(JobAgolMap&amp;IF(ISNUMBER(FIND("?",JobAgolMap)),"&amp;","?")&amp;"center="&amp;$F276&amp;","&amp;$E276&amp;"&amp;level=16&amp;marker="&amp;$F276&amp;","&amp;$E276,"Open"))</f>
        <v/>
      </c>
      <c r="O276" s="6" t="str">
        <f>IF(OR($E276="",$F276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6" s="4"/>
      <c r="Q276" s="4"/>
      <c r="R276" s="4"/>
      <c r="S276" s="4"/>
      <c r="T276" s="4"/>
      <c r="U276" s="4"/>
      <c r="V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HYPERLINK(IF(OR(JobState="MI",JobState=""),"https://fema.maps.arcgis.com/apps/mapviewer/index.html?webmap=6a1702b9147243d1a5ee62cd614bc681&amp;center="&amp;$F277&amp;","&amp;$E277&amp;"&amp;level=16&amp;marker="&amp;$F277&amp;","&amp;$E277&amp;"",IF(JobState="IN","https://fema.maps.arcgis.com/apps/mapviewer/index.html?url=https%3A%2F%2Fgisdata.in.gov%2Fserver%2Frest%2Fservices%2FHosted%2FLRSE_Functional_Class%2FFeatureServer%2F22&amp;find="&amp;$F277&amp;"%2C"&amp;$E277&amp;"&amp;marker="&amp;$F277&amp;","&amp;$E277&amp;",4326&amp;level=16",IF(JobState="WI","https://fema.maps.arcgis.com/apps/mapviewer/index.html?url=https%3A%2F%2Fservices5.arcgis.com%2F0pgGLzT0Nh7FVjon%2Farcgis%2Frest%2Fservices%2FFFCL_gdb%2FFeatureServer%2F3&amp;find="&amp;$F277&amp;"%2C"&amp;$E277&amp;"&amp;marker="&amp;$F277&amp;","&amp;$E277&amp;",4326&amp;level=16","https://fema.maps.arcgis.com/apps/mapviewer/index.html?find="&amp;$F277&amp;"%2C"&amp;$E277&amp;"&amp;marker="&amp;$F277&amp;","&amp;$E277&amp;",4326&amp;level=16"))),"Open"))</f>
        <v/>
      </c>
      <c r="N277" s="6" t="str">
        <f>IF(OR(JobAgolMap="", $E277="", $F277=""),"",HYPERLINK(JobAgolMap&amp;IF(ISNUMBER(FIND("?",JobAgolMap)),"&amp;","?")&amp;"center="&amp;$F277&amp;","&amp;$E277&amp;"&amp;level=16&amp;marker="&amp;$F277&amp;","&amp;$E277,"Open"))</f>
        <v/>
      </c>
      <c r="O277" s="6" t="str">
        <f>IF(OR($E277="",$F277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7" s="4"/>
      <c r="Q277" s="4"/>
      <c r="R277" s="4"/>
      <c r="S277" s="4"/>
      <c r="T277" s="4"/>
      <c r="U277" s="4"/>
      <c r="V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HYPERLINK(IF(OR(JobState="MI",JobState=""),"https://fema.maps.arcgis.com/apps/mapviewer/index.html?webmap=6a1702b9147243d1a5ee62cd614bc681&amp;center="&amp;$F278&amp;","&amp;$E278&amp;"&amp;level=16&amp;marker="&amp;$F278&amp;","&amp;$E278&amp;"",IF(JobState="IN","https://fema.maps.arcgis.com/apps/mapviewer/index.html?url=https%3A%2F%2Fgisdata.in.gov%2Fserver%2Frest%2Fservices%2FHosted%2FLRSE_Functional_Class%2FFeatureServer%2F22&amp;find="&amp;$F278&amp;"%2C"&amp;$E278&amp;"&amp;marker="&amp;$F278&amp;","&amp;$E278&amp;",4326&amp;level=16",IF(JobState="WI","https://fema.maps.arcgis.com/apps/mapviewer/index.html?url=https%3A%2F%2Fservices5.arcgis.com%2F0pgGLzT0Nh7FVjon%2Farcgis%2Frest%2Fservices%2FFFCL_gdb%2FFeatureServer%2F3&amp;find="&amp;$F278&amp;"%2C"&amp;$E278&amp;"&amp;marker="&amp;$F278&amp;","&amp;$E278&amp;",4326&amp;level=16","https://fema.maps.arcgis.com/apps/mapviewer/index.html?find="&amp;$F278&amp;"%2C"&amp;$E278&amp;"&amp;marker="&amp;$F278&amp;","&amp;$E278&amp;",4326&amp;level=16"))),"Open"))</f>
        <v/>
      </c>
      <c r="N278" s="6" t="str">
        <f>IF(OR(JobAgolMap="", $E278="", $F278=""),"",HYPERLINK(JobAgolMap&amp;IF(ISNUMBER(FIND("?",JobAgolMap)),"&amp;","?")&amp;"center="&amp;$F278&amp;","&amp;$E278&amp;"&amp;level=16&amp;marker="&amp;$F278&amp;","&amp;$E278,"Open"))</f>
        <v/>
      </c>
      <c r="O278" s="6" t="str">
        <f>IF(OR($E278="",$F278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8" s="4"/>
      <c r="Q278" s="4"/>
      <c r="R278" s="4"/>
      <c r="S278" s="4"/>
      <c r="T278" s="4"/>
      <c r="U278" s="4"/>
      <c r="V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HYPERLINK(IF(OR(JobState="MI",JobState=""),"https://fema.maps.arcgis.com/apps/mapviewer/index.html?webmap=6a1702b9147243d1a5ee62cd614bc681&amp;center="&amp;$F279&amp;","&amp;$E279&amp;"&amp;level=16&amp;marker="&amp;$F279&amp;","&amp;$E279&amp;"",IF(JobState="IN","https://fema.maps.arcgis.com/apps/mapviewer/index.html?url=https%3A%2F%2Fgisdata.in.gov%2Fserver%2Frest%2Fservices%2FHosted%2FLRSE_Functional_Class%2FFeatureServer%2F22&amp;find="&amp;$F279&amp;"%2C"&amp;$E279&amp;"&amp;marker="&amp;$F279&amp;","&amp;$E279&amp;",4326&amp;level=16",IF(JobState="WI","https://fema.maps.arcgis.com/apps/mapviewer/index.html?url=https%3A%2F%2Fservices5.arcgis.com%2F0pgGLzT0Nh7FVjon%2Farcgis%2Frest%2Fservices%2FFFCL_gdb%2FFeatureServer%2F3&amp;find="&amp;$F279&amp;"%2C"&amp;$E279&amp;"&amp;marker="&amp;$F279&amp;","&amp;$E279&amp;",4326&amp;level=16","https://fema.maps.arcgis.com/apps/mapviewer/index.html?find="&amp;$F279&amp;"%2C"&amp;$E279&amp;"&amp;marker="&amp;$F279&amp;","&amp;$E279&amp;",4326&amp;level=16"))),"Open"))</f>
        <v/>
      </c>
      <c r="N279" s="6" t="str">
        <f>IF(OR(JobAgolMap="", $E279="", $F279=""),"",HYPERLINK(JobAgolMap&amp;IF(ISNUMBER(FIND("?",JobAgolMap)),"&amp;","?")&amp;"center="&amp;$F279&amp;","&amp;$E279&amp;"&amp;level=16&amp;marker="&amp;$F279&amp;","&amp;$E279,"Open"))</f>
        <v/>
      </c>
      <c r="O279" s="6" t="str">
        <f>IF(OR($E279="",$F279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9" s="4"/>
      <c r="Q279" s="4"/>
      <c r="R279" s="4"/>
      <c r="S279" s="4"/>
      <c r="T279" s="4"/>
      <c r="U279" s="4"/>
      <c r="V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HYPERLINK(IF(OR(JobState="MI",JobState=""),"https://fema.maps.arcgis.com/apps/mapviewer/index.html?webmap=6a1702b9147243d1a5ee62cd614bc681&amp;center="&amp;$F280&amp;","&amp;$E280&amp;"&amp;level=16&amp;marker="&amp;$F280&amp;","&amp;$E280&amp;"",IF(JobState="IN","https://fema.maps.arcgis.com/apps/mapviewer/index.html?url=https%3A%2F%2Fgisdata.in.gov%2Fserver%2Frest%2Fservices%2FHosted%2FLRSE_Functional_Class%2FFeatureServer%2F22&amp;find="&amp;$F280&amp;"%2C"&amp;$E280&amp;"&amp;marker="&amp;$F280&amp;","&amp;$E280&amp;",4326&amp;level=16",IF(JobState="WI","https://fema.maps.arcgis.com/apps/mapviewer/index.html?url=https%3A%2F%2Fservices5.arcgis.com%2F0pgGLzT0Nh7FVjon%2Farcgis%2Frest%2Fservices%2FFFCL_gdb%2FFeatureServer%2F3&amp;find="&amp;$F280&amp;"%2C"&amp;$E280&amp;"&amp;marker="&amp;$F280&amp;","&amp;$E280&amp;",4326&amp;level=16","https://fema.maps.arcgis.com/apps/mapviewer/index.html?find="&amp;$F280&amp;"%2C"&amp;$E280&amp;"&amp;marker="&amp;$F280&amp;","&amp;$E280&amp;",4326&amp;level=16"))),"Open"))</f>
        <v/>
      </c>
      <c r="N280" s="6" t="str">
        <f>IF(OR(JobAgolMap="", $E280="", $F280=""),"",HYPERLINK(JobAgolMap&amp;IF(ISNUMBER(FIND("?",JobAgolMap)),"&amp;","?")&amp;"center="&amp;$F280&amp;","&amp;$E280&amp;"&amp;level=16&amp;marker="&amp;$F280&amp;","&amp;$E280,"Open"))</f>
        <v/>
      </c>
      <c r="O280" s="6" t="str">
        <f>IF(OR($E280="",$F280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0" s="4"/>
      <c r="Q280" s="4"/>
      <c r="R280" s="4"/>
      <c r="S280" s="4"/>
      <c r="T280" s="4"/>
      <c r="U280" s="4"/>
      <c r="V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HYPERLINK(IF(OR(JobState="MI",JobState=""),"https://fema.maps.arcgis.com/apps/mapviewer/index.html?webmap=6a1702b9147243d1a5ee62cd614bc681&amp;center="&amp;$F281&amp;","&amp;$E281&amp;"&amp;level=16&amp;marker="&amp;$F281&amp;","&amp;$E281&amp;"",IF(JobState="IN","https://fema.maps.arcgis.com/apps/mapviewer/index.html?url=https%3A%2F%2Fgisdata.in.gov%2Fserver%2Frest%2Fservices%2FHosted%2FLRSE_Functional_Class%2FFeatureServer%2F22&amp;find="&amp;$F281&amp;"%2C"&amp;$E281&amp;"&amp;marker="&amp;$F281&amp;","&amp;$E281&amp;",4326&amp;level=16",IF(JobState="WI","https://fema.maps.arcgis.com/apps/mapviewer/index.html?url=https%3A%2F%2Fservices5.arcgis.com%2F0pgGLzT0Nh7FVjon%2Farcgis%2Frest%2Fservices%2FFFCL_gdb%2FFeatureServer%2F3&amp;find="&amp;$F281&amp;"%2C"&amp;$E281&amp;"&amp;marker="&amp;$F281&amp;","&amp;$E281&amp;",4326&amp;level=16","https://fema.maps.arcgis.com/apps/mapviewer/index.html?find="&amp;$F281&amp;"%2C"&amp;$E281&amp;"&amp;marker="&amp;$F281&amp;","&amp;$E281&amp;",4326&amp;level=16"))),"Open"))</f>
        <v/>
      </c>
      <c r="N281" s="6" t="str">
        <f>IF(OR(JobAgolMap="", $E281="", $F281=""),"",HYPERLINK(JobAgolMap&amp;IF(ISNUMBER(FIND("?",JobAgolMap)),"&amp;","?")&amp;"center="&amp;$F281&amp;","&amp;$E281&amp;"&amp;level=16&amp;marker="&amp;$F281&amp;","&amp;$E281,"Open"))</f>
        <v/>
      </c>
      <c r="O281" s="6" t="str">
        <f>IF(OR($E281="",$F281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1" s="4"/>
      <c r="Q281" s="4"/>
      <c r="R281" s="4"/>
      <c r="S281" s="4"/>
      <c r="T281" s="4"/>
      <c r="U281" s="4"/>
      <c r="V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HYPERLINK(IF(OR(JobState="MI",JobState=""),"https://fema.maps.arcgis.com/apps/mapviewer/index.html?webmap=6a1702b9147243d1a5ee62cd614bc681&amp;center="&amp;$F282&amp;","&amp;$E282&amp;"&amp;level=16&amp;marker="&amp;$F282&amp;","&amp;$E282&amp;"",IF(JobState="IN","https://fema.maps.arcgis.com/apps/mapviewer/index.html?url=https%3A%2F%2Fgisdata.in.gov%2Fserver%2Frest%2Fservices%2FHosted%2FLRSE_Functional_Class%2FFeatureServer%2F22&amp;find="&amp;$F282&amp;"%2C"&amp;$E282&amp;"&amp;marker="&amp;$F282&amp;","&amp;$E282&amp;",4326&amp;level=16",IF(JobState="WI","https://fema.maps.arcgis.com/apps/mapviewer/index.html?url=https%3A%2F%2Fservices5.arcgis.com%2F0pgGLzT0Nh7FVjon%2Farcgis%2Frest%2Fservices%2FFFCL_gdb%2FFeatureServer%2F3&amp;find="&amp;$F282&amp;"%2C"&amp;$E282&amp;"&amp;marker="&amp;$F282&amp;","&amp;$E282&amp;",4326&amp;level=16","https://fema.maps.arcgis.com/apps/mapviewer/index.html?find="&amp;$F282&amp;"%2C"&amp;$E282&amp;"&amp;marker="&amp;$F282&amp;","&amp;$E282&amp;",4326&amp;level=16"))),"Open"))</f>
        <v/>
      </c>
      <c r="N282" s="6" t="str">
        <f>IF(OR(JobAgolMap="", $E282="", $F282=""),"",HYPERLINK(JobAgolMap&amp;IF(ISNUMBER(FIND("?",JobAgolMap)),"&amp;","?")&amp;"center="&amp;$F282&amp;","&amp;$E282&amp;"&amp;level=16&amp;marker="&amp;$F282&amp;","&amp;$E282,"Open"))</f>
        <v/>
      </c>
      <c r="O282" s="6" t="str">
        <f>IF(OR($E282="",$F282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2" s="4"/>
      <c r="Q282" s="4"/>
      <c r="R282" s="4"/>
      <c r="S282" s="4"/>
      <c r="T282" s="4"/>
      <c r="U282" s="4"/>
      <c r="V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HYPERLINK(IF(OR(JobState="MI",JobState=""),"https://fema.maps.arcgis.com/apps/mapviewer/index.html?webmap=6a1702b9147243d1a5ee62cd614bc681&amp;center="&amp;$F283&amp;","&amp;$E283&amp;"&amp;level=16&amp;marker="&amp;$F283&amp;","&amp;$E283&amp;"",IF(JobState="IN","https://fema.maps.arcgis.com/apps/mapviewer/index.html?url=https%3A%2F%2Fgisdata.in.gov%2Fserver%2Frest%2Fservices%2FHosted%2FLRSE_Functional_Class%2FFeatureServer%2F22&amp;find="&amp;$F283&amp;"%2C"&amp;$E283&amp;"&amp;marker="&amp;$F283&amp;","&amp;$E283&amp;",4326&amp;level=16",IF(JobState="WI","https://fema.maps.arcgis.com/apps/mapviewer/index.html?url=https%3A%2F%2Fservices5.arcgis.com%2F0pgGLzT0Nh7FVjon%2Farcgis%2Frest%2Fservices%2FFFCL_gdb%2FFeatureServer%2F3&amp;find="&amp;$F283&amp;"%2C"&amp;$E283&amp;"&amp;marker="&amp;$F283&amp;","&amp;$E283&amp;",4326&amp;level=16","https://fema.maps.arcgis.com/apps/mapviewer/index.html?find="&amp;$F283&amp;"%2C"&amp;$E283&amp;"&amp;marker="&amp;$F283&amp;","&amp;$E283&amp;",4326&amp;level=16"))),"Open"))</f>
        <v/>
      </c>
      <c r="N283" s="6" t="str">
        <f>IF(OR(JobAgolMap="", $E283="", $F283=""),"",HYPERLINK(JobAgolMap&amp;IF(ISNUMBER(FIND("?",JobAgolMap)),"&amp;","?")&amp;"center="&amp;$F283&amp;","&amp;$E283&amp;"&amp;level=16&amp;marker="&amp;$F283&amp;","&amp;$E283,"Open"))</f>
        <v/>
      </c>
      <c r="O283" s="6" t="str">
        <f>IF(OR($E283="",$F283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3" s="4"/>
      <c r="Q283" s="4"/>
      <c r="R283" s="4"/>
      <c r="S283" s="4"/>
      <c r="T283" s="4"/>
      <c r="U283" s="4"/>
      <c r="V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HYPERLINK(IF(OR(JobState="MI",JobState=""),"https://fema.maps.arcgis.com/apps/mapviewer/index.html?webmap=6a1702b9147243d1a5ee62cd614bc681&amp;center="&amp;$F284&amp;","&amp;$E284&amp;"&amp;level=16&amp;marker="&amp;$F284&amp;","&amp;$E284&amp;"",IF(JobState="IN","https://fema.maps.arcgis.com/apps/mapviewer/index.html?url=https%3A%2F%2Fgisdata.in.gov%2Fserver%2Frest%2Fservices%2FHosted%2FLRSE_Functional_Class%2FFeatureServer%2F22&amp;find="&amp;$F284&amp;"%2C"&amp;$E284&amp;"&amp;marker="&amp;$F284&amp;","&amp;$E284&amp;",4326&amp;level=16",IF(JobState="WI","https://fema.maps.arcgis.com/apps/mapviewer/index.html?url=https%3A%2F%2Fservices5.arcgis.com%2F0pgGLzT0Nh7FVjon%2Farcgis%2Frest%2Fservices%2FFFCL_gdb%2FFeatureServer%2F3&amp;find="&amp;$F284&amp;"%2C"&amp;$E284&amp;"&amp;marker="&amp;$F284&amp;","&amp;$E284&amp;",4326&amp;level=16","https://fema.maps.arcgis.com/apps/mapviewer/index.html?find="&amp;$F284&amp;"%2C"&amp;$E284&amp;"&amp;marker="&amp;$F284&amp;","&amp;$E284&amp;",4326&amp;level=16"))),"Open"))</f>
        <v/>
      </c>
      <c r="N284" s="6" t="str">
        <f>IF(OR(JobAgolMap="", $E284="", $F284=""),"",HYPERLINK(JobAgolMap&amp;IF(ISNUMBER(FIND("?",JobAgolMap)),"&amp;","?")&amp;"center="&amp;$F284&amp;","&amp;$E284&amp;"&amp;level=16&amp;marker="&amp;$F284&amp;","&amp;$E284,"Open"))</f>
        <v/>
      </c>
      <c r="O284" s="6" t="str">
        <f>IF(OR($E284="",$F284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4" s="4"/>
      <c r="Q284" s="4"/>
      <c r="R284" s="4"/>
      <c r="S284" s="4"/>
      <c r="T284" s="4"/>
      <c r="U284" s="4"/>
      <c r="V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HYPERLINK(IF(OR(JobState="MI",JobState=""),"https://fema.maps.arcgis.com/apps/mapviewer/index.html?webmap=6a1702b9147243d1a5ee62cd614bc681&amp;center="&amp;$F285&amp;","&amp;$E285&amp;"&amp;level=16&amp;marker="&amp;$F285&amp;","&amp;$E285&amp;"",IF(JobState="IN","https://fema.maps.arcgis.com/apps/mapviewer/index.html?url=https%3A%2F%2Fgisdata.in.gov%2Fserver%2Frest%2Fservices%2FHosted%2FLRSE_Functional_Class%2FFeatureServer%2F22&amp;find="&amp;$F285&amp;"%2C"&amp;$E285&amp;"&amp;marker="&amp;$F285&amp;","&amp;$E285&amp;",4326&amp;level=16",IF(JobState="WI","https://fema.maps.arcgis.com/apps/mapviewer/index.html?url=https%3A%2F%2Fservices5.arcgis.com%2F0pgGLzT0Nh7FVjon%2Farcgis%2Frest%2Fservices%2FFFCL_gdb%2FFeatureServer%2F3&amp;find="&amp;$F285&amp;"%2C"&amp;$E285&amp;"&amp;marker="&amp;$F285&amp;","&amp;$E285&amp;",4326&amp;level=16","https://fema.maps.arcgis.com/apps/mapviewer/index.html?find="&amp;$F285&amp;"%2C"&amp;$E285&amp;"&amp;marker="&amp;$F285&amp;","&amp;$E285&amp;",4326&amp;level=16"))),"Open"))</f>
        <v/>
      </c>
      <c r="N285" s="6" t="str">
        <f>IF(OR(JobAgolMap="", $E285="", $F285=""),"",HYPERLINK(JobAgolMap&amp;IF(ISNUMBER(FIND("?",JobAgolMap)),"&amp;","?")&amp;"center="&amp;$F285&amp;","&amp;$E285&amp;"&amp;level=16&amp;marker="&amp;$F285&amp;","&amp;$E285,"Open"))</f>
        <v/>
      </c>
      <c r="O285" s="6" t="str">
        <f>IF(OR($E285="",$F285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5" s="4"/>
      <c r="Q285" s="4"/>
      <c r="R285" s="4"/>
      <c r="S285" s="4"/>
      <c r="T285" s="4"/>
      <c r="U285" s="4"/>
      <c r="V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HYPERLINK(IF(OR(JobState="MI",JobState=""),"https://fema.maps.arcgis.com/apps/mapviewer/index.html?webmap=6a1702b9147243d1a5ee62cd614bc681&amp;center="&amp;$F286&amp;","&amp;$E286&amp;"&amp;level=16&amp;marker="&amp;$F286&amp;","&amp;$E286&amp;"",IF(JobState="IN","https://fema.maps.arcgis.com/apps/mapviewer/index.html?url=https%3A%2F%2Fgisdata.in.gov%2Fserver%2Frest%2Fservices%2FHosted%2FLRSE_Functional_Class%2FFeatureServer%2F22&amp;find="&amp;$F286&amp;"%2C"&amp;$E286&amp;"&amp;marker="&amp;$F286&amp;","&amp;$E286&amp;",4326&amp;level=16",IF(JobState="WI","https://fema.maps.arcgis.com/apps/mapviewer/index.html?url=https%3A%2F%2Fservices5.arcgis.com%2F0pgGLzT0Nh7FVjon%2Farcgis%2Frest%2Fservices%2FFFCL_gdb%2FFeatureServer%2F3&amp;find="&amp;$F286&amp;"%2C"&amp;$E286&amp;"&amp;marker="&amp;$F286&amp;","&amp;$E286&amp;",4326&amp;level=16","https://fema.maps.arcgis.com/apps/mapviewer/index.html?find="&amp;$F286&amp;"%2C"&amp;$E286&amp;"&amp;marker="&amp;$F286&amp;","&amp;$E286&amp;",4326&amp;level=16"))),"Open"))</f>
        <v/>
      </c>
      <c r="N286" s="6" t="str">
        <f>IF(OR(JobAgolMap="", $E286="", $F286=""),"",HYPERLINK(JobAgolMap&amp;IF(ISNUMBER(FIND("?",JobAgolMap)),"&amp;","?")&amp;"center="&amp;$F286&amp;","&amp;$E286&amp;"&amp;level=16&amp;marker="&amp;$F286&amp;","&amp;$E286,"Open"))</f>
        <v/>
      </c>
      <c r="O286" s="6" t="str">
        <f>IF(OR($E286="",$F286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6" s="4"/>
      <c r="Q286" s="4"/>
      <c r="R286" s="4"/>
      <c r="S286" s="4"/>
      <c r="T286" s="4"/>
      <c r="U286" s="4"/>
      <c r="V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HYPERLINK(IF(OR(JobState="MI",JobState=""),"https://fema.maps.arcgis.com/apps/mapviewer/index.html?webmap=6a1702b9147243d1a5ee62cd614bc681&amp;center="&amp;$F287&amp;","&amp;$E287&amp;"&amp;level=16&amp;marker="&amp;$F287&amp;","&amp;$E287&amp;"",IF(JobState="IN","https://fema.maps.arcgis.com/apps/mapviewer/index.html?url=https%3A%2F%2Fgisdata.in.gov%2Fserver%2Frest%2Fservices%2FHosted%2FLRSE_Functional_Class%2FFeatureServer%2F22&amp;find="&amp;$F287&amp;"%2C"&amp;$E287&amp;"&amp;marker="&amp;$F287&amp;","&amp;$E287&amp;",4326&amp;level=16",IF(JobState="WI","https://fema.maps.arcgis.com/apps/mapviewer/index.html?url=https%3A%2F%2Fservices5.arcgis.com%2F0pgGLzT0Nh7FVjon%2Farcgis%2Frest%2Fservices%2FFFCL_gdb%2FFeatureServer%2F3&amp;find="&amp;$F287&amp;"%2C"&amp;$E287&amp;"&amp;marker="&amp;$F287&amp;","&amp;$E287&amp;",4326&amp;level=16","https://fema.maps.arcgis.com/apps/mapviewer/index.html?find="&amp;$F287&amp;"%2C"&amp;$E287&amp;"&amp;marker="&amp;$F287&amp;","&amp;$E287&amp;",4326&amp;level=16"))),"Open"))</f>
        <v/>
      </c>
      <c r="N287" s="6" t="str">
        <f>IF(OR(JobAgolMap="", $E287="", $F287=""),"",HYPERLINK(JobAgolMap&amp;IF(ISNUMBER(FIND("?",JobAgolMap)),"&amp;","?")&amp;"center="&amp;$F287&amp;","&amp;$E287&amp;"&amp;level=16&amp;marker="&amp;$F287&amp;","&amp;$E287,"Open"))</f>
        <v/>
      </c>
      <c r="O287" s="6" t="str">
        <f>IF(OR($E287="",$F287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7" s="4"/>
      <c r="Q287" s="4"/>
      <c r="R287" s="4"/>
      <c r="S287" s="4"/>
      <c r="T287" s="4"/>
      <c r="U287" s="4"/>
      <c r="V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HYPERLINK(IF(OR(JobState="MI",JobState=""),"https://fema.maps.arcgis.com/apps/mapviewer/index.html?webmap=6a1702b9147243d1a5ee62cd614bc681&amp;center="&amp;$F288&amp;","&amp;$E288&amp;"&amp;level=16&amp;marker="&amp;$F288&amp;","&amp;$E288&amp;"",IF(JobState="IN","https://fema.maps.arcgis.com/apps/mapviewer/index.html?url=https%3A%2F%2Fgisdata.in.gov%2Fserver%2Frest%2Fservices%2FHosted%2FLRSE_Functional_Class%2FFeatureServer%2F22&amp;find="&amp;$F288&amp;"%2C"&amp;$E288&amp;"&amp;marker="&amp;$F288&amp;","&amp;$E288&amp;",4326&amp;level=16",IF(JobState="WI","https://fema.maps.arcgis.com/apps/mapviewer/index.html?url=https%3A%2F%2Fservices5.arcgis.com%2F0pgGLzT0Nh7FVjon%2Farcgis%2Frest%2Fservices%2FFFCL_gdb%2FFeatureServer%2F3&amp;find="&amp;$F288&amp;"%2C"&amp;$E288&amp;"&amp;marker="&amp;$F288&amp;","&amp;$E288&amp;",4326&amp;level=16","https://fema.maps.arcgis.com/apps/mapviewer/index.html?find="&amp;$F288&amp;"%2C"&amp;$E288&amp;"&amp;marker="&amp;$F288&amp;","&amp;$E288&amp;",4326&amp;level=16"))),"Open"))</f>
        <v/>
      </c>
      <c r="N288" s="6" t="str">
        <f>IF(OR(JobAgolMap="", $E288="", $F288=""),"",HYPERLINK(JobAgolMap&amp;IF(ISNUMBER(FIND("?",JobAgolMap)),"&amp;","?")&amp;"center="&amp;$F288&amp;","&amp;$E288&amp;"&amp;level=16&amp;marker="&amp;$F288&amp;","&amp;$E288,"Open"))</f>
        <v/>
      </c>
      <c r="O288" s="6" t="str">
        <f>IF(OR($E288="",$F288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8" s="4"/>
      <c r="Q288" s="4"/>
      <c r="R288" s="4"/>
      <c r="S288" s="4"/>
      <c r="T288" s="4"/>
      <c r="U288" s="4"/>
      <c r="V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HYPERLINK(IF(OR(JobState="MI",JobState=""),"https://fema.maps.arcgis.com/apps/mapviewer/index.html?webmap=6a1702b9147243d1a5ee62cd614bc681&amp;center="&amp;$F289&amp;","&amp;$E289&amp;"&amp;level=16&amp;marker="&amp;$F289&amp;","&amp;$E289&amp;"",IF(JobState="IN","https://fema.maps.arcgis.com/apps/mapviewer/index.html?url=https%3A%2F%2Fgisdata.in.gov%2Fserver%2Frest%2Fservices%2FHosted%2FLRSE_Functional_Class%2FFeatureServer%2F22&amp;find="&amp;$F289&amp;"%2C"&amp;$E289&amp;"&amp;marker="&amp;$F289&amp;","&amp;$E289&amp;",4326&amp;level=16",IF(JobState="WI","https://fema.maps.arcgis.com/apps/mapviewer/index.html?url=https%3A%2F%2Fservices5.arcgis.com%2F0pgGLzT0Nh7FVjon%2Farcgis%2Frest%2Fservices%2FFFCL_gdb%2FFeatureServer%2F3&amp;find="&amp;$F289&amp;"%2C"&amp;$E289&amp;"&amp;marker="&amp;$F289&amp;","&amp;$E289&amp;",4326&amp;level=16","https://fema.maps.arcgis.com/apps/mapviewer/index.html?find="&amp;$F289&amp;"%2C"&amp;$E289&amp;"&amp;marker="&amp;$F289&amp;","&amp;$E289&amp;",4326&amp;level=16"))),"Open"))</f>
        <v/>
      </c>
      <c r="N289" s="6" t="str">
        <f>IF(OR(JobAgolMap="", $E289="", $F289=""),"",HYPERLINK(JobAgolMap&amp;IF(ISNUMBER(FIND("?",JobAgolMap)),"&amp;","?")&amp;"center="&amp;$F289&amp;","&amp;$E289&amp;"&amp;level=16&amp;marker="&amp;$F289&amp;","&amp;$E289,"Open"))</f>
        <v/>
      </c>
      <c r="O289" s="6" t="str">
        <f>IF(OR($E289="",$F289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9" s="4"/>
      <c r="Q289" s="4"/>
      <c r="R289" s="4"/>
      <c r="S289" s="4"/>
      <c r="T289" s="4"/>
      <c r="U289" s="4"/>
      <c r="V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HYPERLINK(IF(OR(JobState="MI",JobState=""),"https://fema.maps.arcgis.com/apps/mapviewer/index.html?webmap=6a1702b9147243d1a5ee62cd614bc681&amp;center="&amp;$F290&amp;","&amp;$E290&amp;"&amp;level=16&amp;marker="&amp;$F290&amp;","&amp;$E290&amp;"",IF(JobState="IN","https://fema.maps.arcgis.com/apps/mapviewer/index.html?url=https%3A%2F%2Fgisdata.in.gov%2Fserver%2Frest%2Fservices%2FHosted%2FLRSE_Functional_Class%2FFeatureServer%2F22&amp;find="&amp;$F290&amp;"%2C"&amp;$E290&amp;"&amp;marker="&amp;$F290&amp;","&amp;$E290&amp;",4326&amp;level=16",IF(JobState="WI","https://fema.maps.arcgis.com/apps/mapviewer/index.html?url=https%3A%2F%2Fservices5.arcgis.com%2F0pgGLzT0Nh7FVjon%2Farcgis%2Frest%2Fservices%2FFFCL_gdb%2FFeatureServer%2F3&amp;find="&amp;$F290&amp;"%2C"&amp;$E290&amp;"&amp;marker="&amp;$F290&amp;","&amp;$E290&amp;",4326&amp;level=16","https://fema.maps.arcgis.com/apps/mapviewer/index.html?find="&amp;$F290&amp;"%2C"&amp;$E290&amp;"&amp;marker="&amp;$F290&amp;","&amp;$E290&amp;",4326&amp;level=16"))),"Open"))</f>
        <v/>
      </c>
      <c r="N290" s="6" t="str">
        <f>IF(OR(JobAgolMap="", $E290="", $F290=""),"",HYPERLINK(JobAgolMap&amp;IF(ISNUMBER(FIND("?",JobAgolMap)),"&amp;","?")&amp;"center="&amp;$F290&amp;","&amp;$E290&amp;"&amp;level=16&amp;marker="&amp;$F290&amp;","&amp;$E290,"Open"))</f>
        <v/>
      </c>
      <c r="O290" s="6" t="str">
        <f>IF(OR($E290="",$F290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0" s="4"/>
      <c r="Q290" s="4"/>
      <c r="R290" s="4"/>
      <c r="S290" s="4"/>
      <c r="T290" s="4"/>
      <c r="U290" s="4"/>
      <c r="V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HYPERLINK(IF(OR(JobState="MI",JobState=""),"https://fema.maps.arcgis.com/apps/mapviewer/index.html?webmap=6a1702b9147243d1a5ee62cd614bc681&amp;center="&amp;$F291&amp;","&amp;$E291&amp;"&amp;level=16&amp;marker="&amp;$F291&amp;","&amp;$E291&amp;"",IF(JobState="IN","https://fema.maps.arcgis.com/apps/mapviewer/index.html?url=https%3A%2F%2Fgisdata.in.gov%2Fserver%2Frest%2Fservices%2FHosted%2FLRSE_Functional_Class%2FFeatureServer%2F22&amp;find="&amp;$F291&amp;"%2C"&amp;$E291&amp;"&amp;marker="&amp;$F291&amp;","&amp;$E291&amp;",4326&amp;level=16",IF(JobState="WI","https://fema.maps.arcgis.com/apps/mapviewer/index.html?url=https%3A%2F%2Fservices5.arcgis.com%2F0pgGLzT0Nh7FVjon%2Farcgis%2Frest%2Fservices%2FFFCL_gdb%2FFeatureServer%2F3&amp;find="&amp;$F291&amp;"%2C"&amp;$E291&amp;"&amp;marker="&amp;$F291&amp;","&amp;$E291&amp;",4326&amp;level=16","https://fema.maps.arcgis.com/apps/mapviewer/index.html?find="&amp;$F291&amp;"%2C"&amp;$E291&amp;"&amp;marker="&amp;$F291&amp;","&amp;$E291&amp;",4326&amp;level=16"))),"Open"))</f>
        <v/>
      </c>
      <c r="N291" s="6" t="str">
        <f>IF(OR(JobAgolMap="", $E291="", $F291=""),"",HYPERLINK(JobAgolMap&amp;IF(ISNUMBER(FIND("?",JobAgolMap)),"&amp;","?")&amp;"center="&amp;$F291&amp;","&amp;$E291&amp;"&amp;level=16&amp;marker="&amp;$F291&amp;","&amp;$E291,"Open"))</f>
        <v/>
      </c>
      <c r="O291" s="6" t="str">
        <f>IF(OR($E291="",$F291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1" s="4"/>
      <c r="Q291" s="4"/>
      <c r="R291" s="4"/>
      <c r="S291" s="4"/>
      <c r="T291" s="4"/>
      <c r="U291" s="4"/>
      <c r="V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HYPERLINK(IF(OR(JobState="MI",JobState=""),"https://fema.maps.arcgis.com/apps/mapviewer/index.html?webmap=6a1702b9147243d1a5ee62cd614bc681&amp;center="&amp;$F292&amp;","&amp;$E292&amp;"&amp;level=16&amp;marker="&amp;$F292&amp;","&amp;$E292&amp;"",IF(JobState="IN","https://fema.maps.arcgis.com/apps/mapviewer/index.html?url=https%3A%2F%2Fgisdata.in.gov%2Fserver%2Frest%2Fservices%2FHosted%2FLRSE_Functional_Class%2FFeatureServer%2F22&amp;find="&amp;$F292&amp;"%2C"&amp;$E292&amp;"&amp;marker="&amp;$F292&amp;","&amp;$E292&amp;",4326&amp;level=16",IF(JobState="WI","https://fema.maps.arcgis.com/apps/mapviewer/index.html?url=https%3A%2F%2Fservices5.arcgis.com%2F0pgGLzT0Nh7FVjon%2Farcgis%2Frest%2Fservices%2FFFCL_gdb%2FFeatureServer%2F3&amp;find="&amp;$F292&amp;"%2C"&amp;$E292&amp;"&amp;marker="&amp;$F292&amp;","&amp;$E292&amp;",4326&amp;level=16","https://fema.maps.arcgis.com/apps/mapviewer/index.html?find="&amp;$F292&amp;"%2C"&amp;$E292&amp;"&amp;marker="&amp;$F292&amp;","&amp;$E292&amp;",4326&amp;level=16"))),"Open"))</f>
        <v/>
      </c>
      <c r="N292" s="6" t="str">
        <f>IF(OR(JobAgolMap="", $E292="", $F292=""),"",HYPERLINK(JobAgolMap&amp;IF(ISNUMBER(FIND("?",JobAgolMap)),"&amp;","?")&amp;"center="&amp;$F292&amp;","&amp;$E292&amp;"&amp;level=16&amp;marker="&amp;$F292&amp;","&amp;$E292,"Open"))</f>
        <v/>
      </c>
      <c r="O292" s="6" t="str">
        <f>IF(OR($E292="",$F292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2" s="4"/>
      <c r="Q292" s="4"/>
      <c r="R292" s="4"/>
      <c r="S292" s="4"/>
      <c r="T292" s="4"/>
      <c r="U292" s="4"/>
      <c r="V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HYPERLINK(IF(OR(JobState="MI",JobState=""),"https://fema.maps.arcgis.com/apps/mapviewer/index.html?webmap=6a1702b9147243d1a5ee62cd614bc681&amp;center="&amp;$F293&amp;","&amp;$E293&amp;"&amp;level=16&amp;marker="&amp;$F293&amp;","&amp;$E293&amp;"",IF(JobState="IN","https://fema.maps.arcgis.com/apps/mapviewer/index.html?url=https%3A%2F%2Fgisdata.in.gov%2Fserver%2Frest%2Fservices%2FHosted%2FLRSE_Functional_Class%2FFeatureServer%2F22&amp;find="&amp;$F293&amp;"%2C"&amp;$E293&amp;"&amp;marker="&amp;$F293&amp;","&amp;$E293&amp;",4326&amp;level=16",IF(JobState="WI","https://fema.maps.arcgis.com/apps/mapviewer/index.html?url=https%3A%2F%2Fservices5.arcgis.com%2F0pgGLzT0Nh7FVjon%2Farcgis%2Frest%2Fservices%2FFFCL_gdb%2FFeatureServer%2F3&amp;find="&amp;$F293&amp;"%2C"&amp;$E293&amp;"&amp;marker="&amp;$F293&amp;","&amp;$E293&amp;",4326&amp;level=16","https://fema.maps.arcgis.com/apps/mapviewer/index.html?find="&amp;$F293&amp;"%2C"&amp;$E293&amp;"&amp;marker="&amp;$F293&amp;","&amp;$E293&amp;",4326&amp;level=16"))),"Open"))</f>
        <v/>
      </c>
      <c r="N293" s="6" t="str">
        <f>IF(OR(JobAgolMap="", $E293="", $F293=""),"",HYPERLINK(JobAgolMap&amp;IF(ISNUMBER(FIND("?",JobAgolMap)),"&amp;","?")&amp;"center="&amp;$F293&amp;","&amp;$E293&amp;"&amp;level=16&amp;marker="&amp;$F293&amp;","&amp;$E293,"Open"))</f>
        <v/>
      </c>
      <c r="O293" s="6" t="str">
        <f>IF(OR($E293="",$F293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3" s="4"/>
      <c r="Q293" s="4"/>
      <c r="R293" s="4"/>
      <c r="S293" s="4"/>
      <c r="T293" s="4"/>
      <c r="U293" s="4"/>
      <c r="V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HYPERLINK(IF(OR(JobState="MI",JobState=""),"https://fema.maps.arcgis.com/apps/mapviewer/index.html?webmap=6a1702b9147243d1a5ee62cd614bc681&amp;center="&amp;$F294&amp;","&amp;$E294&amp;"&amp;level=16&amp;marker="&amp;$F294&amp;","&amp;$E294&amp;"",IF(JobState="IN","https://fema.maps.arcgis.com/apps/mapviewer/index.html?url=https%3A%2F%2Fgisdata.in.gov%2Fserver%2Frest%2Fservices%2FHosted%2FLRSE_Functional_Class%2FFeatureServer%2F22&amp;find="&amp;$F294&amp;"%2C"&amp;$E294&amp;"&amp;marker="&amp;$F294&amp;","&amp;$E294&amp;",4326&amp;level=16",IF(JobState="WI","https://fema.maps.arcgis.com/apps/mapviewer/index.html?url=https%3A%2F%2Fservices5.arcgis.com%2F0pgGLzT0Nh7FVjon%2Farcgis%2Frest%2Fservices%2FFFCL_gdb%2FFeatureServer%2F3&amp;find="&amp;$F294&amp;"%2C"&amp;$E294&amp;"&amp;marker="&amp;$F294&amp;","&amp;$E294&amp;",4326&amp;level=16","https://fema.maps.arcgis.com/apps/mapviewer/index.html?find="&amp;$F294&amp;"%2C"&amp;$E294&amp;"&amp;marker="&amp;$F294&amp;","&amp;$E294&amp;",4326&amp;level=16"))),"Open"))</f>
        <v/>
      </c>
      <c r="N294" s="6" t="str">
        <f>IF(OR(JobAgolMap="", $E294="", $F294=""),"",HYPERLINK(JobAgolMap&amp;IF(ISNUMBER(FIND("?",JobAgolMap)),"&amp;","?")&amp;"center="&amp;$F294&amp;","&amp;$E294&amp;"&amp;level=16&amp;marker="&amp;$F294&amp;","&amp;$E294,"Open"))</f>
        <v/>
      </c>
      <c r="O294" s="6" t="str">
        <f>IF(OR($E294="",$F294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4" s="4"/>
      <c r="Q294" s="4"/>
      <c r="R294" s="4"/>
      <c r="S294" s="4"/>
      <c r="T294" s="4"/>
      <c r="U294" s="4"/>
      <c r="V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HYPERLINK(IF(OR(JobState="MI",JobState=""),"https://fema.maps.arcgis.com/apps/mapviewer/index.html?webmap=6a1702b9147243d1a5ee62cd614bc681&amp;center="&amp;$F295&amp;","&amp;$E295&amp;"&amp;level=16&amp;marker="&amp;$F295&amp;","&amp;$E295&amp;"",IF(JobState="IN","https://fema.maps.arcgis.com/apps/mapviewer/index.html?url=https%3A%2F%2Fgisdata.in.gov%2Fserver%2Frest%2Fservices%2FHosted%2FLRSE_Functional_Class%2FFeatureServer%2F22&amp;find="&amp;$F295&amp;"%2C"&amp;$E295&amp;"&amp;marker="&amp;$F295&amp;","&amp;$E295&amp;",4326&amp;level=16",IF(JobState="WI","https://fema.maps.arcgis.com/apps/mapviewer/index.html?url=https%3A%2F%2Fservices5.arcgis.com%2F0pgGLzT0Nh7FVjon%2Farcgis%2Frest%2Fservices%2FFFCL_gdb%2FFeatureServer%2F3&amp;find="&amp;$F295&amp;"%2C"&amp;$E295&amp;"&amp;marker="&amp;$F295&amp;","&amp;$E295&amp;",4326&amp;level=16","https://fema.maps.arcgis.com/apps/mapviewer/index.html?find="&amp;$F295&amp;"%2C"&amp;$E295&amp;"&amp;marker="&amp;$F295&amp;","&amp;$E295&amp;",4326&amp;level=16"))),"Open"))</f>
        <v/>
      </c>
      <c r="N295" s="6" t="str">
        <f>IF(OR(JobAgolMap="", $E295="", $F295=""),"",HYPERLINK(JobAgolMap&amp;IF(ISNUMBER(FIND("?",JobAgolMap)),"&amp;","?")&amp;"center="&amp;$F295&amp;","&amp;$E295&amp;"&amp;level=16&amp;marker="&amp;$F295&amp;","&amp;$E295,"Open"))</f>
        <v/>
      </c>
      <c r="O295" s="6" t="str">
        <f>IF(OR($E295="",$F295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5" s="4"/>
      <c r="Q295" s="4"/>
      <c r="R295" s="4"/>
      <c r="S295" s="4"/>
      <c r="T295" s="4"/>
      <c r="U295" s="4"/>
      <c r="V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HYPERLINK(IF(OR(JobState="MI",JobState=""),"https://fema.maps.arcgis.com/apps/mapviewer/index.html?webmap=6a1702b9147243d1a5ee62cd614bc681&amp;center="&amp;$F296&amp;","&amp;$E296&amp;"&amp;level=16&amp;marker="&amp;$F296&amp;","&amp;$E296&amp;"",IF(JobState="IN","https://fema.maps.arcgis.com/apps/mapviewer/index.html?url=https%3A%2F%2Fgisdata.in.gov%2Fserver%2Frest%2Fservices%2FHosted%2FLRSE_Functional_Class%2FFeatureServer%2F22&amp;find="&amp;$F296&amp;"%2C"&amp;$E296&amp;"&amp;marker="&amp;$F296&amp;","&amp;$E296&amp;",4326&amp;level=16",IF(JobState="WI","https://fema.maps.arcgis.com/apps/mapviewer/index.html?url=https%3A%2F%2Fservices5.arcgis.com%2F0pgGLzT0Nh7FVjon%2Farcgis%2Frest%2Fservices%2FFFCL_gdb%2FFeatureServer%2F3&amp;find="&amp;$F296&amp;"%2C"&amp;$E296&amp;"&amp;marker="&amp;$F296&amp;","&amp;$E296&amp;",4326&amp;level=16","https://fema.maps.arcgis.com/apps/mapviewer/index.html?find="&amp;$F296&amp;"%2C"&amp;$E296&amp;"&amp;marker="&amp;$F296&amp;","&amp;$E296&amp;",4326&amp;level=16"))),"Open"))</f>
        <v/>
      </c>
      <c r="N296" s="6" t="str">
        <f>IF(OR(JobAgolMap="", $E296="", $F296=""),"",HYPERLINK(JobAgolMap&amp;IF(ISNUMBER(FIND("?",JobAgolMap)),"&amp;","?")&amp;"center="&amp;$F296&amp;","&amp;$E296&amp;"&amp;level=16&amp;marker="&amp;$F296&amp;","&amp;$E296,"Open"))</f>
        <v/>
      </c>
      <c r="O296" s="6" t="str">
        <f>IF(OR($E296="",$F296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6" s="4"/>
      <c r="Q296" s="4"/>
      <c r="R296" s="4"/>
      <c r="S296" s="4"/>
      <c r="T296" s="4"/>
      <c r="U296" s="4"/>
      <c r="V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HYPERLINK(IF(OR(JobState="MI",JobState=""),"https://fema.maps.arcgis.com/apps/mapviewer/index.html?webmap=6a1702b9147243d1a5ee62cd614bc681&amp;center="&amp;$F297&amp;","&amp;$E297&amp;"&amp;level=16&amp;marker="&amp;$F297&amp;","&amp;$E297&amp;"",IF(JobState="IN","https://fema.maps.arcgis.com/apps/mapviewer/index.html?url=https%3A%2F%2Fgisdata.in.gov%2Fserver%2Frest%2Fservices%2FHosted%2FLRSE_Functional_Class%2FFeatureServer%2F22&amp;find="&amp;$F297&amp;"%2C"&amp;$E297&amp;"&amp;marker="&amp;$F297&amp;","&amp;$E297&amp;",4326&amp;level=16",IF(JobState="WI","https://fema.maps.arcgis.com/apps/mapviewer/index.html?url=https%3A%2F%2Fservices5.arcgis.com%2F0pgGLzT0Nh7FVjon%2Farcgis%2Frest%2Fservices%2FFFCL_gdb%2FFeatureServer%2F3&amp;find="&amp;$F297&amp;"%2C"&amp;$E297&amp;"&amp;marker="&amp;$F297&amp;","&amp;$E297&amp;",4326&amp;level=16","https://fema.maps.arcgis.com/apps/mapviewer/index.html?find="&amp;$F297&amp;"%2C"&amp;$E297&amp;"&amp;marker="&amp;$F297&amp;","&amp;$E297&amp;",4326&amp;level=16"))),"Open"))</f>
        <v/>
      </c>
      <c r="N297" s="6" t="str">
        <f>IF(OR(JobAgolMap="", $E297="", $F297=""),"",HYPERLINK(JobAgolMap&amp;IF(ISNUMBER(FIND("?",JobAgolMap)),"&amp;","?")&amp;"center="&amp;$F297&amp;","&amp;$E297&amp;"&amp;level=16&amp;marker="&amp;$F297&amp;","&amp;$E297,"Open"))</f>
        <v/>
      </c>
      <c r="O297" s="6" t="str">
        <f>IF(OR($E297="",$F297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7" s="4"/>
      <c r="Q297" s="4"/>
      <c r="R297" s="4"/>
      <c r="S297" s="4"/>
      <c r="T297" s="4"/>
      <c r="U297" s="4"/>
      <c r="V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HYPERLINK(IF(OR(JobState="MI",JobState=""),"https://fema.maps.arcgis.com/apps/mapviewer/index.html?webmap=6a1702b9147243d1a5ee62cd614bc681&amp;center="&amp;$F298&amp;","&amp;$E298&amp;"&amp;level=16&amp;marker="&amp;$F298&amp;","&amp;$E298&amp;"",IF(JobState="IN","https://fema.maps.arcgis.com/apps/mapviewer/index.html?url=https%3A%2F%2Fgisdata.in.gov%2Fserver%2Frest%2Fservices%2FHosted%2FLRSE_Functional_Class%2FFeatureServer%2F22&amp;find="&amp;$F298&amp;"%2C"&amp;$E298&amp;"&amp;marker="&amp;$F298&amp;","&amp;$E298&amp;",4326&amp;level=16",IF(JobState="WI","https://fema.maps.arcgis.com/apps/mapviewer/index.html?url=https%3A%2F%2Fservices5.arcgis.com%2F0pgGLzT0Nh7FVjon%2Farcgis%2Frest%2Fservices%2FFFCL_gdb%2FFeatureServer%2F3&amp;find="&amp;$F298&amp;"%2C"&amp;$E298&amp;"&amp;marker="&amp;$F298&amp;","&amp;$E298&amp;",4326&amp;level=16","https://fema.maps.arcgis.com/apps/mapviewer/index.html?find="&amp;$F298&amp;"%2C"&amp;$E298&amp;"&amp;marker="&amp;$F298&amp;","&amp;$E298&amp;",4326&amp;level=16"))),"Open"))</f>
        <v/>
      </c>
      <c r="N298" s="6" t="str">
        <f>IF(OR(JobAgolMap="", $E298="", $F298=""),"",HYPERLINK(JobAgolMap&amp;IF(ISNUMBER(FIND("?",JobAgolMap)),"&amp;","?")&amp;"center="&amp;$F298&amp;","&amp;$E298&amp;"&amp;level=16&amp;marker="&amp;$F298&amp;","&amp;$E298,"Open"))</f>
        <v/>
      </c>
      <c r="O298" s="6" t="str">
        <f>IF(OR($E298="",$F298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8" s="4"/>
      <c r="Q298" s="4"/>
      <c r="R298" s="4"/>
      <c r="S298" s="4"/>
      <c r="T298" s="4"/>
      <c r="U298" s="4"/>
      <c r="V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HYPERLINK(IF(OR(JobState="MI",JobState=""),"https://fema.maps.arcgis.com/apps/mapviewer/index.html?webmap=6a1702b9147243d1a5ee62cd614bc681&amp;center="&amp;$F299&amp;","&amp;$E299&amp;"&amp;level=16&amp;marker="&amp;$F299&amp;","&amp;$E299&amp;"",IF(JobState="IN","https://fema.maps.arcgis.com/apps/mapviewer/index.html?url=https%3A%2F%2Fgisdata.in.gov%2Fserver%2Frest%2Fservices%2FHosted%2FLRSE_Functional_Class%2FFeatureServer%2F22&amp;find="&amp;$F299&amp;"%2C"&amp;$E299&amp;"&amp;marker="&amp;$F299&amp;","&amp;$E299&amp;",4326&amp;level=16",IF(JobState="WI","https://fema.maps.arcgis.com/apps/mapviewer/index.html?url=https%3A%2F%2Fservices5.arcgis.com%2F0pgGLzT0Nh7FVjon%2Farcgis%2Frest%2Fservices%2FFFCL_gdb%2FFeatureServer%2F3&amp;find="&amp;$F299&amp;"%2C"&amp;$E299&amp;"&amp;marker="&amp;$F299&amp;","&amp;$E299&amp;",4326&amp;level=16","https://fema.maps.arcgis.com/apps/mapviewer/index.html?find="&amp;$F299&amp;"%2C"&amp;$E299&amp;"&amp;marker="&amp;$F299&amp;","&amp;$E299&amp;",4326&amp;level=16"))),"Open"))</f>
        <v/>
      </c>
      <c r="N299" s="6" t="str">
        <f>IF(OR(JobAgolMap="", $E299="", $F299=""),"",HYPERLINK(JobAgolMap&amp;IF(ISNUMBER(FIND("?",JobAgolMap)),"&amp;","?")&amp;"center="&amp;$F299&amp;","&amp;$E299&amp;"&amp;level=16&amp;marker="&amp;$F299&amp;","&amp;$E299,"Open"))</f>
        <v/>
      </c>
      <c r="O299" s="6" t="str">
        <f>IF(OR($E299="",$F299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9" s="4"/>
      <c r="Q299" s="4"/>
      <c r="R299" s="4"/>
      <c r="S299" s="4"/>
      <c r="T299" s="4"/>
      <c r="U299" s="4"/>
      <c r="V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HYPERLINK(IF(OR(JobState="MI",JobState=""),"https://fema.maps.arcgis.com/apps/mapviewer/index.html?webmap=6a1702b9147243d1a5ee62cd614bc681&amp;center="&amp;$F300&amp;","&amp;$E300&amp;"&amp;level=16&amp;marker="&amp;$F300&amp;","&amp;$E300&amp;"",IF(JobState="IN","https://fema.maps.arcgis.com/apps/mapviewer/index.html?url=https%3A%2F%2Fgisdata.in.gov%2Fserver%2Frest%2Fservices%2FHosted%2FLRSE_Functional_Class%2FFeatureServer%2F22&amp;find="&amp;$F300&amp;"%2C"&amp;$E300&amp;"&amp;marker="&amp;$F300&amp;","&amp;$E300&amp;",4326&amp;level=16",IF(JobState="WI","https://fema.maps.arcgis.com/apps/mapviewer/index.html?url=https%3A%2F%2Fservices5.arcgis.com%2F0pgGLzT0Nh7FVjon%2Farcgis%2Frest%2Fservices%2FFFCL_gdb%2FFeatureServer%2F3&amp;find="&amp;$F300&amp;"%2C"&amp;$E300&amp;"&amp;marker="&amp;$F300&amp;","&amp;$E300&amp;",4326&amp;level=16","https://fema.maps.arcgis.com/apps/mapviewer/index.html?find="&amp;$F300&amp;"%2C"&amp;$E300&amp;"&amp;marker="&amp;$F300&amp;","&amp;$E300&amp;",4326&amp;level=16"))),"Open"))</f>
        <v/>
      </c>
      <c r="N300" s="6" t="str">
        <f>IF(OR(JobAgolMap="", $E300="", $F300=""),"",HYPERLINK(JobAgolMap&amp;IF(ISNUMBER(FIND("?",JobAgolMap)),"&amp;","?")&amp;"center="&amp;$F300&amp;","&amp;$E300&amp;"&amp;level=16&amp;marker="&amp;$F300&amp;","&amp;$E300,"Open"))</f>
        <v/>
      </c>
      <c r="O300" s="6" t="str">
        <f>IF(OR($E300="",$F300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0" s="4"/>
      <c r="Q300" s="4"/>
      <c r="R300" s="4"/>
      <c r="S300" s="4"/>
      <c r="T300" s="4"/>
      <c r="U300" s="4"/>
      <c r="V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HYPERLINK(IF(OR(JobState="MI",JobState=""),"https://fema.maps.arcgis.com/apps/mapviewer/index.html?webmap=6a1702b9147243d1a5ee62cd614bc681&amp;center="&amp;$F301&amp;","&amp;$E301&amp;"&amp;level=16&amp;marker="&amp;$F301&amp;","&amp;$E301&amp;"",IF(JobState="IN","https://fema.maps.arcgis.com/apps/mapviewer/index.html?url=https%3A%2F%2Fgisdata.in.gov%2Fserver%2Frest%2Fservices%2FHosted%2FLRSE_Functional_Class%2FFeatureServer%2F22&amp;find="&amp;$F301&amp;"%2C"&amp;$E301&amp;"&amp;marker="&amp;$F301&amp;","&amp;$E301&amp;",4326&amp;level=16",IF(JobState="WI","https://fema.maps.arcgis.com/apps/mapviewer/index.html?url=https%3A%2F%2Fservices5.arcgis.com%2F0pgGLzT0Nh7FVjon%2Farcgis%2Frest%2Fservices%2FFFCL_gdb%2FFeatureServer%2F3&amp;find="&amp;$F301&amp;"%2C"&amp;$E301&amp;"&amp;marker="&amp;$F301&amp;","&amp;$E301&amp;",4326&amp;level=16","https://fema.maps.arcgis.com/apps/mapviewer/index.html?find="&amp;$F301&amp;"%2C"&amp;$E301&amp;"&amp;marker="&amp;$F301&amp;","&amp;$E301&amp;",4326&amp;level=16"))),"Open"))</f>
        <v/>
      </c>
      <c r="N301" s="6" t="str">
        <f>IF(OR(JobAgolMap="", $E301="", $F301=""),"",HYPERLINK(JobAgolMap&amp;IF(ISNUMBER(FIND("?",JobAgolMap)),"&amp;","?")&amp;"center="&amp;$F301&amp;","&amp;$E301&amp;"&amp;level=16&amp;marker="&amp;$F301&amp;","&amp;$E301,"Open"))</f>
        <v/>
      </c>
      <c r="O301" s="6" t="str">
        <f>IF(OR($E301="",$F301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1" s="4"/>
      <c r="Q301" s="4"/>
      <c r="R301" s="4"/>
      <c r="S301" s="4"/>
      <c r="T301" s="4"/>
      <c r="U301" s="4"/>
      <c r="V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HYPERLINK(IF(OR(JobState="MI",JobState=""),"https://fema.maps.arcgis.com/apps/mapviewer/index.html?webmap=6a1702b9147243d1a5ee62cd614bc681&amp;center="&amp;$F302&amp;","&amp;$E302&amp;"&amp;level=16&amp;marker="&amp;$F302&amp;","&amp;$E302&amp;"",IF(JobState="IN","https://fema.maps.arcgis.com/apps/mapviewer/index.html?url=https%3A%2F%2Fgisdata.in.gov%2Fserver%2Frest%2Fservices%2FHosted%2FLRSE_Functional_Class%2FFeatureServer%2F22&amp;find="&amp;$F302&amp;"%2C"&amp;$E302&amp;"&amp;marker="&amp;$F302&amp;","&amp;$E302&amp;",4326&amp;level=16",IF(JobState="WI","https://fema.maps.arcgis.com/apps/mapviewer/index.html?url=https%3A%2F%2Fservices5.arcgis.com%2F0pgGLzT0Nh7FVjon%2Farcgis%2Frest%2Fservices%2FFFCL_gdb%2FFeatureServer%2F3&amp;find="&amp;$F302&amp;"%2C"&amp;$E302&amp;"&amp;marker="&amp;$F302&amp;","&amp;$E302&amp;",4326&amp;level=16","https://fema.maps.arcgis.com/apps/mapviewer/index.html?find="&amp;$F302&amp;"%2C"&amp;$E302&amp;"&amp;marker="&amp;$F302&amp;","&amp;$E302&amp;",4326&amp;level=16"))),"Open"))</f>
        <v/>
      </c>
      <c r="N302" s="6" t="str">
        <f>IF(OR(JobAgolMap="", $E302="", $F302=""),"",HYPERLINK(JobAgolMap&amp;IF(ISNUMBER(FIND("?",JobAgolMap)),"&amp;","?")&amp;"center="&amp;$F302&amp;","&amp;$E302&amp;"&amp;level=16&amp;marker="&amp;$F302&amp;","&amp;$E302,"Open"))</f>
        <v/>
      </c>
      <c r="O302" s="6" t="str">
        <f>IF(OR($E302="",$F302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2" s="4"/>
      <c r="Q302" s="4"/>
      <c r="R302" s="4"/>
      <c r="S302" s="4"/>
      <c r="T302" s="4"/>
      <c r="U302" s="4"/>
      <c r="V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HYPERLINK(IF(OR(JobState="MI",JobState=""),"https://fema.maps.arcgis.com/apps/mapviewer/index.html?webmap=6a1702b9147243d1a5ee62cd614bc681&amp;center="&amp;$F303&amp;","&amp;$E303&amp;"&amp;level=16&amp;marker="&amp;$F303&amp;","&amp;$E303&amp;"",IF(JobState="IN","https://fema.maps.arcgis.com/apps/mapviewer/index.html?url=https%3A%2F%2Fgisdata.in.gov%2Fserver%2Frest%2Fservices%2FHosted%2FLRSE_Functional_Class%2FFeatureServer%2F22&amp;find="&amp;$F303&amp;"%2C"&amp;$E303&amp;"&amp;marker="&amp;$F303&amp;","&amp;$E303&amp;",4326&amp;level=16",IF(JobState="WI","https://fema.maps.arcgis.com/apps/mapviewer/index.html?url=https%3A%2F%2Fservices5.arcgis.com%2F0pgGLzT0Nh7FVjon%2Farcgis%2Frest%2Fservices%2FFFCL_gdb%2FFeatureServer%2F3&amp;find="&amp;$F303&amp;"%2C"&amp;$E303&amp;"&amp;marker="&amp;$F303&amp;","&amp;$E303&amp;",4326&amp;level=16","https://fema.maps.arcgis.com/apps/mapviewer/index.html?find="&amp;$F303&amp;"%2C"&amp;$E303&amp;"&amp;marker="&amp;$F303&amp;","&amp;$E303&amp;",4326&amp;level=16"))),"Open"))</f>
        <v/>
      </c>
      <c r="N303" s="6" t="str">
        <f>IF(OR(JobAgolMap="", $E303="", $F303=""),"",HYPERLINK(JobAgolMap&amp;IF(ISNUMBER(FIND("?",JobAgolMap)),"&amp;","?")&amp;"center="&amp;$F303&amp;","&amp;$E303&amp;"&amp;level=16&amp;marker="&amp;$F303&amp;","&amp;$E303,"Open"))</f>
        <v/>
      </c>
      <c r="O303" s="6" t="str">
        <f>IF(OR($E303="",$F303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3" s="4"/>
      <c r="Q303" s="4"/>
      <c r="R303" s="4"/>
      <c r="S303" s="4"/>
      <c r="T303" s="4"/>
      <c r="U303" s="4"/>
      <c r="V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HYPERLINK(IF(OR(JobState="MI",JobState=""),"https://fema.maps.arcgis.com/apps/mapviewer/index.html?webmap=6a1702b9147243d1a5ee62cd614bc681&amp;center="&amp;$F304&amp;","&amp;$E304&amp;"&amp;level=16&amp;marker="&amp;$F304&amp;","&amp;$E304&amp;"",IF(JobState="IN","https://fema.maps.arcgis.com/apps/mapviewer/index.html?url=https%3A%2F%2Fgisdata.in.gov%2Fserver%2Frest%2Fservices%2FHosted%2FLRSE_Functional_Class%2FFeatureServer%2F22&amp;find="&amp;$F304&amp;"%2C"&amp;$E304&amp;"&amp;marker="&amp;$F304&amp;","&amp;$E304&amp;",4326&amp;level=16",IF(JobState="WI","https://fema.maps.arcgis.com/apps/mapviewer/index.html?url=https%3A%2F%2Fservices5.arcgis.com%2F0pgGLzT0Nh7FVjon%2Farcgis%2Frest%2Fservices%2FFFCL_gdb%2FFeatureServer%2F3&amp;find="&amp;$F304&amp;"%2C"&amp;$E304&amp;"&amp;marker="&amp;$F304&amp;","&amp;$E304&amp;",4326&amp;level=16","https://fema.maps.arcgis.com/apps/mapviewer/index.html?find="&amp;$F304&amp;"%2C"&amp;$E304&amp;"&amp;marker="&amp;$F304&amp;","&amp;$E304&amp;",4326&amp;level=16"))),"Open"))</f>
        <v/>
      </c>
      <c r="N304" s="6" t="str">
        <f>IF(OR(JobAgolMap="", $E304="", $F304=""),"",HYPERLINK(JobAgolMap&amp;IF(ISNUMBER(FIND("?",JobAgolMap)),"&amp;","?")&amp;"center="&amp;$F304&amp;","&amp;$E304&amp;"&amp;level=16&amp;marker="&amp;$F304&amp;","&amp;$E304,"Open"))</f>
        <v/>
      </c>
      <c r="O304" s="6" t="str">
        <f>IF(OR($E304="",$F304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4" s="4"/>
      <c r="Q304" s="4"/>
      <c r="R304" s="4"/>
      <c r="S304" s="4"/>
      <c r="T304" s="4"/>
      <c r="U304" s="4"/>
      <c r="V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HYPERLINK(IF(OR(JobState="MI",JobState=""),"https://fema.maps.arcgis.com/apps/mapviewer/index.html?webmap=6a1702b9147243d1a5ee62cd614bc681&amp;center="&amp;$F305&amp;","&amp;$E305&amp;"&amp;level=16&amp;marker="&amp;$F305&amp;","&amp;$E305&amp;"",IF(JobState="IN","https://fema.maps.arcgis.com/apps/mapviewer/index.html?url=https%3A%2F%2Fgisdata.in.gov%2Fserver%2Frest%2Fservices%2FHosted%2FLRSE_Functional_Class%2FFeatureServer%2F22&amp;find="&amp;$F305&amp;"%2C"&amp;$E305&amp;"&amp;marker="&amp;$F305&amp;","&amp;$E305&amp;",4326&amp;level=16",IF(JobState="WI","https://fema.maps.arcgis.com/apps/mapviewer/index.html?url=https%3A%2F%2Fservices5.arcgis.com%2F0pgGLzT0Nh7FVjon%2Farcgis%2Frest%2Fservices%2FFFCL_gdb%2FFeatureServer%2F3&amp;find="&amp;$F305&amp;"%2C"&amp;$E305&amp;"&amp;marker="&amp;$F305&amp;","&amp;$E305&amp;",4326&amp;level=16","https://fema.maps.arcgis.com/apps/mapviewer/index.html?find="&amp;$F305&amp;"%2C"&amp;$E305&amp;"&amp;marker="&amp;$F305&amp;","&amp;$E305&amp;",4326&amp;level=16"))),"Open"))</f>
        <v/>
      </c>
      <c r="N305" s="6" t="str">
        <f>IF(OR(JobAgolMap="", $E305="", $F305=""),"",HYPERLINK(JobAgolMap&amp;IF(ISNUMBER(FIND("?",JobAgolMap)),"&amp;","?")&amp;"center="&amp;$F305&amp;","&amp;$E305&amp;"&amp;level=16&amp;marker="&amp;$F305&amp;","&amp;$E305,"Open"))</f>
        <v/>
      </c>
      <c r="O305" s="6" t="str">
        <f>IF(OR($E305="",$F305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5" s="4"/>
      <c r="Q305" s="4"/>
      <c r="R305" s="4"/>
      <c r="S305" s="4"/>
      <c r="T305" s="4"/>
      <c r="U305" s="4"/>
      <c r="V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HYPERLINK(IF(OR(JobState="MI",JobState=""),"https://fema.maps.arcgis.com/apps/mapviewer/index.html?webmap=6a1702b9147243d1a5ee62cd614bc681&amp;center="&amp;$F306&amp;","&amp;$E306&amp;"&amp;level=16&amp;marker="&amp;$F306&amp;","&amp;$E306&amp;"",IF(JobState="IN","https://fema.maps.arcgis.com/apps/mapviewer/index.html?url=https%3A%2F%2Fgisdata.in.gov%2Fserver%2Frest%2Fservices%2FHosted%2FLRSE_Functional_Class%2FFeatureServer%2F22&amp;find="&amp;$F306&amp;"%2C"&amp;$E306&amp;"&amp;marker="&amp;$F306&amp;","&amp;$E306&amp;",4326&amp;level=16",IF(JobState="WI","https://fema.maps.arcgis.com/apps/mapviewer/index.html?url=https%3A%2F%2Fservices5.arcgis.com%2F0pgGLzT0Nh7FVjon%2Farcgis%2Frest%2Fservices%2FFFCL_gdb%2FFeatureServer%2F3&amp;find="&amp;$F306&amp;"%2C"&amp;$E306&amp;"&amp;marker="&amp;$F306&amp;","&amp;$E306&amp;",4326&amp;level=16","https://fema.maps.arcgis.com/apps/mapviewer/index.html?find="&amp;$F306&amp;"%2C"&amp;$E306&amp;"&amp;marker="&amp;$F306&amp;","&amp;$E306&amp;",4326&amp;level=16"))),"Open"))</f>
        <v/>
      </c>
      <c r="N306" s="6" t="str">
        <f>IF(OR(JobAgolMap="", $E306="", $F306=""),"",HYPERLINK(JobAgolMap&amp;IF(ISNUMBER(FIND("?",JobAgolMap)),"&amp;","?")&amp;"center="&amp;$F306&amp;","&amp;$E306&amp;"&amp;level=16&amp;marker="&amp;$F306&amp;","&amp;$E306,"Open"))</f>
        <v/>
      </c>
      <c r="O306" s="6" t="str">
        <f>IF(OR($E306="",$F306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6" s="4"/>
      <c r="Q306" s="4"/>
      <c r="R306" s="4"/>
      <c r="S306" s="4"/>
      <c r="T306" s="4"/>
      <c r="U306" s="4"/>
      <c r="V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HYPERLINK(IF(OR(JobState="MI",JobState=""),"https://fema.maps.arcgis.com/apps/mapviewer/index.html?webmap=6a1702b9147243d1a5ee62cd614bc681&amp;center="&amp;$F307&amp;","&amp;$E307&amp;"&amp;level=16&amp;marker="&amp;$F307&amp;","&amp;$E307&amp;"",IF(JobState="IN","https://fema.maps.arcgis.com/apps/mapviewer/index.html?url=https%3A%2F%2Fgisdata.in.gov%2Fserver%2Frest%2Fservices%2FHosted%2FLRSE_Functional_Class%2FFeatureServer%2F22&amp;find="&amp;$F307&amp;"%2C"&amp;$E307&amp;"&amp;marker="&amp;$F307&amp;","&amp;$E307&amp;",4326&amp;level=16",IF(JobState="WI","https://fema.maps.arcgis.com/apps/mapviewer/index.html?url=https%3A%2F%2Fservices5.arcgis.com%2F0pgGLzT0Nh7FVjon%2Farcgis%2Frest%2Fservices%2FFFCL_gdb%2FFeatureServer%2F3&amp;find="&amp;$F307&amp;"%2C"&amp;$E307&amp;"&amp;marker="&amp;$F307&amp;","&amp;$E307&amp;",4326&amp;level=16","https://fema.maps.arcgis.com/apps/mapviewer/index.html?find="&amp;$F307&amp;"%2C"&amp;$E307&amp;"&amp;marker="&amp;$F307&amp;","&amp;$E307&amp;",4326&amp;level=16"))),"Open"))</f>
        <v/>
      </c>
      <c r="N307" s="6" t="str">
        <f>IF(OR(JobAgolMap="", $E307="", $F307=""),"",HYPERLINK(JobAgolMap&amp;IF(ISNUMBER(FIND("?",JobAgolMap)),"&amp;","?")&amp;"center="&amp;$F307&amp;","&amp;$E307&amp;"&amp;level=16&amp;marker="&amp;$F307&amp;","&amp;$E307,"Open"))</f>
        <v/>
      </c>
      <c r="O307" s="6" t="str">
        <f>IF(OR($E307="",$F307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7" s="4"/>
      <c r="Q307" s="4"/>
      <c r="R307" s="4"/>
      <c r="S307" s="4"/>
      <c r="T307" s="4"/>
      <c r="U307" s="4"/>
      <c r="V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HYPERLINK(IF(OR(JobState="MI",JobState=""),"https://fema.maps.arcgis.com/apps/mapviewer/index.html?webmap=6a1702b9147243d1a5ee62cd614bc681&amp;center="&amp;$F308&amp;","&amp;$E308&amp;"&amp;level=16&amp;marker="&amp;$F308&amp;","&amp;$E308&amp;"",IF(JobState="IN","https://fema.maps.arcgis.com/apps/mapviewer/index.html?url=https%3A%2F%2Fgisdata.in.gov%2Fserver%2Frest%2Fservices%2FHosted%2FLRSE_Functional_Class%2FFeatureServer%2F22&amp;find="&amp;$F308&amp;"%2C"&amp;$E308&amp;"&amp;marker="&amp;$F308&amp;","&amp;$E308&amp;",4326&amp;level=16",IF(JobState="WI","https://fema.maps.arcgis.com/apps/mapviewer/index.html?url=https%3A%2F%2Fservices5.arcgis.com%2F0pgGLzT0Nh7FVjon%2Farcgis%2Frest%2Fservices%2FFFCL_gdb%2FFeatureServer%2F3&amp;find="&amp;$F308&amp;"%2C"&amp;$E308&amp;"&amp;marker="&amp;$F308&amp;","&amp;$E308&amp;",4326&amp;level=16","https://fema.maps.arcgis.com/apps/mapviewer/index.html?find="&amp;$F308&amp;"%2C"&amp;$E308&amp;"&amp;marker="&amp;$F308&amp;","&amp;$E308&amp;",4326&amp;level=16"))),"Open"))</f>
        <v/>
      </c>
      <c r="N308" s="6" t="str">
        <f>IF(OR(JobAgolMap="", $E308="", $F308=""),"",HYPERLINK(JobAgolMap&amp;IF(ISNUMBER(FIND("?",JobAgolMap)),"&amp;","?")&amp;"center="&amp;$F308&amp;","&amp;$E308&amp;"&amp;level=16&amp;marker="&amp;$F308&amp;","&amp;$E308,"Open"))</f>
        <v/>
      </c>
      <c r="O308" s="6" t="str">
        <f>IF(OR($E308="",$F308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8" s="4"/>
      <c r="Q308" s="4"/>
      <c r="R308" s="4"/>
      <c r="S308" s="4"/>
      <c r="T308" s="4"/>
      <c r="U308" s="4"/>
      <c r="V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HYPERLINK(IF(OR(JobState="MI",JobState=""),"https://fema.maps.arcgis.com/apps/mapviewer/index.html?webmap=6a1702b9147243d1a5ee62cd614bc681&amp;center="&amp;$F309&amp;","&amp;$E309&amp;"&amp;level=16&amp;marker="&amp;$F309&amp;","&amp;$E309&amp;"",IF(JobState="IN","https://fema.maps.arcgis.com/apps/mapviewer/index.html?url=https%3A%2F%2Fgisdata.in.gov%2Fserver%2Frest%2Fservices%2FHosted%2FLRSE_Functional_Class%2FFeatureServer%2F22&amp;find="&amp;$F309&amp;"%2C"&amp;$E309&amp;"&amp;marker="&amp;$F309&amp;","&amp;$E309&amp;",4326&amp;level=16",IF(JobState="WI","https://fema.maps.arcgis.com/apps/mapviewer/index.html?url=https%3A%2F%2Fservices5.arcgis.com%2F0pgGLzT0Nh7FVjon%2Farcgis%2Frest%2Fservices%2FFFCL_gdb%2FFeatureServer%2F3&amp;find="&amp;$F309&amp;"%2C"&amp;$E309&amp;"&amp;marker="&amp;$F309&amp;","&amp;$E309&amp;",4326&amp;level=16","https://fema.maps.arcgis.com/apps/mapviewer/index.html?find="&amp;$F309&amp;"%2C"&amp;$E309&amp;"&amp;marker="&amp;$F309&amp;","&amp;$E309&amp;",4326&amp;level=16"))),"Open"))</f>
        <v/>
      </c>
      <c r="N309" s="6" t="str">
        <f>IF(OR(JobAgolMap="", $E309="", $F309=""),"",HYPERLINK(JobAgolMap&amp;IF(ISNUMBER(FIND("?",JobAgolMap)),"&amp;","?")&amp;"center="&amp;$F309&amp;","&amp;$E309&amp;"&amp;level=16&amp;marker="&amp;$F309&amp;","&amp;$E309,"Open"))</f>
        <v/>
      </c>
      <c r="O309" s="6" t="str">
        <f>IF(OR($E309="",$F309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9" s="4"/>
      <c r="Q309" s="4"/>
      <c r="R309" s="4"/>
      <c r="S309" s="4"/>
      <c r="T309" s="4"/>
      <c r="U309" s="4"/>
      <c r="V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HYPERLINK(IF(OR(JobState="MI",JobState=""),"https://fema.maps.arcgis.com/apps/mapviewer/index.html?webmap=6a1702b9147243d1a5ee62cd614bc681&amp;center="&amp;$F310&amp;","&amp;$E310&amp;"&amp;level=16&amp;marker="&amp;$F310&amp;","&amp;$E310&amp;"",IF(JobState="IN","https://fema.maps.arcgis.com/apps/mapviewer/index.html?url=https%3A%2F%2Fgisdata.in.gov%2Fserver%2Frest%2Fservices%2FHosted%2FLRSE_Functional_Class%2FFeatureServer%2F22&amp;find="&amp;$F310&amp;"%2C"&amp;$E310&amp;"&amp;marker="&amp;$F310&amp;","&amp;$E310&amp;",4326&amp;level=16",IF(JobState="WI","https://fema.maps.arcgis.com/apps/mapviewer/index.html?url=https%3A%2F%2Fservices5.arcgis.com%2F0pgGLzT0Nh7FVjon%2Farcgis%2Frest%2Fservices%2FFFCL_gdb%2FFeatureServer%2F3&amp;find="&amp;$F310&amp;"%2C"&amp;$E310&amp;"&amp;marker="&amp;$F310&amp;","&amp;$E310&amp;",4326&amp;level=16","https://fema.maps.arcgis.com/apps/mapviewer/index.html?find="&amp;$F310&amp;"%2C"&amp;$E310&amp;"&amp;marker="&amp;$F310&amp;","&amp;$E310&amp;",4326&amp;level=16"))),"Open"))</f>
        <v/>
      </c>
      <c r="N310" s="6" t="str">
        <f>IF(OR(JobAgolMap="", $E310="", $F310=""),"",HYPERLINK(JobAgolMap&amp;IF(ISNUMBER(FIND("?",JobAgolMap)),"&amp;","?")&amp;"center="&amp;$F310&amp;","&amp;$E310&amp;"&amp;level=16&amp;marker="&amp;$F310&amp;","&amp;$E310,"Open"))</f>
        <v/>
      </c>
      <c r="O310" s="6" t="str">
        <f>IF(OR($E310="",$F310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0" s="4"/>
      <c r="Q310" s="4"/>
      <c r="R310" s="4"/>
      <c r="S310" s="4"/>
      <c r="T310" s="4"/>
      <c r="U310" s="4"/>
      <c r="V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HYPERLINK(IF(OR(JobState="MI",JobState=""),"https://fema.maps.arcgis.com/apps/mapviewer/index.html?webmap=6a1702b9147243d1a5ee62cd614bc681&amp;center="&amp;$F311&amp;","&amp;$E311&amp;"&amp;level=16&amp;marker="&amp;$F311&amp;","&amp;$E311&amp;"",IF(JobState="IN","https://fema.maps.arcgis.com/apps/mapviewer/index.html?url=https%3A%2F%2Fgisdata.in.gov%2Fserver%2Frest%2Fservices%2FHosted%2FLRSE_Functional_Class%2FFeatureServer%2F22&amp;find="&amp;$F311&amp;"%2C"&amp;$E311&amp;"&amp;marker="&amp;$F311&amp;","&amp;$E311&amp;",4326&amp;level=16",IF(JobState="WI","https://fema.maps.arcgis.com/apps/mapviewer/index.html?url=https%3A%2F%2Fservices5.arcgis.com%2F0pgGLzT0Nh7FVjon%2Farcgis%2Frest%2Fservices%2FFFCL_gdb%2FFeatureServer%2F3&amp;find="&amp;$F311&amp;"%2C"&amp;$E311&amp;"&amp;marker="&amp;$F311&amp;","&amp;$E311&amp;",4326&amp;level=16","https://fema.maps.arcgis.com/apps/mapviewer/index.html?find="&amp;$F311&amp;"%2C"&amp;$E311&amp;"&amp;marker="&amp;$F311&amp;","&amp;$E311&amp;",4326&amp;level=16"))),"Open"))</f>
        <v/>
      </c>
      <c r="N311" s="6" t="str">
        <f>IF(OR(JobAgolMap="", $E311="", $F311=""),"",HYPERLINK(JobAgolMap&amp;IF(ISNUMBER(FIND("?",JobAgolMap)),"&amp;","?")&amp;"center="&amp;$F311&amp;","&amp;$E311&amp;"&amp;level=16&amp;marker="&amp;$F311&amp;","&amp;$E311,"Open"))</f>
        <v/>
      </c>
      <c r="O311" s="6" t="str">
        <f>IF(OR($E311="",$F311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1" s="4"/>
      <c r="Q311" s="4"/>
      <c r="R311" s="4"/>
      <c r="S311" s="4"/>
      <c r="T311" s="4"/>
      <c r="U311" s="4"/>
      <c r="V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HYPERLINK(IF(OR(JobState="MI",JobState=""),"https://fema.maps.arcgis.com/apps/mapviewer/index.html?webmap=6a1702b9147243d1a5ee62cd614bc681&amp;center="&amp;$F312&amp;","&amp;$E312&amp;"&amp;level=16&amp;marker="&amp;$F312&amp;","&amp;$E312&amp;"",IF(JobState="IN","https://fema.maps.arcgis.com/apps/mapviewer/index.html?url=https%3A%2F%2Fgisdata.in.gov%2Fserver%2Frest%2Fservices%2FHosted%2FLRSE_Functional_Class%2FFeatureServer%2F22&amp;find="&amp;$F312&amp;"%2C"&amp;$E312&amp;"&amp;marker="&amp;$F312&amp;","&amp;$E312&amp;",4326&amp;level=16",IF(JobState="WI","https://fema.maps.arcgis.com/apps/mapviewer/index.html?url=https%3A%2F%2Fservices5.arcgis.com%2F0pgGLzT0Nh7FVjon%2Farcgis%2Frest%2Fservices%2FFFCL_gdb%2FFeatureServer%2F3&amp;find="&amp;$F312&amp;"%2C"&amp;$E312&amp;"&amp;marker="&amp;$F312&amp;","&amp;$E312&amp;",4326&amp;level=16","https://fema.maps.arcgis.com/apps/mapviewer/index.html?find="&amp;$F312&amp;"%2C"&amp;$E312&amp;"&amp;marker="&amp;$F312&amp;","&amp;$E312&amp;",4326&amp;level=16"))),"Open"))</f>
        <v/>
      </c>
      <c r="N312" s="6" t="str">
        <f>IF(OR(JobAgolMap="", $E312="", $F312=""),"",HYPERLINK(JobAgolMap&amp;IF(ISNUMBER(FIND("?",JobAgolMap)),"&amp;","?")&amp;"center="&amp;$F312&amp;","&amp;$E312&amp;"&amp;level=16&amp;marker="&amp;$F312&amp;","&amp;$E312,"Open"))</f>
        <v/>
      </c>
      <c r="O312" s="6" t="str">
        <f>IF(OR($E312="",$F312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2" s="4"/>
      <c r="Q312" s="4"/>
      <c r="R312" s="4"/>
      <c r="S312" s="4"/>
      <c r="T312" s="4"/>
      <c r="U312" s="4"/>
      <c r="V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HYPERLINK(IF(OR(JobState="MI",JobState=""),"https://fema.maps.arcgis.com/apps/mapviewer/index.html?webmap=6a1702b9147243d1a5ee62cd614bc681&amp;center="&amp;$F313&amp;","&amp;$E313&amp;"&amp;level=16&amp;marker="&amp;$F313&amp;","&amp;$E313&amp;"",IF(JobState="IN","https://fema.maps.arcgis.com/apps/mapviewer/index.html?url=https%3A%2F%2Fgisdata.in.gov%2Fserver%2Frest%2Fservices%2FHosted%2FLRSE_Functional_Class%2FFeatureServer%2F22&amp;find="&amp;$F313&amp;"%2C"&amp;$E313&amp;"&amp;marker="&amp;$F313&amp;","&amp;$E313&amp;",4326&amp;level=16",IF(JobState="WI","https://fema.maps.arcgis.com/apps/mapviewer/index.html?url=https%3A%2F%2Fservices5.arcgis.com%2F0pgGLzT0Nh7FVjon%2Farcgis%2Frest%2Fservices%2FFFCL_gdb%2FFeatureServer%2F3&amp;find="&amp;$F313&amp;"%2C"&amp;$E313&amp;"&amp;marker="&amp;$F313&amp;","&amp;$E313&amp;",4326&amp;level=16","https://fema.maps.arcgis.com/apps/mapviewer/index.html?find="&amp;$F313&amp;"%2C"&amp;$E313&amp;"&amp;marker="&amp;$F313&amp;","&amp;$E313&amp;",4326&amp;level=16"))),"Open"))</f>
        <v/>
      </c>
      <c r="N313" s="6" t="str">
        <f>IF(OR(JobAgolMap="", $E313="", $F313=""),"",HYPERLINK(JobAgolMap&amp;IF(ISNUMBER(FIND("?",JobAgolMap)),"&amp;","?")&amp;"center="&amp;$F313&amp;","&amp;$E313&amp;"&amp;level=16&amp;marker="&amp;$F313&amp;","&amp;$E313,"Open"))</f>
        <v/>
      </c>
      <c r="O313" s="6" t="str">
        <f>IF(OR($E313="",$F313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3" s="4"/>
      <c r="Q313" s="4"/>
      <c r="R313" s="4"/>
      <c r="S313" s="4"/>
      <c r="T313" s="4"/>
      <c r="U313" s="4"/>
      <c r="V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HYPERLINK(IF(OR(JobState="MI",JobState=""),"https://fema.maps.arcgis.com/apps/mapviewer/index.html?webmap=6a1702b9147243d1a5ee62cd614bc681&amp;center="&amp;$F314&amp;","&amp;$E314&amp;"&amp;level=16&amp;marker="&amp;$F314&amp;","&amp;$E314&amp;"",IF(JobState="IN","https://fema.maps.arcgis.com/apps/mapviewer/index.html?url=https%3A%2F%2Fgisdata.in.gov%2Fserver%2Frest%2Fservices%2FHosted%2FLRSE_Functional_Class%2FFeatureServer%2F22&amp;find="&amp;$F314&amp;"%2C"&amp;$E314&amp;"&amp;marker="&amp;$F314&amp;","&amp;$E314&amp;",4326&amp;level=16",IF(JobState="WI","https://fema.maps.arcgis.com/apps/mapviewer/index.html?url=https%3A%2F%2Fservices5.arcgis.com%2F0pgGLzT0Nh7FVjon%2Farcgis%2Frest%2Fservices%2FFFCL_gdb%2FFeatureServer%2F3&amp;find="&amp;$F314&amp;"%2C"&amp;$E314&amp;"&amp;marker="&amp;$F314&amp;","&amp;$E314&amp;",4326&amp;level=16","https://fema.maps.arcgis.com/apps/mapviewer/index.html?find="&amp;$F314&amp;"%2C"&amp;$E314&amp;"&amp;marker="&amp;$F314&amp;","&amp;$E314&amp;",4326&amp;level=16"))),"Open"))</f>
        <v/>
      </c>
      <c r="N314" s="6" t="str">
        <f>IF(OR(JobAgolMap="", $E314="", $F314=""),"",HYPERLINK(JobAgolMap&amp;IF(ISNUMBER(FIND("?",JobAgolMap)),"&amp;","?")&amp;"center="&amp;$F314&amp;","&amp;$E314&amp;"&amp;level=16&amp;marker="&amp;$F314&amp;","&amp;$E314,"Open"))</f>
        <v/>
      </c>
      <c r="O314" s="6" t="str">
        <f>IF(OR($E314="",$F314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4" s="4"/>
      <c r="Q314" s="4"/>
      <c r="R314" s="4"/>
      <c r="S314" s="4"/>
      <c r="T314" s="4"/>
      <c r="U314" s="4"/>
      <c r="V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HYPERLINK(IF(OR(JobState="MI",JobState=""),"https://fema.maps.arcgis.com/apps/mapviewer/index.html?webmap=6a1702b9147243d1a5ee62cd614bc681&amp;center="&amp;$F315&amp;","&amp;$E315&amp;"&amp;level=16&amp;marker="&amp;$F315&amp;","&amp;$E315&amp;"",IF(JobState="IN","https://fema.maps.arcgis.com/apps/mapviewer/index.html?url=https%3A%2F%2Fgisdata.in.gov%2Fserver%2Frest%2Fservices%2FHosted%2FLRSE_Functional_Class%2FFeatureServer%2F22&amp;find="&amp;$F315&amp;"%2C"&amp;$E315&amp;"&amp;marker="&amp;$F315&amp;","&amp;$E315&amp;",4326&amp;level=16",IF(JobState="WI","https://fema.maps.arcgis.com/apps/mapviewer/index.html?url=https%3A%2F%2Fservices5.arcgis.com%2F0pgGLzT0Nh7FVjon%2Farcgis%2Frest%2Fservices%2FFFCL_gdb%2FFeatureServer%2F3&amp;find="&amp;$F315&amp;"%2C"&amp;$E315&amp;"&amp;marker="&amp;$F315&amp;","&amp;$E315&amp;",4326&amp;level=16","https://fema.maps.arcgis.com/apps/mapviewer/index.html?find="&amp;$F315&amp;"%2C"&amp;$E315&amp;"&amp;marker="&amp;$F315&amp;","&amp;$E315&amp;",4326&amp;level=16"))),"Open"))</f>
        <v/>
      </c>
      <c r="N315" s="6" t="str">
        <f>IF(OR(JobAgolMap="", $E315="", $F315=""),"",HYPERLINK(JobAgolMap&amp;IF(ISNUMBER(FIND("?",JobAgolMap)),"&amp;","?")&amp;"center="&amp;$F315&amp;","&amp;$E315&amp;"&amp;level=16&amp;marker="&amp;$F315&amp;","&amp;$E315,"Open"))</f>
        <v/>
      </c>
      <c r="O315" s="6" t="str">
        <f>IF(OR($E315="",$F315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5" s="4"/>
      <c r="Q315" s="4"/>
      <c r="R315" s="4"/>
      <c r="S315" s="4"/>
      <c r="T315" s="4"/>
      <c r="U315" s="4"/>
      <c r="V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HYPERLINK(IF(OR(JobState="MI",JobState=""),"https://fema.maps.arcgis.com/apps/mapviewer/index.html?webmap=6a1702b9147243d1a5ee62cd614bc681&amp;center="&amp;$F316&amp;","&amp;$E316&amp;"&amp;level=16&amp;marker="&amp;$F316&amp;","&amp;$E316&amp;"",IF(JobState="IN","https://fema.maps.arcgis.com/apps/mapviewer/index.html?url=https%3A%2F%2Fgisdata.in.gov%2Fserver%2Frest%2Fservices%2FHosted%2FLRSE_Functional_Class%2FFeatureServer%2F22&amp;find="&amp;$F316&amp;"%2C"&amp;$E316&amp;"&amp;marker="&amp;$F316&amp;","&amp;$E316&amp;",4326&amp;level=16",IF(JobState="WI","https://fema.maps.arcgis.com/apps/mapviewer/index.html?url=https%3A%2F%2Fservices5.arcgis.com%2F0pgGLzT0Nh7FVjon%2Farcgis%2Frest%2Fservices%2FFFCL_gdb%2FFeatureServer%2F3&amp;find="&amp;$F316&amp;"%2C"&amp;$E316&amp;"&amp;marker="&amp;$F316&amp;","&amp;$E316&amp;",4326&amp;level=16","https://fema.maps.arcgis.com/apps/mapviewer/index.html?find="&amp;$F316&amp;"%2C"&amp;$E316&amp;"&amp;marker="&amp;$F316&amp;","&amp;$E316&amp;",4326&amp;level=16"))),"Open"))</f>
        <v/>
      </c>
      <c r="N316" s="6" t="str">
        <f>IF(OR(JobAgolMap="", $E316="", $F316=""),"",HYPERLINK(JobAgolMap&amp;IF(ISNUMBER(FIND("?",JobAgolMap)),"&amp;","?")&amp;"center="&amp;$F316&amp;","&amp;$E316&amp;"&amp;level=16&amp;marker="&amp;$F316&amp;","&amp;$E316,"Open"))</f>
        <v/>
      </c>
      <c r="O316" s="6" t="str">
        <f>IF(OR($E316="",$F316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6" s="4"/>
      <c r="Q316" s="4"/>
      <c r="R316" s="4"/>
      <c r="S316" s="4"/>
      <c r="T316" s="4"/>
      <c r="U316" s="4"/>
      <c r="V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HYPERLINK(IF(OR(JobState="MI",JobState=""),"https://fema.maps.arcgis.com/apps/mapviewer/index.html?webmap=6a1702b9147243d1a5ee62cd614bc681&amp;center="&amp;$F317&amp;","&amp;$E317&amp;"&amp;level=16&amp;marker="&amp;$F317&amp;","&amp;$E317&amp;"",IF(JobState="IN","https://fema.maps.arcgis.com/apps/mapviewer/index.html?url=https%3A%2F%2Fgisdata.in.gov%2Fserver%2Frest%2Fservices%2FHosted%2FLRSE_Functional_Class%2FFeatureServer%2F22&amp;find="&amp;$F317&amp;"%2C"&amp;$E317&amp;"&amp;marker="&amp;$F317&amp;","&amp;$E317&amp;",4326&amp;level=16",IF(JobState="WI","https://fema.maps.arcgis.com/apps/mapviewer/index.html?url=https%3A%2F%2Fservices5.arcgis.com%2F0pgGLzT0Nh7FVjon%2Farcgis%2Frest%2Fservices%2FFFCL_gdb%2FFeatureServer%2F3&amp;find="&amp;$F317&amp;"%2C"&amp;$E317&amp;"&amp;marker="&amp;$F317&amp;","&amp;$E317&amp;",4326&amp;level=16","https://fema.maps.arcgis.com/apps/mapviewer/index.html?find="&amp;$F317&amp;"%2C"&amp;$E317&amp;"&amp;marker="&amp;$F317&amp;","&amp;$E317&amp;",4326&amp;level=16"))),"Open"))</f>
        <v/>
      </c>
      <c r="N317" s="6" t="str">
        <f>IF(OR(JobAgolMap="", $E317="", $F317=""),"",HYPERLINK(JobAgolMap&amp;IF(ISNUMBER(FIND("?",JobAgolMap)),"&amp;","?")&amp;"center="&amp;$F317&amp;","&amp;$E317&amp;"&amp;level=16&amp;marker="&amp;$F317&amp;","&amp;$E317,"Open"))</f>
        <v/>
      </c>
      <c r="O317" s="6" t="str">
        <f>IF(OR($E317="",$F317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7" s="4"/>
      <c r="Q317" s="4"/>
      <c r="R317" s="4"/>
      <c r="S317" s="4"/>
      <c r="T317" s="4"/>
      <c r="U317" s="4"/>
      <c r="V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HYPERLINK(IF(OR(JobState="MI",JobState=""),"https://fema.maps.arcgis.com/apps/mapviewer/index.html?webmap=6a1702b9147243d1a5ee62cd614bc681&amp;center="&amp;$F318&amp;","&amp;$E318&amp;"&amp;level=16&amp;marker="&amp;$F318&amp;","&amp;$E318&amp;"",IF(JobState="IN","https://fema.maps.arcgis.com/apps/mapviewer/index.html?url=https%3A%2F%2Fgisdata.in.gov%2Fserver%2Frest%2Fservices%2FHosted%2FLRSE_Functional_Class%2FFeatureServer%2F22&amp;find="&amp;$F318&amp;"%2C"&amp;$E318&amp;"&amp;marker="&amp;$F318&amp;","&amp;$E318&amp;",4326&amp;level=16",IF(JobState="WI","https://fema.maps.arcgis.com/apps/mapviewer/index.html?url=https%3A%2F%2Fservices5.arcgis.com%2F0pgGLzT0Nh7FVjon%2Farcgis%2Frest%2Fservices%2FFFCL_gdb%2FFeatureServer%2F3&amp;find="&amp;$F318&amp;"%2C"&amp;$E318&amp;"&amp;marker="&amp;$F318&amp;","&amp;$E318&amp;",4326&amp;level=16","https://fema.maps.arcgis.com/apps/mapviewer/index.html?find="&amp;$F318&amp;"%2C"&amp;$E318&amp;"&amp;marker="&amp;$F318&amp;","&amp;$E318&amp;",4326&amp;level=16"))),"Open"))</f>
        <v/>
      </c>
      <c r="N318" s="6" t="str">
        <f>IF(OR(JobAgolMap="", $E318="", $F318=""),"",HYPERLINK(JobAgolMap&amp;IF(ISNUMBER(FIND("?",JobAgolMap)),"&amp;","?")&amp;"center="&amp;$F318&amp;","&amp;$E318&amp;"&amp;level=16&amp;marker="&amp;$F318&amp;","&amp;$E318,"Open"))</f>
        <v/>
      </c>
      <c r="O318" s="6" t="str">
        <f>IF(OR($E318="",$F318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8" s="4"/>
      <c r="Q318" s="4"/>
      <c r="R318" s="4"/>
      <c r="S318" s="4"/>
      <c r="T318" s="4"/>
      <c r="U318" s="4"/>
      <c r="V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HYPERLINK(IF(OR(JobState="MI",JobState=""),"https://fema.maps.arcgis.com/apps/mapviewer/index.html?webmap=6a1702b9147243d1a5ee62cd614bc681&amp;center="&amp;$F319&amp;","&amp;$E319&amp;"&amp;level=16&amp;marker="&amp;$F319&amp;","&amp;$E319&amp;"",IF(JobState="IN","https://fema.maps.arcgis.com/apps/mapviewer/index.html?url=https%3A%2F%2Fgisdata.in.gov%2Fserver%2Frest%2Fservices%2FHosted%2FLRSE_Functional_Class%2FFeatureServer%2F22&amp;find="&amp;$F319&amp;"%2C"&amp;$E319&amp;"&amp;marker="&amp;$F319&amp;","&amp;$E319&amp;",4326&amp;level=16",IF(JobState="WI","https://fema.maps.arcgis.com/apps/mapviewer/index.html?url=https%3A%2F%2Fservices5.arcgis.com%2F0pgGLzT0Nh7FVjon%2Farcgis%2Frest%2Fservices%2FFFCL_gdb%2FFeatureServer%2F3&amp;find="&amp;$F319&amp;"%2C"&amp;$E319&amp;"&amp;marker="&amp;$F319&amp;","&amp;$E319&amp;",4326&amp;level=16","https://fema.maps.arcgis.com/apps/mapviewer/index.html?find="&amp;$F319&amp;"%2C"&amp;$E319&amp;"&amp;marker="&amp;$F319&amp;","&amp;$E319&amp;",4326&amp;level=16"))),"Open"))</f>
        <v/>
      </c>
      <c r="N319" s="6" t="str">
        <f>IF(OR(JobAgolMap="", $E319="", $F319=""),"",HYPERLINK(JobAgolMap&amp;IF(ISNUMBER(FIND("?",JobAgolMap)),"&amp;","?")&amp;"center="&amp;$F319&amp;","&amp;$E319&amp;"&amp;level=16&amp;marker="&amp;$F319&amp;","&amp;$E319,"Open"))</f>
        <v/>
      </c>
      <c r="O319" s="6" t="str">
        <f>IF(OR($E319="",$F319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9" s="4"/>
      <c r="Q319" s="4"/>
      <c r="R319" s="4"/>
      <c r="S319" s="4"/>
      <c r="T319" s="4"/>
      <c r="U319" s="4"/>
      <c r="V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HYPERLINK(IF(OR(JobState="MI",JobState=""),"https://fema.maps.arcgis.com/apps/mapviewer/index.html?webmap=6a1702b9147243d1a5ee62cd614bc681&amp;center="&amp;$F320&amp;","&amp;$E320&amp;"&amp;level=16&amp;marker="&amp;$F320&amp;","&amp;$E320&amp;"",IF(JobState="IN","https://fema.maps.arcgis.com/apps/mapviewer/index.html?url=https%3A%2F%2Fgisdata.in.gov%2Fserver%2Frest%2Fservices%2FHosted%2FLRSE_Functional_Class%2FFeatureServer%2F22&amp;find="&amp;$F320&amp;"%2C"&amp;$E320&amp;"&amp;marker="&amp;$F320&amp;","&amp;$E320&amp;",4326&amp;level=16",IF(JobState="WI","https://fema.maps.arcgis.com/apps/mapviewer/index.html?url=https%3A%2F%2Fservices5.arcgis.com%2F0pgGLzT0Nh7FVjon%2Farcgis%2Frest%2Fservices%2FFFCL_gdb%2FFeatureServer%2F3&amp;find="&amp;$F320&amp;"%2C"&amp;$E320&amp;"&amp;marker="&amp;$F320&amp;","&amp;$E320&amp;",4326&amp;level=16","https://fema.maps.arcgis.com/apps/mapviewer/index.html?find="&amp;$F320&amp;"%2C"&amp;$E320&amp;"&amp;marker="&amp;$F320&amp;","&amp;$E320&amp;",4326&amp;level=16"))),"Open"))</f>
        <v/>
      </c>
      <c r="N320" s="6" t="str">
        <f>IF(OR(JobAgolMap="", $E320="", $F320=""),"",HYPERLINK(JobAgolMap&amp;IF(ISNUMBER(FIND("?",JobAgolMap)),"&amp;","?")&amp;"center="&amp;$F320&amp;","&amp;$E320&amp;"&amp;level=16&amp;marker="&amp;$F320&amp;","&amp;$E320,"Open"))</f>
        <v/>
      </c>
      <c r="O320" s="6" t="str">
        <f>IF(OR($E320="",$F320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0" s="4"/>
      <c r="Q320" s="4"/>
      <c r="R320" s="4"/>
      <c r="S320" s="4"/>
      <c r="T320" s="4"/>
      <c r="U320" s="4"/>
      <c r="V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HYPERLINK(IF(OR(JobState="MI",JobState=""),"https://fema.maps.arcgis.com/apps/mapviewer/index.html?webmap=6a1702b9147243d1a5ee62cd614bc681&amp;center="&amp;$F321&amp;","&amp;$E321&amp;"&amp;level=16&amp;marker="&amp;$F321&amp;","&amp;$E321&amp;"",IF(JobState="IN","https://fema.maps.arcgis.com/apps/mapviewer/index.html?url=https%3A%2F%2Fgisdata.in.gov%2Fserver%2Frest%2Fservices%2FHosted%2FLRSE_Functional_Class%2FFeatureServer%2F22&amp;find="&amp;$F321&amp;"%2C"&amp;$E321&amp;"&amp;marker="&amp;$F321&amp;","&amp;$E321&amp;",4326&amp;level=16",IF(JobState="WI","https://fema.maps.arcgis.com/apps/mapviewer/index.html?url=https%3A%2F%2Fservices5.arcgis.com%2F0pgGLzT0Nh7FVjon%2Farcgis%2Frest%2Fservices%2FFFCL_gdb%2FFeatureServer%2F3&amp;find="&amp;$F321&amp;"%2C"&amp;$E321&amp;"&amp;marker="&amp;$F321&amp;","&amp;$E321&amp;",4326&amp;level=16","https://fema.maps.arcgis.com/apps/mapviewer/index.html?find="&amp;$F321&amp;"%2C"&amp;$E321&amp;"&amp;marker="&amp;$F321&amp;","&amp;$E321&amp;",4326&amp;level=16"))),"Open"))</f>
        <v/>
      </c>
      <c r="N321" s="6" t="str">
        <f>IF(OR(JobAgolMap="", $E321="", $F321=""),"",HYPERLINK(JobAgolMap&amp;IF(ISNUMBER(FIND("?",JobAgolMap)),"&amp;","?")&amp;"center="&amp;$F321&amp;","&amp;$E321&amp;"&amp;level=16&amp;marker="&amp;$F321&amp;","&amp;$E321,"Open"))</f>
        <v/>
      </c>
      <c r="O321" s="6" t="str">
        <f>IF(OR($E321="",$F321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1" s="4"/>
      <c r="Q321" s="4"/>
      <c r="R321" s="4"/>
      <c r="S321" s="4"/>
      <c r="T321" s="4"/>
      <c r="U321" s="4"/>
      <c r="V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HYPERLINK(IF(OR(JobState="MI",JobState=""),"https://fema.maps.arcgis.com/apps/mapviewer/index.html?webmap=6a1702b9147243d1a5ee62cd614bc681&amp;center="&amp;$F322&amp;","&amp;$E322&amp;"&amp;level=16&amp;marker="&amp;$F322&amp;","&amp;$E322&amp;"",IF(JobState="IN","https://fema.maps.arcgis.com/apps/mapviewer/index.html?url=https%3A%2F%2Fgisdata.in.gov%2Fserver%2Frest%2Fservices%2FHosted%2FLRSE_Functional_Class%2FFeatureServer%2F22&amp;find="&amp;$F322&amp;"%2C"&amp;$E322&amp;"&amp;marker="&amp;$F322&amp;","&amp;$E322&amp;",4326&amp;level=16",IF(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IF(OR(JobAgolMap="", $E322="", $F322=""),"",HYPERLINK(JobAgolMap&amp;IF(ISNUMBER(FIND("?",JobAgolMap)),"&amp;","?")&amp;"center="&amp;$F322&amp;","&amp;$E322&amp;"&amp;level=16&amp;marker="&amp;$F322&amp;","&amp;$E322,"Open"))</f>
        <v/>
      </c>
      <c r="O322" s="6" t="str">
        <f>IF(OR($E322="",$F322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2" s="4"/>
      <c r="Q322" s="4"/>
      <c r="R322" s="4"/>
      <c r="S322" s="4"/>
      <c r="T322" s="4"/>
      <c r="U322" s="4"/>
      <c r="V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HYPERLINK(IF(OR(JobState="MI",JobState=""),"https://fema.maps.arcgis.com/apps/mapviewer/index.html?webmap=6a1702b9147243d1a5ee62cd614bc681&amp;center="&amp;$F323&amp;","&amp;$E323&amp;"&amp;level=16&amp;marker="&amp;$F323&amp;","&amp;$E323&amp;"",IF(JobState="IN","https://fema.maps.arcgis.com/apps/mapviewer/index.html?url=https%3A%2F%2Fgisdata.in.gov%2Fserver%2Frest%2Fservices%2FHosted%2FLRSE_Functional_Class%2FFeatureServer%2F22&amp;find="&amp;$F323&amp;"%2C"&amp;$E323&amp;"&amp;marker="&amp;$F323&amp;","&amp;$E323&amp;",4326&amp;level=16",IF(JobState="WI","https://fema.maps.arcgis.com/apps/mapviewer/index.html?url=https%3A%2F%2Fservices5.arcgis.com%2F0pgGLzT0Nh7FVjon%2Farcgis%2Frest%2Fservices%2FFFCL_gdb%2FFeatureServer%2F3&amp;find="&amp;$F323&amp;"%2C"&amp;$E323&amp;"&amp;marker="&amp;$F323&amp;","&amp;$E323&amp;",4326&amp;level=16","https://fema.maps.arcgis.com/apps/mapviewer/index.html?find="&amp;$F323&amp;"%2C"&amp;$E323&amp;"&amp;marker="&amp;$F323&amp;","&amp;$E323&amp;",4326&amp;level=16"))),"Open"))</f>
        <v/>
      </c>
      <c r="N323" s="6" t="str">
        <f>IF(OR(JobAgolMap="", $E323="", $F323=""),"",HYPERLINK(JobAgolMap&amp;IF(ISNUMBER(FIND("?",JobAgolMap)),"&amp;","?")&amp;"center="&amp;$F323&amp;","&amp;$E323&amp;"&amp;level=16&amp;marker="&amp;$F323&amp;","&amp;$E323,"Open"))</f>
        <v/>
      </c>
      <c r="O323" s="6" t="str">
        <f>IF(OR($E323="",$F323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3" s="4"/>
      <c r="Q323" s="4"/>
      <c r="R323" s="4"/>
      <c r="S323" s="4"/>
      <c r="T323" s="4"/>
      <c r="U323" s="4"/>
      <c r="V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HYPERLINK(IF(OR(JobState="MI",JobState=""),"https://fema.maps.arcgis.com/apps/mapviewer/index.html?webmap=6a1702b9147243d1a5ee62cd614bc681&amp;center="&amp;$F324&amp;","&amp;$E324&amp;"&amp;level=16&amp;marker="&amp;$F324&amp;","&amp;$E324&amp;"",IF(JobState="IN","https://fema.maps.arcgis.com/apps/mapviewer/index.html?url=https%3A%2F%2Fgisdata.in.gov%2Fserver%2Frest%2Fservices%2FHosted%2FLRSE_Functional_Class%2FFeatureServer%2F22&amp;find="&amp;$F324&amp;"%2C"&amp;$E324&amp;"&amp;marker="&amp;$F324&amp;","&amp;$E324&amp;",4326&amp;level=16",IF(JobState="WI","https://fema.maps.arcgis.com/apps/mapviewer/index.html?url=https%3A%2F%2Fservices5.arcgis.com%2F0pgGLzT0Nh7FVjon%2Farcgis%2Frest%2Fservices%2FFFCL_gdb%2FFeatureServer%2F3&amp;find="&amp;$F324&amp;"%2C"&amp;$E324&amp;"&amp;marker="&amp;$F324&amp;","&amp;$E324&amp;",4326&amp;level=16","https://fema.maps.arcgis.com/apps/mapviewer/index.html?find="&amp;$F324&amp;"%2C"&amp;$E324&amp;"&amp;marker="&amp;$F324&amp;","&amp;$E324&amp;",4326&amp;level=16"))),"Open"))</f>
        <v/>
      </c>
      <c r="N324" s="6" t="str">
        <f>IF(OR(JobAgolMap="", $E324="", $F324=""),"",HYPERLINK(JobAgolMap&amp;IF(ISNUMBER(FIND("?",JobAgolMap)),"&amp;","?")&amp;"center="&amp;$F324&amp;","&amp;$E324&amp;"&amp;level=16&amp;marker="&amp;$F324&amp;","&amp;$E324,"Open"))</f>
        <v/>
      </c>
      <c r="O324" s="6" t="str">
        <f>IF(OR($E324="",$F324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4" s="4"/>
      <c r="Q324" s="4"/>
      <c r="R324" s="4"/>
      <c r="S324" s="4"/>
      <c r="T324" s="4"/>
      <c r="U324" s="4"/>
      <c r="V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HYPERLINK(IF(OR(JobState="MI",JobState=""),"https://fema.maps.arcgis.com/apps/mapviewer/index.html?webmap=6a1702b9147243d1a5ee62cd614bc681&amp;center="&amp;$F325&amp;","&amp;$E325&amp;"&amp;level=16&amp;marker="&amp;$F325&amp;","&amp;$E325&amp;"",IF(JobState="IN","https://fema.maps.arcgis.com/apps/mapviewer/index.html?url=https%3A%2F%2Fgisdata.in.gov%2Fserver%2Frest%2Fservices%2FHosted%2FLRSE_Functional_Class%2FFeatureServer%2F22&amp;find="&amp;$F325&amp;"%2C"&amp;$E325&amp;"&amp;marker="&amp;$F325&amp;","&amp;$E325&amp;",4326&amp;level=16",IF(JobState="WI","https://fema.maps.arcgis.com/apps/mapviewer/index.html?url=https%3A%2F%2Fservices5.arcgis.com%2F0pgGLzT0Nh7FVjon%2Farcgis%2Frest%2Fservices%2FFFCL_gdb%2FFeatureServer%2F3&amp;find="&amp;$F325&amp;"%2C"&amp;$E325&amp;"&amp;marker="&amp;$F325&amp;","&amp;$E325&amp;",4326&amp;level=16","https://fema.maps.arcgis.com/apps/mapviewer/index.html?find="&amp;$F325&amp;"%2C"&amp;$E325&amp;"&amp;marker="&amp;$F325&amp;","&amp;$E325&amp;",4326&amp;level=16"))),"Open"))</f>
        <v/>
      </c>
      <c r="N325" s="6" t="str">
        <f>IF(OR(JobAgolMap="", $E325="", $F325=""),"",HYPERLINK(JobAgolMap&amp;IF(ISNUMBER(FIND("?",JobAgolMap)),"&amp;","?")&amp;"center="&amp;$F325&amp;","&amp;$E325&amp;"&amp;level=16&amp;marker="&amp;$F325&amp;","&amp;$E325,"Open"))</f>
        <v/>
      </c>
      <c r="O325" s="6" t="str">
        <f>IF(OR($E325="",$F325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5" s="4"/>
      <c r="Q325" s="4"/>
      <c r="R325" s="4"/>
      <c r="S325" s="4"/>
      <c r="T325" s="4"/>
      <c r="U325" s="4"/>
      <c r="V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HYPERLINK(IF(OR(JobState="MI",JobState=""),"https://fema.maps.arcgis.com/apps/mapviewer/index.html?webmap=6a1702b9147243d1a5ee62cd614bc681&amp;center="&amp;$F326&amp;","&amp;$E326&amp;"&amp;level=16&amp;marker="&amp;$F326&amp;","&amp;$E326&amp;"",IF(JobState="IN","https://fema.maps.arcgis.com/apps/mapviewer/index.html?url=https%3A%2F%2Fgisdata.in.gov%2Fserver%2Frest%2Fservices%2FHosted%2FLRSE_Functional_Class%2FFeatureServer%2F22&amp;find="&amp;$F326&amp;"%2C"&amp;$E326&amp;"&amp;marker="&amp;$F326&amp;","&amp;$E326&amp;",4326&amp;level=16",IF(JobState="WI","https://fema.maps.arcgis.com/apps/mapviewer/index.html?url=https%3A%2F%2Fservices5.arcgis.com%2F0pgGLzT0Nh7FVjon%2Farcgis%2Frest%2Fservices%2FFFCL_gdb%2FFeatureServer%2F3&amp;find="&amp;$F326&amp;"%2C"&amp;$E326&amp;"&amp;marker="&amp;$F326&amp;","&amp;$E326&amp;",4326&amp;level=16","https://fema.maps.arcgis.com/apps/mapviewer/index.html?find="&amp;$F326&amp;"%2C"&amp;$E326&amp;"&amp;marker="&amp;$F326&amp;","&amp;$E326&amp;",4326&amp;level=16"))),"Open"))</f>
        <v/>
      </c>
      <c r="N326" s="6" t="str">
        <f>IF(OR(JobAgolMap="", $E326="", $F326=""),"",HYPERLINK(JobAgolMap&amp;IF(ISNUMBER(FIND("?",JobAgolMap)),"&amp;","?")&amp;"center="&amp;$F326&amp;","&amp;$E326&amp;"&amp;level=16&amp;marker="&amp;$F326&amp;","&amp;$E326,"Open"))</f>
        <v/>
      </c>
      <c r="O326" s="6" t="str">
        <f>IF(OR($E326="",$F326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6" s="4"/>
      <c r="Q326" s="4"/>
      <c r="R326" s="4"/>
      <c r="S326" s="4"/>
      <c r="T326" s="4"/>
      <c r="U326" s="4"/>
      <c r="V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HYPERLINK(IF(OR(JobState="MI",JobState=""),"https://fema.maps.arcgis.com/apps/mapviewer/index.html?webmap=6a1702b9147243d1a5ee62cd614bc681&amp;center="&amp;$F327&amp;","&amp;$E327&amp;"&amp;level=16&amp;marker="&amp;$F327&amp;","&amp;$E327&amp;"",IF(JobState="IN","https://fema.maps.arcgis.com/apps/mapviewer/index.html?url=https%3A%2F%2Fgisdata.in.gov%2Fserver%2Frest%2Fservices%2FHosted%2FLRSE_Functional_Class%2FFeatureServer%2F22&amp;find="&amp;$F327&amp;"%2C"&amp;$E327&amp;"&amp;marker="&amp;$F327&amp;","&amp;$E327&amp;",4326&amp;level=16",IF(JobState="WI","https://fema.maps.arcgis.com/apps/mapviewer/index.html?url=https%3A%2F%2Fservices5.arcgis.com%2F0pgGLzT0Nh7FVjon%2Farcgis%2Frest%2Fservices%2FFFCL_gdb%2FFeatureServer%2F3&amp;find="&amp;$F327&amp;"%2C"&amp;$E327&amp;"&amp;marker="&amp;$F327&amp;","&amp;$E327&amp;",4326&amp;level=16","https://fema.maps.arcgis.com/apps/mapviewer/index.html?find="&amp;$F327&amp;"%2C"&amp;$E327&amp;"&amp;marker="&amp;$F327&amp;","&amp;$E327&amp;",4326&amp;level=16"))),"Open"))</f>
        <v/>
      </c>
      <c r="N327" s="6" t="str">
        <f>IF(OR(JobAgolMap="", $E327="", $F327=""),"",HYPERLINK(JobAgolMap&amp;IF(ISNUMBER(FIND("?",JobAgolMap)),"&amp;","?")&amp;"center="&amp;$F327&amp;","&amp;$E327&amp;"&amp;level=16&amp;marker="&amp;$F327&amp;","&amp;$E327,"Open"))</f>
        <v/>
      </c>
      <c r="O327" s="6" t="str">
        <f>IF(OR($E327="",$F327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7" s="4"/>
      <c r="Q327" s="4"/>
      <c r="R327" s="4"/>
      <c r="S327" s="4"/>
      <c r="T327" s="4"/>
      <c r="U327" s="4"/>
      <c r="V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HYPERLINK(IF(OR(JobState="MI",JobState=""),"https://fema.maps.arcgis.com/apps/mapviewer/index.html?webmap=6a1702b9147243d1a5ee62cd614bc681&amp;center="&amp;$F328&amp;","&amp;$E328&amp;"&amp;level=16&amp;marker="&amp;$F328&amp;","&amp;$E328&amp;"",IF(JobState="IN","https://fema.maps.arcgis.com/apps/mapviewer/index.html?url=https%3A%2F%2Fgisdata.in.gov%2Fserver%2Frest%2Fservices%2FHosted%2FLRSE_Functional_Class%2FFeatureServer%2F22&amp;find="&amp;$F328&amp;"%2C"&amp;$E328&amp;"&amp;marker="&amp;$F328&amp;","&amp;$E328&amp;",4326&amp;level=16",IF(JobState="WI","https://fema.maps.arcgis.com/apps/mapviewer/index.html?url=https%3A%2F%2Fservices5.arcgis.com%2F0pgGLzT0Nh7FVjon%2Farcgis%2Frest%2Fservices%2FFFCL_gdb%2FFeatureServer%2F3&amp;find="&amp;$F328&amp;"%2C"&amp;$E328&amp;"&amp;marker="&amp;$F328&amp;","&amp;$E328&amp;",4326&amp;level=16","https://fema.maps.arcgis.com/apps/mapviewer/index.html?find="&amp;$F328&amp;"%2C"&amp;$E328&amp;"&amp;marker="&amp;$F328&amp;","&amp;$E328&amp;",4326&amp;level=16"))),"Open"))</f>
        <v/>
      </c>
      <c r="N328" s="6" t="str">
        <f>IF(OR(JobAgolMap="", $E328="", $F328=""),"",HYPERLINK(JobAgolMap&amp;IF(ISNUMBER(FIND("?",JobAgolMap)),"&amp;","?")&amp;"center="&amp;$F328&amp;","&amp;$E328&amp;"&amp;level=16&amp;marker="&amp;$F328&amp;","&amp;$E328,"Open"))</f>
        <v/>
      </c>
      <c r="O328" s="6" t="str">
        <f>IF(OR($E328="",$F328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8" s="4"/>
      <c r="Q328" s="4"/>
      <c r="R328" s="4"/>
      <c r="S328" s="4"/>
      <c r="T328" s="4"/>
      <c r="U328" s="4"/>
      <c r="V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HYPERLINK(IF(OR(JobState="MI",JobState=""),"https://fema.maps.arcgis.com/apps/mapviewer/index.html?webmap=6a1702b9147243d1a5ee62cd614bc681&amp;center="&amp;$F329&amp;","&amp;$E329&amp;"&amp;level=16&amp;marker="&amp;$F329&amp;","&amp;$E329&amp;"",IF(JobState="IN","https://fema.maps.arcgis.com/apps/mapviewer/index.html?url=https%3A%2F%2Fgisdata.in.gov%2Fserver%2Frest%2Fservices%2FHosted%2FLRSE_Functional_Class%2FFeatureServer%2F22&amp;find="&amp;$F329&amp;"%2C"&amp;$E329&amp;"&amp;marker="&amp;$F329&amp;","&amp;$E329&amp;",4326&amp;level=16",IF(JobState="WI","https://fema.maps.arcgis.com/apps/mapviewer/index.html?url=https%3A%2F%2Fservices5.arcgis.com%2F0pgGLzT0Nh7FVjon%2Farcgis%2Frest%2Fservices%2FFFCL_gdb%2FFeatureServer%2F3&amp;find="&amp;$F329&amp;"%2C"&amp;$E329&amp;"&amp;marker="&amp;$F329&amp;","&amp;$E329&amp;",4326&amp;level=16","https://fema.maps.arcgis.com/apps/mapviewer/index.html?find="&amp;$F329&amp;"%2C"&amp;$E329&amp;"&amp;marker="&amp;$F329&amp;","&amp;$E329&amp;",4326&amp;level=16"))),"Open"))</f>
        <v/>
      </c>
      <c r="N329" s="6" t="str">
        <f>IF(OR(JobAgolMap="", $E329="", $F329=""),"",HYPERLINK(JobAgolMap&amp;IF(ISNUMBER(FIND("?",JobAgolMap)),"&amp;","?")&amp;"center="&amp;$F329&amp;","&amp;$E329&amp;"&amp;level=16&amp;marker="&amp;$F329&amp;","&amp;$E329,"Open"))</f>
        <v/>
      </c>
      <c r="O329" s="6" t="str">
        <f>IF(OR($E329="",$F329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9" s="4"/>
      <c r="Q329" s="4"/>
      <c r="R329" s="4"/>
      <c r="S329" s="4"/>
      <c r="T329" s="4"/>
      <c r="U329" s="4"/>
      <c r="V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HYPERLINK(IF(OR(JobState="MI",JobState=""),"https://fema.maps.arcgis.com/apps/mapviewer/index.html?webmap=6a1702b9147243d1a5ee62cd614bc681&amp;center="&amp;$F330&amp;","&amp;$E330&amp;"&amp;level=16&amp;marker="&amp;$F330&amp;","&amp;$E330&amp;"",IF(JobState="IN","https://fema.maps.arcgis.com/apps/mapviewer/index.html?url=https%3A%2F%2Fgisdata.in.gov%2Fserver%2Frest%2Fservices%2FHosted%2FLRSE_Functional_Class%2FFeatureServer%2F22&amp;find="&amp;$F330&amp;"%2C"&amp;$E330&amp;"&amp;marker="&amp;$F330&amp;","&amp;$E330&amp;",4326&amp;level=16",IF(JobState="WI","https://fema.maps.arcgis.com/apps/mapviewer/index.html?url=https%3A%2F%2Fservices5.arcgis.com%2F0pgGLzT0Nh7FVjon%2Farcgis%2Frest%2Fservices%2FFFCL_gdb%2FFeatureServer%2F3&amp;find="&amp;$F330&amp;"%2C"&amp;$E330&amp;"&amp;marker="&amp;$F330&amp;","&amp;$E330&amp;",4326&amp;level=16","https://fema.maps.arcgis.com/apps/mapviewer/index.html?find="&amp;$F330&amp;"%2C"&amp;$E330&amp;"&amp;marker="&amp;$F330&amp;","&amp;$E330&amp;",4326&amp;level=16"))),"Open"))</f>
        <v/>
      </c>
      <c r="N330" s="6" t="str">
        <f>IF(OR(JobAgolMap="", $E330="", $F330=""),"",HYPERLINK(JobAgolMap&amp;IF(ISNUMBER(FIND("?",JobAgolMap)),"&amp;","?")&amp;"center="&amp;$F330&amp;","&amp;$E330&amp;"&amp;level=16&amp;marker="&amp;$F330&amp;","&amp;$E330,"Open"))</f>
        <v/>
      </c>
      <c r="O330" s="6" t="str">
        <f>IF(OR($E330="",$F330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0" s="4"/>
      <c r="Q330" s="4"/>
      <c r="R330" s="4"/>
      <c r="S330" s="4"/>
      <c r="T330" s="4"/>
      <c r="U330" s="4"/>
      <c r="V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HYPERLINK(IF(OR(JobState="MI",JobState=""),"https://fema.maps.arcgis.com/apps/mapviewer/index.html?webmap=6a1702b9147243d1a5ee62cd614bc681&amp;center="&amp;$F331&amp;","&amp;$E331&amp;"&amp;level=16&amp;marker="&amp;$F331&amp;","&amp;$E331&amp;"",IF(JobState="IN","https://fema.maps.arcgis.com/apps/mapviewer/index.html?url=https%3A%2F%2Fgisdata.in.gov%2Fserver%2Frest%2Fservices%2FHosted%2FLRSE_Functional_Class%2FFeatureServer%2F22&amp;find="&amp;$F331&amp;"%2C"&amp;$E331&amp;"&amp;marker="&amp;$F331&amp;","&amp;$E331&amp;",4326&amp;level=16",IF(JobState="WI","https://fema.maps.arcgis.com/apps/mapviewer/index.html?url=https%3A%2F%2Fservices5.arcgis.com%2F0pgGLzT0Nh7FVjon%2Farcgis%2Frest%2Fservices%2FFFCL_gdb%2FFeatureServer%2F3&amp;find="&amp;$F331&amp;"%2C"&amp;$E331&amp;"&amp;marker="&amp;$F331&amp;","&amp;$E331&amp;",4326&amp;level=16","https://fema.maps.arcgis.com/apps/mapviewer/index.html?find="&amp;$F331&amp;"%2C"&amp;$E331&amp;"&amp;marker="&amp;$F331&amp;","&amp;$E331&amp;",4326&amp;level=16"))),"Open"))</f>
        <v/>
      </c>
      <c r="N331" s="6" t="str">
        <f>IF(OR(JobAgolMap="", $E331="", $F331=""),"",HYPERLINK(JobAgolMap&amp;IF(ISNUMBER(FIND("?",JobAgolMap)),"&amp;","?")&amp;"center="&amp;$F331&amp;","&amp;$E331&amp;"&amp;level=16&amp;marker="&amp;$F331&amp;","&amp;$E331,"Open"))</f>
        <v/>
      </c>
      <c r="O331" s="6" t="str">
        <f>IF(OR($E331="",$F331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1" s="4"/>
      <c r="Q331" s="4"/>
      <c r="R331" s="4"/>
      <c r="S331" s="4"/>
      <c r="T331" s="4"/>
      <c r="U331" s="4"/>
      <c r="V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HYPERLINK(IF(OR(JobState="MI",JobState=""),"https://fema.maps.arcgis.com/apps/mapviewer/index.html?webmap=6a1702b9147243d1a5ee62cd614bc681&amp;center="&amp;$F332&amp;","&amp;$E332&amp;"&amp;level=16&amp;marker="&amp;$F332&amp;","&amp;$E332&amp;"",IF(JobState="IN","https://fema.maps.arcgis.com/apps/mapviewer/index.html?url=https%3A%2F%2Fgisdata.in.gov%2Fserver%2Frest%2Fservices%2FHosted%2FLRSE_Functional_Class%2FFeatureServer%2F22&amp;find="&amp;$F332&amp;"%2C"&amp;$E332&amp;"&amp;marker="&amp;$F332&amp;","&amp;$E332&amp;",4326&amp;level=16",IF(JobState="WI","https://fema.maps.arcgis.com/apps/mapviewer/index.html?url=https%3A%2F%2Fservices5.arcgis.com%2F0pgGLzT0Nh7FVjon%2Farcgis%2Frest%2Fservices%2FFFCL_gdb%2FFeatureServer%2F3&amp;find="&amp;$F332&amp;"%2C"&amp;$E332&amp;"&amp;marker="&amp;$F332&amp;","&amp;$E332&amp;",4326&amp;level=16","https://fema.maps.arcgis.com/apps/mapviewer/index.html?find="&amp;$F332&amp;"%2C"&amp;$E332&amp;"&amp;marker="&amp;$F332&amp;","&amp;$E332&amp;",4326&amp;level=16"))),"Open"))</f>
        <v/>
      </c>
      <c r="N332" s="6" t="str">
        <f>IF(OR(JobAgolMap="", $E332="", $F332=""),"",HYPERLINK(JobAgolMap&amp;IF(ISNUMBER(FIND("?",JobAgolMap)),"&amp;","?")&amp;"center="&amp;$F332&amp;","&amp;$E332&amp;"&amp;level=16&amp;marker="&amp;$F332&amp;","&amp;$E332,"Open"))</f>
        <v/>
      </c>
      <c r="O332" s="6" t="str">
        <f>IF(OR($E332="",$F332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2" s="4"/>
      <c r="Q332" s="4"/>
      <c r="R332" s="4"/>
      <c r="S332" s="4"/>
      <c r="T332" s="4"/>
      <c r="U332" s="4"/>
      <c r="V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HYPERLINK(IF(OR(JobState="MI",JobState=""),"https://fema.maps.arcgis.com/apps/mapviewer/index.html?webmap=6a1702b9147243d1a5ee62cd614bc681&amp;center="&amp;$F333&amp;","&amp;$E333&amp;"&amp;level=16&amp;marker="&amp;$F333&amp;","&amp;$E333&amp;"",IF(JobState="IN","https://fema.maps.arcgis.com/apps/mapviewer/index.html?url=https%3A%2F%2Fgisdata.in.gov%2Fserver%2Frest%2Fservices%2FHosted%2FLRSE_Functional_Class%2FFeatureServer%2F22&amp;find="&amp;$F333&amp;"%2C"&amp;$E333&amp;"&amp;marker="&amp;$F333&amp;","&amp;$E333&amp;",4326&amp;level=16",IF(JobState="WI","https://fema.maps.arcgis.com/apps/mapviewer/index.html?url=https%3A%2F%2Fservices5.arcgis.com%2F0pgGLzT0Nh7FVjon%2Farcgis%2Frest%2Fservices%2FFFCL_gdb%2FFeatureServer%2F3&amp;find="&amp;$F333&amp;"%2C"&amp;$E333&amp;"&amp;marker="&amp;$F333&amp;","&amp;$E333&amp;",4326&amp;level=16","https://fema.maps.arcgis.com/apps/mapviewer/index.html?find="&amp;$F333&amp;"%2C"&amp;$E333&amp;"&amp;marker="&amp;$F333&amp;","&amp;$E333&amp;",4326&amp;level=16"))),"Open"))</f>
        <v/>
      </c>
      <c r="N333" s="6" t="str">
        <f>IF(OR(JobAgolMap="", $E333="", $F333=""),"",HYPERLINK(JobAgolMap&amp;IF(ISNUMBER(FIND("?",JobAgolMap)),"&amp;","?")&amp;"center="&amp;$F333&amp;","&amp;$E333&amp;"&amp;level=16&amp;marker="&amp;$F333&amp;","&amp;$E333,"Open"))</f>
        <v/>
      </c>
      <c r="O333" s="6" t="str">
        <f>IF(OR($E333="",$F333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3" s="4"/>
      <c r="Q333" s="4"/>
      <c r="R333" s="4"/>
      <c r="S333" s="4"/>
      <c r="T333" s="4"/>
      <c r="U333" s="4"/>
      <c r="V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HYPERLINK(IF(OR(JobState="MI",JobState=""),"https://fema.maps.arcgis.com/apps/mapviewer/index.html?webmap=6a1702b9147243d1a5ee62cd614bc681&amp;center="&amp;$F334&amp;","&amp;$E334&amp;"&amp;level=16&amp;marker="&amp;$F334&amp;","&amp;$E334&amp;"",IF(JobState="IN","https://fema.maps.arcgis.com/apps/mapviewer/index.html?url=https%3A%2F%2Fgisdata.in.gov%2Fserver%2Frest%2Fservices%2FHosted%2FLRSE_Functional_Class%2FFeatureServer%2F22&amp;find="&amp;$F334&amp;"%2C"&amp;$E334&amp;"&amp;marker="&amp;$F334&amp;","&amp;$E334&amp;",4326&amp;level=16",IF(JobState="WI","https://fema.maps.arcgis.com/apps/mapviewer/index.html?url=https%3A%2F%2Fservices5.arcgis.com%2F0pgGLzT0Nh7FVjon%2Farcgis%2Frest%2Fservices%2FFFCL_gdb%2FFeatureServer%2F3&amp;find="&amp;$F334&amp;"%2C"&amp;$E334&amp;"&amp;marker="&amp;$F334&amp;","&amp;$E334&amp;",4326&amp;level=16","https://fema.maps.arcgis.com/apps/mapviewer/index.html?find="&amp;$F334&amp;"%2C"&amp;$E334&amp;"&amp;marker="&amp;$F334&amp;","&amp;$E334&amp;",4326&amp;level=16"))),"Open"))</f>
        <v/>
      </c>
      <c r="N334" s="6" t="str">
        <f>IF(OR(JobAgolMap="", $E334="", $F334=""),"",HYPERLINK(JobAgolMap&amp;IF(ISNUMBER(FIND("?",JobAgolMap)),"&amp;","?")&amp;"center="&amp;$F334&amp;","&amp;$E334&amp;"&amp;level=16&amp;marker="&amp;$F334&amp;","&amp;$E334,"Open"))</f>
        <v/>
      </c>
      <c r="O334" s="6" t="str">
        <f>IF(OR($E334="",$F334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4" s="4"/>
      <c r="Q334" s="4"/>
      <c r="R334" s="4"/>
      <c r="S334" s="4"/>
      <c r="T334" s="4"/>
      <c r="U334" s="4"/>
      <c r="V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HYPERLINK(IF(OR(JobState="MI",JobState=""),"https://fema.maps.arcgis.com/apps/mapviewer/index.html?webmap=6a1702b9147243d1a5ee62cd614bc681&amp;center="&amp;$F335&amp;","&amp;$E335&amp;"&amp;level=16&amp;marker="&amp;$F335&amp;","&amp;$E335&amp;"",IF(JobState="IN","https://fema.maps.arcgis.com/apps/mapviewer/index.html?url=https%3A%2F%2Fgisdata.in.gov%2Fserver%2Frest%2Fservices%2FHosted%2FLRSE_Functional_Class%2FFeatureServer%2F22&amp;find="&amp;$F335&amp;"%2C"&amp;$E335&amp;"&amp;marker="&amp;$F335&amp;","&amp;$E335&amp;",4326&amp;level=16",IF(JobState="WI","https://fema.maps.arcgis.com/apps/mapviewer/index.html?url=https%3A%2F%2Fservices5.arcgis.com%2F0pgGLzT0Nh7FVjon%2Farcgis%2Frest%2Fservices%2FFFCL_gdb%2FFeatureServer%2F3&amp;find="&amp;$F335&amp;"%2C"&amp;$E335&amp;"&amp;marker="&amp;$F335&amp;","&amp;$E335&amp;",4326&amp;level=16","https://fema.maps.arcgis.com/apps/mapviewer/index.html?find="&amp;$F335&amp;"%2C"&amp;$E335&amp;"&amp;marker="&amp;$F335&amp;","&amp;$E335&amp;",4326&amp;level=16"))),"Open"))</f>
        <v/>
      </c>
      <c r="N335" s="6" t="str">
        <f>IF(OR(JobAgolMap="", $E335="", $F335=""),"",HYPERLINK(JobAgolMap&amp;IF(ISNUMBER(FIND("?",JobAgolMap)),"&amp;","?")&amp;"center="&amp;$F335&amp;","&amp;$E335&amp;"&amp;level=16&amp;marker="&amp;$F335&amp;","&amp;$E335,"Open"))</f>
        <v/>
      </c>
      <c r="O335" s="6" t="str">
        <f>IF(OR($E335="",$F335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5" s="4"/>
      <c r="Q335" s="4"/>
      <c r="R335" s="4"/>
      <c r="S335" s="4"/>
      <c r="T335" s="4"/>
      <c r="U335" s="4"/>
      <c r="V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HYPERLINK(IF(OR(JobState="MI",JobState=""),"https://fema.maps.arcgis.com/apps/mapviewer/index.html?webmap=6a1702b9147243d1a5ee62cd614bc681&amp;center="&amp;$F336&amp;","&amp;$E336&amp;"&amp;level=16&amp;marker="&amp;$F336&amp;","&amp;$E336&amp;"",IF(JobState="IN","https://fema.maps.arcgis.com/apps/mapviewer/index.html?url=https%3A%2F%2Fgisdata.in.gov%2Fserver%2Frest%2Fservices%2FHosted%2FLRSE_Functional_Class%2FFeatureServer%2F22&amp;find="&amp;$F336&amp;"%2C"&amp;$E336&amp;"&amp;marker="&amp;$F336&amp;","&amp;$E336&amp;",4326&amp;level=16",IF(JobState="WI","https://fema.maps.arcgis.com/apps/mapviewer/index.html?url=https%3A%2F%2Fservices5.arcgis.com%2F0pgGLzT0Nh7FVjon%2Farcgis%2Frest%2Fservices%2FFFCL_gdb%2FFeatureServer%2F3&amp;find="&amp;$F336&amp;"%2C"&amp;$E336&amp;"&amp;marker="&amp;$F336&amp;","&amp;$E336&amp;",4326&amp;level=16","https://fema.maps.arcgis.com/apps/mapviewer/index.html?find="&amp;$F336&amp;"%2C"&amp;$E336&amp;"&amp;marker="&amp;$F336&amp;","&amp;$E336&amp;",4326&amp;level=16"))),"Open"))</f>
        <v/>
      </c>
      <c r="N336" s="6" t="str">
        <f>IF(OR(JobAgolMap="", $E336="", $F336=""),"",HYPERLINK(JobAgolMap&amp;IF(ISNUMBER(FIND("?",JobAgolMap)),"&amp;","?")&amp;"center="&amp;$F336&amp;","&amp;$E336&amp;"&amp;level=16&amp;marker="&amp;$F336&amp;","&amp;$E336,"Open"))</f>
        <v/>
      </c>
      <c r="O336" s="6" t="str">
        <f>IF(OR($E336="",$F336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6" s="4"/>
      <c r="Q336" s="4"/>
      <c r="R336" s="4"/>
      <c r="S336" s="4"/>
      <c r="T336" s="4"/>
      <c r="U336" s="4"/>
      <c r="V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HYPERLINK(IF(OR(JobState="MI",JobState=""),"https://fema.maps.arcgis.com/apps/mapviewer/index.html?webmap=6a1702b9147243d1a5ee62cd614bc681&amp;center="&amp;$F337&amp;","&amp;$E337&amp;"&amp;level=16&amp;marker="&amp;$F337&amp;","&amp;$E337&amp;"",IF(JobState="IN","https://fema.maps.arcgis.com/apps/mapviewer/index.html?url=https%3A%2F%2Fgisdata.in.gov%2Fserver%2Frest%2Fservices%2FHosted%2FLRSE_Functional_Class%2FFeatureServer%2F22&amp;find="&amp;$F337&amp;"%2C"&amp;$E337&amp;"&amp;marker="&amp;$F337&amp;","&amp;$E337&amp;",4326&amp;level=16",IF(JobState="WI","https://fema.maps.arcgis.com/apps/mapviewer/index.html?url=https%3A%2F%2Fservices5.arcgis.com%2F0pgGLzT0Nh7FVjon%2Farcgis%2Frest%2Fservices%2FFFCL_gdb%2FFeatureServer%2F3&amp;find="&amp;$F337&amp;"%2C"&amp;$E337&amp;"&amp;marker="&amp;$F337&amp;","&amp;$E337&amp;",4326&amp;level=16","https://fema.maps.arcgis.com/apps/mapviewer/index.html?find="&amp;$F337&amp;"%2C"&amp;$E337&amp;"&amp;marker="&amp;$F337&amp;","&amp;$E337&amp;",4326&amp;level=16"))),"Open"))</f>
        <v/>
      </c>
      <c r="N337" s="6" t="str">
        <f>IF(OR(JobAgolMap="", $E337="", $F337=""),"",HYPERLINK(JobAgolMap&amp;IF(ISNUMBER(FIND("?",JobAgolMap)),"&amp;","?")&amp;"center="&amp;$F337&amp;","&amp;$E337&amp;"&amp;level=16&amp;marker="&amp;$F337&amp;","&amp;$E337,"Open"))</f>
        <v/>
      </c>
      <c r="O337" s="6" t="str">
        <f>IF(OR($E337="",$F337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7" s="4"/>
      <c r="Q337" s="4"/>
      <c r="R337" s="4"/>
      <c r="S337" s="4"/>
      <c r="T337" s="4"/>
      <c r="U337" s="4"/>
      <c r="V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HYPERLINK(IF(OR(JobState="MI",JobState=""),"https://fema.maps.arcgis.com/apps/mapviewer/index.html?webmap=6a1702b9147243d1a5ee62cd614bc681&amp;center="&amp;$F338&amp;","&amp;$E338&amp;"&amp;level=16&amp;marker="&amp;$F338&amp;","&amp;$E338&amp;"",IF(JobState="IN","https://fema.maps.arcgis.com/apps/mapviewer/index.html?url=https%3A%2F%2Fgisdata.in.gov%2Fserver%2Frest%2Fservices%2FHosted%2FLRSE_Functional_Class%2FFeatureServer%2F22&amp;find="&amp;$F338&amp;"%2C"&amp;$E338&amp;"&amp;marker="&amp;$F338&amp;","&amp;$E338&amp;",4326&amp;level=16",IF(JobState="WI","https://fema.maps.arcgis.com/apps/mapviewer/index.html?url=https%3A%2F%2Fservices5.arcgis.com%2F0pgGLzT0Nh7FVjon%2Farcgis%2Frest%2Fservices%2FFFCL_gdb%2FFeatureServer%2F3&amp;find="&amp;$F338&amp;"%2C"&amp;$E338&amp;"&amp;marker="&amp;$F338&amp;","&amp;$E338&amp;",4326&amp;level=16","https://fema.maps.arcgis.com/apps/mapviewer/index.html?find="&amp;$F338&amp;"%2C"&amp;$E338&amp;"&amp;marker="&amp;$F338&amp;","&amp;$E338&amp;",4326&amp;level=16"))),"Open"))</f>
        <v/>
      </c>
      <c r="N338" s="6" t="str">
        <f>IF(OR(JobAgolMap="", $E338="", $F338=""),"",HYPERLINK(JobAgolMap&amp;IF(ISNUMBER(FIND("?",JobAgolMap)),"&amp;","?")&amp;"center="&amp;$F338&amp;","&amp;$E338&amp;"&amp;level=16&amp;marker="&amp;$F338&amp;","&amp;$E338,"Open"))</f>
        <v/>
      </c>
      <c r="O338" s="6" t="str">
        <f>IF(OR($E338="",$F338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8" s="4"/>
      <c r="Q338" s="4"/>
      <c r="R338" s="4"/>
      <c r="S338" s="4"/>
      <c r="T338" s="4"/>
      <c r="U338" s="4"/>
      <c r="V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HYPERLINK(IF(OR(JobState="MI",JobState=""),"https://fema.maps.arcgis.com/apps/mapviewer/index.html?webmap=6a1702b9147243d1a5ee62cd614bc681&amp;center="&amp;$F339&amp;","&amp;$E339&amp;"&amp;level=16&amp;marker="&amp;$F339&amp;","&amp;$E339&amp;"",IF(JobState="IN","https://fema.maps.arcgis.com/apps/mapviewer/index.html?url=https%3A%2F%2Fgisdata.in.gov%2Fserver%2Frest%2Fservices%2FHosted%2FLRSE_Functional_Class%2FFeatureServer%2F22&amp;find="&amp;$F339&amp;"%2C"&amp;$E339&amp;"&amp;marker="&amp;$F339&amp;","&amp;$E339&amp;",4326&amp;level=16",IF(JobState="WI","https://fema.maps.arcgis.com/apps/mapviewer/index.html?url=https%3A%2F%2Fservices5.arcgis.com%2F0pgGLzT0Nh7FVjon%2Farcgis%2Frest%2Fservices%2FFFCL_gdb%2FFeatureServer%2F3&amp;find="&amp;$F339&amp;"%2C"&amp;$E339&amp;"&amp;marker="&amp;$F339&amp;","&amp;$E339&amp;",4326&amp;level=16","https://fema.maps.arcgis.com/apps/mapviewer/index.html?find="&amp;$F339&amp;"%2C"&amp;$E339&amp;"&amp;marker="&amp;$F339&amp;","&amp;$E339&amp;",4326&amp;level=16"))),"Open"))</f>
        <v/>
      </c>
      <c r="N339" s="6" t="str">
        <f>IF(OR(JobAgolMap="", $E339="", $F339=""),"",HYPERLINK(JobAgolMap&amp;IF(ISNUMBER(FIND("?",JobAgolMap)),"&amp;","?")&amp;"center="&amp;$F339&amp;","&amp;$E339&amp;"&amp;level=16&amp;marker="&amp;$F339&amp;","&amp;$E339,"Open"))</f>
        <v/>
      </c>
      <c r="O339" s="6" t="str">
        <f>IF(OR($E339="",$F339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9" s="4"/>
      <c r="Q339" s="4"/>
      <c r="R339" s="4"/>
      <c r="S339" s="4"/>
      <c r="T339" s="4"/>
      <c r="U339" s="4"/>
      <c r="V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HYPERLINK(IF(OR(JobState="MI",JobState=""),"https://fema.maps.arcgis.com/apps/mapviewer/index.html?webmap=6a1702b9147243d1a5ee62cd614bc681&amp;center="&amp;$F340&amp;","&amp;$E340&amp;"&amp;level=16&amp;marker="&amp;$F340&amp;","&amp;$E340&amp;"",IF(JobState="IN","https://fema.maps.arcgis.com/apps/mapviewer/index.html?url=https%3A%2F%2Fgisdata.in.gov%2Fserver%2Frest%2Fservices%2FHosted%2FLRSE_Functional_Class%2FFeatureServer%2F22&amp;find="&amp;$F340&amp;"%2C"&amp;$E340&amp;"&amp;marker="&amp;$F340&amp;","&amp;$E340&amp;",4326&amp;level=16",IF(JobState="WI","https://fema.maps.arcgis.com/apps/mapviewer/index.html?url=https%3A%2F%2Fservices5.arcgis.com%2F0pgGLzT0Nh7FVjon%2Farcgis%2Frest%2Fservices%2FFFCL_gdb%2FFeatureServer%2F3&amp;find="&amp;$F340&amp;"%2C"&amp;$E340&amp;"&amp;marker="&amp;$F340&amp;","&amp;$E340&amp;",4326&amp;level=16","https://fema.maps.arcgis.com/apps/mapviewer/index.html?find="&amp;$F340&amp;"%2C"&amp;$E340&amp;"&amp;marker="&amp;$F340&amp;","&amp;$E340&amp;",4326&amp;level=16"))),"Open"))</f>
        <v/>
      </c>
      <c r="N340" s="6" t="str">
        <f>IF(OR(JobAgolMap="", $E340="", $F340=""),"",HYPERLINK(JobAgolMap&amp;IF(ISNUMBER(FIND("?",JobAgolMap)),"&amp;","?")&amp;"center="&amp;$F340&amp;","&amp;$E340&amp;"&amp;level=16&amp;marker="&amp;$F340&amp;","&amp;$E340,"Open"))</f>
        <v/>
      </c>
      <c r="O340" s="6" t="str">
        <f>IF(OR($E340="",$F340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0" s="4"/>
      <c r="Q340" s="4"/>
      <c r="R340" s="4"/>
      <c r="S340" s="4"/>
      <c r="T340" s="4"/>
      <c r="U340" s="4"/>
      <c r="V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HYPERLINK(IF(OR(JobState="MI",JobState=""),"https://fema.maps.arcgis.com/apps/mapviewer/index.html?webmap=6a1702b9147243d1a5ee62cd614bc681&amp;center="&amp;$F341&amp;","&amp;$E341&amp;"&amp;level=16&amp;marker="&amp;$F341&amp;","&amp;$E341&amp;"",IF(JobState="IN","https://fema.maps.arcgis.com/apps/mapviewer/index.html?url=https%3A%2F%2Fgisdata.in.gov%2Fserver%2Frest%2Fservices%2FHosted%2FLRSE_Functional_Class%2FFeatureServer%2F22&amp;find="&amp;$F341&amp;"%2C"&amp;$E341&amp;"&amp;marker="&amp;$F341&amp;","&amp;$E341&amp;",4326&amp;level=16",IF(JobState="WI","https://fema.maps.arcgis.com/apps/mapviewer/index.html?url=https%3A%2F%2Fservices5.arcgis.com%2F0pgGLzT0Nh7FVjon%2Farcgis%2Frest%2Fservices%2FFFCL_gdb%2FFeatureServer%2F3&amp;find="&amp;$F341&amp;"%2C"&amp;$E341&amp;"&amp;marker="&amp;$F341&amp;","&amp;$E341&amp;",4326&amp;level=16","https://fema.maps.arcgis.com/apps/mapviewer/index.html?find="&amp;$F341&amp;"%2C"&amp;$E341&amp;"&amp;marker="&amp;$F341&amp;","&amp;$E341&amp;",4326&amp;level=16"))),"Open"))</f>
        <v/>
      </c>
      <c r="N341" s="6" t="str">
        <f>IF(OR(JobAgolMap="", $E341="", $F341=""),"",HYPERLINK(JobAgolMap&amp;IF(ISNUMBER(FIND("?",JobAgolMap)),"&amp;","?")&amp;"center="&amp;$F341&amp;","&amp;$E341&amp;"&amp;level=16&amp;marker="&amp;$F341&amp;","&amp;$E341,"Open"))</f>
        <v/>
      </c>
      <c r="O341" s="6" t="str">
        <f>IF(OR($E341="",$F341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1" s="4"/>
      <c r="Q341" s="4"/>
      <c r="R341" s="4"/>
      <c r="S341" s="4"/>
      <c r="T341" s="4"/>
      <c r="U341" s="4"/>
      <c r="V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HYPERLINK(IF(OR(JobState="MI",JobState=""),"https://fema.maps.arcgis.com/apps/mapviewer/index.html?webmap=6a1702b9147243d1a5ee62cd614bc681&amp;center="&amp;$F342&amp;","&amp;$E342&amp;"&amp;level=16&amp;marker="&amp;$F342&amp;","&amp;$E342&amp;"",IF(JobState="IN","https://fema.maps.arcgis.com/apps/mapviewer/index.html?url=https%3A%2F%2Fgisdata.in.gov%2Fserver%2Frest%2Fservices%2FHosted%2FLRSE_Functional_Class%2FFeatureServer%2F22&amp;find="&amp;$F342&amp;"%2C"&amp;$E342&amp;"&amp;marker="&amp;$F342&amp;","&amp;$E342&amp;",4326&amp;level=16",IF(JobState="WI","https://fema.maps.arcgis.com/apps/mapviewer/index.html?url=https%3A%2F%2Fservices5.arcgis.com%2F0pgGLzT0Nh7FVjon%2Farcgis%2Frest%2Fservices%2FFFCL_gdb%2FFeatureServer%2F3&amp;find="&amp;$F342&amp;"%2C"&amp;$E342&amp;"&amp;marker="&amp;$F342&amp;","&amp;$E342&amp;",4326&amp;level=16","https://fema.maps.arcgis.com/apps/mapviewer/index.html?find="&amp;$F342&amp;"%2C"&amp;$E342&amp;"&amp;marker="&amp;$F342&amp;","&amp;$E342&amp;",4326&amp;level=16"))),"Open"))</f>
        <v/>
      </c>
      <c r="N342" s="6" t="str">
        <f>IF(OR(JobAgolMap="", $E342="", $F342=""),"",HYPERLINK(JobAgolMap&amp;IF(ISNUMBER(FIND("?",JobAgolMap)),"&amp;","?")&amp;"center="&amp;$F342&amp;","&amp;$E342&amp;"&amp;level=16&amp;marker="&amp;$F342&amp;","&amp;$E342,"Open"))</f>
        <v/>
      </c>
      <c r="O342" s="6" t="str">
        <f>IF(OR($E342="",$F342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2" s="4"/>
      <c r="Q342" s="4"/>
      <c r="R342" s="4"/>
      <c r="S342" s="4"/>
      <c r="T342" s="4"/>
      <c r="U342" s="4"/>
      <c r="V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HYPERLINK(IF(OR(JobState="MI",JobState=""),"https://fema.maps.arcgis.com/apps/mapviewer/index.html?webmap=6a1702b9147243d1a5ee62cd614bc681&amp;center="&amp;$F343&amp;","&amp;$E343&amp;"&amp;level=16&amp;marker="&amp;$F343&amp;","&amp;$E343&amp;"",IF(JobState="IN","https://fema.maps.arcgis.com/apps/mapviewer/index.html?url=https%3A%2F%2Fgisdata.in.gov%2Fserver%2Frest%2Fservices%2FHosted%2FLRSE_Functional_Class%2FFeatureServer%2F22&amp;find="&amp;$F343&amp;"%2C"&amp;$E343&amp;"&amp;marker="&amp;$F343&amp;","&amp;$E343&amp;",4326&amp;level=16",IF(JobState="WI","https://fema.maps.arcgis.com/apps/mapviewer/index.html?url=https%3A%2F%2Fservices5.arcgis.com%2F0pgGLzT0Nh7FVjon%2Farcgis%2Frest%2Fservices%2FFFCL_gdb%2FFeatureServer%2F3&amp;find="&amp;$F343&amp;"%2C"&amp;$E343&amp;"&amp;marker="&amp;$F343&amp;","&amp;$E343&amp;",4326&amp;level=16","https://fema.maps.arcgis.com/apps/mapviewer/index.html?find="&amp;$F343&amp;"%2C"&amp;$E343&amp;"&amp;marker="&amp;$F343&amp;","&amp;$E343&amp;",4326&amp;level=16"))),"Open"))</f>
        <v/>
      </c>
      <c r="N343" s="6" t="str">
        <f>IF(OR(JobAgolMap="", $E343="", $F343=""),"",HYPERLINK(JobAgolMap&amp;IF(ISNUMBER(FIND("?",JobAgolMap)),"&amp;","?")&amp;"center="&amp;$F343&amp;","&amp;$E343&amp;"&amp;level=16&amp;marker="&amp;$F343&amp;","&amp;$E343,"Open"))</f>
        <v/>
      </c>
      <c r="O343" s="6" t="str">
        <f>IF(OR($E343="",$F343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3" s="4"/>
      <c r="Q343" s="4"/>
      <c r="R343" s="4"/>
      <c r="S343" s="4"/>
      <c r="T343" s="4"/>
      <c r="U343" s="4"/>
      <c r="V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HYPERLINK(IF(OR(JobState="MI",JobState=""),"https://fema.maps.arcgis.com/apps/mapviewer/index.html?webmap=6a1702b9147243d1a5ee62cd614bc681&amp;center="&amp;$F344&amp;","&amp;$E344&amp;"&amp;level=16&amp;marker="&amp;$F344&amp;","&amp;$E344&amp;"",IF(JobState="IN","https://fema.maps.arcgis.com/apps/mapviewer/index.html?url=https%3A%2F%2Fgisdata.in.gov%2Fserver%2Frest%2Fservices%2FHosted%2FLRSE_Functional_Class%2FFeatureServer%2F22&amp;find="&amp;$F344&amp;"%2C"&amp;$E344&amp;"&amp;marker="&amp;$F344&amp;","&amp;$E344&amp;",4326&amp;level=16",IF(JobState="WI","https://fema.maps.arcgis.com/apps/mapviewer/index.html?url=https%3A%2F%2Fservices5.arcgis.com%2F0pgGLzT0Nh7FVjon%2Farcgis%2Frest%2Fservices%2FFFCL_gdb%2FFeatureServer%2F3&amp;find="&amp;$F344&amp;"%2C"&amp;$E344&amp;"&amp;marker="&amp;$F344&amp;","&amp;$E344&amp;",4326&amp;level=16","https://fema.maps.arcgis.com/apps/mapviewer/index.html?find="&amp;$F344&amp;"%2C"&amp;$E344&amp;"&amp;marker="&amp;$F344&amp;","&amp;$E344&amp;",4326&amp;level=16"))),"Open"))</f>
        <v/>
      </c>
      <c r="N344" s="6" t="str">
        <f>IF(OR(JobAgolMap="", $E344="", $F344=""),"",HYPERLINK(JobAgolMap&amp;IF(ISNUMBER(FIND("?",JobAgolMap)),"&amp;","?")&amp;"center="&amp;$F344&amp;","&amp;$E344&amp;"&amp;level=16&amp;marker="&amp;$F344&amp;","&amp;$E344,"Open"))</f>
        <v/>
      </c>
      <c r="O344" s="6" t="str">
        <f>IF(OR($E344="",$F344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4" s="4"/>
      <c r="Q344" s="4"/>
      <c r="R344" s="4"/>
      <c r="S344" s="4"/>
      <c r="T344" s="4"/>
      <c r="U344" s="4"/>
      <c r="V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HYPERLINK(IF(OR(JobState="MI",JobState=""),"https://fema.maps.arcgis.com/apps/mapviewer/index.html?webmap=6a1702b9147243d1a5ee62cd614bc681&amp;center="&amp;$F345&amp;","&amp;$E345&amp;"&amp;level=16&amp;marker="&amp;$F345&amp;","&amp;$E345&amp;"",IF(JobState="IN","https://fema.maps.arcgis.com/apps/mapviewer/index.html?url=https%3A%2F%2Fgisdata.in.gov%2Fserver%2Frest%2Fservices%2FHosted%2FLRSE_Functional_Class%2FFeatureServer%2F22&amp;find="&amp;$F345&amp;"%2C"&amp;$E345&amp;"&amp;marker="&amp;$F345&amp;","&amp;$E345&amp;",4326&amp;level=16",IF(JobState="WI","https://fema.maps.arcgis.com/apps/mapviewer/index.html?url=https%3A%2F%2Fservices5.arcgis.com%2F0pgGLzT0Nh7FVjon%2Farcgis%2Frest%2Fservices%2FFFCL_gdb%2FFeatureServer%2F3&amp;find="&amp;$F345&amp;"%2C"&amp;$E345&amp;"&amp;marker="&amp;$F345&amp;","&amp;$E345&amp;",4326&amp;level=16","https://fema.maps.arcgis.com/apps/mapviewer/index.html?find="&amp;$F345&amp;"%2C"&amp;$E345&amp;"&amp;marker="&amp;$F345&amp;","&amp;$E345&amp;",4326&amp;level=16"))),"Open"))</f>
        <v/>
      </c>
      <c r="N345" s="6" t="str">
        <f>IF(OR(JobAgolMap="", $E345="", $F345=""),"",HYPERLINK(JobAgolMap&amp;IF(ISNUMBER(FIND("?",JobAgolMap)),"&amp;","?")&amp;"center="&amp;$F345&amp;","&amp;$E345&amp;"&amp;level=16&amp;marker="&amp;$F345&amp;","&amp;$E345,"Open"))</f>
        <v/>
      </c>
      <c r="O345" s="6" t="str">
        <f>IF(OR($E345="",$F345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5" s="4"/>
      <c r="Q345" s="4"/>
      <c r="R345" s="4"/>
      <c r="S345" s="4"/>
      <c r="T345" s="4"/>
      <c r="U345" s="4"/>
      <c r="V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HYPERLINK(IF(OR(JobState="MI",JobState=""),"https://fema.maps.arcgis.com/apps/mapviewer/index.html?webmap=6a1702b9147243d1a5ee62cd614bc681&amp;center="&amp;$F346&amp;","&amp;$E346&amp;"&amp;level=16&amp;marker="&amp;$F346&amp;","&amp;$E346&amp;"",IF(JobState="IN","https://fema.maps.arcgis.com/apps/mapviewer/index.html?url=https%3A%2F%2Fgisdata.in.gov%2Fserver%2Frest%2Fservices%2FHosted%2FLRSE_Functional_Class%2FFeatureServer%2F22&amp;find="&amp;$F346&amp;"%2C"&amp;$E346&amp;"&amp;marker="&amp;$F346&amp;","&amp;$E346&amp;",4326&amp;level=16",IF(JobState="WI","https://fema.maps.arcgis.com/apps/mapviewer/index.html?url=https%3A%2F%2Fservices5.arcgis.com%2F0pgGLzT0Nh7FVjon%2Farcgis%2Frest%2Fservices%2FFFCL_gdb%2FFeatureServer%2F3&amp;find="&amp;$F346&amp;"%2C"&amp;$E346&amp;"&amp;marker="&amp;$F346&amp;","&amp;$E346&amp;",4326&amp;level=16","https://fema.maps.arcgis.com/apps/mapviewer/index.html?find="&amp;$F346&amp;"%2C"&amp;$E346&amp;"&amp;marker="&amp;$F346&amp;","&amp;$E346&amp;",4326&amp;level=16"))),"Open"))</f>
        <v/>
      </c>
      <c r="N346" s="6" t="str">
        <f>IF(OR(JobAgolMap="", $E346="", $F346=""),"",HYPERLINK(JobAgolMap&amp;IF(ISNUMBER(FIND("?",JobAgolMap)),"&amp;","?")&amp;"center="&amp;$F346&amp;","&amp;$E346&amp;"&amp;level=16&amp;marker="&amp;$F346&amp;","&amp;$E346,"Open"))</f>
        <v/>
      </c>
      <c r="O346" s="6" t="str">
        <f>IF(OR($E346="",$F346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6" s="4"/>
      <c r="Q346" s="4"/>
      <c r="R346" s="4"/>
      <c r="S346" s="4"/>
      <c r="T346" s="4"/>
      <c r="U346" s="4"/>
      <c r="V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HYPERLINK(IF(OR(JobState="MI",JobState=""),"https://fema.maps.arcgis.com/apps/mapviewer/index.html?webmap=6a1702b9147243d1a5ee62cd614bc681&amp;center="&amp;$F347&amp;","&amp;$E347&amp;"&amp;level=16&amp;marker="&amp;$F347&amp;","&amp;$E347&amp;"",IF(JobState="IN","https://fema.maps.arcgis.com/apps/mapviewer/index.html?url=https%3A%2F%2Fgisdata.in.gov%2Fserver%2Frest%2Fservices%2FHosted%2FLRSE_Functional_Class%2FFeatureServer%2F22&amp;find="&amp;$F347&amp;"%2C"&amp;$E347&amp;"&amp;marker="&amp;$F347&amp;","&amp;$E347&amp;",4326&amp;level=16",IF(JobState="WI","https://fema.maps.arcgis.com/apps/mapviewer/index.html?url=https%3A%2F%2Fservices5.arcgis.com%2F0pgGLzT0Nh7FVjon%2Farcgis%2Frest%2Fservices%2FFFCL_gdb%2FFeatureServer%2F3&amp;find="&amp;$F347&amp;"%2C"&amp;$E347&amp;"&amp;marker="&amp;$F347&amp;","&amp;$E347&amp;",4326&amp;level=16","https://fema.maps.arcgis.com/apps/mapviewer/index.html?find="&amp;$F347&amp;"%2C"&amp;$E347&amp;"&amp;marker="&amp;$F347&amp;","&amp;$E347&amp;",4326&amp;level=16"))),"Open"))</f>
        <v/>
      </c>
      <c r="N347" s="6" t="str">
        <f>IF(OR(JobAgolMap="", $E347="", $F347=""),"",HYPERLINK(JobAgolMap&amp;IF(ISNUMBER(FIND("?",JobAgolMap)),"&amp;","?")&amp;"center="&amp;$F347&amp;","&amp;$E347&amp;"&amp;level=16&amp;marker="&amp;$F347&amp;","&amp;$E347,"Open"))</f>
        <v/>
      </c>
      <c r="O347" s="6" t="str">
        <f>IF(OR($E347="",$F347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7" s="4"/>
      <c r="Q347" s="4"/>
      <c r="R347" s="4"/>
      <c r="S347" s="4"/>
      <c r="T347" s="4"/>
      <c r="U347" s="4"/>
      <c r="V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HYPERLINK(IF(OR(JobState="MI",JobState=""),"https://fema.maps.arcgis.com/apps/mapviewer/index.html?webmap=6a1702b9147243d1a5ee62cd614bc681&amp;center="&amp;$F348&amp;","&amp;$E348&amp;"&amp;level=16&amp;marker="&amp;$F348&amp;","&amp;$E348&amp;"",IF(JobState="IN","https://fema.maps.arcgis.com/apps/mapviewer/index.html?url=https%3A%2F%2Fgisdata.in.gov%2Fserver%2Frest%2Fservices%2FHosted%2FLRSE_Functional_Class%2FFeatureServer%2F22&amp;find="&amp;$F348&amp;"%2C"&amp;$E348&amp;"&amp;marker="&amp;$F348&amp;","&amp;$E348&amp;",4326&amp;level=16",IF(JobState="WI","https://fema.maps.arcgis.com/apps/mapviewer/index.html?url=https%3A%2F%2Fservices5.arcgis.com%2F0pgGLzT0Nh7FVjon%2Farcgis%2Frest%2Fservices%2FFFCL_gdb%2FFeatureServer%2F3&amp;find="&amp;$F348&amp;"%2C"&amp;$E348&amp;"&amp;marker="&amp;$F348&amp;","&amp;$E348&amp;",4326&amp;level=16","https://fema.maps.arcgis.com/apps/mapviewer/index.html?find="&amp;$F348&amp;"%2C"&amp;$E348&amp;"&amp;marker="&amp;$F348&amp;","&amp;$E348&amp;",4326&amp;level=16"))),"Open"))</f>
        <v/>
      </c>
      <c r="N348" s="6" t="str">
        <f>IF(OR(JobAgolMap="", $E348="", $F348=""),"",HYPERLINK(JobAgolMap&amp;IF(ISNUMBER(FIND("?",JobAgolMap)),"&amp;","?")&amp;"center="&amp;$F348&amp;","&amp;$E348&amp;"&amp;level=16&amp;marker="&amp;$F348&amp;","&amp;$E348,"Open"))</f>
        <v/>
      </c>
      <c r="O348" s="6" t="str">
        <f>IF(OR($E348="",$F348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8" s="4"/>
      <c r="Q348" s="4"/>
      <c r="R348" s="4"/>
      <c r="S348" s="4"/>
      <c r="T348" s="4"/>
      <c r="U348" s="4"/>
      <c r="V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HYPERLINK(IF(OR(JobState="MI",JobState=""),"https://fema.maps.arcgis.com/apps/mapviewer/index.html?webmap=6a1702b9147243d1a5ee62cd614bc681&amp;center="&amp;$F349&amp;","&amp;$E349&amp;"&amp;level=16&amp;marker="&amp;$F349&amp;","&amp;$E349&amp;"",IF(JobState="IN","https://fema.maps.arcgis.com/apps/mapviewer/index.html?url=https%3A%2F%2Fgisdata.in.gov%2Fserver%2Frest%2Fservices%2FHosted%2FLRSE_Functional_Class%2FFeatureServer%2F22&amp;find="&amp;$F349&amp;"%2C"&amp;$E349&amp;"&amp;marker="&amp;$F349&amp;","&amp;$E349&amp;",4326&amp;level=16",IF(JobState="WI","https://fema.maps.arcgis.com/apps/mapviewer/index.html?url=https%3A%2F%2Fservices5.arcgis.com%2F0pgGLzT0Nh7FVjon%2Farcgis%2Frest%2Fservices%2FFFCL_gdb%2FFeatureServer%2F3&amp;find="&amp;$F349&amp;"%2C"&amp;$E349&amp;"&amp;marker="&amp;$F349&amp;","&amp;$E349&amp;",4326&amp;level=16","https://fema.maps.arcgis.com/apps/mapviewer/index.html?find="&amp;$F349&amp;"%2C"&amp;$E349&amp;"&amp;marker="&amp;$F349&amp;","&amp;$E349&amp;",4326&amp;level=16"))),"Open"))</f>
        <v/>
      </c>
      <c r="N349" s="6" t="str">
        <f>IF(OR(JobAgolMap="", $E349="", $F349=""),"",HYPERLINK(JobAgolMap&amp;IF(ISNUMBER(FIND("?",JobAgolMap)),"&amp;","?")&amp;"center="&amp;$F349&amp;","&amp;$E349&amp;"&amp;level=16&amp;marker="&amp;$F349&amp;","&amp;$E349,"Open"))</f>
        <v/>
      </c>
      <c r="O349" s="6" t="str">
        <f>IF(OR($E349="",$F349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9" s="4"/>
      <c r="Q349" s="4"/>
      <c r="R349" s="4"/>
      <c r="S349" s="4"/>
      <c r="T349" s="4"/>
      <c r="U349" s="4"/>
      <c r="V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HYPERLINK(IF(OR(JobState="MI",JobState=""),"https://fema.maps.arcgis.com/apps/mapviewer/index.html?webmap=6a1702b9147243d1a5ee62cd614bc681&amp;center="&amp;$F350&amp;","&amp;$E350&amp;"&amp;level=16&amp;marker="&amp;$F350&amp;","&amp;$E350&amp;"",IF(JobState="IN","https://fema.maps.arcgis.com/apps/mapviewer/index.html?url=https%3A%2F%2Fgisdata.in.gov%2Fserver%2Frest%2Fservices%2FHosted%2FLRSE_Functional_Class%2FFeatureServer%2F22&amp;find="&amp;$F350&amp;"%2C"&amp;$E350&amp;"&amp;marker="&amp;$F350&amp;","&amp;$E350&amp;",4326&amp;level=16",IF(JobState="WI","https://fema.maps.arcgis.com/apps/mapviewer/index.html?url=https%3A%2F%2Fservices5.arcgis.com%2F0pgGLzT0Nh7FVjon%2Farcgis%2Frest%2Fservices%2FFFCL_gdb%2FFeatureServer%2F3&amp;find="&amp;$F350&amp;"%2C"&amp;$E350&amp;"&amp;marker="&amp;$F350&amp;","&amp;$E350&amp;",4326&amp;level=16","https://fema.maps.arcgis.com/apps/mapviewer/index.html?find="&amp;$F350&amp;"%2C"&amp;$E350&amp;"&amp;marker="&amp;$F350&amp;","&amp;$E350&amp;",4326&amp;level=16"))),"Open"))</f>
        <v/>
      </c>
      <c r="N350" s="6" t="str">
        <f>IF(OR(JobAgolMap="", $E350="", $F350=""),"",HYPERLINK(JobAgolMap&amp;IF(ISNUMBER(FIND("?",JobAgolMap)),"&amp;","?")&amp;"center="&amp;$F350&amp;","&amp;$E350&amp;"&amp;level=16&amp;marker="&amp;$F350&amp;","&amp;$E350,"Open"))</f>
        <v/>
      </c>
      <c r="O350" s="6" t="str">
        <f>IF(OR($E350="",$F350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0" s="4"/>
      <c r="Q350" s="4"/>
      <c r="R350" s="4"/>
      <c r="S350" s="4"/>
      <c r="T350" s="4"/>
      <c r="U350" s="4"/>
      <c r="V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HYPERLINK(IF(OR(JobState="MI",JobState=""),"https://fema.maps.arcgis.com/apps/mapviewer/index.html?webmap=6a1702b9147243d1a5ee62cd614bc681&amp;center="&amp;$F351&amp;","&amp;$E351&amp;"&amp;level=16&amp;marker="&amp;$F351&amp;","&amp;$E351&amp;"",IF(JobState="IN","https://fema.maps.arcgis.com/apps/mapviewer/index.html?url=https%3A%2F%2Fgisdata.in.gov%2Fserver%2Frest%2Fservices%2FHosted%2FLRSE_Functional_Class%2FFeatureServer%2F22&amp;find="&amp;$F351&amp;"%2C"&amp;$E351&amp;"&amp;marker="&amp;$F351&amp;","&amp;$E351&amp;",4326&amp;level=16",IF(JobState="WI","https://fema.maps.arcgis.com/apps/mapviewer/index.html?url=https%3A%2F%2Fservices5.arcgis.com%2F0pgGLzT0Nh7FVjon%2Farcgis%2Frest%2Fservices%2FFFCL_gdb%2FFeatureServer%2F3&amp;find="&amp;$F351&amp;"%2C"&amp;$E351&amp;"&amp;marker="&amp;$F351&amp;","&amp;$E351&amp;",4326&amp;level=16","https://fema.maps.arcgis.com/apps/mapviewer/index.html?find="&amp;$F351&amp;"%2C"&amp;$E351&amp;"&amp;marker="&amp;$F351&amp;","&amp;$E351&amp;",4326&amp;level=16"))),"Open"))</f>
        <v/>
      </c>
      <c r="N351" s="6" t="str">
        <f>IF(OR(JobAgolMap="", $E351="", $F351=""),"",HYPERLINK(JobAgolMap&amp;IF(ISNUMBER(FIND("?",JobAgolMap)),"&amp;","?")&amp;"center="&amp;$F351&amp;","&amp;$E351&amp;"&amp;level=16&amp;marker="&amp;$F351&amp;","&amp;$E351,"Open"))</f>
        <v/>
      </c>
      <c r="O351" s="6" t="str">
        <f>IF(OR($E351="",$F351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1" s="4"/>
      <c r="Q351" s="4"/>
      <c r="R351" s="4"/>
      <c r="S351" s="4"/>
      <c r="T351" s="4"/>
      <c r="U351" s="4"/>
      <c r="V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HYPERLINK(IF(OR(JobState="MI",JobState=""),"https://fema.maps.arcgis.com/apps/mapviewer/index.html?webmap=6a1702b9147243d1a5ee62cd614bc681&amp;center="&amp;$F352&amp;","&amp;$E352&amp;"&amp;level=16&amp;marker="&amp;$F352&amp;","&amp;$E352&amp;"",IF(JobState="IN","https://fema.maps.arcgis.com/apps/mapviewer/index.html?url=https%3A%2F%2Fgisdata.in.gov%2Fserver%2Frest%2Fservices%2FHosted%2FLRSE_Functional_Class%2FFeatureServer%2F22&amp;find="&amp;$F352&amp;"%2C"&amp;$E352&amp;"&amp;marker="&amp;$F352&amp;","&amp;$E352&amp;",4326&amp;level=16",IF(JobState="WI","https://fema.maps.arcgis.com/apps/mapviewer/index.html?url=https%3A%2F%2Fservices5.arcgis.com%2F0pgGLzT0Nh7FVjon%2Farcgis%2Frest%2Fservices%2FFFCL_gdb%2FFeatureServer%2F3&amp;find="&amp;$F352&amp;"%2C"&amp;$E352&amp;"&amp;marker="&amp;$F352&amp;","&amp;$E352&amp;",4326&amp;level=16","https://fema.maps.arcgis.com/apps/mapviewer/index.html?find="&amp;$F352&amp;"%2C"&amp;$E352&amp;"&amp;marker="&amp;$F352&amp;","&amp;$E352&amp;",4326&amp;level=16"))),"Open"))</f>
        <v/>
      </c>
      <c r="N352" s="6" t="str">
        <f>IF(OR(JobAgolMap="", $E352="", $F352=""),"",HYPERLINK(JobAgolMap&amp;IF(ISNUMBER(FIND("?",JobAgolMap)),"&amp;","?")&amp;"center="&amp;$F352&amp;","&amp;$E352&amp;"&amp;level=16&amp;marker="&amp;$F352&amp;","&amp;$E352,"Open"))</f>
        <v/>
      </c>
      <c r="O352" s="6" t="str">
        <f>IF(OR($E352="",$F352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2" s="4"/>
      <c r="Q352" s="4"/>
      <c r="R352" s="4"/>
      <c r="S352" s="4"/>
      <c r="T352" s="4"/>
      <c r="U352" s="4"/>
      <c r="V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HYPERLINK(IF(OR(JobState="MI",JobState=""),"https://fema.maps.arcgis.com/apps/mapviewer/index.html?webmap=6a1702b9147243d1a5ee62cd614bc681&amp;center="&amp;$F353&amp;","&amp;$E353&amp;"&amp;level=16&amp;marker="&amp;$F353&amp;","&amp;$E353&amp;"",IF(JobState="IN","https://fema.maps.arcgis.com/apps/mapviewer/index.html?url=https%3A%2F%2Fgisdata.in.gov%2Fserver%2Frest%2Fservices%2FHosted%2FLRSE_Functional_Class%2FFeatureServer%2F22&amp;find="&amp;$F353&amp;"%2C"&amp;$E353&amp;"&amp;marker="&amp;$F353&amp;","&amp;$E353&amp;",4326&amp;level=16",IF(JobState="WI","https://fema.maps.arcgis.com/apps/mapviewer/index.html?url=https%3A%2F%2Fservices5.arcgis.com%2F0pgGLzT0Nh7FVjon%2Farcgis%2Frest%2Fservices%2FFFCL_gdb%2FFeatureServer%2F3&amp;find="&amp;$F353&amp;"%2C"&amp;$E353&amp;"&amp;marker="&amp;$F353&amp;","&amp;$E353&amp;",4326&amp;level=16","https://fema.maps.arcgis.com/apps/mapviewer/index.html?find="&amp;$F353&amp;"%2C"&amp;$E353&amp;"&amp;marker="&amp;$F353&amp;","&amp;$E353&amp;",4326&amp;level=16"))),"Open"))</f>
        <v/>
      </c>
      <c r="N353" s="6" t="str">
        <f>IF(OR(JobAgolMap="", $E353="", $F353=""),"",HYPERLINK(JobAgolMap&amp;IF(ISNUMBER(FIND("?",JobAgolMap)),"&amp;","?")&amp;"center="&amp;$F353&amp;","&amp;$E353&amp;"&amp;level=16&amp;marker="&amp;$F353&amp;","&amp;$E353,"Open"))</f>
        <v/>
      </c>
      <c r="O353" s="6" t="str">
        <f>IF(OR($E353="",$F353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3" s="4"/>
      <c r="Q353" s="4"/>
      <c r="R353" s="4"/>
      <c r="S353" s="4"/>
      <c r="T353" s="4"/>
      <c r="U353" s="4"/>
      <c r="V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HYPERLINK(IF(OR(JobState="MI",JobState=""),"https://fema.maps.arcgis.com/apps/mapviewer/index.html?webmap=6a1702b9147243d1a5ee62cd614bc681&amp;center="&amp;$F354&amp;","&amp;$E354&amp;"&amp;level=16&amp;marker="&amp;$F354&amp;","&amp;$E354&amp;"",IF(JobState="IN","https://fema.maps.arcgis.com/apps/mapviewer/index.html?url=https%3A%2F%2Fgisdata.in.gov%2Fserver%2Frest%2Fservices%2FHosted%2FLRSE_Functional_Class%2FFeatureServer%2F22&amp;find="&amp;$F354&amp;"%2C"&amp;$E354&amp;"&amp;marker="&amp;$F354&amp;","&amp;$E354&amp;",4326&amp;level=16",IF(JobState="WI","https://fema.maps.arcgis.com/apps/mapviewer/index.html?url=https%3A%2F%2Fservices5.arcgis.com%2F0pgGLzT0Nh7FVjon%2Farcgis%2Frest%2Fservices%2FFFCL_gdb%2FFeatureServer%2F3&amp;find="&amp;$F354&amp;"%2C"&amp;$E354&amp;"&amp;marker="&amp;$F354&amp;","&amp;$E354&amp;",4326&amp;level=16","https://fema.maps.arcgis.com/apps/mapviewer/index.html?find="&amp;$F354&amp;"%2C"&amp;$E354&amp;"&amp;marker="&amp;$F354&amp;","&amp;$E354&amp;",4326&amp;level=16"))),"Open"))</f>
        <v/>
      </c>
      <c r="N354" s="6" t="str">
        <f>IF(OR(JobAgolMap="", $E354="", $F354=""),"",HYPERLINK(JobAgolMap&amp;IF(ISNUMBER(FIND("?",JobAgolMap)),"&amp;","?")&amp;"center="&amp;$F354&amp;","&amp;$E354&amp;"&amp;level=16&amp;marker="&amp;$F354&amp;","&amp;$E354,"Open"))</f>
        <v/>
      </c>
      <c r="O354" s="6" t="str">
        <f>IF(OR($E354="",$F354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4" s="4"/>
      <c r="Q354" s="4"/>
      <c r="R354" s="4"/>
      <c r="S354" s="4"/>
      <c r="T354" s="4"/>
      <c r="U354" s="4"/>
      <c r="V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HYPERLINK(IF(OR(JobState="MI",JobState=""),"https://fema.maps.arcgis.com/apps/mapviewer/index.html?webmap=6a1702b9147243d1a5ee62cd614bc681&amp;center="&amp;$F355&amp;","&amp;$E355&amp;"&amp;level=16&amp;marker="&amp;$F355&amp;","&amp;$E355&amp;"",IF(JobState="IN","https://fema.maps.arcgis.com/apps/mapviewer/index.html?url=https%3A%2F%2Fgisdata.in.gov%2Fserver%2Frest%2Fservices%2FHosted%2FLRSE_Functional_Class%2FFeatureServer%2F22&amp;find="&amp;$F355&amp;"%2C"&amp;$E355&amp;"&amp;marker="&amp;$F355&amp;","&amp;$E355&amp;",4326&amp;level=16",IF(JobState="WI","https://fema.maps.arcgis.com/apps/mapviewer/index.html?url=https%3A%2F%2Fservices5.arcgis.com%2F0pgGLzT0Nh7FVjon%2Farcgis%2Frest%2Fservices%2FFFCL_gdb%2FFeatureServer%2F3&amp;find="&amp;$F355&amp;"%2C"&amp;$E355&amp;"&amp;marker="&amp;$F355&amp;","&amp;$E355&amp;",4326&amp;level=16","https://fema.maps.arcgis.com/apps/mapviewer/index.html?find="&amp;$F355&amp;"%2C"&amp;$E355&amp;"&amp;marker="&amp;$F355&amp;","&amp;$E355&amp;",4326&amp;level=16"))),"Open"))</f>
        <v/>
      </c>
      <c r="N355" s="6" t="str">
        <f>IF(OR(JobAgolMap="", $E355="", $F355=""),"",HYPERLINK(JobAgolMap&amp;IF(ISNUMBER(FIND("?",JobAgolMap)),"&amp;","?")&amp;"center="&amp;$F355&amp;","&amp;$E355&amp;"&amp;level=16&amp;marker="&amp;$F355&amp;","&amp;$E355,"Open"))</f>
        <v/>
      </c>
      <c r="O355" s="6" t="str">
        <f>IF(OR($E355="",$F355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5" s="4"/>
      <c r="Q355" s="4"/>
      <c r="R355" s="4"/>
      <c r="S355" s="4"/>
      <c r="T355" s="4"/>
      <c r="U355" s="4"/>
      <c r="V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HYPERLINK(IF(OR(JobState="MI",JobState=""),"https://fema.maps.arcgis.com/apps/mapviewer/index.html?webmap=6a1702b9147243d1a5ee62cd614bc681&amp;center="&amp;$F356&amp;","&amp;$E356&amp;"&amp;level=16&amp;marker="&amp;$F356&amp;","&amp;$E356&amp;"",IF(JobState="IN","https://fema.maps.arcgis.com/apps/mapviewer/index.html?url=https%3A%2F%2Fgisdata.in.gov%2Fserver%2Frest%2Fservices%2FHosted%2FLRSE_Functional_Class%2FFeatureServer%2F22&amp;find="&amp;$F356&amp;"%2C"&amp;$E356&amp;"&amp;marker="&amp;$F356&amp;","&amp;$E356&amp;",4326&amp;level=16",IF(JobState="WI","https://fema.maps.arcgis.com/apps/mapviewer/index.html?url=https%3A%2F%2Fservices5.arcgis.com%2F0pgGLzT0Nh7FVjon%2Farcgis%2Frest%2Fservices%2FFFCL_gdb%2FFeatureServer%2F3&amp;find="&amp;$F356&amp;"%2C"&amp;$E356&amp;"&amp;marker="&amp;$F356&amp;","&amp;$E356&amp;",4326&amp;level=16","https://fema.maps.arcgis.com/apps/mapviewer/index.html?find="&amp;$F356&amp;"%2C"&amp;$E356&amp;"&amp;marker="&amp;$F356&amp;","&amp;$E356&amp;",4326&amp;level=16"))),"Open"))</f>
        <v/>
      </c>
      <c r="N356" s="6" t="str">
        <f>IF(OR(JobAgolMap="", $E356="", $F356=""),"",HYPERLINK(JobAgolMap&amp;IF(ISNUMBER(FIND("?",JobAgolMap)),"&amp;","?")&amp;"center="&amp;$F356&amp;","&amp;$E356&amp;"&amp;level=16&amp;marker="&amp;$F356&amp;","&amp;$E356,"Open"))</f>
        <v/>
      </c>
      <c r="O356" s="6" t="str">
        <f>IF(OR($E356="",$F356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6" s="4"/>
      <c r="Q356" s="4"/>
      <c r="R356" s="4"/>
      <c r="S356" s="4"/>
      <c r="T356" s="4"/>
      <c r="U356" s="4"/>
      <c r="V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HYPERLINK(IF(OR(JobState="MI",JobState=""),"https://fema.maps.arcgis.com/apps/mapviewer/index.html?webmap=6a1702b9147243d1a5ee62cd614bc681&amp;center="&amp;$F357&amp;","&amp;$E357&amp;"&amp;level=16&amp;marker="&amp;$F357&amp;","&amp;$E357&amp;"",IF(JobState="IN","https://fema.maps.arcgis.com/apps/mapviewer/index.html?url=https%3A%2F%2Fgisdata.in.gov%2Fserver%2Frest%2Fservices%2FHosted%2FLRSE_Functional_Class%2FFeatureServer%2F22&amp;find="&amp;$F357&amp;"%2C"&amp;$E357&amp;"&amp;marker="&amp;$F357&amp;","&amp;$E357&amp;",4326&amp;level=16",IF(JobState="WI","https://fema.maps.arcgis.com/apps/mapviewer/index.html?url=https%3A%2F%2Fservices5.arcgis.com%2F0pgGLzT0Nh7FVjon%2Farcgis%2Frest%2Fservices%2FFFCL_gdb%2FFeatureServer%2F3&amp;find="&amp;$F357&amp;"%2C"&amp;$E357&amp;"&amp;marker="&amp;$F357&amp;","&amp;$E357&amp;",4326&amp;level=16","https://fema.maps.arcgis.com/apps/mapviewer/index.html?find="&amp;$F357&amp;"%2C"&amp;$E357&amp;"&amp;marker="&amp;$F357&amp;","&amp;$E357&amp;",4326&amp;level=16"))),"Open"))</f>
        <v/>
      </c>
      <c r="N357" s="6" t="str">
        <f>IF(OR(JobAgolMap="", $E357="", $F357=""),"",HYPERLINK(JobAgolMap&amp;IF(ISNUMBER(FIND("?",JobAgolMap)),"&amp;","?")&amp;"center="&amp;$F357&amp;","&amp;$E357&amp;"&amp;level=16&amp;marker="&amp;$F357&amp;","&amp;$E357,"Open"))</f>
        <v/>
      </c>
      <c r="O357" s="6" t="str">
        <f>IF(OR($E357="",$F357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7" s="4"/>
      <c r="Q357" s="4"/>
      <c r="R357" s="4"/>
      <c r="S357" s="4"/>
      <c r="T357" s="4"/>
      <c r="U357" s="4"/>
      <c r="V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HYPERLINK(IF(OR(JobState="MI",JobState=""),"https://fema.maps.arcgis.com/apps/mapviewer/index.html?webmap=6a1702b9147243d1a5ee62cd614bc681&amp;center="&amp;$F358&amp;","&amp;$E358&amp;"&amp;level=16&amp;marker="&amp;$F358&amp;","&amp;$E358&amp;"",IF(JobState="IN","https://fema.maps.arcgis.com/apps/mapviewer/index.html?url=https%3A%2F%2Fgisdata.in.gov%2Fserver%2Frest%2Fservices%2FHosted%2FLRSE_Functional_Class%2FFeatureServer%2F22&amp;find="&amp;$F358&amp;"%2C"&amp;$E358&amp;"&amp;marker="&amp;$F358&amp;","&amp;$E358&amp;",4326&amp;level=16",IF(JobState="WI","https://fema.maps.arcgis.com/apps/mapviewer/index.html?url=https%3A%2F%2Fservices5.arcgis.com%2F0pgGLzT0Nh7FVjon%2Farcgis%2Frest%2Fservices%2FFFCL_gdb%2FFeatureServer%2F3&amp;find="&amp;$F358&amp;"%2C"&amp;$E358&amp;"&amp;marker="&amp;$F358&amp;","&amp;$E358&amp;",4326&amp;level=16","https://fema.maps.arcgis.com/apps/mapviewer/index.html?find="&amp;$F358&amp;"%2C"&amp;$E358&amp;"&amp;marker="&amp;$F358&amp;","&amp;$E358&amp;",4326&amp;level=16"))),"Open"))</f>
        <v/>
      </c>
      <c r="N358" s="6" t="str">
        <f>IF(OR(JobAgolMap="", $E358="", $F358=""),"",HYPERLINK(JobAgolMap&amp;IF(ISNUMBER(FIND("?",JobAgolMap)),"&amp;","?")&amp;"center="&amp;$F358&amp;","&amp;$E358&amp;"&amp;level=16&amp;marker="&amp;$F358&amp;","&amp;$E358,"Open"))</f>
        <v/>
      </c>
      <c r="O358" s="6" t="str">
        <f>IF(OR($E358="",$F358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8" s="4"/>
      <c r="Q358" s="4"/>
      <c r="R358" s="4"/>
      <c r="S358" s="4"/>
      <c r="T358" s="4"/>
      <c r="U358" s="4"/>
      <c r="V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HYPERLINK(IF(OR(JobState="MI",JobState=""),"https://fema.maps.arcgis.com/apps/mapviewer/index.html?webmap=6a1702b9147243d1a5ee62cd614bc681&amp;center="&amp;$F359&amp;","&amp;$E359&amp;"&amp;level=16&amp;marker="&amp;$F359&amp;","&amp;$E359&amp;"",IF(JobState="IN","https://fema.maps.arcgis.com/apps/mapviewer/index.html?url=https%3A%2F%2Fgisdata.in.gov%2Fserver%2Frest%2Fservices%2FHosted%2FLRSE_Functional_Class%2FFeatureServer%2F22&amp;find="&amp;$F359&amp;"%2C"&amp;$E359&amp;"&amp;marker="&amp;$F359&amp;","&amp;$E359&amp;",4326&amp;level=16",IF(JobState="WI","https://fema.maps.arcgis.com/apps/mapviewer/index.html?url=https%3A%2F%2Fservices5.arcgis.com%2F0pgGLzT0Nh7FVjon%2Farcgis%2Frest%2Fservices%2FFFCL_gdb%2FFeatureServer%2F3&amp;find="&amp;$F359&amp;"%2C"&amp;$E359&amp;"&amp;marker="&amp;$F359&amp;","&amp;$E359&amp;",4326&amp;level=16","https://fema.maps.arcgis.com/apps/mapviewer/index.html?find="&amp;$F359&amp;"%2C"&amp;$E359&amp;"&amp;marker="&amp;$F359&amp;","&amp;$E359&amp;",4326&amp;level=16"))),"Open"))</f>
        <v/>
      </c>
      <c r="N359" s="6" t="str">
        <f>IF(OR(JobAgolMap="", $E359="", $F359=""),"",HYPERLINK(JobAgolMap&amp;IF(ISNUMBER(FIND("?",JobAgolMap)),"&amp;","?")&amp;"center="&amp;$F359&amp;","&amp;$E359&amp;"&amp;level=16&amp;marker="&amp;$F359&amp;","&amp;$E359,"Open"))</f>
        <v/>
      </c>
      <c r="O359" s="6" t="str">
        <f>IF(OR($E359="",$F359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9" s="4"/>
      <c r="Q359" s="4"/>
      <c r="R359" s="4"/>
      <c r="S359" s="4"/>
      <c r="T359" s="4"/>
      <c r="U359" s="4"/>
      <c r="V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HYPERLINK(IF(OR(JobState="MI",JobState=""),"https://fema.maps.arcgis.com/apps/mapviewer/index.html?webmap=6a1702b9147243d1a5ee62cd614bc681&amp;center="&amp;$F360&amp;","&amp;$E360&amp;"&amp;level=16&amp;marker="&amp;$F360&amp;","&amp;$E360&amp;"",IF(JobState="IN","https://fema.maps.arcgis.com/apps/mapviewer/index.html?url=https%3A%2F%2Fgisdata.in.gov%2Fserver%2Frest%2Fservices%2FHosted%2FLRSE_Functional_Class%2FFeatureServer%2F22&amp;find="&amp;$F360&amp;"%2C"&amp;$E360&amp;"&amp;marker="&amp;$F360&amp;","&amp;$E360&amp;",4326&amp;level=16",IF(JobState="WI","https://fema.maps.arcgis.com/apps/mapviewer/index.html?url=https%3A%2F%2Fservices5.arcgis.com%2F0pgGLzT0Nh7FVjon%2Farcgis%2Frest%2Fservices%2FFFCL_gdb%2FFeatureServer%2F3&amp;find="&amp;$F360&amp;"%2C"&amp;$E360&amp;"&amp;marker="&amp;$F360&amp;","&amp;$E360&amp;",4326&amp;level=16","https://fema.maps.arcgis.com/apps/mapviewer/index.html?find="&amp;$F360&amp;"%2C"&amp;$E360&amp;"&amp;marker="&amp;$F360&amp;","&amp;$E360&amp;",4326&amp;level=16"))),"Open"))</f>
        <v/>
      </c>
      <c r="N360" s="6" t="str">
        <f>IF(OR(JobAgolMap="", $E360="", $F360=""),"",HYPERLINK(JobAgolMap&amp;IF(ISNUMBER(FIND("?",JobAgolMap)),"&amp;","?")&amp;"center="&amp;$F360&amp;","&amp;$E360&amp;"&amp;level=16&amp;marker="&amp;$F360&amp;","&amp;$E360,"Open"))</f>
        <v/>
      </c>
      <c r="O360" s="6" t="str">
        <f>IF(OR($E360="",$F360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0" s="4"/>
      <c r="Q360" s="4"/>
      <c r="R360" s="4"/>
      <c r="S360" s="4"/>
      <c r="T360" s="4"/>
      <c r="U360" s="4"/>
      <c r="V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HYPERLINK(IF(OR(JobState="MI",JobState=""),"https://fema.maps.arcgis.com/apps/mapviewer/index.html?webmap=6a1702b9147243d1a5ee62cd614bc681&amp;center="&amp;$F361&amp;","&amp;$E361&amp;"&amp;level=16&amp;marker="&amp;$F361&amp;","&amp;$E361&amp;"",IF(JobState="IN","https://fema.maps.arcgis.com/apps/mapviewer/index.html?url=https%3A%2F%2Fgisdata.in.gov%2Fserver%2Frest%2Fservices%2FHosted%2FLRSE_Functional_Class%2FFeatureServer%2F22&amp;find="&amp;$F361&amp;"%2C"&amp;$E361&amp;"&amp;marker="&amp;$F361&amp;","&amp;$E361&amp;",4326&amp;level=16",IF(JobState="WI","https://fema.maps.arcgis.com/apps/mapviewer/index.html?url=https%3A%2F%2Fservices5.arcgis.com%2F0pgGLzT0Nh7FVjon%2Farcgis%2Frest%2Fservices%2FFFCL_gdb%2FFeatureServer%2F3&amp;find="&amp;$F361&amp;"%2C"&amp;$E361&amp;"&amp;marker="&amp;$F361&amp;","&amp;$E361&amp;",4326&amp;level=16","https://fema.maps.arcgis.com/apps/mapviewer/index.html?find="&amp;$F361&amp;"%2C"&amp;$E361&amp;"&amp;marker="&amp;$F361&amp;","&amp;$E361&amp;",4326&amp;level=16"))),"Open"))</f>
        <v/>
      </c>
      <c r="N361" s="6" t="str">
        <f>IF(OR(JobAgolMap="", $E361="", $F361=""),"",HYPERLINK(JobAgolMap&amp;IF(ISNUMBER(FIND("?",JobAgolMap)),"&amp;","?")&amp;"center="&amp;$F361&amp;","&amp;$E361&amp;"&amp;level=16&amp;marker="&amp;$F361&amp;","&amp;$E361,"Open"))</f>
        <v/>
      </c>
      <c r="O361" s="6" t="str">
        <f>IF(OR($E361="",$F361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1" s="4"/>
      <c r="Q361" s="4"/>
      <c r="R361" s="4"/>
      <c r="S361" s="4"/>
      <c r="T361" s="4"/>
      <c r="U361" s="4"/>
      <c r="V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HYPERLINK(IF(OR(JobState="MI",JobState=""),"https://fema.maps.arcgis.com/apps/mapviewer/index.html?webmap=6a1702b9147243d1a5ee62cd614bc681&amp;center="&amp;$F362&amp;","&amp;$E362&amp;"&amp;level=16&amp;marker="&amp;$F362&amp;","&amp;$E362&amp;"",IF(JobState="IN","https://fema.maps.arcgis.com/apps/mapviewer/index.html?url=https%3A%2F%2Fgisdata.in.gov%2Fserver%2Frest%2Fservices%2FHosted%2FLRSE_Functional_Class%2FFeatureServer%2F22&amp;find="&amp;$F362&amp;"%2C"&amp;$E362&amp;"&amp;marker="&amp;$F362&amp;","&amp;$E362&amp;",4326&amp;level=16",IF(JobState="WI","https://fema.maps.arcgis.com/apps/mapviewer/index.html?url=https%3A%2F%2Fservices5.arcgis.com%2F0pgGLzT0Nh7FVjon%2Farcgis%2Frest%2Fservices%2FFFCL_gdb%2FFeatureServer%2F3&amp;find="&amp;$F362&amp;"%2C"&amp;$E362&amp;"&amp;marker="&amp;$F362&amp;","&amp;$E362&amp;",4326&amp;level=16","https://fema.maps.arcgis.com/apps/mapviewer/index.html?find="&amp;$F362&amp;"%2C"&amp;$E362&amp;"&amp;marker="&amp;$F362&amp;","&amp;$E362&amp;",4326&amp;level=16"))),"Open"))</f>
        <v/>
      </c>
      <c r="N362" s="6" t="str">
        <f>IF(OR(JobAgolMap="", $E362="", $F362=""),"",HYPERLINK(JobAgolMap&amp;IF(ISNUMBER(FIND("?",JobAgolMap)),"&amp;","?")&amp;"center="&amp;$F362&amp;","&amp;$E362&amp;"&amp;level=16&amp;marker="&amp;$F362&amp;","&amp;$E362,"Open"))</f>
        <v/>
      </c>
      <c r="O362" s="6" t="str">
        <f>IF(OR($E362="",$F362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2" s="4"/>
      <c r="Q362" s="4"/>
      <c r="R362" s="4"/>
      <c r="S362" s="4"/>
      <c r="T362" s="4"/>
      <c r="U362" s="4"/>
      <c r="V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HYPERLINK(IF(OR(JobState="MI",JobState=""),"https://fema.maps.arcgis.com/apps/mapviewer/index.html?webmap=6a1702b9147243d1a5ee62cd614bc681&amp;center="&amp;$F363&amp;","&amp;$E363&amp;"&amp;level=16&amp;marker="&amp;$F363&amp;","&amp;$E363&amp;"",IF(JobState="IN","https://fema.maps.arcgis.com/apps/mapviewer/index.html?url=https%3A%2F%2Fgisdata.in.gov%2Fserver%2Frest%2Fservices%2FHosted%2FLRSE_Functional_Class%2FFeatureServer%2F22&amp;find="&amp;$F363&amp;"%2C"&amp;$E363&amp;"&amp;marker="&amp;$F363&amp;","&amp;$E363&amp;",4326&amp;level=16",IF(JobState="WI","https://fema.maps.arcgis.com/apps/mapviewer/index.html?url=https%3A%2F%2Fservices5.arcgis.com%2F0pgGLzT0Nh7FVjon%2Farcgis%2Frest%2Fservices%2FFFCL_gdb%2FFeatureServer%2F3&amp;find="&amp;$F363&amp;"%2C"&amp;$E363&amp;"&amp;marker="&amp;$F363&amp;","&amp;$E363&amp;",4326&amp;level=16","https://fema.maps.arcgis.com/apps/mapviewer/index.html?find="&amp;$F363&amp;"%2C"&amp;$E363&amp;"&amp;marker="&amp;$F363&amp;","&amp;$E363&amp;",4326&amp;level=16"))),"Open"))</f>
        <v/>
      </c>
      <c r="N363" s="6" t="str">
        <f>IF(OR(JobAgolMap="", $E363="", $F363=""),"",HYPERLINK(JobAgolMap&amp;IF(ISNUMBER(FIND("?",JobAgolMap)),"&amp;","?")&amp;"center="&amp;$F363&amp;","&amp;$E363&amp;"&amp;level=16&amp;marker="&amp;$F363&amp;","&amp;$E363,"Open"))</f>
        <v/>
      </c>
      <c r="O363" s="6" t="str">
        <f>IF(OR($E363="",$F363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3" s="4"/>
      <c r="Q363" s="4"/>
      <c r="R363" s="4"/>
      <c r="S363" s="4"/>
      <c r="T363" s="4"/>
      <c r="U363" s="4"/>
      <c r="V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HYPERLINK(IF(OR(JobState="MI",JobState=""),"https://fema.maps.arcgis.com/apps/mapviewer/index.html?webmap=6a1702b9147243d1a5ee62cd614bc681&amp;center="&amp;$F364&amp;","&amp;$E364&amp;"&amp;level=16&amp;marker="&amp;$F364&amp;","&amp;$E364&amp;"",IF(JobState="IN","https://fema.maps.arcgis.com/apps/mapviewer/index.html?url=https%3A%2F%2Fgisdata.in.gov%2Fserver%2Frest%2Fservices%2FHosted%2FLRSE_Functional_Class%2FFeatureServer%2F22&amp;find="&amp;$F364&amp;"%2C"&amp;$E364&amp;"&amp;marker="&amp;$F364&amp;","&amp;$E364&amp;",4326&amp;level=16",IF(JobState="WI","https://fema.maps.arcgis.com/apps/mapviewer/index.html?url=https%3A%2F%2Fservices5.arcgis.com%2F0pgGLzT0Nh7FVjon%2Farcgis%2Frest%2Fservices%2FFFCL_gdb%2FFeatureServer%2F3&amp;find="&amp;$F364&amp;"%2C"&amp;$E364&amp;"&amp;marker="&amp;$F364&amp;","&amp;$E364&amp;",4326&amp;level=16","https://fema.maps.arcgis.com/apps/mapviewer/index.html?find="&amp;$F364&amp;"%2C"&amp;$E364&amp;"&amp;marker="&amp;$F364&amp;","&amp;$E364&amp;",4326&amp;level=16"))),"Open"))</f>
        <v/>
      </c>
      <c r="N364" s="6" t="str">
        <f>IF(OR(JobAgolMap="", $E364="", $F364=""),"",HYPERLINK(JobAgolMap&amp;IF(ISNUMBER(FIND("?",JobAgolMap)),"&amp;","?")&amp;"center="&amp;$F364&amp;","&amp;$E364&amp;"&amp;level=16&amp;marker="&amp;$F364&amp;","&amp;$E364,"Open"))</f>
        <v/>
      </c>
      <c r="O364" s="6" t="str">
        <f>IF(OR($E364="",$F364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4" s="4"/>
      <c r="Q364" s="4"/>
      <c r="R364" s="4"/>
      <c r="S364" s="4"/>
      <c r="T364" s="4"/>
      <c r="U364" s="4"/>
      <c r="V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HYPERLINK(IF(OR(JobState="MI",JobState=""),"https://fema.maps.arcgis.com/apps/mapviewer/index.html?webmap=6a1702b9147243d1a5ee62cd614bc681&amp;center="&amp;$F365&amp;","&amp;$E365&amp;"&amp;level=16&amp;marker="&amp;$F365&amp;","&amp;$E365&amp;"",IF(JobState="IN","https://fema.maps.arcgis.com/apps/mapviewer/index.html?url=https%3A%2F%2Fgisdata.in.gov%2Fserver%2Frest%2Fservices%2FHosted%2FLRSE_Functional_Class%2FFeatureServer%2F22&amp;find="&amp;$F365&amp;"%2C"&amp;$E365&amp;"&amp;marker="&amp;$F365&amp;","&amp;$E365&amp;",4326&amp;level=16",IF(JobState="WI","https://fema.maps.arcgis.com/apps/mapviewer/index.html?url=https%3A%2F%2Fservices5.arcgis.com%2F0pgGLzT0Nh7FVjon%2Farcgis%2Frest%2Fservices%2FFFCL_gdb%2FFeatureServer%2F3&amp;find="&amp;$F365&amp;"%2C"&amp;$E365&amp;"&amp;marker="&amp;$F365&amp;","&amp;$E365&amp;",4326&amp;level=16","https://fema.maps.arcgis.com/apps/mapviewer/index.html?find="&amp;$F365&amp;"%2C"&amp;$E365&amp;"&amp;marker="&amp;$F365&amp;","&amp;$E365&amp;",4326&amp;level=16"))),"Open"))</f>
        <v/>
      </c>
      <c r="N365" s="6" t="str">
        <f>IF(OR(JobAgolMap="", $E365="", $F365=""),"",HYPERLINK(JobAgolMap&amp;IF(ISNUMBER(FIND("?",JobAgolMap)),"&amp;","?")&amp;"center="&amp;$F365&amp;","&amp;$E365&amp;"&amp;level=16&amp;marker="&amp;$F365&amp;","&amp;$E365,"Open"))</f>
        <v/>
      </c>
      <c r="O365" s="6" t="str">
        <f>IF(OR($E365="",$F365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5" s="4"/>
      <c r="Q365" s="4"/>
      <c r="R365" s="4"/>
      <c r="S365" s="4"/>
      <c r="T365" s="4"/>
      <c r="U365" s="4"/>
      <c r="V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HYPERLINK(IF(OR(JobState="MI",JobState=""),"https://fema.maps.arcgis.com/apps/mapviewer/index.html?webmap=6a1702b9147243d1a5ee62cd614bc681&amp;center="&amp;$F366&amp;","&amp;$E366&amp;"&amp;level=16&amp;marker="&amp;$F366&amp;","&amp;$E366&amp;"",IF(JobState="IN","https://fema.maps.arcgis.com/apps/mapviewer/index.html?url=https%3A%2F%2Fgisdata.in.gov%2Fserver%2Frest%2Fservices%2FHosted%2FLRSE_Functional_Class%2FFeatureServer%2F22&amp;find="&amp;$F366&amp;"%2C"&amp;$E366&amp;"&amp;marker="&amp;$F366&amp;","&amp;$E366&amp;",4326&amp;level=16",IF(JobState="WI","https://fema.maps.arcgis.com/apps/mapviewer/index.html?url=https%3A%2F%2Fservices5.arcgis.com%2F0pgGLzT0Nh7FVjon%2Farcgis%2Frest%2Fservices%2FFFCL_gdb%2FFeatureServer%2F3&amp;find="&amp;$F366&amp;"%2C"&amp;$E366&amp;"&amp;marker="&amp;$F366&amp;","&amp;$E366&amp;",4326&amp;level=16","https://fema.maps.arcgis.com/apps/mapviewer/index.html?find="&amp;$F366&amp;"%2C"&amp;$E366&amp;"&amp;marker="&amp;$F366&amp;","&amp;$E366&amp;",4326&amp;level=16"))),"Open"))</f>
        <v/>
      </c>
      <c r="N366" s="6" t="str">
        <f>IF(OR(JobAgolMap="", $E366="", $F366=""),"",HYPERLINK(JobAgolMap&amp;IF(ISNUMBER(FIND("?",JobAgolMap)),"&amp;","?")&amp;"center="&amp;$F366&amp;","&amp;$E366&amp;"&amp;level=16&amp;marker="&amp;$F366&amp;","&amp;$E366,"Open"))</f>
        <v/>
      </c>
      <c r="O366" s="6" t="str">
        <f>IF(OR($E366="",$F366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6" s="4"/>
      <c r="Q366" s="4"/>
      <c r="R366" s="4"/>
      <c r="S366" s="4"/>
      <c r="T366" s="4"/>
      <c r="U366" s="4"/>
      <c r="V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HYPERLINK(IF(OR(JobState="MI",JobState=""),"https://fema.maps.arcgis.com/apps/mapviewer/index.html?webmap=6a1702b9147243d1a5ee62cd614bc681&amp;center="&amp;$F367&amp;","&amp;$E367&amp;"&amp;level=16&amp;marker="&amp;$F367&amp;","&amp;$E367&amp;"",IF(JobState="IN","https://fema.maps.arcgis.com/apps/mapviewer/index.html?url=https%3A%2F%2Fgisdata.in.gov%2Fserver%2Frest%2Fservices%2FHosted%2FLRSE_Functional_Class%2FFeatureServer%2F22&amp;find="&amp;$F367&amp;"%2C"&amp;$E367&amp;"&amp;marker="&amp;$F367&amp;","&amp;$E367&amp;",4326&amp;level=16",IF(JobState="WI","https://fema.maps.arcgis.com/apps/mapviewer/index.html?url=https%3A%2F%2Fservices5.arcgis.com%2F0pgGLzT0Nh7FVjon%2Farcgis%2Frest%2Fservices%2FFFCL_gdb%2FFeatureServer%2F3&amp;find="&amp;$F367&amp;"%2C"&amp;$E367&amp;"&amp;marker="&amp;$F367&amp;","&amp;$E367&amp;",4326&amp;level=16","https://fema.maps.arcgis.com/apps/mapviewer/index.html?find="&amp;$F367&amp;"%2C"&amp;$E367&amp;"&amp;marker="&amp;$F367&amp;","&amp;$E367&amp;",4326&amp;level=16"))),"Open"))</f>
        <v/>
      </c>
      <c r="N367" s="6" t="str">
        <f>IF(OR(JobAgolMap="", $E367="", $F367=""),"",HYPERLINK(JobAgolMap&amp;IF(ISNUMBER(FIND("?",JobAgolMap)),"&amp;","?")&amp;"center="&amp;$F367&amp;","&amp;$E367&amp;"&amp;level=16&amp;marker="&amp;$F367&amp;","&amp;$E367,"Open"))</f>
        <v/>
      </c>
      <c r="O367" s="6" t="str">
        <f>IF(OR($E367="",$F367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7" s="4"/>
      <c r="Q367" s="4"/>
      <c r="R367" s="4"/>
      <c r="S367" s="4"/>
      <c r="T367" s="4"/>
      <c r="U367" s="4"/>
      <c r="V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HYPERLINK(IF(OR(JobState="MI",JobState=""),"https://fema.maps.arcgis.com/apps/mapviewer/index.html?webmap=6a1702b9147243d1a5ee62cd614bc681&amp;center="&amp;$F368&amp;","&amp;$E368&amp;"&amp;level=16&amp;marker="&amp;$F368&amp;","&amp;$E368&amp;"",IF(JobState="IN","https://fema.maps.arcgis.com/apps/mapviewer/index.html?url=https%3A%2F%2Fgisdata.in.gov%2Fserver%2Frest%2Fservices%2FHosted%2FLRSE_Functional_Class%2FFeatureServer%2F22&amp;find="&amp;$F368&amp;"%2C"&amp;$E368&amp;"&amp;marker="&amp;$F368&amp;","&amp;$E368&amp;",4326&amp;level=16",IF(JobState="WI","https://fema.maps.arcgis.com/apps/mapviewer/index.html?url=https%3A%2F%2Fservices5.arcgis.com%2F0pgGLzT0Nh7FVjon%2Farcgis%2Frest%2Fservices%2FFFCL_gdb%2FFeatureServer%2F3&amp;find="&amp;$F368&amp;"%2C"&amp;$E368&amp;"&amp;marker="&amp;$F368&amp;","&amp;$E368&amp;",4326&amp;level=16","https://fema.maps.arcgis.com/apps/mapviewer/index.html?find="&amp;$F368&amp;"%2C"&amp;$E368&amp;"&amp;marker="&amp;$F368&amp;","&amp;$E368&amp;",4326&amp;level=16"))),"Open"))</f>
        <v/>
      </c>
      <c r="N368" s="6" t="str">
        <f>IF(OR(JobAgolMap="", $E368="", $F368=""),"",HYPERLINK(JobAgolMap&amp;IF(ISNUMBER(FIND("?",JobAgolMap)),"&amp;","?")&amp;"center="&amp;$F368&amp;","&amp;$E368&amp;"&amp;level=16&amp;marker="&amp;$F368&amp;","&amp;$E368,"Open"))</f>
        <v/>
      </c>
      <c r="O368" s="6" t="str">
        <f>IF(OR($E368="",$F368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8" s="4"/>
      <c r="Q368" s="4"/>
      <c r="R368" s="4"/>
      <c r="S368" s="4"/>
      <c r="T368" s="4"/>
      <c r="U368" s="4"/>
      <c r="V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HYPERLINK(IF(OR(JobState="MI",JobState=""),"https://fema.maps.arcgis.com/apps/mapviewer/index.html?webmap=6a1702b9147243d1a5ee62cd614bc681&amp;center="&amp;$F369&amp;","&amp;$E369&amp;"&amp;level=16&amp;marker="&amp;$F369&amp;","&amp;$E369&amp;"",IF(JobState="IN","https://fema.maps.arcgis.com/apps/mapviewer/index.html?url=https%3A%2F%2Fgisdata.in.gov%2Fserver%2Frest%2Fservices%2FHosted%2FLRSE_Functional_Class%2FFeatureServer%2F22&amp;find="&amp;$F369&amp;"%2C"&amp;$E369&amp;"&amp;marker="&amp;$F369&amp;","&amp;$E369&amp;",4326&amp;level=16",IF(JobState="WI","https://fema.maps.arcgis.com/apps/mapviewer/index.html?url=https%3A%2F%2Fservices5.arcgis.com%2F0pgGLzT0Nh7FVjon%2Farcgis%2Frest%2Fservices%2FFFCL_gdb%2FFeatureServer%2F3&amp;find="&amp;$F369&amp;"%2C"&amp;$E369&amp;"&amp;marker="&amp;$F369&amp;","&amp;$E369&amp;",4326&amp;level=16","https://fema.maps.arcgis.com/apps/mapviewer/index.html?find="&amp;$F369&amp;"%2C"&amp;$E369&amp;"&amp;marker="&amp;$F369&amp;","&amp;$E369&amp;",4326&amp;level=16"))),"Open"))</f>
        <v/>
      </c>
      <c r="N369" s="6" t="str">
        <f>IF(OR(JobAgolMap="", $E369="", $F369=""),"",HYPERLINK(JobAgolMap&amp;IF(ISNUMBER(FIND("?",JobAgolMap)),"&amp;","?")&amp;"center="&amp;$F369&amp;","&amp;$E369&amp;"&amp;level=16&amp;marker="&amp;$F369&amp;","&amp;$E369,"Open"))</f>
        <v/>
      </c>
      <c r="O369" s="6" t="str">
        <f>IF(OR($E369="",$F369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9" s="4"/>
      <c r="Q369" s="4"/>
      <c r="R369" s="4"/>
      <c r="S369" s="4"/>
      <c r="T369" s="4"/>
      <c r="U369" s="4"/>
      <c r="V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HYPERLINK(IF(OR(JobState="MI",JobState=""),"https://fema.maps.arcgis.com/apps/mapviewer/index.html?webmap=6a1702b9147243d1a5ee62cd614bc681&amp;center="&amp;$F370&amp;","&amp;$E370&amp;"&amp;level=16&amp;marker="&amp;$F370&amp;","&amp;$E370&amp;"",IF(JobState="IN","https://fema.maps.arcgis.com/apps/mapviewer/index.html?url=https%3A%2F%2Fgisdata.in.gov%2Fserver%2Frest%2Fservices%2FHosted%2FLRSE_Functional_Class%2FFeatureServer%2F22&amp;find="&amp;$F370&amp;"%2C"&amp;$E370&amp;"&amp;marker="&amp;$F370&amp;","&amp;$E370&amp;",4326&amp;level=16",IF(JobState="WI","https://fema.maps.arcgis.com/apps/mapviewer/index.html?url=https%3A%2F%2Fservices5.arcgis.com%2F0pgGLzT0Nh7FVjon%2Farcgis%2Frest%2Fservices%2FFFCL_gdb%2FFeatureServer%2F3&amp;find="&amp;$F370&amp;"%2C"&amp;$E370&amp;"&amp;marker="&amp;$F370&amp;","&amp;$E370&amp;",4326&amp;level=16","https://fema.maps.arcgis.com/apps/mapviewer/index.html?find="&amp;$F370&amp;"%2C"&amp;$E370&amp;"&amp;marker="&amp;$F370&amp;","&amp;$E370&amp;",4326&amp;level=16"))),"Open"))</f>
        <v/>
      </c>
      <c r="N370" s="6" t="str">
        <f>IF(OR(JobAgolMap="", $E370="", $F370=""),"",HYPERLINK(JobAgolMap&amp;IF(ISNUMBER(FIND("?",JobAgolMap)),"&amp;","?")&amp;"center="&amp;$F370&amp;","&amp;$E370&amp;"&amp;level=16&amp;marker="&amp;$F370&amp;","&amp;$E370,"Open"))</f>
        <v/>
      </c>
      <c r="O370" s="6" t="str">
        <f>IF(OR($E370="",$F370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0" s="4"/>
      <c r="Q370" s="4"/>
      <c r="R370" s="4"/>
      <c r="S370" s="4"/>
      <c r="T370" s="4"/>
      <c r="U370" s="4"/>
      <c r="V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HYPERLINK(IF(OR(JobState="MI",JobState=""),"https://fema.maps.arcgis.com/apps/mapviewer/index.html?webmap=6a1702b9147243d1a5ee62cd614bc681&amp;center="&amp;$F371&amp;","&amp;$E371&amp;"&amp;level=16&amp;marker="&amp;$F371&amp;","&amp;$E371&amp;"",IF(JobState="IN","https://fema.maps.arcgis.com/apps/mapviewer/index.html?url=https%3A%2F%2Fgisdata.in.gov%2Fserver%2Frest%2Fservices%2FHosted%2FLRSE_Functional_Class%2FFeatureServer%2F22&amp;find="&amp;$F371&amp;"%2C"&amp;$E371&amp;"&amp;marker="&amp;$F371&amp;","&amp;$E371&amp;",4326&amp;level=16",IF(JobState="WI","https://fema.maps.arcgis.com/apps/mapviewer/index.html?url=https%3A%2F%2Fservices5.arcgis.com%2F0pgGLzT0Nh7FVjon%2Farcgis%2Frest%2Fservices%2FFFCL_gdb%2FFeatureServer%2F3&amp;find="&amp;$F371&amp;"%2C"&amp;$E371&amp;"&amp;marker="&amp;$F371&amp;","&amp;$E371&amp;",4326&amp;level=16","https://fema.maps.arcgis.com/apps/mapviewer/index.html?find="&amp;$F371&amp;"%2C"&amp;$E371&amp;"&amp;marker="&amp;$F371&amp;","&amp;$E371&amp;",4326&amp;level=16"))),"Open"))</f>
        <v/>
      </c>
      <c r="N371" s="6" t="str">
        <f>IF(OR(JobAgolMap="", $E371="", $F371=""),"",HYPERLINK(JobAgolMap&amp;IF(ISNUMBER(FIND("?",JobAgolMap)),"&amp;","?")&amp;"center="&amp;$F371&amp;","&amp;$E371&amp;"&amp;level=16&amp;marker="&amp;$F371&amp;","&amp;$E371,"Open"))</f>
        <v/>
      </c>
      <c r="O371" s="6" t="str">
        <f>IF(OR($E371="",$F371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1" s="4"/>
      <c r="Q371" s="4"/>
      <c r="R371" s="4"/>
      <c r="S371" s="4"/>
      <c r="T371" s="4"/>
      <c r="U371" s="4"/>
      <c r="V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HYPERLINK(IF(OR(JobState="MI",JobState=""),"https://fema.maps.arcgis.com/apps/mapviewer/index.html?webmap=6a1702b9147243d1a5ee62cd614bc681&amp;center="&amp;$F372&amp;","&amp;$E372&amp;"&amp;level=16&amp;marker="&amp;$F372&amp;","&amp;$E372&amp;"",IF(JobState="IN","https://fema.maps.arcgis.com/apps/mapviewer/index.html?url=https%3A%2F%2Fgisdata.in.gov%2Fserver%2Frest%2Fservices%2FHosted%2FLRSE_Functional_Class%2FFeatureServer%2F22&amp;find="&amp;$F372&amp;"%2C"&amp;$E372&amp;"&amp;marker="&amp;$F372&amp;","&amp;$E372&amp;",4326&amp;level=16",IF(JobState="WI","https://fema.maps.arcgis.com/apps/mapviewer/index.html?url=https%3A%2F%2Fservices5.arcgis.com%2F0pgGLzT0Nh7FVjon%2Farcgis%2Frest%2Fservices%2FFFCL_gdb%2FFeatureServer%2F3&amp;find="&amp;$F372&amp;"%2C"&amp;$E372&amp;"&amp;marker="&amp;$F372&amp;","&amp;$E372&amp;",4326&amp;level=16","https://fema.maps.arcgis.com/apps/mapviewer/index.html?find="&amp;$F372&amp;"%2C"&amp;$E372&amp;"&amp;marker="&amp;$F372&amp;","&amp;$E372&amp;",4326&amp;level=16"))),"Open"))</f>
        <v/>
      </c>
      <c r="N372" s="6" t="str">
        <f>IF(OR(JobAgolMap="", $E372="", $F372=""),"",HYPERLINK(JobAgolMap&amp;IF(ISNUMBER(FIND("?",JobAgolMap)),"&amp;","?")&amp;"center="&amp;$F372&amp;","&amp;$E372&amp;"&amp;level=16&amp;marker="&amp;$F372&amp;","&amp;$E372,"Open"))</f>
        <v/>
      </c>
      <c r="O372" s="6" t="str">
        <f>IF(OR($E372="",$F372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2" s="4"/>
      <c r="Q372" s="4"/>
      <c r="R372" s="4"/>
      <c r="S372" s="4"/>
      <c r="T372" s="4"/>
      <c r="U372" s="4"/>
      <c r="V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HYPERLINK(IF(OR(JobState="MI",JobState=""),"https://fema.maps.arcgis.com/apps/mapviewer/index.html?webmap=6a1702b9147243d1a5ee62cd614bc681&amp;center="&amp;$F373&amp;","&amp;$E373&amp;"&amp;level=16&amp;marker="&amp;$F373&amp;","&amp;$E373&amp;"",IF(JobState="IN","https://fema.maps.arcgis.com/apps/mapviewer/index.html?url=https%3A%2F%2Fgisdata.in.gov%2Fserver%2Frest%2Fservices%2FHosted%2FLRSE_Functional_Class%2FFeatureServer%2F22&amp;find="&amp;$F373&amp;"%2C"&amp;$E373&amp;"&amp;marker="&amp;$F373&amp;","&amp;$E373&amp;",4326&amp;level=16",IF(JobState="WI","https://fema.maps.arcgis.com/apps/mapviewer/index.html?url=https%3A%2F%2Fservices5.arcgis.com%2F0pgGLzT0Nh7FVjon%2Farcgis%2Frest%2Fservices%2FFFCL_gdb%2FFeatureServer%2F3&amp;find="&amp;$F373&amp;"%2C"&amp;$E373&amp;"&amp;marker="&amp;$F373&amp;","&amp;$E373&amp;",4326&amp;level=16","https://fema.maps.arcgis.com/apps/mapviewer/index.html?find="&amp;$F373&amp;"%2C"&amp;$E373&amp;"&amp;marker="&amp;$F373&amp;","&amp;$E373&amp;",4326&amp;level=16"))),"Open"))</f>
        <v/>
      </c>
      <c r="N373" s="6" t="str">
        <f>IF(OR(JobAgolMap="", $E373="", $F373=""),"",HYPERLINK(JobAgolMap&amp;IF(ISNUMBER(FIND("?",JobAgolMap)),"&amp;","?")&amp;"center="&amp;$F373&amp;","&amp;$E373&amp;"&amp;level=16&amp;marker="&amp;$F373&amp;","&amp;$E373,"Open"))</f>
        <v/>
      </c>
      <c r="O373" s="6" t="str">
        <f>IF(OR($E373="",$F373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3" s="4"/>
      <c r="Q373" s="4"/>
      <c r="R373" s="4"/>
      <c r="S373" s="4"/>
      <c r="T373" s="4"/>
      <c r="U373" s="4"/>
      <c r="V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HYPERLINK(IF(OR(JobState="MI",JobState=""),"https://fema.maps.arcgis.com/apps/mapviewer/index.html?webmap=6a1702b9147243d1a5ee62cd614bc681&amp;center="&amp;$F374&amp;","&amp;$E374&amp;"&amp;level=16&amp;marker="&amp;$F374&amp;","&amp;$E374&amp;"",IF(JobState="IN","https://fema.maps.arcgis.com/apps/mapviewer/index.html?url=https%3A%2F%2Fgisdata.in.gov%2Fserver%2Frest%2Fservices%2FHosted%2FLRSE_Functional_Class%2FFeatureServer%2F22&amp;find="&amp;$F374&amp;"%2C"&amp;$E374&amp;"&amp;marker="&amp;$F374&amp;","&amp;$E374&amp;",4326&amp;level=16",IF(JobState="WI","https://fema.maps.arcgis.com/apps/mapviewer/index.html?url=https%3A%2F%2Fservices5.arcgis.com%2F0pgGLzT0Nh7FVjon%2Farcgis%2Frest%2Fservices%2FFFCL_gdb%2FFeatureServer%2F3&amp;find="&amp;$F374&amp;"%2C"&amp;$E374&amp;"&amp;marker="&amp;$F374&amp;","&amp;$E374&amp;",4326&amp;level=16","https://fema.maps.arcgis.com/apps/mapviewer/index.html?find="&amp;$F374&amp;"%2C"&amp;$E374&amp;"&amp;marker="&amp;$F374&amp;","&amp;$E374&amp;",4326&amp;level=16"))),"Open"))</f>
        <v/>
      </c>
      <c r="N374" s="6" t="str">
        <f>IF(OR(JobAgolMap="", $E374="", $F374=""),"",HYPERLINK(JobAgolMap&amp;IF(ISNUMBER(FIND("?",JobAgolMap)),"&amp;","?")&amp;"center="&amp;$F374&amp;","&amp;$E374&amp;"&amp;level=16&amp;marker="&amp;$F374&amp;","&amp;$E374,"Open"))</f>
        <v/>
      </c>
      <c r="O374" s="6" t="str">
        <f>IF(OR($E374="",$F374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4" s="4"/>
      <c r="Q374" s="4"/>
      <c r="R374" s="4"/>
      <c r="S374" s="4"/>
      <c r="T374" s="4"/>
      <c r="U374" s="4"/>
      <c r="V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HYPERLINK(IF(OR(JobState="MI",JobState=""),"https://fema.maps.arcgis.com/apps/mapviewer/index.html?webmap=6a1702b9147243d1a5ee62cd614bc681&amp;center="&amp;$F375&amp;","&amp;$E375&amp;"&amp;level=16&amp;marker="&amp;$F375&amp;","&amp;$E375&amp;"",IF(JobState="IN","https://fema.maps.arcgis.com/apps/mapviewer/index.html?url=https%3A%2F%2Fgisdata.in.gov%2Fserver%2Frest%2Fservices%2FHosted%2FLRSE_Functional_Class%2FFeatureServer%2F22&amp;find="&amp;$F375&amp;"%2C"&amp;$E375&amp;"&amp;marker="&amp;$F375&amp;","&amp;$E375&amp;",4326&amp;level=16",IF(JobState="WI","https://fema.maps.arcgis.com/apps/mapviewer/index.html?url=https%3A%2F%2Fservices5.arcgis.com%2F0pgGLzT0Nh7FVjon%2Farcgis%2Frest%2Fservices%2FFFCL_gdb%2FFeatureServer%2F3&amp;find="&amp;$F375&amp;"%2C"&amp;$E375&amp;"&amp;marker="&amp;$F375&amp;","&amp;$E375&amp;",4326&amp;level=16","https://fema.maps.arcgis.com/apps/mapviewer/index.html?find="&amp;$F375&amp;"%2C"&amp;$E375&amp;"&amp;marker="&amp;$F375&amp;","&amp;$E375&amp;",4326&amp;level=16"))),"Open"))</f>
        <v/>
      </c>
      <c r="N375" s="6" t="str">
        <f>IF(OR(JobAgolMap="", $E375="", $F375=""),"",HYPERLINK(JobAgolMap&amp;IF(ISNUMBER(FIND("?",JobAgolMap)),"&amp;","?")&amp;"center="&amp;$F375&amp;","&amp;$E375&amp;"&amp;level=16&amp;marker="&amp;$F375&amp;","&amp;$E375,"Open"))</f>
        <v/>
      </c>
      <c r="O375" s="6" t="str">
        <f>IF(OR($E375="",$F375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5" s="4"/>
      <c r="Q375" s="4"/>
      <c r="R375" s="4"/>
      <c r="S375" s="4"/>
      <c r="T375" s="4"/>
      <c r="U375" s="4"/>
      <c r="V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HYPERLINK(IF(OR(JobState="MI",JobState=""),"https://fema.maps.arcgis.com/apps/mapviewer/index.html?webmap=6a1702b9147243d1a5ee62cd614bc681&amp;center="&amp;$F376&amp;","&amp;$E376&amp;"&amp;level=16&amp;marker="&amp;$F376&amp;","&amp;$E376&amp;"",IF(JobState="IN","https://fema.maps.arcgis.com/apps/mapviewer/index.html?url=https%3A%2F%2Fgisdata.in.gov%2Fserver%2Frest%2Fservices%2FHosted%2FLRSE_Functional_Class%2FFeatureServer%2F22&amp;find="&amp;$F376&amp;"%2C"&amp;$E376&amp;"&amp;marker="&amp;$F376&amp;","&amp;$E376&amp;",4326&amp;level=16",IF(JobState="WI","https://fema.maps.arcgis.com/apps/mapviewer/index.html?url=https%3A%2F%2Fservices5.arcgis.com%2F0pgGLzT0Nh7FVjon%2Farcgis%2Frest%2Fservices%2FFFCL_gdb%2FFeatureServer%2F3&amp;find="&amp;$F376&amp;"%2C"&amp;$E376&amp;"&amp;marker="&amp;$F376&amp;","&amp;$E376&amp;",4326&amp;level=16","https://fema.maps.arcgis.com/apps/mapviewer/index.html?find="&amp;$F376&amp;"%2C"&amp;$E376&amp;"&amp;marker="&amp;$F376&amp;","&amp;$E376&amp;",4326&amp;level=16"))),"Open"))</f>
        <v/>
      </c>
      <c r="N376" s="6" t="str">
        <f>IF(OR(JobAgolMap="", $E376="", $F376=""),"",HYPERLINK(JobAgolMap&amp;IF(ISNUMBER(FIND("?",JobAgolMap)),"&amp;","?")&amp;"center="&amp;$F376&amp;","&amp;$E376&amp;"&amp;level=16&amp;marker="&amp;$F376&amp;","&amp;$E376,"Open"))</f>
        <v/>
      </c>
      <c r="O376" s="6" t="str">
        <f>IF(OR($E376="",$F376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6" s="4"/>
      <c r="Q376" s="4"/>
      <c r="R376" s="4"/>
      <c r="S376" s="4"/>
      <c r="T376" s="4"/>
      <c r="U376" s="4"/>
      <c r="V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HYPERLINK(IF(OR(JobState="MI",JobState=""),"https://fema.maps.arcgis.com/apps/mapviewer/index.html?webmap=6a1702b9147243d1a5ee62cd614bc681&amp;center="&amp;$F377&amp;","&amp;$E377&amp;"&amp;level=16&amp;marker="&amp;$F377&amp;","&amp;$E377&amp;"",IF(JobState="IN","https://fema.maps.arcgis.com/apps/mapviewer/index.html?url=https%3A%2F%2Fgisdata.in.gov%2Fserver%2Frest%2Fservices%2FHosted%2FLRSE_Functional_Class%2FFeatureServer%2F22&amp;find="&amp;$F377&amp;"%2C"&amp;$E377&amp;"&amp;marker="&amp;$F377&amp;","&amp;$E377&amp;",4326&amp;level=16",IF(JobState="WI","https://fema.maps.arcgis.com/apps/mapviewer/index.html?url=https%3A%2F%2Fservices5.arcgis.com%2F0pgGLzT0Nh7FVjon%2Farcgis%2Frest%2Fservices%2FFFCL_gdb%2FFeatureServer%2F3&amp;find="&amp;$F377&amp;"%2C"&amp;$E377&amp;"&amp;marker="&amp;$F377&amp;","&amp;$E377&amp;",4326&amp;level=16","https://fema.maps.arcgis.com/apps/mapviewer/index.html?find="&amp;$F377&amp;"%2C"&amp;$E377&amp;"&amp;marker="&amp;$F377&amp;","&amp;$E377&amp;",4326&amp;level=16"))),"Open"))</f>
        <v/>
      </c>
      <c r="N377" s="6" t="str">
        <f>IF(OR(JobAgolMap="", $E377="", $F377=""),"",HYPERLINK(JobAgolMap&amp;IF(ISNUMBER(FIND("?",JobAgolMap)),"&amp;","?")&amp;"center="&amp;$F377&amp;","&amp;$E377&amp;"&amp;level=16&amp;marker="&amp;$F377&amp;","&amp;$E377,"Open"))</f>
        <v/>
      </c>
      <c r="O377" s="6" t="str">
        <f>IF(OR($E377="",$F377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7" s="4"/>
      <c r="Q377" s="4"/>
      <c r="R377" s="4"/>
      <c r="S377" s="4"/>
      <c r="T377" s="4"/>
      <c r="U377" s="4"/>
      <c r="V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HYPERLINK(IF(OR(JobState="MI",JobState=""),"https://fema.maps.arcgis.com/apps/mapviewer/index.html?webmap=6a1702b9147243d1a5ee62cd614bc681&amp;center="&amp;$F378&amp;","&amp;$E378&amp;"&amp;level=16&amp;marker="&amp;$F378&amp;","&amp;$E378&amp;"",IF(JobState="IN","https://fema.maps.arcgis.com/apps/mapviewer/index.html?url=https%3A%2F%2Fgisdata.in.gov%2Fserver%2Frest%2Fservices%2FHosted%2FLRSE_Functional_Class%2FFeatureServer%2F22&amp;find="&amp;$F378&amp;"%2C"&amp;$E378&amp;"&amp;marker="&amp;$F378&amp;","&amp;$E378&amp;",4326&amp;level=16",IF(JobState="WI","https://fema.maps.arcgis.com/apps/mapviewer/index.html?url=https%3A%2F%2Fservices5.arcgis.com%2F0pgGLzT0Nh7FVjon%2Farcgis%2Frest%2Fservices%2FFFCL_gdb%2FFeatureServer%2F3&amp;find="&amp;$F378&amp;"%2C"&amp;$E378&amp;"&amp;marker="&amp;$F378&amp;","&amp;$E378&amp;",4326&amp;level=16","https://fema.maps.arcgis.com/apps/mapviewer/index.html?find="&amp;$F378&amp;"%2C"&amp;$E378&amp;"&amp;marker="&amp;$F378&amp;","&amp;$E378&amp;",4326&amp;level=16"))),"Open"))</f>
        <v/>
      </c>
      <c r="N378" s="6" t="str">
        <f>IF(OR(JobAgolMap="", $E378="", $F378=""),"",HYPERLINK(JobAgolMap&amp;IF(ISNUMBER(FIND("?",JobAgolMap)),"&amp;","?")&amp;"center="&amp;$F378&amp;","&amp;$E378&amp;"&amp;level=16&amp;marker="&amp;$F378&amp;","&amp;$E378,"Open"))</f>
        <v/>
      </c>
      <c r="O378" s="6" t="str">
        <f>IF(OR($E378="",$F378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8" s="4"/>
      <c r="Q378" s="4"/>
      <c r="R378" s="4"/>
      <c r="S378" s="4"/>
      <c r="T378" s="4"/>
      <c r="U378" s="4"/>
      <c r="V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HYPERLINK(IF(OR(JobState="MI",JobState=""),"https://fema.maps.arcgis.com/apps/mapviewer/index.html?webmap=6a1702b9147243d1a5ee62cd614bc681&amp;center="&amp;$F379&amp;","&amp;$E379&amp;"&amp;level=16&amp;marker="&amp;$F379&amp;","&amp;$E379&amp;"",IF(JobState="IN","https://fema.maps.arcgis.com/apps/mapviewer/index.html?url=https%3A%2F%2Fgisdata.in.gov%2Fserver%2Frest%2Fservices%2FHosted%2FLRSE_Functional_Class%2FFeatureServer%2F22&amp;find="&amp;$F379&amp;"%2C"&amp;$E379&amp;"&amp;marker="&amp;$F379&amp;","&amp;$E379&amp;",4326&amp;level=16",IF(JobState="WI","https://fema.maps.arcgis.com/apps/mapviewer/index.html?url=https%3A%2F%2Fservices5.arcgis.com%2F0pgGLzT0Nh7FVjon%2Farcgis%2Frest%2Fservices%2FFFCL_gdb%2FFeatureServer%2F3&amp;find="&amp;$F379&amp;"%2C"&amp;$E379&amp;"&amp;marker="&amp;$F379&amp;","&amp;$E379&amp;",4326&amp;level=16","https://fema.maps.arcgis.com/apps/mapviewer/index.html?find="&amp;$F379&amp;"%2C"&amp;$E379&amp;"&amp;marker="&amp;$F379&amp;","&amp;$E379&amp;",4326&amp;level=16"))),"Open"))</f>
        <v/>
      </c>
      <c r="N379" s="6" t="str">
        <f>IF(OR(JobAgolMap="", $E379="", $F379=""),"",HYPERLINK(JobAgolMap&amp;IF(ISNUMBER(FIND("?",JobAgolMap)),"&amp;","?")&amp;"center="&amp;$F379&amp;","&amp;$E379&amp;"&amp;level=16&amp;marker="&amp;$F379&amp;","&amp;$E379,"Open"))</f>
        <v/>
      </c>
      <c r="O379" s="6" t="str">
        <f>IF(OR($E379="",$F379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9" s="4"/>
      <c r="Q379" s="4"/>
      <c r="R379" s="4"/>
      <c r="S379" s="4"/>
      <c r="T379" s="4"/>
      <c r="U379" s="4"/>
      <c r="V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HYPERLINK(IF(OR(JobState="MI",JobState=""),"https://fema.maps.arcgis.com/apps/mapviewer/index.html?webmap=6a1702b9147243d1a5ee62cd614bc681&amp;center="&amp;$F380&amp;","&amp;$E380&amp;"&amp;level=16&amp;marker="&amp;$F380&amp;","&amp;$E380&amp;"",IF(JobState="IN","https://fema.maps.arcgis.com/apps/mapviewer/index.html?url=https%3A%2F%2Fgisdata.in.gov%2Fserver%2Frest%2Fservices%2FHosted%2FLRSE_Functional_Class%2FFeatureServer%2F22&amp;find="&amp;$F380&amp;"%2C"&amp;$E380&amp;"&amp;marker="&amp;$F380&amp;","&amp;$E380&amp;",4326&amp;level=16",IF(JobState="WI","https://fema.maps.arcgis.com/apps/mapviewer/index.html?url=https%3A%2F%2Fservices5.arcgis.com%2F0pgGLzT0Nh7FVjon%2Farcgis%2Frest%2Fservices%2FFFCL_gdb%2FFeatureServer%2F3&amp;find="&amp;$F380&amp;"%2C"&amp;$E380&amp;"&amp;marker="&amp;$F380&amp;","&amp;$E380&amp;",4326&amp;level=16","https://fema.maps.arcgis.com/apps/mapviewer/index.html?find="&amp;$F380&amp;"%2C"&amp;$E380&amp;"&amp;marker="&amp;$F380&amp;","&amp;$E380&amp;",4326&amp;level=16"))),"Open"))</f>
        <v/>
      </c>
      <c r="N380" s="6" t="str">
        <f>IF(OR(JobAgolMap="", $E380="", $F380=""),"",HYPERLINK(JobAgolMap&amp;IF(ISNUMBER(FIND("?",JobAgolMap)),"&amp;","?")&amp;"center="&amp;$F380&amp;","&amp;$E380&amp;"&amp;level=16&amp;marker="&amp;$F380&amp;","&amp;$E380,"Open"))</f>
        <v/>
      </c>
      <c r="O380" s="6" t="str">
        <f>IF(OR($E380="",$F380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0" s="4"/>
      <c r="Q380" s="4"/>
      <c r="R380" s="4"/>
      <c r="S380" s="4"/>
      <c r="T380" s="4"/>
      <c r="U380" s="4"/>
      <c r="V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HYPERLINK(IF(OR(JobState="MI",JobState=""),"https://fema.maps.arcgis.com/apps/mapviewer/index.html?webmap=6a1702b9147243d1a5ee62cd614bc681&amp;center="&amp;$F381&amp;","&amp;$E381&amp;"&amp;level=16&amp;marker="&amp;$F381&amp;","&amp;$E381&amp;"",IF(JobState="IN","https://fema.maps.arcgis.com/apps/mapviewer/index.html?url=https%3A%2F%2Fgisdata.in.gov%2Fserver%2Frest%2Fservices%2FHosted%2FLRSE_Functional_Class%2FFeatureServer%2F22&amp;find="&amp;$F381&amp;"%2C"&amp;$E381&amp;"&amp;marker="&amp;$F381&amp;","&amp;$E381&amp;",4326&amp;level=16",IF(JobState="WI","https://fema.maps.arcgis.com/apps/mapviewer/index.html?url=https%3A%2F%2Fservices5.arcgis.com%2F0pgGLzT0Nh7FVjon%2Farcgis%2Frest%2Fservices%2FFFCL_gdb%2FFeatureServer%2F3&amp;find="&amp;$F381&amp;"%2C"&amp;$E381&amp;"&amp;marker="&amp;$F381&amp;","&amp;$E381&amp;",4326&amp;level=16","https://fema.maps.arcgis.com/apps/mapviewer/index.html?find="&amp;$F381&amp;"%2C"&amp;$E381&amp;"&amp;marker="&amp;$F381&amp;","&amp;$E381&amp;",4326&amp;level=16"))),"Open"))</f>
        <v/>
      </c>
      <c r="N381" s="6" t="str">
        <f>IF(OR(JobAgolMap="", $E381="", $F381=""),"",HYPERLINK(JobAgolMap&amp;IF(ISNUMBER(FIND("?",JobAgolMap)),"&amp;","?")&amp;"center="&amp;$F381&amp;","&amp;$E381&amp;"&amp;level=16&amp;marker="&amp;$F381&amp;","&amp;$E381,"Open"))</f>
        <v/>
      </c>
      <c r="O381" s="6" t="str">
        <f>IF(OR($E381="",$F381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1" s="4"/>
      <c r="Q381" s="4"/>
      <c r="R381" s="4"/>
      <c r="S381" s="4"/>
      <c r="T381" s="4"/>
      <c r="U381" s="4"/>
      <c r="V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HYPERLINK(IF(OR(JobState="MI",JobState=""),"https://fema.maps.arcgis.com/apps/mapviewer/index.html?webmap=6a1702b9147243d1a5ee62cd614bc681&amp;center="&amp;$F382&amp;","&amp;$E382&amp;"&amp;level=16&amp;marker="&amp;$F382&amp;","&amp;$E382&amp;"",IF(JobState="IN","https://fema.maps.arcgis.com/apps/mapviewer/index.html?url=https%3A%2F%2Fgisdata.in.gov%2Fserver%2Frest%2Fservices%2FHosted%2FLRSE_Functional_Class%2FFeatureServer%2F22&amp;find="&amp;$F382&amp;"%2C"&amp;$E382&amp;"&amp;marker="&amp;$F382&amp;","&amp;$E382&amp;",4326&amp;level=16",IF(JobState="WI","https://fema.maps.arcgis.com/apps/mapviewer/index.html?url=https%3A%2F%2Fservices5.arcgis.com%2F0pgGLzT0Nh7FVjon%2Farcgis%2Frest%2Fservices%2FFFCL_gdb%2FFeatureServer%2F3&amp;find="&amp;$F382&amp;"%2C"&amp;$E382&amp;"&amp;marker="&amp;$F382&amp;","&amp;$E382&amp;",4326&amp;level=16","https://fema.maps.arcgis.com/apps/mapviewer/index.html?find="&amp;$F382&amp;"%2C"&amp;$E382&amp;"&amp;marker="&amp;$F382&amp;","&amp;$E382&amp;",4326&amp;level=16"))),"Open"))</f>
        <v/>
      </c>
      <c r="N382" s="6" t="str">
        <f>IF(OR(JobAgolMap="", $E382="", $F382=""),"",HYPERLINK(JobAgolMap&amp;IF(ISNUMBER(FIND("?",JobAgolMap)),"&amp;","?")&amp;"center="&amp;$F382&amp;","&amp;$E382&amp;"&amp;level=16&amp;marker="&amp;$F382&amp;","&amp;$E382,"Open"))</f>
        <v/>
      </c>
      <c r="O382" s="6" t="str">
        <f>IF(OR($E382="",$F382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2" s="4"/>
      <c r="Q382" s="4"/>
      <c r="R382" s="4"/>
      <c r="S382" s="4"/>
      <c r="T382" s="4"/>
      <c r="U382" s="4"/>
      <c r="V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HYPERLINK(IF(OR(JobState="MI",JobState=""),"https://fema.maps.arcgis.com/apps/mapviewer/index.html?webmap=6a1702b9147243d1a5ee62cd614bc681&amp;center="&amp;$F383&amp;","&amp;$E383&amp;"&amp;level=16&amp;marker="&amp;$F383&amp;","&amp;$E383&amp;"",IF(JobState="IN","https://fema.maps.arcgis.com/apps/mapviewer/index.html?url=https%3A%2F%2Fgisdata.in.gov%2Fserver%2Frest%2Fservices%2FHosted%2FLRSE_Functional_Class%2FFeatureServer%2F22&amp;find="&amp;$F383&amp;"%2C"&amp;$E383&amp;"&amp;marker="&amp;$F383&amp;","&amp;$E383&amp;",4326&amp;level=16",IF(JobState="WI","https://fema.maps.arcgis.com/apps/mapviewer/index.html?url=https%3A%2F%2Fservices5.arcgis.com%2F0pgGLzT0Nh7FVjon%2Farcgis%2Frest%2Fservices%2FFFCL_gdb%2FFeatureServer%2F3&amp;find="&amp;$F383&amp;"%2C"&amp;$E383&amp;"&amp;marker="&amp;$F383&amp;","&amp;$E383&amp;",4326&amp;level=16","https://fema.maps.arcgis.com/apps/mapviewer/index.html?find="&amp;$F383&amp;"%2C"&amp;$E383&amp;"&amp;marker="&amp;$F383&amp;","&amp;$E383&amp;",4326&amp;level=16"))),"Open"))</f>
        <v/>
      </c>
      <c r="N383" s="6" t="str">
        <f>IF(OR(JobAgolMap="", $E383="", $F383=""),"",HYPERLINK(JobAgolMap&amp;IF(ISNUMBER(FIND("?",JobAgolMap)),"&amp;","?")&amp;"center="&amp;$F383&amp;","&amp;$E383&amp;"&amp;level=16&amp;marker="&amp;$F383&amp;","&amp;$E383,"Open"))</f>
        <v/>
      </c>
      <c r="O383" s="6" t="str">
        <f>IF(OR($E383="",$F383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3" s="4"/>
      <c r="Q383" s="4"/>
      <c r="R383" s="4"/>
      <c r="S383" s="4"/>
      <c r="T383" s="4"/>
      <c r="U383" s="4"/>
      <c r="V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HYPERLINK(IF(OR(JobState="MI",JobState=""),"https://fema.maps.arcgis.com/apps/mapviewer/index.html?webmap=6a1702b9147243d1a5ee62cd614bc681&amp;center="&amp;$F384&amp;","&amp;$E384&amp;"&amp;level=16&amp;marker="&amp;$F384&amp;","&amp;$E384&amp;"",IF(JobState="IN","https://fema.maps.arcgis.com/apps/mapviewer/index.html?url=https%3A%2F%2Fgisdata.in.gov%2Fserver%2Frest%2Fservices%2FHosted%2FLRSE_Functional_Class%2FFeatureServer%2F22&amp;find="&amp;$F384&amp;"%2C"&amp;$E384&amp;"&amp;marker="&amp;$F384&amp;","&amp;$E384&amp;",4326&amp;level=16",IF(JobState="WI","https://fema.maps.arcgis.com/apps/mapviewer/index.html?url=https%3A%2F%2Fservices5.arcgis.com%2F0pgGLzT0Nh7FVjon%2Farcgis%2Frest%2Fservices%2FFFCL_gdb%2FFeatureServer%2F3&amp;find="&amp;$F384&amp;"%2C"&amp;$E384&amp;"&amp;marker="&amp;$F384&amp;","&amp;$E384&amp;",4326&amp;level=16","https://fema.maps.arcgis.com/apps/mapviewer/index.html?find="&amp;$F384&amp;"%2C"&amp;$E384&amp;"&amp;marker="&amp;$F384&amp;","&amp;$E384&amp;",4326&amp;level=16"))),"Open"))</f>
        <v/>
      </c>
      <c r="N384" s="6" t="str">
        <f>IF(OR(JobAgolMap="", $E384="", $F384=""),"",HYPERLINK(JobAgolMap&amp;IF(ISNUMBER(FIND("?",JobAgolMap)),"&amp;","?")&amp;"center="&amp;$F384&amp;","&amp;$E384&amp;"&amp;level=16&amp;marker="&amp;$F384&amp;","&amp;$E384,"Open"))</f>
        <v/>
      </c>
      <c r="O384" s="6" t="str">
        <f>IF(OR($E384="",$F384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4" s="4"/>
      <c r="Q384" s="4"/>
      <c r="R384" s="4"/>
      <c r="S384" s="4"/>
      <c r="T384" s="4"/>
      <c r="U384" s="4"/>
      <c r="V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HYPERLINK(IF(OR(JobState="MI",JobState=""),"https://fema.maps.arcgis.com/apps/mapviewer/index.html?webmap=6a1702b9147243d1a5ee62cd614bc681&amp;center="&amp;$F385&amp;","&amp;$E385&amp;"&amp;level=16&amp;marker="&amp;$F385&amp;","&amp;$E385&amp;"",IF(JobState="IN","https://fema.maps.arcgis.com/apps/mapviewer/index.html?url=https%3A%2F%2Fgisdata.in.gov%2Fserver%2Frest%2Fservices%2FHosted%2FLRSE_Functional_Class%2FFeatureServer%2F22&amp;find="&amp;$F385&amp;"%2C"&amp;$E385&amp;"&amp;marker="&amp;$F385&amp;","&amp;$E385&amp;",4326&amp;level=16",IF(JobState="WI","https://fema.maps.arcgis.com/apps/mapviewer/index.html?url=https%3A%2F%2Fservices5.arcgis.com%2F0pgGLzT0Nh7FVjon%2Farcgis%2Frest%2Fservices%2FFFCL_gdb%2FFeatureServer%2F3&amp;find="&amp;$F385&amp;"%2C"&amp;$E385&amp;"&amp;marker="&amp;$F385&amp;","&amp;$E385&amp;",4326&amp;level=16","https://fema.maps.arcgis.com/apps/mapviewer/index.html?find="&amp;$F385&amp;"%2C"&amp;$E385&amp;"&amp;marker="&amp;$F385&amp;","&amp;$E385&amp;",4326&amp;level=16"))),"Open"))</f>
        <v/>
      </c>
      <c r="N385" s="6" t="str">
        <f>IF(OR(JobAgolMap="", $E385="", $F385=""),"",HYPERLINK(JobAgolMap&amp;IF(ISNUMBER(FIND("?",JobAgolMap)),"&amp;","?")&amp;"center="&amp;$F385&amp;","&amp;$E385&amp;"&amp;level=16&amp;marker="&amp;$F385&amp;","&amp;$E385,"Open"))</f>
        <v/>
      </c>
      <c r="O385" s="6" t="str">
        <f>IF(OR($E385="",$F385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5" s="4"/>
      <c r="Q385" s="4"/>
      <c r="R385" s="4"/>
      <c r="S385" s="4"/>
      <c r="T385" s="4"/>
      <c r="U385" s="4"/>
      <c r="V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HYPERLINK(IF(OR(JobState="MI",JobState=""),"https://fema.maps.arcgis.com/apps/mapviewer/index.html?webmap=6a1702b9147243d1a5ee62cd614bc681&amp;center="&amp;$F386&amp;","&amp;$E386&amp;"&amp;level=16&amp;marker="&amp;$F386&amp;","&amp;$E386&amp;"",IF(JobState="IN","https://fema.maps.arcgis.com/apps/mapviewer/index.html?url=https%3A%2F%2Fgisdata.in.gov%2Fserver%2Frest%2Fservices%2FHosted%2FLRSE_Functional_Class%2FFeatureServer%2F22&amp;find="&amp;$F386&amp;"%2C"&amp;$E386&amp;"&amp;marker="&amp;$F386&amp;","&amp;$E386&amp;",4326&amp;level=16",IF(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IF(OR(JobAgolMap="", $E386="", $F386=""),"",HYPERLINK(JobAgolMap&amp;IF(ISNUMBER(FIND("?",JobAgolMap)),"&amp;","?")&amp;"center="&amp;$F386&amp;","&amp;$E386&amp;"&amp;level=16&amp;marker="&amp;$F386&amp;","&amp;$E386,"Open"))</f>
        <v/>
      </c>
      <c r="O386" s="6" t="str">
        <f>IF(OR($E386="",$F386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6" s="4"/>
      <c r="Q386" s="4"/>
      <c r="R386" s="4"/>
      <c r="S386" s="4"/>
      <c r="T386" s="4"/>
      <c r="U386" s="4"/>
      <c r="V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HYPERLINK(IF(OR(JobState="MI",JobState=""),"https://fema.maps.arcgis.com/apps/mapviewer/index.html?webmap=6a1702b9147243d1a5ee62cd614bc681&amp;center="&amp;$F387&amp;","&amp;$E387&amp;"&amp;level=16&amp;marker="&amp;$F387&amp;","&amp;$E387&amp;"",IF(JobState="IN","https://fema.maps.arcgis.com/apps/mapviewer/index.html?url=https%3A%2F%2Fgisdata.in.gov%2Fserver%2Frest%2Fservices%2FHosted%2FLRSE_Functional_Class%2FFeatureServer%2F22&amp;find="&amp;$F387&amp;"%2C"&amp;$E387&amp;"&amp;marker="&amp;$F387&amp;","&amp;$E387&amp;",4326&amp;level=16",IF(JobState="WI","https://fema.maps.arcgis.com/apps/mapviewer/index.html?url=https%3A%2F%2Fservices5.arcgis.com%2F0pgGLzT0Nh7FVjon%2Farcgis%2Frest%2Fservices%2FFFCL_gdb%2FFeatureServer%2F3&amp;find="&amp;$F387&amp;"%2C"&amp;$E387&amp;"&amp;marker="&amp;$F387&amp;","&amp;$E387&amp;",4326&amp;level=16","https://fema.maps.arcgis.com/apps/mapviewer/index.html?find="&amp;$F387&amp;"%2C"&amp;$E387&amp;"&amp;marker="&amp;$F387&amp;","&amp;$E387&amp;",4326&amp;level=16"))),"Open"))</f>
        <v/>
      </c>
      <c r="N387" s="6" t="str">
        <f>IF(OR(JobAgolMap="", $E387="", $F387=""),"",HYPERLINK(JobAgolMap&amp;IF(ISNUMBER(FIND("?",JobAgolMap)),"&amp;","?")&amp;"center="&amp;$F387&amp;","&amp;$E387&amp;"&amp;level=16&amp;marker="&amp;$F387&amp;","&amp;$E387,"Open"))</f>
        <v/>
      </c>
      <c r="O387" s="6" t="str">
        <f>IF(OR($E387="",$F387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7" s="4"/>
      <c r="Q387" s="4"/>
      <c r="R387" s="4"/>
      <c r="S387" s="4"/>
      <c r="T387" s="4"/>
      <c r="U387" s="4"/>
      <c r="V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HYPERLINK(IF(OR(JobState="MI",JobState=""),"https://fema.maps.arcgis.com/apps/mapviewer/index.html?webmap=6a1702b9147243d1a5ee62cd614bc681&amp;center="&amp;$F388&amp;","&amp;$E388&amp;"&amp;level=16&amp;marker="&amp;$F388&amp;","&amp;$E388&amp;"",IF(JobState="IN","https://fema.maps.arcgis.com/apps/mapviewer/index.html?url=https%3A%2F%2Fgisdata.in.gov%2Fserver%2Frest%2Fservices%2FHosted%2FLRSE_Functional_Class%2FFeatureServer%2F22&amp;find="&amp;$F388&amp;"%2C"&amp;$E388&amp;"&amp;marker="&amp;$F388&amp;","&amp;$E388&amp;",4326&amp;level=16",IF(JobState="WI","https://fema.maps.arcgis.com/apps/mapviewer/index.html?url=https%3A%2F%2Fservices5.arcgis.com%2F0pgGLzT0Nh7FVjon%2Farcgis%2Frest%2Fservices%2FFFCL_gdb%2FFeatureServer%2F3&amp;find="&amp;$F388&amp;"%2C"&amp;$E388&amp;"&amp;marker="&amp;$F388&amp;","&amp;$E388&amp;",4326&amp;level=16","https://fema.maps.arcgis.com/apps/mapviewer/index.html?find="&amp;$F388&amp;"%2C"&amp;$E388&amp;"&amp;marker="&amp;$F388&amp;","&amp;$E388&amp;",4326&amp;level=16"))),"Open"))</f>
        <v/>
      </c>
      <c r="N388" s="6" t="str">
        <f>IF(OR(JobAgolMap="", $E388="", $F388=""),"",HYPERLINK(JobAgolMap&amp;IF(ISNUMBER(FIND("?",JobAgolMap)),"&amp;","?")&amp;"center="&amp;$F388&amp;","&amp;$E388&amp;"&amp;level=16&amp;marker="&amp;$F388&amp;","&amp;$E388,"Open"))</f>
        <v/>
      </c>
      <c r="O388" s="6" t="str">
        <f>IF(OR($E388="",$F388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8" s="4"/>
      <c r="Q388" s="4"/>
      <c r="R388" s="4"/>
      <c r="S388" s="4"/>
      <c r="T388" s="4"/>
      <c r="U388" s="4"/>
      <c r="V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HYPERLINK(IF(OR(JobState="MI",JobState=""),"https://fema.maps.arcgis.com/apps/mapviewer/index.html?webmap=6a1702b9147243d1a5ee62cd614bc681&amp;center="&amp;$F389&amp;","&amp;$E389&amp;"&amp;level=16&amp;marker="&amp;$F389&amp;","&amp;$E389&amp;"",IF(JobState="IN","https://fema.maps.arcgis.com/apps/mapviewer/index.html?url=https%3A%2F%2Fgisdata.in.gov%2Fserver%2Frest%2Fservices%2FHosted%2FLRSE_Functional_Class%2FFeatureServer%2F22&amp;find="&amp;$F389&amp;"%2C"&amp;$E389&amp;"&amp;marker="&amp;$F389&amp;","&amp;$E389&amp;",4326&amp;level=16",IF(JobState="WI","https://fema.maps.arcgis.com/apps/mapviewer/index.html?url=https%3A%2F%2Fservices5.arcgis.com%2F0pgGLzT0Nh7FVjon%2Farcgis%2Frest%2Fservices%2FFFCL_gdb%2FFeatureServer%2F3&amp;find="&amp;$F389&amp;"%2C"&amp;$E389&amp;"&amp;marker="&amp;$F389&amp;","&amp;$E389&amp;",4326&amp;level=16","https://fema.maps.arcgis.com/apps/mapviewer/index.html?find="&amp;$F389&amp;"%2C"&amp;$E389&amp;"&amp;marker="&amp;$F389&amp;","&amp;$E389&amp;",4326&amp;level=16"))),"Open"))</f>
        <v/>
      </c>
      <c r="N389" s="6" t="str">
        <f>IF(OR(JobAgolMap="", $E389="", $F389=""),"",HYPERLINK(JobAgolMap&amp;IF(ISNUMBER(FIND("?",JobAgolMap)),"&amp;","?")&amp;"center="&amp;$F389&amp;","&amp;$E389&amp;"&amp;level=16&amp;marker="&amp;$F389&amp;","&amp;$E389,"Open"))</f>
        <v/>
      </c>
      <c r="O389" s="6" t="str">
        <f>IF(OR($E389="",$F389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9" s="4"/>
      <c r="Q389" s="4"/>
      <c r="R389" s="4"/>
      <c r="S389" s="4"/>
      <c r="T389" s="4"/>
      <c r="U389" s="4"/>
      <c r="V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HYPERLINK(IF(OR(JobState="MI",JobState=""),"https://fema.maps.arcgis.com/apps/mapviewer/index.html?webmap=6a1702b9147243d1a5ee62cd614bc681&amp;center="&amp;$F390&amp;","&amp;$E390&amp;"&amp;level=16&amp;marker="&amp;$F390&amp;","&amp;$E390&amp;"",IF(JobState="IN","https://fema.maps.arcgis.com/apps/mapviewer/index.html?url=https%3A%2F%2Fgisdata.in.gov%2Fserver%2Frest%2Fservices%2FHosted%2FLRSE_Functional_Class%2FFeatureServer%2F22&amp;find="&amp;$F390&amp;"%2C"&amp;$E390&amp;"&amp;marker="&amp;$F390&amp;","&amp;$E390&amp;",4326&amp;level=16",IF(JobState="WI","https://fema.maps.arcgis.com/apps/mapviewer/index.html?url=https%3A%2F%2Fservices5.arcgis.com%2F0pgGLzT0Nh7FVjon%2Farcgis%2Frest%2Fservices%2FFFCL_gdb%2FFeatureServer%2F3&amp;find="&amp;$F390&amp;"%2C"&amp;$E390&amp;"&amp;marker="&amp;$F390&amp;","&amp;$E390&amp;",4326&amp;level=16","https://fema.maps.arcgis.com/apps/mapviewer/index.html?find="&amp;$F390&amp;"%2C"&amp;$E390&amp;"&amp;marker="&amp;$F390&amp;","&amp;$E390&amp;",4326&amp;level=16"))),"Open"))</f>
        <v/>
      </c>
      <c r="N390" s="6" t="str">
        <f>IF(OR(JobAgolMap="", $E390="", $F390=""),"",HYPERLINK(JobAgolMap&amp;IF(ISNUMBER(FIND("?",JobAgolMap)),"&amp;","?")&amp;"center="&amp;$F390&amp;","&amp;$E390&amp;"&amp;level=16&amp;marker="&amp;$F390&amp;","&amp;$E390,"Open"))</f>
        <v/>
      </c>
      <c r="O390" s="6" t="str">
        <f>IF(OR($E390="",$F390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0" s="4"/>
      <c r="Q390" s="4"/>
      <c r="R390" s="4"/>
      <c r="S390" s="4"/>
      <c r="T390" s="4"/>
      <c r="U390" s="4"/>
      <c r="V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HYPERLINK(IF(OR(JobState="MI",JobState=""),"https://fema.maps.arcgis.com/apps/mapviewer/index.html?webmap=6a1702b9147243d1a5ee62cd614bc681&amp;center="&amp;$F391&amp;","&amp;$E391&amp;"&amp;level=16&amp;marker="&amp;$F391&amp;","&amp;$E391&amp;"",IF(JobState="IN","https://fema.maps.arcgis.com/apps/mapviewer/index.html?url=https%3A%2F%2Fgisdata.in.gov%2Fserver%2Frest%2Fservices%2FHosted%2FLRSE_Functional_Class%2FFeatureServer%2F22&amp;find="&amp;$F391&amp;"%2C"&amp;$E391&amp;"&amp;marker="&amp;$F391&amp;","&amp;$E391&amp;",4326&amp;level=16",IF(JobState="WI","https://fema.maps.arcgis.com/apps/mapviewer/index.html?url=https%3A%2F%2Fservices5.arcgis.com%2F0pgGLzT0Nh7FVjon%2Farcgis%2Frest%2Fservices%2FFFCL_gdb%2FFeatureServer%2F3&amp;find="&amp;$F391&amp;"%2C"&amp;$E391&amp;"&amp;marker="&amp;$F391&amp;","&amp;$E391&amp;",4326&amp;level=16","https://fema.maps.arcgis.com/apps/mapviewer/index.html?find="&amp;$F391&amp;"%2C"&amp;$E391&amp;"&amp;marker="&amp;$F391&amp;","&amp;$E391&amp;",4326&amp;level=16"))),"Open"))</f>
        <v/>
      </c>
      <c r="N391" s="6" t="str">
        <f>IF(OR(JobAgolMap="", $E391="", $F391=""),"",HYPERLINK(JobAgolMap&amp;IF(ISNUMBER(FIND("?",JobAgolMap)),"&amp;","?")&amp;"center="&amp;$F391&amp;","&amp;$E391&amp;"&amp;level=16&amp;marker="&amp;$F391&amp;","&amp;$E391,"Open"))</f>
        <v/>
      </c>
      <c r="O391" s="6" t="str">
        <f>IF(OR($E391="",$F391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1" s="4"/>
      <c r="Q391" s="4"/>
      <c r="R391" s="4"/>
      <c r="S391" s="4"/>
      <c r="T391" s="4"/>
      <c r="U391" s="4"/>
      <c r="V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HYPERLINK(IF(OR(JobState="MI",JobState=""),"https://fema.maps.arcgis.com/apps/mapviewer/index.html?webmap=6a1702b9147243d1a5ee62cd614bc681&amp;center="&amp;$F392&amp;","&amp;$E392&amp;"&amp;level=16&amp;marker="&amp;$F392&amp;","&amp;$E392&amp;"",IF(JobState="IN","https://fema.maps.arcgis.com/apps/mapviewer/index.html?url=https%3A%2F%2Fgisdata.in.gov%2Fserver%2Frest%2Fservices%2FHosted%2FLRSE_Functional_Class%2FFeatureServer%2F22&amp;find="&amp;$F392&amp;"%2C"&amp;$E392&amp;"&amp;marker="&amp;$F392&amp;","&amp;$E392&amp;",4326&amp;level=16",IF(JobState="WI","https://fema.maps.arcgis.com/apps/mapviewer/index.html?url=https%3A%2F%2Fservices5.arcgis.com%2F0pgGLzT0Nh7FVjon%2Farcgis%2Frest%2Fservices%2FFFCL_gdb%2FFeatureServer%2F3&amp;find="&amp;$F392&amp;"%2C"&amp;$E392&amp;"&amp;marker="&amp;$F392&amp;","&amp;$E392&amp;",4326&amp;level=16","https://fema.maps.arcgis.com/apps/mapviewer/index.html?find="&amp;$F392&amp;"%2C"&amp;$E392&amp;"&amp;marker="&amp;$F392&amp;","&amp;$E392&amp;",4326&amp;level=16"))),"Open"))</f>
        <v/>
      </c>
      <c r="N392" s="6" t="str">
        <f>IF(OR(JobAgolMap="", $E392="", $F392=""),"",HYPERLINK(JobAgolMap&amp;IF(ISNUMBER(FIND("?",JobAgolMap)),"&amp;","?")&amp;"center="&amp;$F392&amp;","&amp;$E392&amp;"&amp;level=16&amp;marker="&amp;$F392&amp;","&amp;$E392,"Open"))</f>
        <v/>
      </c>
      <c r="O392" s="6" t="str">
        <f>IF(OR($E392="",$F392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2" s="4"/>
      <c r="Q392" s="4"/>
      <c r="R392" s="4"/>
      <c r="S392" s="4"/>
      <c r="T392" s="4"/>
      <c r="U392" s="4"/>
      <c r="V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HYPERLINK(IF(OR(JobState="MI",JobState=""),"https://fema.maps.arcgis.com/apps/mapviewer/index.html?webmap=6a1702b9147243d1a5ee62cd614bc681&amp;center="&amp;$F393&amp;","&amp;$E393&amp;"&amp;level=16&amp;marker="&amp;$F393&amp;","&amp;$E393&amp;"",IF(JobState="IN","https://fema.maps.arcgis.com/apps/mapviewer/index.html?url=https%3A%2F%2Fgisdata.in.gov%2Fserver%2Frest%2Fservices%2FHosted%2FLRSE_Functional_Class%2FFeatureServer%2F22&amp;find="&amp;$F393&amp;"%2C"&amp;$E393&amp;"&amp;marker="&amp;$F393&amp;","&amp;$E393&amp;",4326&amp;level=16",IF(JobState="WI","https://fema.maps.arcgis.com/apps/mapviewer/index.html?url=https%3A%2F%2Fservices5.arcgis.com%2F0pgGLzT0Nh7FVjon%2Farcgis%2Frest%2Fservices%2FFFCL_gdb%2FFeatureServer%2F3&amp;find="&amp;$F393&amp;"%2C"&amp;$E393&amp;"&amp;marker="&amp;$F393&amp;","&amp;$E393&amp;",4326&amp;level=16","https://fema.maps.arcgis.com/apps/mapviewer/index.html?find="&amp;$F393&amp;"%2C"&amp;$E393&amp;"&amp;marker="&amp;$F393&amp;","&amp;$E393&amp;",4326&amp;level=16"))),"Open"))</f>
        <v/>
      </c>
      <c r="N393" s="6" t="str">
        <f>IF(OR(JobAgolMap="", $E393="", $F393=""),"",HYPERLINK(JobAgolMap&amp;IF(ISNUMBER(FIND("?",JobAgolMap)),"&amp;","?")&amp;"center="&amp;$F393&amp;","&amp;$E393&amp;"&amp;level=16&amp;marker="&amp;$F393&amp;","&amp;$E393,"Open"))</f>
        <v/>
      </c>
      <c r="O393" s="6" t="str">
        <f>IF(OR($E393="",$F393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3" s="4"/>
      <c r="Q393" s="4"/>
      <c r="R393" s="4"/>
      <c r="S393" s="4"/>
      <c r="T393" s="4"/>
      <c r="U393" s="4"/>
      <c r="V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HYPERLINK(IF(OR(JobState="MI",JobState=""),"https://fema.maps.arcgis.com/apps/mapviewer/index.html?webmap=6a1702b9147243d1a5ee62cd614bc681&amp;center="&amp;$F394&amp;","&amp;$E394&amp;"&amp;level=16&amp;marker="&amp;$F394&amp;","&amp;$E394&amp;"",IF(JobState="IN","https://fema.maps.arcgis.com/apps/mapviewer/index.html?url=https%3A%2F%2Fgisdata.in.gov%2Fserver%2Frest%2Fservices%2FHosted%2FLRSE_Functional_Class%2FFeatureServer%2F22&amp;find="&amp;$F394&amp;"%2C"&amp;$E394&amp;"&amp;marker="&amp;$F394&amp;","&amp;$E394&amp;",4326&amp;level=16",IF(JobState="WI","https://fema.maps.arcgis.com/apps/mapviewer/index.html?url=https%3A%2F%2Fservices5.arcgis.com%2F0pgGLzT0Nh7FVjon%2Farcgis%2Frest%2Fservices%2FFFCL_gdb%2FFeatureServer%2F3&amp;find="&amp;$F394&amp;"%2C"&amp;$E394&amp;"&amp;marker="&amp;$F394&amp;","&amp;$E394&amp;",4326&amp;level=16","https://fema.maps.arcgis.com/apps/mapviewer/index.html?find="&amp;$F394&amp;"%2C"&amp;$E394&amp;"&amp;marker="&amp;$F394&amp;","&amp;$E394&amp;",4326&amp;level=16"))),"Open"))</f>
        <v/>
      </c>
      <c r="N394" s="6" t="str">
        <f>IF(OR(JobAgolMap="", $E394="", $F394=""),"",HYPERLINK(JobAgolMap&amp;IF(ISNUMBER(FIND("?",JobAgolMap)),"&amp;","?")&amp;"center="&amp;$F394&amp;","&amp;$E394&amp;"&amp;level=16&amp;marker="&amp;$F394&amp;","&amp;$E394,"Open"))</f>
        <v/>
      </c>
      <c r="O394" s="6" t="str">
        <f>IF(OR($E394="",$F394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4" s="4"/>
      <c r="Q394" s="4"/>
      <c r="R394" s="4"/>
      <c r="S394" s="4"/>
      <c r="T394" s="4"/>
      <c r="U394" s="4"/>
      <c r="V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HYPERLINK(IF(OR(JobState="MI",JobState=""),"https://fema.maps.arcgis.com/apps/mapviewer/index.html?webmap=6a1702b9147243d1a5ee62cd614bc681&amp;center="&amp;$F395&amp;","&amp;$E395&amp;"&amp;level=16&amp;marker="&amp;$F395&amp;","&amp;$E395&amp;"",IF(JobState="IN","https://fema.maps.arcgis.com/apps/mapviewer/index.html?url=https%3A%2F%2Fgisdata.in.gov%2Fserver%2Frest%2Fservices%2FHosted%2FLRSE_Functional_Class%2FFeatureServer%2F22&amp;find="&amp;$F395&amp;"%2C"&amp;$E395&amp;"&amp;marker="&amp;$F395&amp;","&amp;$E395&amp;",4326&amp;level=16",IF(JobState="WI","https://fema.maps.arcgis.com/apps/mapviewer/index.html?url=https%3A%2F%2Fservices5.arcgis.com%2F0pgGLzT0Nh7FVjon%2Farcgis%2Frest%2Fservices%2FFFCL_gdb%2FFeatureServer%2F3&amp;find="&amp;$F395&amp;"%2C"&amp;$E395&amp;"&amp;marker="&amp;$F395&amp;","&amp;$E395&amp;",4326&amp;level=16","https://fema.maps.arcgis.com/apps/mapviewer/index.html?find="&amp;$F395&amp;"%2C"&amp;$E395&amp;"&amp;marker="&amp;$F395&amp;","&amp;$E395&amp;",4326&amp;level=16"))),"Open"))</f>
        <v/>
      </c>
      <c r="N395" s="6" t="str">
        <f>IF(OR(JobAgolMap="", $E395="", $F395=""),"",HYPERLINK(JobAgolMap&amp;IF(ISNUMBER(FIND("?",JobAgolMap)),"&amp;","?")&amp;"center="&amp;$F395&amp;","&amp;$E395&amp;"&amp;level=16&amp;marker="&amp;$F395&amp;","&amp;$E395,"Open"))</f>
        <v/>
      </c>
      <c r="O395" s="6" t="str">
        <f>IF(OR($E395="",$F395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5" s="4"/>
      <c r="Q395" s="4"/>
      <c r="R395" s="4"/>
      <c r="S395" s="4"/>
      <c r="T395" s="4"/>
      <c r="U395" s="4"/>
      <c r="V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HYPERLINK(IF(OR(JobState="MI",JobState=""),"https://fema.maps.arcgis.com/apps/mapviewer/index.html?webmap=6a1702b9147243d1a5ee62cd614bc681&amp;center="&amp;$F396&amp;","&amp;$E396&amp;"&amp;level=16&amp;marker="&amp;$F396&amp;","&amp;$E396&amp;"",IF(JobState="IN","https://fema.maps.arcgis.com/apps/mapviewer/index.html?url=https%3A%2F%2Fgisdata.in.gov%2Fserver%2Frest%2Fservices%2FHosted%2FLRSE_Functional_Class%2FFeatureServer%2F22&amp;find="&amp;$F396&amp;"%2C"&amp;$E396&amp;"&amp;marker="&amp;$F396&amp;","&amp;$E396&amp;",4326&amp;level=16",IF(JobState="WI","https://fema.maps.arcgis.com/apps/mapviewer/index.html?url=https%3A%2F%2Fservices5.arcgis.com%2F0pgGLzT0Nh7FVjon%2Farcgis%2Frest%2Fservices%2FFFCL_gdb%2FFeatureServer%2F3&amp;find="&amp;$F396&amp;"%2C"&amp;$E396&amp;"&amp;marker="&amp;$F396&amp;","&amp;$E396&amp;",4326&amp;level=16","https://fema.maps.arcgis.com/apps/mapviewer/index.html?find="&amp;$F396&amp;"%2C"&amp;$E396&amp;"&amp;marker="&amp;$F396&amp;","&amp;$E396&amp;",4326&amp;level=16"))),"Open"))</f>
        <v/>
      </c>
      <c r="N396" s="6" t="str">
        <f>IF(OR(JobAgolMap="", $E396="", $F396=""),"",HYPERLINK(JobAgolMap&amp;IF(ISNUMBER(FIND("?",JobAgolMap)),"&amp;","?")&amp;"center="&amp;$F396&amp;","&amp;$E396&amp;"&amp;level=16&amp;marker="&amp;$F396&amp;","&amp;$E396,"Open"))</f>
        <v/>
      </c>
      <c r="O396" s="6" t="str">
        <f>IF(OR($E396="",$F396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6" s="4"/>
      <c r="Q396" s="4"/>
      <c r="R396" s="4"/>
      <c r="S396" s="4"/>
      <c r="T396" s="4"/>
      <c r="U396" s="4"/>
      <c r="V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HYPERLINK(IF(OR(JobState="MI",JobState=""),"https://fema.maps.arcgis.com/apps/mapviewer/index.html?webmap=6a1702b9147243d1a5ee62cd614bc681&amp;center="&amp;$F397&amp;","&amp;$E397&amp;"&amp;level=16&amp;marker="&amp;$F397&amp;","&amp;$E397&amp;"",IF(JobState="IN","https://fema.maps.arcgis.com/apps/mapviewer/index.html?url=https%3A%2F%2Fgisdata.in.gov%2Fserver%2Frest%2Fservices%2FHosted%2FLRSE_Functional_Class%2FFeatureServer%2F22&amp;find="&amp;$F397&amp;"%2C"&amp;$E397&amp;"&amp;marker="&amp;$F397&amp;","&amp;$E397&amp;",4326&amp;level=16",IF(JobState="WI","https://fema.maps.arcgis.com/apps/mapviewer/index.html?url=https%3A%2F%2Fservices5.arcgis.com%2F0pgGLzT0Nh7FVjon%2Farcgis%2Frest%2Fservices%2FFFCL_gdb%2FFeatureServer%2F3&amp;find="&amp;$F397&amp;"%2C"&amp;$E397&amp;"&amp;marker="&amp;$F397&amp;","&amp;$E397&amp;",4326&amp;level=16","https://fema.maps.arcgis.com/apps/mapviewer/index.html?find="&amp;$F397&amp;"%2C"&amp;$E397&amp;"&amp;marker="&amp;$F397&amp;","&amp;$E397&amp;",4326&amp;level=16"))),"Open"))</f>
        <v/>
      </c>
      <c r="N397" s="6" t="str">
        <f>IF(OR(JobAgolMap="", $E397="", $F397=""),"",HYPERLINK(JobAgolMap&amp;IF(ISNUMBER(FIND("?",JobAgolMap)),"&amp;","?")&amp;"center="&amp;$F397&amp;","&amp;$E397&amp;"&amp;level=16&amp;marker="&amp;$F397&amp;","&amp;$E397,"Open"))</f>
        <v/>
      </c>
      <c r="O397" s="6" t="str">
        <f>IF(OR($E397="",$F397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7" s="4"/>
      <c r="Q397" s="4"/>
      <c r="R397" s="4"/>
      <c r="S397" s="4"/>
      <c r="T397" s="4"/>
      <c r="U397" s="4"/>
      <c r="V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HYPERLINK(IF(OR(JobState="MI",JobState=""),"https://fema.maps.arcgis.com/apps/mapviewer/index.html?webmap=6a1702b9147243d1a5ee62cd614bc681&amp;center="&amp;$F398&amp;","&amp;$E398&amp;"&amp;level=16&amp;marker="&amp;$F398&amp;","&amp;$E398&amp;"",IF(JobState="IN","https://fema.maps.arcgis.com/apps/mapviewer/index.html?url=https%3A%2F%2Fgisdata.in.gov%2Fserver%2Frest%2Fservices%2FHosted%2FLRSE_Functional_Class%2FFeatureServer%2F22&amp;find="&amp;$F398&amp;"%2C"&amp;$E398&amp;"&amp;marker="&amp;$F398&amp;","&amp;$E398&amp;",4326&amp;level=16",IF(JobState="WI","https://fema.maps.arcgis.com/apps/mapviewer/index.html?url=https%3A%2F%2Fservices5.arcgis.com%2F0pgGLzT0Nh7FVjon%2Farcgis%2Frest%2Fservices%2FFFCL_gdb%2FFeatureServer%2F3&amp;find="&amp;$F398&amp;"%2C"&amp;$E398&amp;"&amp;marker="&amp;$F398&amp;","&amp;$E398&amp;",4326&amp;level=16","https://fema.maps.arcgis.com/apps/mapviewer/index.html?find="&amp;$F398&amp;"%2C"&amp;$E398&amp;"&amp;marker="&amp;$F398&amp;","&amp;$E398&amp;",4326&amp;level=16"))),"Open"))</f>
        <v/>
      </c>
      <c r="N398" s="6" t="str">
        <f>IF(OR(JobAgolMap="", $E398="", $F398=""),"",HYPERLINK(JobAgolMap&amp;IF(ISNUMBER(FIND("?",JobAgolMap)),"&amp;","?")&amp;"center="&amp;$F398&amp;","&amp;$E398&amp;"&amp;level=16&amp;marker="&amp;$F398&amp;","&amp;$E398,"Open"))</f>
        <v/>
      </c>
      <c r="O398" s="6" t="str">
        <f>IF(OR($E398="",$F398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8" s="4"/>
      <c r="Q398" s="4"/>
      <c r="R398" s="4"/>
      <c r="S398" s="4"/>
      <c r="T398" s="4"/>
      <c r="U398" s="4"/>
      <c r="V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HYPERLINK(IF(OR(JobState="MI",JobState=""),"https://fema.maps.arcgis.com/apps/mapviewer/index.html?webmap=6a1702b9147243d1a5ee62cd614bc681&amp;center="&amp;$F399&amp;","&amp;$E399&amp;"&amp;level=16&amp;marker="&amp;$F399&amp;","&amp;$E399&amp;"",IF(JobState="IN","https://fema.maps.arcgis.com/apps/mapviewer/index.html?url=https%3A%2F%2Fgisdata.in.gov%2Fserver%2Frest%2Fservices%2FHosted%2FLRSE_Functional_Class%2FFeatureServer%2F22&amp;find="&amp;$F399&amp;"%2C"&amp;$E399&amp;"&amp;marker="&amp;$F399&amp;","&amp;$E399&amp;",4326&amp;level=16",IF(JobState="WI","https://fema.maps.arcgis.com/apps/mapviewer/index.html?url=https%3A%2F%2Fservices5.arcgis.com%2F0pgGLzT0Nh7FVjon%2Farcgis%2Frest%2Fservices%2FFFCL_gdb%2FFeatureServer%2F3&amp;find="&amp;$F399&amp;"%2C"&amp;$E399&amp;"&amp;marker="&amp;$F399&amp;","&amp;$E399&amp;",4326&amp;level=16","https://fema.maps.arcgis.com/apps/mapviewer/index.html?find="&amp;$F399&amp;"%2C"&amp;$E399&amp;"&amp;marker="&amp;$F399&amp;","&amp;$E399&amp;",4326&amp;level=16"))),"Open"))</f>
        <v/>
      </c>
      <c r="N399" s="6" t="str">
        <f>IF(OR(JobAgolMap="", $E399="", $F399=""),"",HYPERLINK(JobAgolMap&amp;IF(ISNUMBER(FIND("?",JobAgolMap)),"&amp;","?")&amp;"center="&amp;$F399&amp;","&amp;$E399&amp;"&amp;level=16&amp;marker="&amp;$F399&amp;","&amp;$E399,"Open"))</f>
        <v/>
      </c>
      <c r="O399" s="6" t="str">
        <f>IF(OR($E399="",$F399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9" s="4"/>
      <c r="Q399" s="4"/>
      <c r="R399" s="4"/>
      <c r="S399" s="4"/>
      <c r="T399" s="4"/>
      <c r="U399" s="4"/>
      <c r="V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HYPERLINK(IF(OR(JobState="MI",JobState=""),"https://fema.maps.arcgis.com/apps/mapviewer/index.html?webmap=6a1702b9147243d1a5ee62cd614bc681&amp;center="&amp;$F400&amp;","&amp;$E400&amp;"&amp;level=16&amp;marker="&amp;$F400&amp;","&amp;$E400&amp;"",IF(JobState="IN","https://fema.maps.arcgis.com/apps/mapviewer/index.html?url=https%3A%2F%2Fgisdata.in.gov%2Fserver%2Frest%2Fservices%2FHosted%2FLRSE_Functional_Class%2FFeatureServer%2F22&amp;find="&amp;$F400&amp;"%2C"&amp;$E400&amp;"&amp;marker="&amp;$F400&amp;","&amp;$E400&amp;",4326&amp;level=16",IF(JobState="WI","https://fema.maps.arcgis.com/apps/mapviewer/index.html?url=https%3A%2F%2Fservices5.arcgis.com%2F0pgGLzT0Nh7FVjon%2Farcgis%2Frest%2Fservices%2FFFCL_gdb%2FFeatureServer%2F3&amp;find="&amp;$F400&amp;"%2C"&amp;$E400&amp;"&amp;marker="&amp;$F400&amp;","&amp;$E400&amp;",4326&amp;level=16","https://fema.maps.arcgis.com/apps/mapviewer/index.html?find="&amp;$F400&amp;"%2C"&amp;$E400&amp;"&amp;marker="&amp;$F400&amp;","&amp;$E400&amp;",4326&amp;level=16"))),"Open"))</f>
        <v/>
      </c>
      <c r="N400" s="6" t="str">
        <f>IF(OR(JobAgolMap="", $E400="", $F400=""),"",HYPERLINK(JobAgolMap&amp;IF(ISNUMBER(FIND("?",JobAgolMap)),"&amp;","?")&amp;"center="&amp;$F400&amp;","&amp;$E400&amp;"&amp;level=16&amp;marker="&amp;$F400&amp;","&amp;$E400,"Open"))</f>
        <v/>
      </c>
      <c r="O400" s="6" t="str">
        <f>IF(OR($E400="",$F400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0" s="4"/>
      <c r="Q400" s="4"/>
      <c r="R400" s="4"/>
      <c r="S400" s="4"/>
      <c r="T400" s="4"/>
      <c r="U400" s="4"/>
      <c r="V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HYPERLINK(IF(OR(JobState="MI",JobState=""),"https://fema.maps.arcgis.com/apps/mapviewer/index.html?webmap=6a1702b9147243d1a5ee62cd614bc681&amp;center="&amp;$F401&amp;","&amp;$E401&amp;"&amp;level=16&amp;marker="&amp;$F401&amp;","&amp;$E401&amp;"",IF(JobState="IN","https://fema.maps.arcgis.com/apps/mapviewer/index.html?url=https%3A%2F%2Fgisdata.in.gov%2Fserver%2Frest%2Fservices%2FHosted%2FLRSE_Functional_Class%2FFeatureServer%2F22&amp;find="&amp;$F401&amp;"%2C"&amp;$E401&amp;"&amp;marker="&amp;$F401&amp;","&amp;$E401&amp;",4326&amp;level=16",IF(JobState="WI","https://fema.maps.arcgis.com/apps/mapviewer/index.html?url=https%3A%2F%2Fservices5.arcgis.com%2F0pgGLzT0Nh7FVjon%2Farcgis%2Frest%2Fservices%2FFFCL_gdb%2FFeatureServer%2F3&amp;find="&amp;$F401&amp;"%2C"&amp;$E401&amp;"&amp;marker="&amp;$F401&amp;","&amp;$E401&amp;",4326&amp;level=16","https://fema.maps.arcgis.com/apps/mapviewer/index.html?find="&amp;$F401&amp;"%2C"&amp;$E401&amp;"&amp;marker="&amp;$F401&amp;","&amp;$E401&amp;",4326&amp;level=16"))),"Open"))</f>
        <v/>
      </c>
      <c r="N401" s="6" t="str">
        <f>IF(OR(JobAgolMap="", $E401="", $F401=""),"",HYPERLINK(JobAgolMap&amp;IF(ISNUMBER(FIND("?",JobAgolMap)),"&amp;","?")&amp;"center="&amp;$F401&amp;","&amp;$E401&amp;"&amp;level=16&amp;marker="&amp;$F401&amp;","&amp;$E401,"Open"))</f>
        <v/>
      </c>
      <c r="O401" s="6" t="str">
        <f>IF(OR($E401="",$F401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1" s="4"/>
      <c r="Q401" s="4"/>
      <c r="R401" s="4"/>
      <c r="S401" s="4"/>
      <c r="T401" s="4"/>
      <c r="U401" s="4"/>
      <c r="V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HYPERLINK(IF(OR(JobState="MI",JobState=""),"https://fema.maps.arcgis.com/apps/mapviewer/index.html?webmap=6a1702b9147243d1a5ee62cd614bc681&amp;center="&amp;$F402&amp;","&amp;$E402&amp;"&amp;level=16&amp;marker="&amp;$F402&amp;","&amp;$E402&amp;"",IF(JobState="IN","https://fema.maps.arcgis.com/apps/mapviewer/index.html?url=https%3A%2F%2Fgisdata.in.gov%2Fserver%2Frest%2Fservices%2FHosted%2FLRSE_Functional_Class%2FFeatureServer%2F22&amp;find="&amp;$F402&amp;"%2C"&amp;$E402&amp;"&amp;marker="&amp;$F402&amp;","&amp;$E402&amp;",4326&amp;level=16",IF(JobState="WI","https://fema.maps.arcgis.com/apps/mapviewer/index.html?url=https%3A%2F%2Fservices5.arcgis.com%2F0pgGLzT0Nh7FVjon%2Farcgis%2Frest%2Fservices%2FFFCL_gdb%2FFeatureServer%2F3&amp;find="&amp;$F402&amp;"%2C"&amp;$E402&amp;"&amp;marker="&amp;$F402&amp;","&amp;$E402&amp;",4326&amp;level=16","https://fema.maps.arcgis.com/apps/mapviewer/index.html?find="&amp;$F402&amp;"%2C"&amp;$E402&amp;"&amp;marker="&amp;$F402&amp;","&amp;$E402&amp;",4326&amp;level=16"))),"Open"))</f>
        <v/>
      </c>
      <c r="N402" s="6" t="str">
        <f>IF(OR(JobAgolMap="", $E402="", $F402=""),"",HYPERLINK(JobAgolMap&amp;IF(ISNUMBER(FIND("?",JobAgolMap)),"&amp;","?")&amp;"center="&amp;$F402&amp;","&amp;$E402&amp;"&amp;level=16&amp;marker="&amp;$F402&amp;","&amp;$E402,"Open"))</f>
        <v/>
      </c>
      <c r="O402" s="6" t="str">
        <f>IF(OR($E402="",$F402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2" s="4"/>
      <c r="Q402" s="4"/>
      <c r="R402" s="4"/>
      <c r="S402" s="4"/>
      <c r="T402" s="4"/>
      <c r="U402" s="4"/>
      <c r="V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HYPERLINK(IF(OR(JobState="MI",JobState=""),"https://fema.maps.arcgis.com/apps/mapviewer/index.html?webmap=6a1702b9147243d1a5ee62cd614bc681&amp;center="&amp;$F403&amp;","&amp;$E403&amp;"&amp;level=16&amp;marker="&amp;$F403&amp;","&amp;$E403&amp;"",IF(JobState="IN","https://fema.maps.arcgis.com/apps/mapviewer/index.html?url=https%3A%2F%2Fgisdata.in.gov%2Fserver%2Frest%2Fservices%2FHosted%2FLRSE_Functional_Class%2FFeatureServer%2F22&amp;find="&amp;$F403&amp;"%2C"&amp;$E403&amp;"&amp;marker="&amp;$F403&amp;","&amp;$E403&amp;",4326&amp;level=16",IF(JobState="WI","https://fema.maps.arcgis.com/apps/mapviewer/index.html?url=https%3A%2F%2Fservices5.arcgis.com%2F0pgGLzT0Nh7FVjon%2Farcgis%2Frest%2Fservices%2FFFCL_gdb%2FFeatureServer%2F3&amp;find="&amp;$F403&amp;"%2C"&amp;$E403&amp;"&amp;marker="&amp;$F403&amp;","&amp;$E403&amp;",4326&amp;level=16","https://fema.maps.arcgis.com/apps/mapviewer/index.html?find="&amp;$F403&amp;"%2C"&amp;$E403&amp;"&amp;marker="&amp;$F403&amp;","&amp;$E403&amp;",4326&amp;level=16"))),"Open"))</f>
        <v/>
      </c>
      <c r="N403" s="6" t="str">
        <f>IF(OR(JobAgolMap="", $E403="", $F403=""),"",HYPERLINK(JobAgolMap&amp;IF(ISNUMBER(FIND("?",JobAgolMap)),"&amp;","?")&amp;"center="&amp;$F403&amp;","&amp;$E403&amp;"&amp;level=16&amp;marker="&amp;$F403&amp;","&amp;$E403,"Open"))</f>
        <v/>
      </c>
      <c r="O403" s="6" t="str">
        <f>IF(OR($E403="",$F403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3" s="4"/>
      <c r="Q403" s="4"/>
      <c r="R403" s="4"/>
      <c r="S403" s="4"/>
      <c r="T403" s="4"/>
      <c r="U403" s="4"/>
      <c r="V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HYPERLINK(IF(OR(JobState="MI",JobState=""),"https://fema.maps.arcgis.com/apps/mapviewer/index.html?webmap=6a1702b9147243d1a5ee62cd614bc681&amp;center="&amp;$F404&amp;","&amp;$E404&amp;"&amp;level=16&amp;marker="&amp;$F404&amp;","&amp;$E404&amp;"",IF(JobState="IN","https://fema.maps.arcgis.com/apps/mapviewer/index.html?url=https%3A%2F%2Fgisdata.in.gov%2Fserver%2Frest%2Fservices%2FHosted%2FLRSE_Functional_Class%2FFeatureServer%2F22&amp;find="&amp;$F404&amp;"%2C"&amp;$E404&amp;"&amp;marker="&amp;$F404&amp;","&amp;$E404&amp;",4326&amp;level=16",IF(JobState="WI","https://fema.maps.arcgis.com/apps/mapviewer/index.html?url=https%3A%2F%2Fservices5.arcgis.com%2F0pgGLzT0Nh7FVjon%2Farcgis%2Frest%2Fservices%2FFFCL_gdb%2FFeatureServer%2F3&amp;find="&amp;$F404&amp;"%2C"&amp;$E404&amp;"&amp;marker="&amp;$F404&amp;","&amp;$E404&amp;",4326&amp;level=16","https://fema.maps.arcgis.com/apps/mapviewer/index.html?find="&amp;$F404&amp;"%2C"&amp;$E404&amp;"&amp;marker="&amp;$F404&amp;","&amp;$E404&amp;",4326&amp;level=16"))),"Open"))</f>
        <v/>
      </c>
      <c r="N404" s="6" t="str">
        <f>IF(OR(JobAgolMap="", $E404="", $F404=""),"",HYPERLINK(JobAgolMap&amp;IF(ISNUMBER(FIND("?",JobAgolMap)),"&amp;","?")&amp;"center="&amp;$F404&amp;","&amp;$E404&amp;"&amp;level=16&amp;marker="&amp;$F404&amp;","&amp;$E404,"Open"))</f>
        <v/>
      </c>
      <c r="O404" s="6" t="str">
        <f>IF(OR($E404="",$F404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4" s="4"/>
      <c r="Q404" s="4"/>
      <c r="R404" s="4"/>
      <c r="S404" s="4"/>
      <c r="T404" s="4"/>
      <c r="U404" s="4"/>
      <c r="V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HYPERLINK(IF(OR(JobState="MI",JobState=""),"https://fema.maps.arcgis.com/apps/mapviewer/index.html?webmap=6a1702b9147243d1a5ee62cd614bc681&amp;center="&amp;$F405&amp;","&amp;$E405&amp;"&amp;level=16&amp;marker="&amp;$F405&amp;","&amp;$E405&amp;"",IF(JobState="IN","https://fema.maps.arcgis.com/apps/mapviewer/index.html?url=https%3A%2F%2Fgisdata.in.gov%2Fserver%2Frest%2Fservices%2FHosted%2FLRSE_Functional_Class%2FFeatureServer%2F22&amp;find="&amp;$F405&amp;"%2C"&amp;$E405&amp;"&amp;marker="&amp;$F405&amp;","&amp;$E405&amp;",4326&amp;level=16",IF(JobState="WI","https://fema.maps.arcgis.com/apps/mapviewer/index.html?url=https%3A%2F%2Fservices5.arcgis.com%2F0pgGLzT0Nh7FVjon%2Farcgis%2Frest%2Fservices%2FFFCL_gdb%2FFeatureServer%2F3&amp;find="&amp;$F405&amp;"%2C"&amp;$E405&amp;"&amp;marker="&amp;$F405&amp;","&amp;$E405&amp;",4326&amp;level=16","https://fema.maps.arcgis.com/apps/mapviewer/index.html?find="&amp;$F405&amp;"%2C"&amp;$E405&amp;"&amp;marker="&amp;$F405&amp;","&amp;$E405&amp;",4326&amp;level=16"))),"Open"))</f>
        <v/>
      </c>
      <c r="N405" s="6" t="str">
        <f>IF(OR(JobAgolMap="", $E405="", $F405=""),"",HYPERLINK(JobAgolMap&amp;IF(ISNUMBER(FIND("?",JobAgolMap)),"&amp;","?")&amp;"center="&amp;$F405&amp;","&amp;$E405&amp;"&amp;level=16&amp;marker="&amp;$F405&amp;","&amp;$E405,"Open"))</f>
        <v/>
      </c>
      <c r="O405" s="6" t="str">
        <f>IF(OR($E405="",$F405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5" s="4"/>
      <c r="Q405" s="4"/>
      <c r="R405" s="4"/>
      <c r="S405" s="4"/>
      <c r="T405" s="4"/>
      <c r="U405" s="4"/>
      <c r="V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HYPERLINK(IF(OR(JobState="MI",JobState=""),"https://fema.maps.arcgis.com/apps/mapviewer/index.html?webmap=6a1702b9147243d1a5ee62cd614bc681&amp;center="&amp;$F406&amp;","&amp;$E406&amp;"&amp;level=16&amp;marker="&amp;$F406&amp;","&amp;$E406&amp;"",IF(JobState="IN","https://fema.maps.arcgis.com/apps/mapviewer/index.html?url=https%3A%2F%2Fgisdata.in.gov%2Fserver%2Frest%2Fservices%2FHosted%2FLRSE_Functional_Class%2FFeatureServer%2F22&amp;find="&amp;$F406&amp;"%2C"&amp;$E406&amp;"&amp;marker="&amp;$F406&amp;","&amp;$E406&amp;",4326&amp;level=16",IF(JobState="WI","https://fema.maps.arcgis.com/apps/mapviewer/index.html?url=https%3A%2F%2Fservices5.arcgis.com%2F0pgGLzT0Nh7FVjon%2Farcgis%2Frest%2Fservices%2FFFCL_gdb%2FFeatureServer%2F3&amp;find="&amp;$F406&amp;"%2C"&amp;$E406&amp;"&amp;marker="&amp;$F406&amp;","&amp;$E406&amp;",4326&amp;level=16","https://fema.maps.arcgis.com/apps/mapviewer/index.html?find="&amp;$F406&amp;"%2C"&amp;$E406&amp;"&amp;marker="&amp;$F406&amp;","&amp;$E406&amp;",4326&amp;level=16"))),"Open"))</f>
        <v/>
      </c>
      <c r="N406" s="6" t="str">
        <f>IF(OR(JobAgolMap="", $E406="", $F406=""),"",HYPERLINK(JobAgolMap&amp;IF(ISNUMBER(FIND("?",JobAgolMap)),"&amp;","?")&amp;"center="&amp;$F406&amp;","&amp;$E406&amp;"&amp;level=16&amp;marker="&amp;$F406&amp;","&amp;$E406,"Open"))</f>
        <v/>
      </c>
      <c r="O406" s="6" t="str">
        <f>IF(OR($E406="",$F406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6" s="4"/>
      <c r="Q406" s="4"/>
      <c r="R406" s="4"/>
      <c r="S406" s="4"/>
      <c r="T406" s="4"/>
      <c r="U406" s="4"/>
      <c r="V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HYPERLINK(IF(OR(JobState="MI",JobState=""),"https://fema.maps.arcgis.com/apps/mapviewer/index.html?webmap=6a1702b9147243d1a5ee62cd614bc681&amp;center="&amp;$F407&amp;","&amp;$E407&amp;"&amp;level=16&amp;marker="&amp;$F407&amp;","&amp;$E407&amp;"",IF(JobState="IN","https://fema.maps.arcgis.com/apps/mapviewer/index.html?url=https%3A%2F%2Fgisdata.in.gov%2Fserver%2Frest%2Fservices%2FHosted%2FLRSE_Functional_Class%2FFeatureServer%2F22&amp;find="&amp;$F407&amp;"%2C"&amp;$E407&amp;"&amp;marker="&amp;$F407&amp;","&amp;$E407&amp;",4326&amp;level=16",IF(JobState="WI","https://fema.maps.arcgis.com/apps/mapviewer/index.html?url=https%3A%2F%2Fservices5.arcgis.com%2F0pgGLzT0Nh7FVjon%2Farcgis%2Frest%2Fservices%2FFFCL_gdb%2FFeatureServer%2F3&amp;find="&amp;$F407&amp;"%2C"&amp;$E407&amp;"&amp;marker="&amp;$F407&amp;","&amp;$E407&amp;",4326&amp;level=16","https://fema.maps.arcgis.com/apps/mapviewer/index.html?find="&amp;$F407&amp;"%2C"&amp;$E407&amp;"&amp;marker="&amp;$F407&amp;","&amp;$E407&amp;",4326&amp;level=16"))),"Open"))</f>
        <v/>
      </c>
      <c r="N407" s="6" t="str">
        <f>IF(OR(JobAgolMap="", $E407="", $F407=""),"",HYPERLINK(JobAgolMap&amp;IF(ISNUMBER(FIND("?",JobAgolMap)),"&amp;","?")&amp;"center="&amp;$F407&amp;","&amp;$E407&amp;"&amp;level=16&amp;marker="&amp;$F407&amp;","&amp;$E407,"Open"))</f>
        <v/>
      </c>
      <c r="O407" s="6" t="str">
        <f>IF(OR($E407="",$F407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7" s="4"/>
      <c r="Q407" s="4"/>
      <c r="R407" s="4"/>
      <c r="S407" s="4"/>
      <c r="T407" s="4"/>
      <c r="U407" s="4"/>
      <c r="V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HYPERLINK(IF(OR(JobState="MI",JobState=""),"https://fema.maps.arcgis.com/apps/mapviewer/index.html?webmap=6a1702b9147243d1a5ee62cd614bc681&amp;center="&amp;$F408&amp;","&amp;$E408&amp;"&amp;level=16&amp;marker="&amp;$F408&amp;","&amp;$E408&amp;"",IF(JobState="IN","https://fema.maps.arcgis.com/apps/mapviewer/index.html?url=https%3A%2F%2Fgisdata.in.gov%2Fserver%2Frest%2Fservices%2FHosted%2FLRSE_Functional_Class%2FFeatureServer%2F22&amp;find="&amp;$F408&amp;"%2C"&amp;$E408&amp;"&amp;marker="&amp;$F408&amp;","&amp;$E408&amp;",4326&amp;level=16",IF(JobState="WI","https://fema.maps.arcgis.com/apps/mapviewer/index.html?url=https%3A%2F%2Fservices5.arcgis.com%2F0pgGLzT0Nh7FVjon%2Farcgis%2Frest%2Fservices%2FFFCL_gdb%2FFeatureServer%2F3&amp;find="&amp;$F408&amp;"%2C"&amp;$E408&amp;"&amp;marker="&amp;$F408&amp;","&amp;$E408&amp;",4326&amp;level=16","https://fema.maps.arcgis.com/apps/mapviewer/index.html?find="&amp;$F408&amp;"%2C"&amp;$E408&amp;"&amp;marker="&amp;$F408&amp;","&amp;$E408&amp;",4326&amp;level=16"))),"Open"))</f>
        <v/>
      </c>
      <c r="N408" s="6" t="str">
        <f>IF(OR(JobAgolMap="", $E408="", $F408=""),"",HYPERLINK(JobAgolMap&amp;IF(ISNUMBER(FIND("?",JobAgolMap)),"&amp;","?")&amp;"center="&amp;$F408&amp;","&amp;$E408&amp;"&amp;level=16&amp;marker="&amp;$F408&amp;","&amp;$E408,"Open"))</f>
        <v/>
      </c>
      <c r="O408" s="6" t="str">
        <f>IF(OR($E408="",$F408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8" s="4"/>
      <c r="Q408" s="4"/>
      <c r="R408" s="4"/>
      <c r="S408" s="4"/>
      <c r="T408" s="4"/>
      <c r="U408" s="4"/>
      <c r="V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HYPERLINK(IF(OR(JobState="MI",JobState=""),"https://fema.maps.arcgis.com/apps/mapviewer/index.html?webmap=6a1702b9147243d1a5ee62cd614bc681&amp;center="&amp;$F409&amp;","&amp;$E409&amp;"&amp;level=16&amp;marker="&amp;$F409&amp;","&amp;$E409&amp;"",IF(JobState="IN","https://fema.maps.arcgis.com/apps/mapviewer/index.html?url=https%3A%2F%2Fgisdata.in.gov%2Fserver%2Frest%2Fservices%2FHosted%2FLRSE_Functional_Class%2FFeatureServer%2F22&amp;find="&amp;$F409&amp;"%2C"&amp;$E409&amp;"&amp;marker="&amp;$F409&amp;","&amp;$E409&amp;",4326&amp;level=16",IF(JobState="WI","https://fema.maps.arcgis.com/apps/mapviewer/index.html?url=https%3A%2F%2Fservices5.arcgis.com%2F0pgGLzT0Nh7FVjon%2Farcgis%2Frest%2Fservices%2FFFCL_gdb%2FFeatureServer%2F3&amp;find="&amp;$F409&amp;"%2C"&amp;$E409&amp;"&amp;marker="&amp;$F409&amp;","&amp;$E409&amp;",4326&amp;level=16","https://fema.maps.arcgis.com/apps/mapviewer/index.html?find="&amp;$F409&amp;"%2C"&amp;$E409&amp;"&amp;marker="&amp;$F409&amp;","&amp;$E409&amp;",4326&amp;level=16"))),"Open"))</f>
        <v/>
      </c>
      <c r="N409" s="6" t="str">
        <f>IF(OR(JobAgolMap="", $E409="", $F409=""),"",HYPERLINK(JobAgolMap&amp;IF(ISNUMBER(FIND("?",JobAgolMap)),"&amp;","?")&amp;"center="&amp;$F409&amp;","&amp;$E409&amp;"&amp;level=16&amp;marker="&amp;$F409&amp;","&amp;$E409,"Open"))</f>
        <v/>
      </c>
      <c r="O409" s="6" t="str">
        <f>IF(OR($E409="",$F409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9" s="4"/>
      <c r="Q409" s="4"/>
      <c r="R409" s="4"/>
      <c r="S409" s="4"/>
      <c r="T409" s="4"/>
      <c r="U409" s="4"/>
      <c r="V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HYPERLINK(IF(OR(JobState="MI",JobState=""),"https://fema.maps.arcgis.com/apps/mapviewer/index.html?webmap=6a1702b9147243d1a5ee62cd614bc681&amp;center="&amp;$F410&amp;","&amp;$E410&amp;"&amp;level=16&amp;marker="&amp;$F410&amp;","&amp;$E410&amp;"",IF(JobState="IN","https://fema.maps.arcgis.com/apps/mapviewer/index.html?url=https%3A%2F%2Fgisdata.in.gov%2Fserver%2Frest%2Fservices%2FHosted%2FLRSE_Functional_Class%2FFeatureServer%2F22&amp;find="&amp;$F410&amp;"%2C"&amp;$E410&amp;"&amp;marker="&amp;$F410&amp;","&amp;$E410&amp;",4326&amp;level=16",IF(JobState="WI","https://fema.maps.arcgis.com/apps/mapviewer/index.html?url=https%3A%2F%2Fservices5.arcgis.com%2F0pgGLzT0Nh7FVjon%2Farcgis%2Frest%2Fservices%2FFFCL_gdb%2FFeatureServer%2F3&amp;find="&amp;$F410&amp;"%2C"&amp;$E410&amp;"&amp;marker="&amp;$F410&amp;","&amp;$E410&amp;",4326&amp;level=16","https://fema.maps.arcgis.com/apps/mapviewer/index.html?find="&amp;$F410&amp;"%2C"&amp;$E410&amp;"&amp;marker="&amp;$F410&amp;","&amp;$E410&amp;",4326&amp;level=16"))),"Open"))</f>
        <v/>
      </c>
      <c r="N410" s="6" t="str">
        <f>IF(OR(JobAgolMap="", $E410="", $F410=""),"",HYPERLINK(JobAgolMap&amp;IF(ISNUMBER(FIND("?",JobAgolMap)),"&amp;","?")&amp;"center="&amp;$F410&amp;","&amp;$E410&amp;"&amp;level=16&amp;marker="&amp;$F410&amp;","&amp;$E410,"Open"))</f>
        <v/>
      </c>
      <c r="O410" s="6" t="str">
        <f>IF(OR($E410="",$F410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0" s="4"/>
      <c r="Q410" s="4"/>
      <c r="R410" s="4"/>
      <c r="S410" s="4"/>
      <c r="T410" s="4"/>
      <c r="U410" s="4"/>
      <c r="V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HYPERLINK(IF(OR(JobState="MI",JobState=""),"https://fema.maps.arcgis.com/apps/mapviewer/index.html?webmap=6a1702b9147243d1a5ee62cd614bc681&amp;center="&amp;$F411&amp;","&amp;$E411&amp;"&amp;level=16&amp;marker="&amp;$F411&amp;","&amp;$E411&amp;"",IF(JobState="IN","https://fema.maps.arcgis.com/apps/mapviewer/index.html?url=https%3A%2F%2Fgisdata.in.gov%2Fserver%2Frest%2Fservices%2FHosted%2FLRSE_Functional_Class%2FFeatureServer%2F22&amp;find="&amp;$F411&amp;"%2C"&amp;$E411&amp;"&amp;marker="&amp;$F411&amp;","&amp;$E411&amp;",4326&amp;level=16",IF(JobState="WI","https://fema.maps.arcgis.com/apps/mapviewer/index.html?url=https%3A%2F%2Fservices5.arcgis.com%2F0pgGLzT0Nh7FVjon%2Farcgis%2Frest%2Fservices%2FFFCL_gdb%2FFeatureServer%2F3&amp;find="&amp;$F411&amp;"%2C"&amp;$E411&amp;"&amp;marker="&amp;$F411&amp;","&amp;$E411&amp;",4326&amp;level=16","https://fema.maps.arcgis.com/apps/mapviewer/index.html?find="&amp;$F411&amp;"%2C"&amp;$E411&amp;"&amp;marker="&amp;$F411&amp;","&amp;$E411&amp;",4326&amp;level=16"))),"Open"))</f>
        <v/>
      </c>
      <c r="N411" s="6" t="str">
        <f>IF(OR(JobAgolMap="", $E411="", $F411=""),"",HYPERLINK(JobAgolMap&amp;IF(ISNUMBER(FIND("?",JobAgolMap)),"&amp;","?")&amp;"center="&amp;$F411&amp;","&amp;$E411&amp;"&amp;level=16&amp;marker="&amp;$F411&amp;","&amp;$E411,"Open"))</f>
        <v/>
      </c>
      <c r="O411" s="6" t="str">
        <f>IF(OR($E411="",$F411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1" s="4"/>
      <c r="Q411" s="4"/>
      <c r="R411" s="4"/>
      <c r="S411" s="4"/>
      <c r="T411" s="4"/>
      <c r="U411" s="4"/>
      <c r="V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HYPERLINK(IF(OR(JobState="MI",JobState=""),"https://fema.maps.arcgis.com/apps/mapviewer/index.html?webmap=6a1702b9147243d1a5ee62cd614bc681&amp;center="&amp;$F412&amp;","&amp;$E412&amp;"&amp;level=16&amp;marker="&amp;$F412&amp;","&amp;$E412&amp;"",IF(JobState="IN","https://fema.maps.arcgis.com/apps/mapviewer/index.html?url=https%3A%2F%2Fgisdata.in.gov%2Fserver%2Frest%2Fservices%2FHosted%2FLRSE_Functional_Class%2FFeatureServer%2F22&amp;find="&amp;$F412&amp;"%2C"&amp;$E412&amp;"&amp;marker="&amp;$F412&amp;","&amp;$E412&amp;",4326&amp;level=16",IF(JobState="WI","https://fema.maps.arcgis.com/apps/mapviewer/index.html?url=https%3A%2F%2Fservices5.arcgis.com%2F0pgGLzT0Nh7FVjon%2Farcgis%2Frest%2Fservices%2FFFCL_gdb%2FFeatureServer%2F3&amp;find="&amp;$F412&amp;"%2C"&amp;$E412&amp;"&amp;marker="&amp;$F412&amp;","&amp;$E412&amp;",4326&amp;level=16","https://fema.maps.arcgis.com/apps/mapviewer/index.html?find="&amp;$F412&amp;"%2C"&amp;$E412&amp;"&amp;marker="&amp;$F412&amp;","&amp;$E412&amp;",4326&amp;level=16"))),"Open"))</f>
        <v/>
      </c>
      <c r="N412" s="6" t="str">
        <f>IF(OR(JobAgolMap="", $E412="", $F412=""),"",HYPERLINK(JobAgolMap&amp;IF(ISNUMBER(FIND("?",JobAgolMap)),"&amp;","?")&amp;"center="&amp;$F412&amp;","&amp;$E412&amp;"&amp;level=16&amp;marker="&amp;$F412&amp;","&amp;$E412,"Open"))</f>
        <v/>
      </c>
      <c r="O412" s="6" t="str">
        <f>IF(OR($E412="",$F412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2" s="4"/>
      <c r="Q412" s="4"/>
      <c r="R412" s="4"/>
      <c r="S412" s="4"/>
      <c r="T412" s="4"/>
      <c r="U412" s="4"/>
      <c r="V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HYPERLINK(IF(OR(JobState="MI",JobState=""),"https://fema.maps.arcgis.com/apps/mapviewer/index.html?webmap=6a1702b9147243d1a5ee62cd614bc681&amp;center="&amp;$F413&amp;","&amp;$E413&amp;"&amp;level=16&amp;marker="&amp;$F413&amp;","&amp;$E413&amp;"",IF(JobState="IN","https://fema.maps.arcgis.com/apps/mapviewer/index.html?url=https%3A%2F%2Fgisdata.in.gov%2Fserver%2Frest%2Fservices%2FHosted%2FLRSE_Functional_Class%2FFeatureServer%2F22&amp;find="&amp;$F413&amp;"%2C"&amp;$E413&amp;"&amp;marker="&amp;$F413&amp;","&amp;$E413&amp;",4326&amp;level=16",IF(JobState="WI","https://fema.maps.arcgis.com/apps/mapviewer/index.html?url=https%3A%2F%2Fservices5.arcgis.com%2F0pgGLzT0Nh7FVjon%2Farcgis%2Frest%2Fservices%2FFFCL_gdb%2FFeatureServer%2F3&amp;find="&amp;$F413&amp;"%2C"&amp;$E413&amp;"&amp;marker="&amp;$F413&amp;","&amp;$E413&amp;",4326&amp;level=16","https://fema.maps.arcgis.com/apps/mapviewer/index.html?find="&amp;$F413&amp;"%2C"&amp;$E413&amp;"&amp;marker="&amp;$F413&amp;","&amp;$E413&amp;",4326&amp;level=16"))),"Open"))</f>
        <v/>
      </c>
      <c r="N413" s="6" t="str">
        <f>IF(OR(JobAgolMap="", $E413="", $F413=""),"",HYPERLINK(JobAgolMap&amp;IF(ISNUMBER(FIND("?",JobAgolMap)),"&amp;","?")&amp;"center="&amp;$F413&amp;","&amp;$E413&amp;"&amp;level=16&amp;marker="&amp;$F413&amp;","&amp;$E413,"Open"))</f>
        <v/>
      </c>
      <c r="O413" s="6" t="str">
        <f>IF(OR($E413="",$F413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3" s="4"/>
      <c r="Q413" s="4"/>
      <c r="R413" s="4"/>
      <c r="S413" s="4"/>
      <c r="T413" s="4"/>
      <c r="U413" s="4"/>
      <c r="V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HYPERLINK(IF(OR(JobState="MI",JobState=""),"https://fema.maps.arcgis.com/apps/mapviewer/index.html?webmap=6a1702b9147243d1a5ee62cd614bc681&amp;center="&amp;$F414&amp;","&amp;$E414&amp;"&amp;level=16&amp;marker="&amp;$F414&amp;","&amp;$E414&amp;"",IF(JobState="IN","https://fema.maps.arcgis.com/apps/mapviewer/index.html?url=https%3A%2F%2Fgisdata.in.gov%2Fserver%2Frest%2Fservices%2FHosted%2FLRSE_Functional_Class%2FFeatureServer%2F22&amp;find="&amp;$F414&amp;"%2C"&amp;$E414&amp;"&amp;marker="&amp;$F414&amp;","&amp;$E414&amp;",4326&amp;level=16",IF(JobState="WI","https://fema.maps.arcgis.com/apps/mapviewer/index.html?url=https%3A%2F%2Fservices5.arcgis.com%2F0pgGLzT0Nh7FVjon%2Farcgis%2Frest%2Fservices%2FFFCL_gdb%2FFeatureServer%2F3&amp;find="&amp;$F414&amp;"%2C"&amp;$E414&amp;"&amp;marker="&amp;$F414&amp;","&amp;$E414&amp;",4326&amp;level=16","https://fema.maps.arcgis.com/apps/mapviewer/index.html?find="&amp;$F414&amp;"%2C"&amp;$E414&amp;"&amp;marker="&amp;$F414&amp;","&amp;$E414&amp;",4326&amp;level=16"))),"Open"))</f>
        <v/>
      </c>
      <c r="N414" s="6" t="str">
        <f>IF(OR(JobAgolMap="", $E414="", $F414=""),"",HYPERLINK(JobAgolMap&amp;IF(ISNUMBER(FIND("?",JobAgolMap)),"&amp;","?")&amp;"center="&amp;$F414&amp;","&amp;$E414&amp;"&amp;level=16&amp;marker="&amp;$F414&amp;","&amp;$E414,"Open"))</f>
        <v/>
      </c>
      <c r="O414" s="6" t="str">
        <f>IF(OR($E414="",$F414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4" s="4"/>
      <c r="Q414" s="4"/>
      <c r="R414" s="4"/>
      <c r="S414" s="4"/>
      <c r="T414" s="4"/>
      <c r="U414" s="4"/>
      <c r="V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HYPERLINK(IF(OR(JobState="MI",JobState=""),"https://fema.maps.arcgis.com/apps/mapviewer/index.html?webmap=6a1702b9147243d1a5ee62cd614bc681&amp;center="&amp;$F415&amp;","&amp;$E415&amp;"&amp;level=16&amp;marker="&amp;$F415&amp;","&amp;$E415&amp;"",IF(JobState="IN","https://fema.maps.arcgis.com/apps/mapviewer/index.html?url=https%3A%2F%2Fgisdata.in.gov%2Fserver%2Frest%2Fservices%2FHosted%2FLRSE_Functional_Class%2FFeatureServer%2F22&amp;find="&amp;$F415&amp;"%2C"&amp;$E415&amp;"&amp;marker="&amp;$F415&amp;","&amp;$E415&amp;",4326&amp;level=16",IF(JobState="WI","https://fema.maps.arcgis.com/apps/mapviewer/index.html?url=https%3A%2F%2Fservices5.arcgis.com%2F0pgGLzT0Nh7FVjon%2Farcgis%2Frest%2Fservices%2FFFCL_gdb%2FFeatureServer%2F3&amp;find="&amp;$F415&amp;"%2C"&amp;$E415&amp;"&amp;marker="&amp;$F415&amp;","&amp;$E415&amp;",4326&amp;level=16","https://fema.maps.arcgis.com/apps/mapviewer/index.html?find="&amp;$F415&amp;"%2C"&amp;$E415&amp;"&amp;marker="&amp;$F415&amp;","&amp;$E415&amp;",4326&amp;level=16"))),"Open"))</f>
        <v/>
      </c>
      <c r="N415" s="6" t="str">
        <f>IF(OR(JobAgolMap="", $E415="", $F415=""),"",HYPERLINK(JobAgolMap&amp;IF(ISNUMBER(FIND("?",JobAgolMap)),"&amp;","?")&amp;"center="&amp;$F415&amp;","&amp;$E415&amp;"&amp;level=16&amp;marker="&amp;$F415&amp;","&amp;$E415,"Open"))</f>
        <v/>
      </c>
      <c r="O415" s="6" t="str">
        <f>IF(OR($E415="",$F415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5" s="4"/>
      <c r="Q415" s="4"/>
      <c r="R415" s="4"/>
      <c r="S415" s="4"/>
      <c r="T415" s="4"/>
      <c r="U415" s="4"/>
      <c r="V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HYPERLINK(IF(OR(JobState="MI",JobState=""),"https://fema.maps.arcgis.com/apps/mapviewer/index.html?webmap=6a1702b9147243d1a5ee62cd614bc681&amp;center="&amp;$F416&amp;","&amp;$E416&amp;"&amp;level=16&amp;marker="&amp;$F416&amp;","&amp;$E416&amp;"",IF(JobState="IN","https://fema.maps.arcgis.com/apps/mapviewer/index.html?url=https%3A%2F%2Fgisdata.in.gov%2Fserver%2Frest%2Fservices%2FHosted%2FLRSE_Functional_Class%2FFeatureServer%2F22&amp;find="&amp;$F416&amp;"%2C"&amp;$E416&amp;"&amp;marker="&amp;$F416&amp;","&amp;$E416&amp;",4326&amp;level=16",IF(JobState="WI","https://fema.maps.arcgis.com/apps/mapviewer/index.html?url=https%3A%2F%2Fservices5.arcgis.com%2F0pgGLzT0Nh7FVjon%2Farcgis%2Frest%2Fservices%2FFFCL_gdb%2FFeatureServer%2F3&amp;find="&amp;$F416&amp;"%2C"&amp;$E416&amp;"&amp;marker="&amp;$F416&amp;","&amp;$E416&amp;",4326&amp;level=16","https://fema.maps.arcgis.com/apps/mapviewer/index.html?find="&amp;$F416&amp;"%2C"&amp;$E416&amp;"&amp;marker="&amp;$F416&amp;","&amp;$E416&amp;",4326&amp;level=16"))),"Open"))</f>
        <v/>
      </c>
      <c r="N416" s="6" t="str">
        <f>IF(OR(JobAgolMap="", $E416="", $F416=""),"",HYPERLINK(JobAgolMap&amp;IF(ISNUMBER(FIND("?",JobAgolMap)),"&amp;","?")&amp;"center="&amp;$F416&amp;","&amp;$E416&amp;"&amp;level=16&amp;marker="&amp;$F416&amp;","&amp;$E416,"Open"))</f>
        <v/>
      </c>
      <c r="O416" s="6" t="str">
        <f>IF(OR($E416="",$F416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6" s="4"/>
      <c r="Q416" s="4"/>
      <c r="R416" s="4"/>
      <c r="S416" s="4"/>
      <c r="T416" s="4"/>
      <c r="U416" s="4"/>
      <c r="V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HYPERLINK(IF(OR(JobState="MI",JobState=""),"https://fema.maps.arcgis.com/apps/mapviewer/index.html?webmap=6a1702b9147243d1a5ee62cd614bc681&amp;center="&amp;$F417&amp;","&amp;$E417&amp;"&amp;level=16&amp;marker="&amp;$F417&amp;","&amp;$E417&amp;"",IF(JobState="IN","https://fema.maps.arcgis.com/apps/mapviewer/index.html?url=https%3A%2F%2Fgisdata.in.gov%2Fserver%2Frest%2Fservices%2FHosted%2FLRSE_Functional_Class%2FFeatureServer%2F22&amp;find="&amp;$F417&amp;"%2C"&amp;$E417&amp;"&amp;marker="&amp;$F417&amp;","&amp;$E417&amp;",4326&amp;level=16",IF(JobState="WI","https://fema.maps.arcgis.com/apps/mapviewer/index.html?url=https%3A%2F%2Fservices5.arcgis.com%2F0pgGLzT0Nh7FVjon%2Farcgis%2Frest%2Fservices%2FFFCL_gdb%2FFeatureServer%2F3&amp;find="&amp;$F417&amp;"%2C"&amp;$E417&amp;"&amp;marker="&amp;$F417&amp;","&amp;$E417&amp;",4326&amp;level=16","https://fema.maps.arcgis.com/apps/mapviewer/index.html?find="&amp;$F417&amp;"%2C"&amp;$E417&amp;"&amp;marker="&amp;$F417&amp;","&amp;$E417&amp;",4326&amp;level=16"))),"Open"))</f>
        <v/>
      </c>
      <c r="N417" s="6" t="str">
        <f>IF(OR(JobAgolMap="", $E417="", $F417=""),"",HYPERLINK(JobAgolMap&amp;IF(ISNUMBER(FIND("?",JobAgolMap)),"&amp;","?")&amp;"center="&amp;$F417&amp;","&amp;$E417&amp;"&amp;level=16&amp;marker="&amp;$F417&amp;","&amp;$E417,"Open"))</f>
        <v/>
      </c>
      <c r="O417" s="6" t="str">
        <f>IF(OR($E417="",$F417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7" s="4"/>
      <c r="Q417" s="4"/>
      <c r="R417" s="4"/>
      <c r="S417" s="4"/>
      <c r="T417" s="4"/>
      <c r="U417" s="4"/>
      <c r="V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HYPERLINK(IF(OR(JobState="MI",JobState=""),"https://fema.maps.arcgis.com/apps/mapviewer/index.html?webmap=6a1702b9147243d1a5ee62cd614bc681&amp;center="&amp;$F418&amp;","&amp;$E418&amp;"&amp;level=16&amp;marker="&amp;$F418&amp;","&amp;$E418&amp;"",IF(JobState="IN","https://fema.maps.arcgis.com/apps/mapviewer/index.html?url=https%3A%2F%2Fgisdata.in.gov%2Fserver%2Frest%2Fservices%2FHosted%2FLRSE_Functional_Class%2FFeatureServer%2F22&amp;find="&amp;$F418&amp;"%2C"&amp;$E418&amp;"&amp;marker="&amp;$F418&amp;","&amp;$E418&amp;",4326&amp;level=16",IF(JobState="WI","https://fema.maps.arcgis.com/apps/mapviewer/index.html?url=https%3A%2F%2Fservices5.arcgis.com%2F0pgGLzT0Nh7FVjon%2Farcgis%2Frest%2Fservices%2FFFCL_gdb%2FFeatureServer%2F3&amp;find="&amp;$F418&amp;"%2C"&amp;$E418&amp;"&amp;marker="&amp;$F418&amp;","&amp;$E418&amp;",4326&amp;level=16","https://fema.maps.arcgis.com/apps/mapviewer/index.html?find="&amp;$F418&amp;"%2C"&amp;$E418&amp;"&amp;marker="&amp;$F418&amp;","&amp;$E418&amp;",4326&amp;level=16"))),"Open"))</f>
        <v/>
      </c>
      <c r="N418" s="6" t="str">
        <f>IF(OR(JobAgolMap="", $E418="", $F418=""),"",HYPERLINK(JobAgolMap&amp;IF(ISNUMBER(FIND("?",JobAgolMap)),"&amp;","?")&amp;"center="&amp;$F418&amp;","&amp;$E418&amp;"&amp;level=16&amp;marker="&amp;$F418&amp;","&amp;$E418,"Open"))</f>
        <v/>
      </c>
      <c r="O418" s="6" t="str">
        <f>IF(OR($E418="",$F418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8" s="4"/>
      <c r="Q418" s="4"/>
      <c r="R418" s="4"/>
      <c r="S418" s="4"/>
      <c r="T418" s="4"/>
      <c r="U418" s="4"/>
      <c r="V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HYPERLINK(IF(OR(JobState="MI",JobState=""),"https://fema.maps.arcgis.com/apps/mapviewer/index.html?webmap=6a1702b9147243d1a5ee62cd614bc681&amp;center="&amp;$F419&amp;","&amp;$E419&amp;"&amp;level=16&amp;marker="&amp;$F419&amp;","&amp;$E419&amp;"",IF(JobState="IN","https://fema.maps.arcgis.com/apps/mapviewer/index.html?url=https%3A%2F%2Fgisdata.in.gov%2Fserver%2Frest%2Fservices%2FHosted%2FLRSE_Functional_Class%2FFeatureServer%2F22&amp;find="&amp;$F419&amp;"%2C"&amp;$E419&amp;"&amp;marker="&amp;$F419&amp;","&amp;$E419&amp;",4326&amp;level=16",IF(JobState="WI","https://fema.maps.arcgis.com/apps/mapviewer/index.html?url=https%3A%2F%2Fservices5.arcgis.com%2F0pgGLzT0Nh7FVjon%2Farcgis%2Frest%2Fservices%2FFFCL_gdb%2FFeatureServer%2F3&amp;find="&amp;$F419&amp;"%2C"&amp;$E419&amp;"&amp;marker="&amp;$F419&amp;","&amp;$E419&amp;",4326&amp;level=16","https://fema.maps.arcgis.com/apps/mapviewer/index.html?find="&amp;$F419&amp;"%2C"&amp;$E419&amp;"&amp;marker="&amp;$F419&amp;","&amp;$E419&amp;",4326&amp;level=16"))),"Open"))</f>
        <v/>
      </c>
      <c r="N419" s="6" t="str">
        <f>IF(OR(JobAgolMap="", $E419="", $F419=""),"",HYPERLINK(JobAgolMap&amp;IF(ISNUMBER(FIND("?",JobAgolMap)),"&amp;","?")&amp;"center="&amp;$F419&amp;","&amp;$E419&amp;"&amp;level=16&amp;marker="&amp;$F419&amp;","&amp;$E419,"Open"))</f>
        <v/>
      </c>
      <c r="O419" s="6" t="str">
        <f>IF(OR($E419="",$F419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9" s="4"/>
      <c r="Q419" s="4"/>
      <c r="R419" s="4"/>
      <c r="S419" s="4"/>
      <c r="T419" s="4"/>
      <c r="U419" s="4"/>
      <c r="V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HYPERLINK(IF(OR(JobState="MI",JobState=""),"https://fema.maps.arcgis.com/apps/mapviewer/index.html?webmap=6a1702b9147243d1a5ee62cd614bc681&amp;center="&amp;$F420&amp;","&amp;$E420&amp;"&amp;level=16&amp;marker="&amp;$F420&amp;","&amp;$E420&amp;"",IF(JobState="IN","https://fema.maps.arcgis.com/apps/mapviewer/index.html?url=https%3A%2F%2Fgisdata.in.gov%2Fserver%2Frest%2Fservices%2FHosted%2FLRSE_Functional_Class%2FFeatureServer%2F22&amp;find="&amp;$F420&amp;"%2C"&amp;$E420&amp;"&amp;marker="&amp;$F420&amp;","&amp;$E420&amp;",4326&amp;level=16",IF(JobState="WI","https://fema.maps.arcgis.com/apps/mapviewer/index.html?url=https%3A%2F%2Fservices5.arcgis.com%2F0pgGLzT0Nh7FVjon%2Farcgis%2Frest%2Fservices%2FFFCL_gdb%2FFeatureServer%2F3&amp;find="&amp;$F420&amp;"%2C"&amp;$E420&amp;"&amp;marker="&amp;$F420&amp;","&amp;$E420&amp;",4326&amp;level=16","https://fema.maps.arcgis.com/apps/mapviewer/index.html?find="&amp;$F420&amp;"%2C"&amp;$E420&amp;"&amp;marker="&amp;$F420&amp;","&amp;$E420&amp;",4326&amp;level=16"))),"Open"))</f>
        <v/>
      </c>
      <c r="N420" s="6" t="str">
        <f>IF(OR(JobAgolMap="", $E420="", $F420=""),"",HYPERLINK(JobAgolMap&amp;IF(ISNUMBER(FIND("?",JobAgolMap)),"&amp;","?")&amp;"center="&amp;$F420&amp;","&amp;$E420&amp;"&amp;level=16&amp;marker="&amp;$F420&amp;","&amp;$E420,"Open"))</f>
        <v/>
      </c>
      <c r="O420" s="6" t="str">
        <f>IF(OR($E420="",$F420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0" s="4"/>
      <c r="Q420" s="4"/>
      <c r="R420" s="4"/>
      <c r="S420" s="4"/>
      <c r="T420" s="4"/>
      <c r="U420" s="4"/>
      <c r="V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HYPERLINK(IF(OR(JobState="MI",JobState=""),"https://fema.maps.arcgis.com/apps/mapviewer/index.html?webmap=6a1702b9147243d1a5ee62cd614bc681&amp;center="&amp;$F421&amp;","&amp;$E421&amp;"&amp;level=16&amp;marker="&amp;$F421&amp;","&amp;$E421&amp;"",IF(JobState="IN","https://fema.maps.arcgis.com/apps/mapviewer/index.html?url=https%3A%2F%2Fgisdata.in.gov%2Fserver%2Frest%2Fservices%2FHosted%2FLRSE_Functional_Class%2FFeatureServer%2F22&amp;find="&amp;$F421&amp;"%2C"&amp;$E421&amp;"&amp;marker="&amp;$F421&amp;","&amp;$E421&amp;",4326&amp;level=16",IF(JobState="WI","https://fema.maps.arcgis.com/apps/mapviewer/index.html?url=https%3A%2F%2Fservices5.arcgis.com%2F0pgGLzT0Nh7FVjon%2Farcgis%2Frest%2Fservices%2FFFCL_gdb%2FFeatureServer%2F3&amp;find="&amp;$F421&amp;"%2C"&amp;$E421&amp;"&amp;marker="&amp;$F421&amp;","&amp;$E421&amp;",4326&amp;level=16","https://fema.maps.arcgis.com/apps/mapviewer/index.html?find="&amp;$F421&amp;"%2C"&amp;$E421&amp;"&amp;marker="&amp;$F421&amp;","&amp;$E421&amp;",4326&amp;level=16"))),"Open"))</f>
        <v/>
      </c>
      <c r="N421" s="6" t="str">
        <f>IF(OR(JobAgolMap="", $E421="", $F421=""),"",HYPERLINK(JobAgolMap&amp;IF(ISNUMBER(FIND("?",JobAgolMap)),"&amp;","?")&amp;"center="&amp;$F421&amp;","&amp;$E421&amp;"&amp;level=16&amp;marker="&amp;$F421&amp;","&amp;$E421,"Open"))</f>
        <v/>
      </c>
      <c r="O421" s="6" t="str">
        <f>IF(OR($E421="",$F421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1" s="4"/>
      <c r="Q421" s="4"/>
      <c r="R421" s="4"/>
      <c r="S421" s="4"/>
      <c r="T421" s="4"/>
      <c r="U421" s="4"/>
      <c r="V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HYPERLINK(IF(OR(JobState="MI",JobState=""),"https://fema.maps.arcgis.com/apps/mapviewer/index.html?webmap=6a1702b9147243d1a5ee62cd614bc681&amp;center="&amp;$F422&amp;","&amp;$E422&amp;"&amp;level=16&amp;marker="&amp;$F422&amp;","&amp;$E422&amp;"",IF(JobState="IN","https://fema.maps.arcgis.com/apps/mapviewer/index.html?url=https%3A%2F%2Fgisdata.in.gov%2Fserver%2Frest%2Fservices%2FHosted%2FLRSE_Functional_Class%2FFeatureServer%2F22&amp;find="&amp;$F422&amp;"%2C"&amp;$E422&amp;"&amp;marker="&amp;$F422&amp;","&amp;$E422&amp;",4326&amp;level=16",IF(JobState="WI","https://fema.maps.arcgis.com/apps/mapviewer/index.html?url=https%3A%2F%2Fservices5.arcgis.com%2F0pgGLzT0Nh7FVjon%2Farcgis%2Frest%2Fservices%2FFFCL_gdb%2FFeatureServer%2F3&amp;find="&amp;$F422&amp;"%2C"&amp;$E422&amp;"&amp;marker="&amp;$F422&amp;","&amp;$E422&amp;",4326&amp;level=16","https://fema.maps.arcgis.com/apps/mapviewer/index.html?find="&amp;$F422&amp;"%2C"&amp;$E422&amp;"&amp;marker="&amp;$F422&amp;","&amp;$E422&amp;",4326&amp;level=16"))),"Open"))</f>
        <v/>
      </c>
      <c r="N422" s="6" t="str">
        <f>IF(OR(JobAgolMap="", $E422="", $F422=""),"",HYPERLINK(JobAgolMap&amp;IF(ISNUMBER(FIND("?",JobAgolMap)),"&amp;","?")&amp;"center="&amp;$F422&amp;","&amp;$E422&amp;"&amp;level=16&amp;marker="&amp;$F422&amp;","&amp;$E422,"Open"))</f>
        <v/>
      </c>
      <c r="O422" s="6" t="str">
        <f>IF(OR($E422="",$F422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2" s="4"/>
      <c r="Q422" s="4"/>
      <c r="R422" s="4"/>
      <c r="S422" s="4"/>
      <c r="T422" s="4"/>
      <c r="U422" s="4"/>
      <c r="V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HYPERLINK(IF(OR(JobState="MI",JobState=""),"https://fema.maps.arcgis.com/apps/mapviewer/index.html?webmap=6a1702b9147243d1a5ee62cd614bc681&amp;center="&amp;$F423&amp;","&amp;$E423&amp;"&amp;level=16&amp;marker="&amp;$F423&amp;","&amp;$E423&amp;"",IF(JobState="IN","https://fema.maps.arcgis.com/apps/mapviewer/index.html?url=https%3A%2F%2Fgisdata.in.gov%2Fserver%2Frest%2Fservices%2FHosted%2FLRSE_Functional_Class%2FFeatureServer%2F22&amp;find="&amp;$F423&amp;"%2C"&amp;$E423&amp;"&amp;marker="&amp;$F423&amp;","&amp;$E423&amp;",4326&amp;level=16",IF(JobState="WI","https://fema.maps.arcgis.com/apps/mapviewer/index.html?url=https%3A%2F%2Fservices5.arcgis.com%2F0pgGLzT0Nh7FVjon%2Farcgis%2Frest%2Fservices%2FFFCL_gdb%2FFeatureServer%2F3&amp;find="&amp;$F423&amp;"%2C"&amp;$E423&amp;"&amp;marker="&amp;$F423&amp;","&amp;$E423&amp;",4326&amp;level=16","https://fema.maps.arcgis.com/apps/mapviewer/index.html?find="&amp;$F423&amp;"%2C"&amp;$E423&amp;"&amp;marker="&amp;$F423&amp;","&amp;$E423&amp;",4326&amp;level=16"))),"Open"))</f>
        <v/>
      </c>
      <c r="N423" s="6" t="str">
        <f>IF(OR(JobAgolMap="", $E423="", $F423=""),"",HYPERLINK(JobAgolMap&amp;IF(ISNUMBER(FIND("?",JobAgolMap)),"&amp;","?")&amp;"center="&amp;$F423&amp;","&amp;$E423&amp;"&amp;level=16&amp;marker="&amp;$F423&amp;","&amp;$E423,"Open"))</f>
        <v/>
      </c>
      <c r="O423" s="6" t="str">
        <f>IF(OR($E423="",$F423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3" s="4"/>
      <c r="Q423" s="4"/>
      <c r="R423" s="4"/>
      <c r="S423" s="4"/>
      <c r="T423" s="4"/>
      <c r="U423" s="4"/>
      <c r="V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HYPERLINK(IF(OR(JobState="MI",JobState=""),"https://fema.maps.arcgis.com/apps/mapviewer/index.html?webmap=6a1702b9147243d1a5ee62cd614bc681&amp;center="&amp;$F424&amp;","&amp;$E424&amp;"&amp;level=16&amp;marker="&amp;$F424&amp;","&amp;$E424&amp;"",IF(JobState="IN","https://fema.maps.arcgis.com/apps/mapviewer/index.html?url=https%3A%2F%2Fgisdata.in.gov%2Fserver%2Frest%2Fservices%2FHosted%2FLRSE_Functional_Class%2FFeatureServer%2F22&amp;find="&amp;$F424&amp;"%2C"&amp;$E424&amp;"&amp;marker="&amp;$F424&amp;","&amp;$E424&amp;",4326&amp;level=16",IF(JobState="WI","https://fema.maps.arcgis.com/apps/mapviewer/index.html?url=https%3A%2F%2Fservices5.arcgis.com%2F0pgGLzT0Nh7FVjon%2Farcgis%2Frest%2Fservices%2FFFCL_gdb%2FFeatureServer%2F3&amp;find="&amp;$F424&amp;"%2C"&amp;$E424&amp;"&amp;marker="&amp;$F424&amp;","&amp;$E424&amp;",4326&amp;level=16","https://fema.maps.arcgis.com/apps/mapviewer/index.html?find="&amp;$F424&amp;"%2C"&amp;$E424&amp;"&amp;marker="&amp;$F424&amp;","&amp;$E424&amp;",4326&amp;level=16"))),"Open"))</f>
        <v/>
      </c>
      <c r="N424" s="6" t="str">
        <f>IF(OR(JobAgolMap="", $E424="", $F424=""),"",HYPERLINK(JobAgolMap&amp;IF(ISNUMBER(FIND("?",JobAgolMap)),"&amp;","?")&amp;"center="&amp;$F424&amp;","&amp;$E424&amp;"&amp;level=16&amp;marker="&amp;$F424&amp;","&amp;$E424,"Open"))</f>
        <v/>
      </c>
      <c r="O424" s="6" t="str">
        <f>IF(OR($E424="",$F424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4" s="4"/>
      <c r="Q424" s="4"/>
      <c r="R424" s="4"/>
      <c r="S424" s="4"/>
      <c r="T424" s="4"/>
      <c r="U424" s="4"/>
      <c r="V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HYPERLINK(IF(OR(JobState="MI",JobState=""),"https://fema.maps.arcgis.com/apps/mapviewer/index.html?webmap=6a1702b9147243d1a5ee62cd614bc681&amp;center="&amp;$F425&amp;","&amp;$E425&amp;"&amp;level=16&amp;marker="&amp;$F425&amp;","&amp;$E425&amp;"",IF(JobState="IN","https://fema.maps.arcgis.com/apps/mapviewer/index.html?url=https%3A%2F%2Fgisdata.in.gov%2Fserver%2Frest%2Fservices%2FHosted%2FLRSE_Functional_Class%2FFeatureServer%2F22&amp;find="&amp;$F425&amp;"%2C"&amp;$E425&amp;"&amp;marker="&amp;$F425&amp;","&amp;$E425&amp;",4326&amp;level=16",IF(JobState="WI","https://fema.maps.arcgis.com/apps/mapviewer/index.html?url=https%3A%2F%2Fservices5.arcgis.com%2F0pgGLzT0Nh7FVjon%2Farcgis%2Frest%2Fservices%2FFFCL_gdb%2FFeatureServer%2F3&amp;find="&amp;$F425&amp;"%2C"&amp;$E425&amp;"&amp;marker="&amp;$F425&amp;","&amp;$E425&amp;",4326&amp;level=16","https://fema.maps.arcgis.com/apps/mapviewer/index.html?find="&amp;$F425&amp;"%2C"&amp;$E425&amp;"&amp;marker="&amp;$F425&amp;","&amp;$E425&amp;",4326&amp;level=16"))),"Open"))</f>
        <v/>
      </c>
      <c r="N425" s="6" t="str">
        <f>IF(OR(JobAgolMap="", $E425="", $F425=""),"",HYPERLINK(JobAgolMap&amp;IF(ISNUMBER(FIND("?",JobAgolMap)),"&amp;","?")&amp;"center="&amp;$F425&amp;","&amp;$E425&amp;"&amp;level=16&amp;marker="&amp;$F425&amp;","&amp;$E425,"Open"))</f>
        <v/>
      </c>
      <c r="O425" s="6" t="str">
        <f>IF(OR($E425="",$F425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5" s="4"/>
      <c r="Q425" s="4"/>
      <c r="R425" s="4"/>
      <c r="S425" s="4"/>
      <c r="T425" s="4"/>
      <c r="U425" s="4"/>
      <c r="V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HYPERLINK(IF(OR(JobState="MI",JobState=""),"https://fema.maps.arcgis.com/apps/mapviewer/index.html?webmap=6a1702b9147243d1a5ee62cd614bc681&amp;center="&amp;$F426&amp;","&amp;$E426&amp;"&amp;level=16&amp;marker="&amp;$F426&amp;","&amp;$E426&amp;"",IF(JobState="IN","https://fema.maps.arcgis.com/apps/mapviewer/index.html?url=https%3A%2F%2Fgisdata.in.gov%2Fserver%2Frest%2Fservices%2FHosted%2FLRSE_Functional_Class%2FFeatureServer%2F22&amp;find="&amp;$F426&amp;"%2C"&amp;$E426&amp;"&amp;marker="&amp;$F426&amp;","&amp;$E426&amp;",4326&amp;level=16",IF(JobState="WI","https://fema.maps.arcgis.com/apps/mapviewer/index.html?url=https%3A%2F%2Fservices5.arcgis.com%2F0pgGLzT0Nh7FVjon%2Farcgis%2Frest%2Fservices%2FFFCL_gdb%2FFeatureServer%2F3&amp;find="&amp;$F426&amp;"%2C"&amp;$E426&amp;"&amp;marker="&amp;$F426&amp;","&amp;$E426&amp;",4326&amp;level=16","https://fema.maps.arcgis.com/apps/mapviewer/index.html?find="&amp;$F426&amp;"%2C"&amp;$E426&amp;"&amp;marker="&amp;$F426&amp;","&amp;$E426&amp;",4326&amp;level=16"))),"Open"))</f>
        <v/>
      </c>
      <c r="N426" s="6" t="str">
        <f>IF(OR(JobAgolMap="", $E426="", $F426=""),"",HYPERLINK(JobAgolMap&amp;IF(ISNUMBER(FIND("?",JobAgolMap)),"&amp;","?")&amp;"center="&amp;$F426&amp;","&amp;$E426&amp;"&amp;level=16&amp;marker="&amp;$F426&amp;","&amp;$E426,"Open"))</f>
        <v/>
      </c>
      <c r="O426" s="6" t="str">
        <f>IF(OR($E426="",$F426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6" s="4"/>
      <c r="Q426" s="4"/>
      <c r="R426" s="4"/>
      <c r="S426" s="4"/>
      <c r="T426" s="4"/>
      <c r="U426" s="4"/>
      <c r="V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HYPERLINK(IF(OR(JobState="MI",JobState=""),"https://fema.maps.arcgis.com/apps/mapviewer/index.html?webmap=6a1702b9147243d1a5ee62cd614bc681&amp;center="&amp;$F427&amp;","&amp;$E427&amp;"&amp;level=16&amp;marker="&amp;$F427&amp;","&amp;$E427&amp;"",IF(JobState="IN","https://fema.maps.arcgis.com/apps/mapviewer/index.html?url=https%3A%2F%2Fgisdata.in.gov%2Fserver%2Frest%2Fservices%2FHosted%2FLRSE_Functional_Class%2FFeatureServer%2F22&amp;find="&amp;$F427&amp;"%2C"&amp;$E427&amp;"&amp;marker="&amp;$F427&amp;","&amp;$E427&amp;",4326&amp;level=16",IF(JobState="WI","https://fema.maps.arcgis.com/apps/mapviewer/index.html?url=https%3A%2F%2Fservices5.arcgis.com%2F0pgGLzT0Nh7FVjon%2Farcgis%2Frest%2Fservices%2FFFCL_gdb%2FFeatureServer%2F3&amp;find="&amp;$F427&amp;"%2C"&amp;$E427&amp;"&amp;marker="&amp;$F427&amp;","&amp;$E427&amp;",4326&amp;level=16","https://fema.maps.arcgis.com/apps/mapviewer/index.html?find="&amp;$F427&amp;"%2C"&amp;$E427&amp;"&amp;marker="&amp;$F427&amp;","&amp;$E427&amp;",4326&amp;level=16"))),"Open"))</f>
        <v/>
      </c>
      <c r="N427" s="6" t="str">
        <f>IF(OR(JobAgolMap="", $E427="", $F427=""),"",HYPERLINK(JobAgolMap&amp;IF(ISNUMBER(FIND("?",JobAgolMap)),"&amp;","?")&amp;"center="&amp;$F427&amp;","&amp;$E427&amp;"&amp;level=16&amp;marker="&amp;$F427&amp;","&amp;$E427,"Open"))</f>
        <v/>
      </c>
      <c r="O427" s="6" t="str">
        <f>IF(OR($E427="",$F427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7" s="4"/>
      <c r="Q427" s="4"/>
      <c r="R427" s="4"/>
      <c r="S427" s="4"/>
      <c r="T427" s="4"/>
      <c r="U427" s="4"/>
      <c r="V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HYPERLINK(IF(OR(JobState="MI",JobState=""),"https://fema.maps.arcgis.com/apps/mapviewer/index.html?webmap=6a1702b9147243d1a5ee62cd614bc681&amp;center="&amp;$F428&amp;","&amp;$E428&amp;"&amp;level=16&amp;marker="&amp;$F428&amp;","&amp;$E428&amp;"",IF(JobState="IN","https://fema.maps.arcgis.com/apps/mapviewer/index.html?url=https%3A%2F%2Fgisdata.in.gov%2Fserver%2Frest%2Fservices%2FHosted%2FLRSE_Functional_Class%2FFeatureServer%2F22&amp;find="&amp;$F428&amp;"%2C"&amp;$E428&amp;"&amp;marker="&amp;$F428&amp;","&amp;$E428&amp;",4326&amp;level=16",IF(JobState="WI","https://fema.maps.arcgis.com/apps/mapviewer/index.html?url=https%3A%2F%2Fservices5.arcgis.com%2F0pgGLzT0Nh7FVjon%2Farcgis%2Frest%2Fservices%2FFFCL_gdb%2FFeatureServer%2F3&amp;find="&amp;$F428&amp;"%2C"&amp;$E428&amp;"&amp;marker="&amp;$F428&amp;","&amp;$E428&amp;",4326&amp;level=16","https://fema.maps.arcgis.com/apps/mapviewer/index.html?find="&amp;$F428&amp;"%2C"&amp;$E428&amp;"&amp;marker="&amp;$F428&amp;","&amp;$E428&amp;",4326&amp;level=16"))),"Open"))</f>
        <v/>
      </c>
      <c r="N428" s="6" t="str">
        <f>IF(OR(JobAgolMap="", $E428="", $F428=""),"",HYPERLINK(JobAgolMap&amp;IF(ISNUMBER(FIND("?",JobAgolMap)),"&amp;","?")&amp;"center="&amp;$F428&amp;","&amp;$E428&amp;"&amp;level=16&amp;marker="&amp;$F428&amp;","&amp;$E428,"Open"))</f>
        <v/>
      </c>
      <c r="O428" s="6" t="str">
        <f>IF(OR($E428="",$F428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8" s="4"/>
      <c r="Q428" s="4"/>
      <c r="R428" s="4"/>
      <c r="S428" s="4"/>
      <c r="T428" s="4"/>
      <c r="U428" s="4"/>
      <c r="V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HYPERLINK(IF(OR(JobState="MI",JobState=""),"https://fema.maps.arcgis.com/apps/mapviewer/index.html?webmap=6a1702b9147243d1a5ee62cd614bc681&amp;center="&amp;$F429&amp;","&amp;$E429&amp;"&amp;level=16&amp;marker="&amp;$F429&amp;","&amp;$E429&amp;"",IF(JobState="IN","https://fema.maps.arcgis.com/apps/mapviewer/index.html?url=https%3A%2F%2Fgisdata.in.gov%2Fserver%2Frest%2Fservices%2FHosted%2FLRSE_Functional_Class%2FFeatureServer%2F22&amp;find="&amp;$F429&amp;"%2C"&amp;$E429&amp;"&amp;marker="&amp;$F429&amp;","&amp;$E429&amp;",4326&amp;level=16",IF(JobState="WI","https://fema.maps.arcgis.com/apps/mapviewer/index.html?url=https%3A%2F%2Fservices5.arcgis.com%2F0pgGLzT0Nh7FVjon%2Farcgis%2Frest%2Fservices%2FFFCL_gdb%2FFeatureServer%2F3&amp;find="&amp;$F429&amp;"%2C"&amp;$E429&amp;"&amp;marker="&amp;$F429&amp;","&amp;$E429&amp;",4326&amp;level=16","https://fema.maps.arcgis.com/apps/mapviewer/index.html?find="&amp;$F429&amp;"%2C"&amp;$E429&amp;"&amp;marker="&amp;$F429&amp;","&amp;$E429&amp;",4326&amp;level=16"))),"Open"))</f>
        <v/>
      </c>
      <c r="N429" s="6" t="str">
        <f>IF(OR(JobAgolMap="", $E429="", $F429=""),"",HYPERLINK(JobAgolMap&amp;IF(ISNUMBER(FIND("?",JobAgolMap)),"&amp;","?")&amp;"center="&amp;$F429&amp;","&amp;$E429&amp;"&amp;level=16&amp;marker="&amp;$F429&amp;","&amp;$E429,"Open"))</f>
        <v/>
      </c>
      <c r="O429" s="6" t="str">
        <f>IF(OR($E429="",$F429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9" s="4"/>
      <c r="Q429" s="4"/>
      <c r="R429" s="4"/>
      <c r="S429" s="4"/>
      <c r="T429" s="4"/>
      <c r="U429" s="4"/>
      <c r="V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HYPERLINK(IF(OR(JobState="MI",JobState=""),"https://fema.maps.arcgis.com/apps/mapviewer/index.html?webmap=6a1702b9147243d1a5ee62cd614bc681&amp;center="&amp;$F430&amp;","&amp;$E430&amp;"&amp;level=16&amp;marker="&amp;$F430&amp;","&amp;$E430&amp;"",IF(JobState="IN","https://fema.maps.arcgis.com/apps/mapviewer/index.html?url=https%3A%2F%2Fgisdata.in.gov%2Fserver%2Frest%2Fservices%2FHosted%2FLRSE_Functional_Class%2FFeatureServer%2F22&amp;find="&amp;$F430&amp;"%2C"&amp;$E430&amp;"&amp;marker="&amp;$F430&amp;","&amp;$E430&amp;",4326&amp;level=16",IF(JobState="WI","https://fema.maps.arcgis.com/apps/mapviewer/index.html?url=https%3A%2F%2Fservices5.arcgis.com%2F0pgGLzT0Nh7FVjon%2Farcgis%2Frest%2Fservices%2FFFCL_gdb%2FFeatureServer%2F3&amp;find="&amp;$F430&amp;"%2C"&amp;$E430&amp;"&amp;marker="&amp;$F430&amp;","&amp;$E430&amp;",4326&amp;level=16","https://fema.maps.arcgis.com/apps/mapviewer/index.html?find="&amp;$F430&amp;"%2C"&amp;$E430&amp;"&amp;marker="&amp;$F430&amp;","&amp;$E430&amp;",4326&amp;level=16"))),"Open"))</f>
        <v/>
      </c>
      <c r="N430" s="6" t="str">
        <f>IF(OR(JobAgolMap="", $E430="", $F430=""),"",HYPERLINK(JobAgolMap&amp;IF(ISNUMBER(FIND("?",JobAgolMap)),"&amp;","?")&amp;"center="&amp;$F430&amp;","&amp;$E430&amp;"&amp;level=16&amp;marker="&amp;$F430&amp;","&amp;$E430,"Open"))</f>
        <v/>
      </c>
      <c r="O430" s="6" t="str">
        <f>IF(OR($E430="",$F430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0" s="4"/>
      <c r="Q430" s="4"/>
      <c r="R430" s="4"/>
      <c r="S430" s="4"/>
      <c r="T430" s="4"/>
      <c r="U430" s="4"/>
      <c r="V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HYPERLINK(IF(OR(JobState="MI",JobState=""),"https://fema.maps.arcgis.com/apps/mapviewer/index.html?webmap=6a1702b9147243d1a5ee62cd614bc681&amp;center="&amp;$F431&amp;","&amp;$E431&amp;"&amp;level=16&amp;marker="&amp;$F431&amp;","&amp;$E431&amp;"",IF(JobState="IN","https://fema.maps.arcgis.com/apps/mapviewer/index.html?url=https%3A%2F%2Fgisdata.in.gov%2Fserver%2Frest%2Fservices%2FHosted%2FLRSE_Functional_Class%2FFeatureServer%2F22&amp;find="&amp;$F431&amp;"%2C"&amp;$E431&amp;"&amp;marker="&amp;$F431&amp;","&amp;$E431&amp;",4326&amp;level=16",IF(JobState="WI","https://fema.maps.arcgis.com/apps/mapviewer/index.html?url=https%3A%2F%2Fservices5.arcgis.com%2F0pgGLzT0Nh7FVjon%2Farcgis%2Frest%2Fservices%2FFFCL_gdb%2FFeatureServer%2F3&amp;find="&amp;$F431&amp;"%2C"&amp;$E431&amp;"&amp;marker="&amp;$F431&amp;","&amp;$E431&amp;",4326&amp;level=16","https://fema.maps.arcgis.com/apps/mapviewer/index.html?find="&amp;$F431&amp;"%2C"&amp;$E431&amp;"&amp;marker="&amp;$F431&amp;","&amp;$E431&amp;",4326&amp;level=16"))),"Open"))</f>
        <v/>
      </c>
      <c r="N431" s="6" t="str">
        <f>IF(OR(JobAgolMap="", $E431="", $F431=""),"",HYPERLINK(JobAgolMap&amp;IF(ISNUMBER(FIND("?",JobAgolMap)),"&amp;","?")&amp;"center="&amp;$F431&amp;","&amp;$E431&amp;"&amp;level=16&amp;marker="&amp;$F431&amp;","&amp;$E431,"Open"))</f>
        <v/>
      </c>
      <c r="O431" s="6" t="str">
        <f>IF(OR($E431="",$F431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1" s="4"/>
      <c r="Q431" s="4"/>
      <c r="R431" s="4"/>
      <c r="S431" s="4"/>
      <c r="T431" s="4"/>
      <c r="U431" s="4"/>
      <c r="V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HYPERLINK(IF(OR(JobState="MI",JobState=""),"https://fema.maps.arcgis.com/apps/mapviewer/index.html?webmap=6a1702b9147243d1a5ee62cd614bc681&amp;center="&amp;$F432&amp;","&amp;$E432&amp;"&amp;level=16&amp;marker="&amp;$F432&amp;","&amp;$E432&amp;"",IF(JobState="IN","https://fema.maps.arcgis.com/apps/mapviewer/index.html?url=https%3A%2F%2Fgisdata.in.gov%2Fserver%2Frest%2Fservices%2FHosted%2FLRSE_Functional_Class%2FFeatureServer%2F22&amp;find="&amp;$F432&amp;"%2C"&amp;$E432&amp;"&amp;marker="&amp;$F432&amp;","&amp;$E432&amp;",4326&amp;level=16",IF(JobState="WI","https://fema.maps.arcgis.com/apps/mapviewer/index.html?url=https%3A%2F%2Fservices5.arcgis.com%2F0pgGLzT0Nh7FVjon%2Farcgis%2Frest%2Fservices%2FFFCL_gdb%2FFeatureServer%2F3&amp;find="&amp;$F432&amp;"%2C"&amp;$E432&amp;"&amp;marker="&amp;$F432&amp;","&amp;$E432&amp;",4326&amp;level=16","https://fema.maps.arcgis.com/apps/mapviewer/index.html?find="&amp;$F432&amp;"%2C"&amp;$E432&amp;"&amp;marker="&amp;$F432&amp;","&amp;$E432&amp;",4326&amp;level=16"))),"Open"))</f>
        <v/>
      </c>
      <c r="N432" s="6" t="str">
        <f>IF(OR(JobAgolMap="", $E432="", $F432=""),"",HYPERLINK(JobAgolMap&amp;IF(ISNUMBER(FIND("?",JobAgolMap)),"&amp;","?")&amp;"center="&amp;$F432&amp;","&amp;$E432&amp;"&amp;level=16&amp;marker="&amp;$F432&amp;","&amp;$E432,"Open"))</f>
        <v/>
      </c>
      <c r="O432" s="6" t="str">
        <f>IF(OR($E432="",$F432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2" s="4"/>
      <c r="Q432" s="4"/>
      <c r="R432" s="4"/>
      <c r="S432" s="4"/>
      <c r="T432" s="4"/>
      <c r="U432" s="4"/>
      <c r="V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HYPERLINK(IF(OR(JobState="MI",JobState=""),"https://fema.maps.arcgis.com/apps/mapviewer/index.html?webmap=6a1702b9147243d1a5ee62cd614bc681&amp;center="&amp;$F433&amp;","&amp;$E433&amp;"&amp;level=16&amp;marker="&amp;$F433&amp;","&amp;$E433&amp;"",IF(JobState="IN","https://fema.maps.arcgis.com/apps/mapviewer/index.html?url=https%3A%2F%2Fgisdata.in.gov%2Fserver%2Frest%2Fservices%2FHosted%2FLRSE_Functional_Class%2FFeatureServer%2F22&amp;find="&amp;$F433&amp;"%2C"&amp;$E433&amp;"&amp;marker="&amp;$F433&amp;","&amp;$E433&amp;",4326&amp;level=16",IF(JobState="WI","https://fema.maps.arcgis.com/apps/mapviewer/index.html?url=https%3A%2F%2Fservices5.arcgis.com%2F0pgGLzT0Nh7FVjon%2Farcgis%2Frest%2Fservices%2FFFCL_gdb%2FFeatureServer%2F3&amp;find="&amp;$F433&amp;"%2C"&amp;$E433&amp;"&amp;marker="&amp;$F433&amp;","&amp;$E433&amp;",4326&amp;level=16","https://fema.maps.arcgis.com/apps/mapviewer/index.html?find="&amp;$F433&amp;"%2C"&amp;$E433&amp;"&amp;marker="&amp;$F433&amp;","&amp;$E433&amp;",4326&amp;level=16"))),"Open"))</f>
        <v/>
      </c>
      <c r="N433" s="6" t="str">
        <f>IF(OR(JobAgolMap="", $E433="", $F433=""),"",HYPERLINK(JobAgolMap&amp;IF(ISNUMBER(FIND("?",JobAgolMap)),"&amp;","?")&amp;"center="&amp;$F433&amp;","&amp;$E433&amp;"&amp;level=16&amp;marker="&amp;$F433&amp;","&amp;$E433,"Open"))</f>
        <v/>
      </c>
      <c r="O433" s="6" t="str">
        <f>IF(OR($E433="",$F433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3" s="4"/>
      <c r="Q433" s="4"/>
      <c r="R433" s="4"/>
      <c r="S433" s="4"/>
      <c r="T433" s="4"/>
      <c r="U433" s="4"/>
      <c r="V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HYPERLINK(IF(OR(JobState="MI",JobState=""),"https://fema.maps.arcgis.com/apps/mapviewer/index.html?webmap=6a1702b9147243d1a5ee62cd614bc681&amp;center="&amp;$F434&amp;","&amp;$E434&amp;"&amp;level=16&amp;marker="&amp;$F434&amp;","&amp;$E434&amp;"",IF(JobState="IN","https://fema.maps.arcgis.com/apps/mapviewer/index.html?url=https%3A%2F%2Fgisdata.in.gov%2Fserver%2Frest%2Fservices%2FHosted%2FLRSE_Functional_Class%2FFeatureServer%2F22&amp;find="&amp;$F434&amp;"%2C"&amp;$E434&amp;"&amp;marker="&amp;$F434&amp;","&amp;$E434&amp;",4326&amp;level=16",IF(JobState="WI","https://fema.maps.arcgis.com/apps/mapviewer/index.html?url=https%3A%2F%2Fservices5.arcgis.com%2F0pgGLzT0Nh7FVjon%2Farcgis%2Frest%2Fservices%2FFFCL_gdb%2FFeatureServer%2F3&amp;find="&amp;$F434&amp;"%2C"&amp;$E434&amp;"&amp;marker="&amp;$F434&amp;","&amp;$E434&amp;",4326&amp;level=16","https://fema.maps.arcgis.com/apps/mapviewer/index.html?find="&amp;$F434&amp;"%2C"&amp;$E434&amp;"&amp;marker="&amp;$F434&amp;","&amp;$E434&amp;",4326&amp;level=16"))),"Open"))</f>
        <v/>
      </c>
      <c r="N434" s="6" t="str">
        <f>IF(OR(JobAgolMap="", $E434="", $F434=""),"",HYPERLINK(JobAgolMap&amp;IF(ISNUMBER(FIND("?",JobAgolMap)),"&amp;","?")&amp;"center="&amp;$F434&amp;","&amp;$E434&amp;"&amp;level=16&amp;marker="&amp;$F434&amp;","&amp;$E434,"Open"))</f>
        <v/>
      </c>
      <c r="O434" s="6" t="str">
        <f>IF(OR($E434="",$F434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4" s="4"/>
      <c r="Q434" s="4"/>
      <c r="R434" s="4"/>
      <c r="S434" s="4"/>
      <c r="T434" s="4"/>
      <c r="U434" s="4"/>
      <c r="V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HYPERLINK(IF(OR(JobState="MI",JobState=""),"https://fema.maps.arcgis.com/apps/mapviewer/index.html?webmap=6a1702b9147243d1a5ee62cd614bc681&amp;center="&amp;$F435&amp;","&amp;$E435&amp;"&amp;level=16&amp;marker="&amp;$F435&amp;","&amp;$E435&amp;"",IF(JobState="IN","https://fema.maps.arcgis.com/apps/mapviewer/index.html?url=https%3A%2F%2Fgisdata.in.gov%2Fserver%2Frest%2Fservices%2FHosted%2FLRSE_Functional_Class%2FFeatureServer%2F22&amp;find="&amp;$F435&amp;"%2C"&amp;$E435&amp;"&amp;marker="&amp;$F435&amp;","&amp;$E435&amp;",4326&amp;level=16",IF(JobState="WI","https://fema.maps.arcgis.com/apps/mapviewer/index.html?url=https%3A%2F%2Fservices5.arcgis.com%2F0pgGLzT0Nh7FVjon%2Farcgis%2Frest%2Fservices%2FFFCL_gdb%2FFeatureServer%2F3&amp;find="&amp;$F435&amp;"%2C"&amp;$E435&amp;"&amp;marker="&amp;$F435&amp;","&amp;$E435&amp;",4326&amp;level=16","https://fema.maps.arcgis.com/apps/mapviewer/index.html?find="&amp;$F435&amp;"%2C"&amp;$E435&amp;"&amp;marker="&amp;$F435&amp;","&amp;$E435&amp;",4326&amp;level=16"))),"Open"))</f>
        <v/>
      </c>
      <c r="N435" s="6" t="str">
        <f>IF(OR(JobAgolMap="", $E435="", $F435=""),"",HYPERLINK(JobAgolMap&amp;IF(ISNUMBER(FIND("?",JobAgolMap)),"&amp;","?")&amp;"center="&amp;$F435&amp;","&amp;$E435&amp;"&amp;level=16&amp;marker="&amp;$F435&amp;","&amp;$E435,"Open"))</f>
        <v/>
      </c>
      <c r="O435" s="6" t="str">
        <f>IF(OR($E435="",$F435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5" s="4"/>
      <c r="Q435" s="4"/>
      <c r="R435" s="4"/>
      <c r="S435" s="4"/>
      <c r="T435" s="4"/>
      <c r="U435" s="4"/>
      <c r="V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HYPERLINK(IF(OR(JobState="MI",JobState=""),"https://fema.maps.arcgis.com/apps/mapviewer/index.html?webmap=6a1702b9147243d1a5ee62cd614bc681&amp;center="&amp;$F436&amp;","&amp;$E436&amp;"&amp;level=16&amp;marker="&amp;$F436&amp;","&amp;$E436&amp;"",IF(JobState="IN","https://fema.maps.arcgis.com/apps/mapviewer/index.html?url=https%3A%2F%2Fgisdata.in.gov%2Fserver%2Frest%2Fservices%2FHosted%2FLRSE_Functional_Class%2FFeatureServer%2F22&amp;find="&amp;$F436&amp;"%2C"&amp;$E436&amp;"&amp;marker="&amp;$F436&amp;","&amp;$E436&amp;",4326&amp;level=16",IF(JobState="WI","https://fema.maps.arcgis.com/apps/mapviewer/index.html?url=https%3A%2F%2Fservices5.arcgis.com%2F0pgGLzT0Nh7FVjon%2Farcgis%2Frest%2Fservices%2FFFCL_gdb%2FFeatureServer%2F3&amp;find="&amp;$F436&amp;"%2C"&amp;$E436&amp;"&amp;marker="&amp;$F436&amp;","&amp;$E436&amp;",4326&amp;level=16","https://fema.maps.arcgis.com/apps/mapviewer/index.html?find="&amp;$F436&amp;"%2C"&amp;$E436&amp;"&amp;marker="&amp;$F436&amp;","&amp;$E436&amp;",4326&amp;level=16"))),"Open"))</f>
        <v/>
      </c>
      <c r="N436" s="6" t="str">
        <f>IF(OR(JobAgolMap="", $E436="", $F436=""),"",HYPERLINK(JobAgolMap&amp;IF(ISNUMBER(FIND("?",JobAgolMap)),"&amp;","?")&amp;"center="&amp;$F436&amp;","&amp;$E436&amp;"&amp;level=16&amp;marker="&amp;$F436&amp;","&amp;$E436,"Open"))</f>
        <v/>
      </c>
      <c r="O436" s="6" t="str">
        <f>IF(OR($E436="",$F436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6" s="4"/>
      <c r="Q436" s="4"/>
      <c r="R436" s="4"/>
      <c r="S436" s="4"/>
      <c r="T436" s="4"/>
      <c r="U436" s="4"/>
      <c r="V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HYPERLINK(IF(OR(JobState="MI",JobState=""),"https://fema.maps.arcgis.com/apps/mapviewer/index.html?webmap=6a1702b9147243d1a5ee62cd614bc681&amp;center="&amp;$F437&amp;","&amp;$E437&amp;"&amp;level=16&amp;marker="&amp;$F437&amp;","&amp;$E437&amp;"",IF(JobState="IN","https://fema.maps.arcgis.com/apps/mapviewer/index.html?url=https%3A%2F%2Fgisdata.in.gov%2Fserver%2Frest%2Fservices%2FHosted%2FLRSE_Functional_Class%2FFeatureServer%2F22&amp;find="&amp;$F437&amp;"%2C"&amp;$E437&amp;"&amp;marker="&amp;$F437&amp;","&amp;$E437&amp;",4326&amp;level=16",IF(JobState="WI","https://fema.maps.arcgis.com/apps/mapviewer/index.html?url=https%3A%2F%2Fservices5.arcgis.com%2F0pgGLzT0Nh7FVjon%2Farcgis%2Frest%2Fservices%2FFFCL_gdb%2FFeatureServer%2F3&amp;find="&amp;$F437&amp;"%2C"&amp;$E437&amp;"&amp;marker="&amp;$F437&amp;","&amp;$E437&amp;",4326&amp;level=16","https://fema.maps.arcgis.com/apps/mapviewer/index.html?find="&amp;$F437&amp;"%2C"&amp;$E437&amp;"&amp;marker="&amp;$F437&amp;","&amp;$E437&amp;",4326&amp;level=16"))),"Open"))</f>
        <v/>
      </c>
      <c r="N437" s="6" t="str">
        <f>IF(OR(JobAgolMap="", $E437="", $F437=""),"",HYPERLINK(JobAgolMap&amp;IF(ISNUMBER(FIND("?",JobAgolMap)),"&amp;","?")&amp;"center="&amp;$F437&amp;","&amp;$E437&amp;"&amp;level=16&amp;marker="&amp;$F437&amp;","&amp;$E437,"Open"))</f>
        <v/>
      </c>
      <c r="O437" s="6" t="str">
        <f>IF(OR($E437="",$F437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7" s="4"/>
      <c r="Q437" s="4"/>
      <c r="R437" s="4"/>
      <c r="S437" s="4"/>
      <c r="T437" s="4"/>
      <c r="U437" s="4"/>
      <c r="V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HYPERLINK(IF(OR(JobState="MI",JobState=""),"https://fema.maps.arcgis.com/apps/mapviewer/index.html?webmap=6a1702b9147243d1a5ee62cd614bc681&amp;center="&amp;$F438&amp;","&amp;$E438&amp;"&amp;level=16&amp;marker="&amp;$F438&amp;","&amp;$E438&amp;"",IF(JobState="IN","https://fema.maps.arcgis.com/apps/mapviewer/index.html?url=https%3A%2F%2Fgisdata.in.gov%2Fserver%2Frest%2Fservices%2FHosted%2FLRSE_Functional_Class%2FFeatureServer%2F22&amp;find="&amp;$F438&amp;"%2C"&amp;$E438&amp;"&amp;marker="&amp;$F438&amp;","&amp;$E438&amp;",4326&amp;level=16",IF(JobState="WI","https://fema.maps.arcgis.com/apps/mapviewer/index.html?url=https%3A%2F%2Fservices5.arcgis.com%2F0pgGLzT0Nh7FVjon%2Farcgis%2Frest%2Fservices%2FFFCL_gdb%2FFeatureServer%2F3&amp;find="&amp;$F438&amp;"%2C"&amp;$E438&amp;"&amp;marker="&amp;$F438&amp;","&amp;$E438&amp;",4326&amp;level=16","https://fema.maps.arcgis.com/apps/mapviewer/index.html?find="&amp;$F438&amp;"%2C"&amp;$E438&amp;"&amp;marker="&amp;$F438&amp;","&amp;$E438&amp;",4326&amp;level=16"))),"Open"))</f>
        <v/>
      </c>
      <c r="N438" s="6" t="str">
        <f>IF(OR(JobAgolMap="", $E438="", $F438=""),"",HYPERLINK(JobAgolMap&amp;IF(ISNUMBER(FIND("?",JobAgolMap)),"&amp;","?")&amp;"center="&amp;$F438&amp;","&amp;$E438&amp;"&amp;level=16&amp;marker="&amp;$F438&amp;","&amp;$E438,"Open"))</f>
        <v/>
      </c>
      <c r="O438" s="6" t="str">
        <f>IF(OR($E438="",$F438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8" s="4"/>
      <c r="Q438" s="4"/>
      <c r="R438" s="4"/>
      <c r="S438" s="4"/>
      <c r="T438" s="4"/>
      <c r="U438" s="4"/>
      <c r="V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HYPERLINK(IF(OR(JobState="MI",JobState=""),"https://fema.maps.arcgis.com/apps/mapviewer/index.html?webmap=6a1702b9147243d1a5ee62cd614bc681&amp;center="&amp;$F439&amp;","&amp;$E439&amp;"&amp;level=16&amp;marker="&amp;$F439&amp;","&amp;$E439&amp;"",IF(JobState="IN","https://fema.maps.arcgis.com/apps/mapviewer/index.html?url=https%3A%2F%2Fgisdata.in.gov%2Fserver%2Frest%2Fservices%2FHosted%2FLRSE_Functional_Class%2FFeatureServer%2F22&amp;find="&amp;$F439&amp;"%2C"&amp;$E439&amp;"&amp;marker="&amp;$F439&amp;","&amp;$E439&amp;",4326&amp;level=16",IF(JobState="WI","https://fema.maps.arcgis.com/apps/mapviewer/index.html?url=https%3A%2F%2Fservices5.arcgis.com%2F0pgGLzT0Nh7FVjon%2Farcgis%2Frest%2Fservices%2FFFCL_gdb%2FFeatureServer%2F3&amp;find="&amp;$F439&amp;"%2C"&amp;$E439&amp;"&amp;marker="&amp;$F439&amp;","&amp;$E439&amp;",4326&amp;level=16","https://fema.maps.arcgis.com/apps/mapviewer/index.html?find="&amp;$F439&amp;"%2C"&amp;$E439&amp;"&amp;marker="&amp;$F439&amp;","&amp;$E439&amp;",4326&amp;level=16"))),"Open"))</f>
        <v/>
      </c>
      <c r="N439" s="6" t="str">
        <f>IF(OR(JobAgolMap="", $E439="", $F439=""),"",HYPERLINK(JobAgolMap&amp;IF(ISNUMBER(FIND("?",JobAgolMap)),"&amp;","?")&amp;"center="&amp;$F439&amp;","&amp;$E439&amp;"&amp;level=16&amp;marker="&amp;$F439&amp;","&amp;$E439,"Open"))</f>
        <v/>
      </c>
      <c r="O439" s="6" t="str">
        <f>IF(OR($E439="",$F439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9" s="4"/>
      <c r="Q439" s="4"/>
      <c r="R439" s="4"/>
      <c r="S439" s="4"/>
      <c r="T439" s="4"/>
      <c r="U439" s="4"/>
      <c r="V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HYPERLINK(IF(OR(JobState="MI",JobState=""),"https://fema.maps.arcgis.com/apps/mapviewer/index.html?webmap=6a1702b9147243d1a5ee62cd614bc681&amp;center="&amp;$F440&amp;","&amp;$E440&amp;"&amp;level=16&amp;marker="&amp;$F440&amp;","&amp;$E440&amp;"",IF(JobState="IN","https://fema.maps.arcgis.com/apps/mapviewer/index.html?url=https%3A%2F%2Fgisdata.in.gov%2Fserver%2Frest%2Fservices%2FHosted%2FLRSE_Functional_Class%2FFeatureServer%2F22&amp;find="&amp;$F440&amp;"%2C"&amp;$E440&amp;"&amp;marker="&amp;$F440&amp;","&amp;$E440&amp;",4326&amp;level=16",IF(JobState="WI","https://fema.maps.arcgis.com/apps/mapviewer/index.html?url=https%3A%2F%2Fservices5.arcgis.com%2F0pgGLzT0Nh7FVjon%2Farcgis%2Frest%2Fservices%2FFFCL_gdb%2FFeatureServer%2F3&amp;find="&amp;$F440&amp;"%2C"&amp;$E440&amp;"&amp;marker="&amp;$F440&amp;","&amp;$E440&amp;",4326&amp;level=16","https://fema.maps.arcgis.com/apps/mapviewer/index.html?find="&amp;$F440&amp;"%2C"&amp;$E440&amp;"&amp;marker="&amp;$F440&amp;","&amp;$E440&amp;",4326&amp;level=16"))),"Open"))</f>
        <v/>
      </c>
      <c r="N440" s="6" t="str">
        <f>IF(OR(JobAgolMap="", $E440="", $F440=""),"",HYPERLINK(JobAgolMap&amp;IF(ISNUMBER(FIND("?",JobAgolMap)),"&amp;","?")&amp;"center="&amp;$F440&amp;","&amp;$E440&amp;"&amp;level=16&amp;marker="&amp;$F440&amp;","&amp;$E440,"Open"))</f>
        <v/>
      </c>
      <c r="O440" s="6" t="str">
        <f>IF(OR($E440="",$F440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0" s="4"/>
      <c r="Q440" s="4"/>
      <c r="R440" s="4"/>
      <c r="S440" s="4"/>
      <c r="T440" s="4"/>
      <c r="U440" s="4"/>
      <c r="V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HYPERLINK(IF(OR(JobState="MI",JobState=""),"https://fema.maps.arcgis.com/apps/mapviewer/index.html?webmap=6a1702b9147243d1a5ee62cd614bc681&amp;center="&amp;$F441&amp;","&amp;$E441&amp;"&amp;level=16&amp;marker="&amp;$F441&amp;","&amp;$E441&amp;"",IF(JobState="IN","https://fema.maps.arcgis.com/apps/mapviewer/index.html?url=https%3A%2F%2Fgisdata.in.gov%2Fserver%2Frest%2Fservices%2FHosted%2FLRSE_Functional_Class%2FFeatureServer%2F22&amp;find="&amp;$F441&amp;"%2C"&amp;$E441&amp;"&amp;marker="&amp;$F441&amp;","&amp;$E441&amp;",4326&amp;level=16",IF(JobState="WI","https://fema.maps.arcgis.com/apps/mapviewer/index.html?url=https%3A%2F%2Fservices5.arcgis.com%2F0pgGLzT0Nh7FVjon%2Farcgis%2Frest%2Fservices%2FFFCL_gdb%2FFeatureServer%2F3&amp;find="&amp;$F441&amp;"%2C"&amp;$E441&amp;"&amp;marker="&amp;$F441&amp;","&amp;$E441&amp;",4326&amp;level=16","https://fema.maps.arcgis.com/apps/mapviewer/index.html?find="&amp;$F441&amp;"%2C"&amp;$E441&amp;"&amp;marker="&amp;$F441&amp;","&amp;$E441&amp;",4326&amp;level=16"))),"Open"))</f>
        <v/>
      </c>
      <c r="N441" s="6" t="str">
        <f>IF(OR(JobAgolMap="", $E441="", $F441=""),"",HYPERLINK(JobAgolMap&amp;IF(ISNUMBER(FIND("?",JobAgolMap)),"&amp;","?")&amp;"center="&amp;$F441&amp;","&amp;$E441&amp;"&amp;level=16&amp;marker="&amp;$F441&amp;","&amp;$E441,"Open"))</f>
        <v/>
      </c>
      <c r="O441" s="6" t="str">
        <f>IF(OR($E441="",$F441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1" s="4"/>
      <c r="Q441" s="4"/>
      <c r="R441" s="4"/>
      <c r="S441" s="4"/>
      <c r="T441" s="4"/>
      <c r="U441" s="4"/>
      <c r="V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HYPERLINK(IF(OR(JobState="MI",JobState=""),"https://fema.maps.arcgis.com/apps/mapviewer/index.html?webmap=6a1702b9147243d1a5ee62cd614bc681&amp;center="&amp;$F442&amp;","&amp;$E442&amp;"&amp;level=16&amp;marker="&amp;$F442&amp;","&amp;$E442&amp;"",IF(JobState="IN","https://fema.maps.arcgis.com/apps/mapviewer/index.html?url=https%3A%2F%2Fgisdata.in.gov%2Fserver%2Frest%2Fservices%2FHosted%2FLRSE_Functional_Class%2FFeatureServer%2F22&amp;find="&amp;$F442&amp;"%2C"&amp;$E442&amp;"&amp;marker="&amp;$F442&amp;","&amp;$E442&amp;",4326&amp;level=16",IF(JobState="WI","https://fema.maps.arcgis.com/apps/mapviewer/index.html?url=https%3A%2F%2Fservices5.arcgis.com%2F0pgGLzT0Nh7FVjon%2Farcgis%2Frest%2Fservices%2FFFCL_gdb%2FFeatureServer%2F3&amp;find="&amp;$F442&amp;"%2C"&amp;$E442&amp;"&amp;marker="&amp;$F442&amp;","&amp;$E442&amp;",4326&amp;level=16","https://fema.maps.arcgis.com/apps/mapviewer/index.html?find="&amp;$F442&amp;"%2C"&amp;$E442&amp;"&amp;marker="&amp;$F442&amp;","&amp;$E442&amp;",4326&amp;level=16"))),"Open"))</f>
        <v/>
      </c>
      <c r="N442" s="6" t="str">
        <f>IF(OR(JobAgolMap="", $E442="", $F442=""),"",HYPERLINK(JobAgolMap&amp;IF(ISNUMBER(FIND("?",JobAgolMap)),"&amp;","?")&amp;"center="&amp;$F442&amp;","&amp;$E442&amp;"&amp;level=16&amp;marker="&amp;$F442&amp;","&amp;$E442,"Open"))</f>
        <v/>
      </c>
      <c r="O442" s="6" t="str">
        <f>IF(OR($E442="",$F442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2" s="4"/>
      <c r="Q442" s="4"/>
      <c r="R442" s="4"/>
      <c r="S442" s="4"/>
      <c r="T442" s="4"/>
      <c r="U442" s="4"/>
      <c r="V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HYPERLINK(IF(OR(JobState="MI",JobState=""),"https://fema.maps.arcgis.com/apps/mapviewer/index.html?webmap=6a1702b9147243d1a5ee62cd614bc681&amp;center="&amp;$F443&amp;","&amp;$E443&amp;"&amp;level=16&amp;marker="&amp;$F443&amp;","&amp;$E443&amp;"",IF(JobState="IN","https://fema.maps.arcgis.com/apps/mapviewer/index.html?url=https%3A%2F%2Fgisdata.in.gov%2Fserver%2Frest%2Fservices%2FHosted%2FLRSE_Functional_Class%2FFeatureServer%2F22&amp;find="&amp;$F443&amp;"%2C"&amp;$E443&amp;"&amp;marker="&amp;$F443&amp;","&amp;$E443&amp;",4326&amp;level=16",IF(JobState="WI","https://fema.maps.arcgis.com/apps/mapviewer/index.html?url=https%3A%2F%2Fservices5.arcgis.com%2F0pgGLzT0Nh7FVjon%2Farcgis%2Frest%2Fservices%2FFFCL_gdb%2FFeatureServer%2F3&amp;find="&amp;$F443&amp;"%2C"&amp;$E443&amp;"&amp;marker="&amp;$F443&amp;","&amp;$E443&amp;",4326&amp;level=16","https://fema.maps.arcgis.com/apps/mapviewer/index.html?find="&amp;$F443&amp;"%2C"&amp;$E443&amp;"&amp;marker="&amp;$F443&amp;","&amp;$E443&amp;",4326&amp;level=16"))),"Open"))</f>
        <v/>
      </c>
      <c r="N443" s="6" t="str">
        <f>IF(OR(JobAgolMap="", $E443="", $F443=""),"",HYPERLINK(JobAgolMap&amp;IF(ISNUMBER(FIND("?",JobAgolMap)),"&amp;","?")&amp;"center="&amp;$F443&amp;","&amp;$E443&amp;"&amp;level=16&amp;marker="&amp;$F443&amp;","&amp;$E443,"Open"))</f>
        <v/>
      </c>
      <c r="O443" s="6" t="str">
        <f>IF(OR($E443="",$F443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3" s="4"/>
      <c r="Q443" s="4"/>
      <c r="R443" s="4"/>
      <c r="S443" s="4"/>
      <c r="T443" s="4"/>
      <c r="U443" s="4"/>
      <c r="V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HYPERLINK(IF(OR(JobState="MI",JobState=""),"https://fema.maps.arcgis.com/apps/mapviewer/index.html?webmap=6a1702b9147243d1a5ee62cd614bc681&amp;center="&amp;$F444&amp;","&amp;$E444&amp;"&amp;level=16&amp;marker="&amp;$F444&amp;","&amp;$E444&amp;"",IF(JobState="IN","https://fema.maps.arcgis.com/apps/mapviewer/index.html?url=https%3A%2F%2Fgisdata.in.gov%2Fserver%2Frest%2Fservices%2FHosted%2FLRSE_Functional_Class%2FFeatureServer%2F22&amp;find="&amp;$F444&amp;"%2C"&amp;$E444&amp;"&amp;marker="&amp;$F444&amp;","&amp;$E444&amp;",4326&amp;level=16",IF(JobState="WI","https://fema.maps.arcgis.com/apps/mapviewer/index.html?url=https%3A%2F%2Fservices5.arcgis.com%2F0pgGLzT0Nh7FVjon%2Farcgis%2Frest%2Fservices%2FFFCL_gdb%2FFeatureServer%2F3&amp;find="&amp;$F444&amp;"%2C"&amp;$E444&amp;"&amp;marker="&amp;$F444&amp;","&amp;$E444&amp;",4326&amp;level=16","https://fema.maps.arcgis.com/apps/mapviewer/index.html?find="&amp;$F444&amp;"%2C"&amp;$E444&amp;"&amp;marker="&amp;$F444&amp;","&amp;$E444&amp;",4326&amp;level=16"))),"Open"))</f>
        <v/>
      </c>
      <c r="N444" s="6" t="str">
        <f>IF(OR(JobAgolMap="", $E444="", $F444=""),"",HYPERLINK(JobAgolMap&amp;IF(ISNUMBER(FIND("?",JobAgolMap)),"&amp;","?")&amp;"center="&amp;$F444&amp;","&amp;$E444&amp;"&amp;level=16&amp;marker="&amp;$F444&amp;","&amp;$E444,"Open"))</f>
        <v/>
      </c>
      <c r="O444" s="6" t="str">
        <f>IF(OR($E444="",$F444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4" s="4"/>
      <c r="Q444" s="4"/>
      <c r="R444" s="4"/>
      <c r="S444" s="4"/>
      <c r="T444" s="4"/>
      <c r="U444" s="4"/>
      <c r="V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HYPERLINK(IF(OR(JobState="MI",JobState=""),"https://fema.maps.arcgis.com/apps/mapviewer/index.html?webmap=6a1702b9147243d1a5ee62cd614bc681&amp;center="&amp;$F445&amp;","&amp;$E445&amp;"&amp;level=16&amp;marker="&amp;$F445&amp;","&amp;$E445&amp;"",IF(JobState="IN","https://fema.maps.arcgis.com/apps/mapviewer/index.html?url=https%3A%2F%2Fgisdata.in.gov%2Fserver%2Frest%2Fservices%2FHosted%2FLRSE_Functional_Class%2FFeatureServer%2F22&amp;find="&amp;$F445&amp;"%2C"&amp;$E445&amp;"&amp;marker="&amp;$F445&amp;","&amp;$E445&amp;",4326&amp;level=16",IF(JobState="WI","https://fema.maps.arcgis.com/apps/mapviewer/index.html?url=https%3A%2F%2Fservices5.arcgis.com%2F0pgGLzT0Nh7FVjon%2Farcgis%2Frest%2Fservices%2FFFCL_gdb%2FFeatureServer%2F3&amp;find="&amp;$F445&amp;"%2C"&amp;$E445&amp;"&amp;marker="&amp;$F445&amp;","&amp;$E445&amp;",4326&amp;level=16","https://fema.maps.arcgis.com/apps/mapviewer/index.html?find="&amp;$F445&amp;"%2C"&amp;$E445&amp;"&amp;marker="&amp;$F445&amp;","&amp;$E445&amp;",4326&amp;level=16"))),"Open"))</f>
        <v/>
      </c>
      <c r="N445" s="6" t="str">
        <f>IF(OR(JobAgolMap="", $E445="", $F445=""),"",HYPERLINK(JobAgolMap&amp;IF(ISNUMBER(FIND("?",JobAgolMap)),"&amp;","?")&amp;"center="&amp;$F445&amp;","&amp;$E445&amp;"&amp;level=16&amp;marker="&amp;$F445&amp;","&amp;$E445,"Open"))</f>
        <v/>
      </c>
      <c r="O445" s="6" t="str">
        <f>IF(OR($E445="",$F445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5" s="4"/>
      <c r="Q445" s="4"/>
      <c r="R445" s="4"/>
      <c r="S445" s="4"/>
      <c r="T445" s="4"/>
      <c r="U445" s="4"/>
      <c r="V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HYPERLINK(IF(OR(JobState="MI",JobState=""),"https://fema.maps.arcgis.com/apps/mapviewer/index.html?webmap=6a1702b9147243d1a5ee62cd614bc681&amp;center="&amp;$F446&amp;","&amp;$E446&amp;"&amp;level=16&amp;marker="&amp;$F446&amp;","&amp;$E446&amp;"",IF(JobState="IN","https://fema.maps.arcgis.com/apps/mapviewer/index.html?url=https%3A%2F%2Fgisdata.in.gov%2Fserver%2Frest%2Fservices%2FHosted%2FLRSE_Functional_Class%2FFeatureServer%2F22&amp;find="&amp;$F446&amp;"%2C"&amp;$E446&amp;"&amp;marker="&amp;$F446&amp;","&amp;$E446&amp;",4326&amp;level=16",IF(JobState="WI","https://fema.maps.arcgis.com/apps/mapviewer/index.html?url=https%3A%2F%2Fservices5.arcgis.com%2F0pgGLzT0Nh7FVjon%2Farcgis%2Frest%2Fservices%2FFFCL_gdb%2FFeatureServer%2F3&amp;find="&amp;$F446&amp;"%2C"&amp;$E446&amp;"&amp;marker="&amp;$F446&amp;","&amp;$E446&amp;",4326&amp;level=16","https://fema.maps.arcgis.com/apps/mapviewer/index.html?find="&amp;$F446&amp;"%2C"&amp;$E446&amp;"&amp;marker="&amp;$F446&amp;","&amp;$E446&amp;",4326&amp;level=16"))),"Open"))</f>
        <v/>
      </c>
      <c r="N446" s="6" t="str">
        <f>IF(OR(JobAgolMap="", $E446="", $F446=""),"",HYPERLINK(JobAgolMap&amp;IF(ISNUMBER(FIND("?",JobAgolMap)),"&amp;","?")&amp;"center="&amp;$F446&amp;","&amp;$E446&amp;"&amp;level=16&amp;marker="&amp;$F446&amp;","&amp;$E446,"Open"))</f>
        <v/>
      </c>
      <c r="O446" s="6" t="str">
        <f>IF(OR($E446="",$F446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6" s="4"/>
      <c r="Q446" s="4"/>
      <c r="R446" s="4"/>
      <c r="S446" s="4"/>
      <c r="T446" s="4"/>
      <c r="U446" s="4"/>
      <c r="V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HYPERLINK(IF(OR(JobState="MI",JobState=""),"https://fema.maps.arcgis.com/apps/mapviewer/index.html?webmap=6a1702b9147243d1a5ee62cd614bc681&amp;center="&amp;$F447&amp;","&amp;$E447&amp;"&amp;level=16&amp;marker="&amp;$F447&amp;","&amp;$E447&amp;"",IF(JobState="IN","https://fema.maps.arcgis.com/apps/mapviewer/index.html?url=https%3A%2F%2Fgisdata.in.gov%2Fserver%2Frest%2Fservices%2FHosted%2FLRSE_Functional_Class%2FFeatureServer%2F22&amp;find="&amp;$F447&amp;"%2C"&amp;$E447&amp;"&amp;marker="&amp;$F447&amp;","&amp;$E447&amp;",4326&amp;level=16",IF(JobState="WI","https://fema.maps.arcgis.com/apps/mapviewer/index.html?url=https%3A%2F%2Fservices5.arcgis.com%2F0pgGLzT0Nh7FVjon%2Farcgis%2Frest%2Fservices%2FFFCL_gdb%2FFeatureServer%2F3&amp;find="&amp;$F447&amp;"%2C"&amp;$E447&amp;"&amp;marker="&amp;$F447&amp;","&amp;$E447&amp;",4326&amp;level=16","https://fema.maps.arcgis.com/apps/mapviewer/index.html?find="&amp;$F447&amp;"%2C"&amp;$E447&amp;"&amp;marker="&amp;$F447&amp;","&amp;$E447&amp;",4326&amp;level=16"))),"Open"))</f>
        <v/>
      </c>
      <c r="N447" s="6" t="str">
        <f>IF(OR(JobAgolMap="", $E447="", $F447=""),"",HYPERLINK(JobAgolMap&amp;IF(ISNUMBER(FIND("?",JobAgolMap)),"&amp;","?")&amp;"center="&amp;$F447&amp;","&amp;$E447&amp;"&amp;level=16&amp;marker="&amp;$F447&amp;","&amp;$E447,"Open"))</f>
        <v/>
      </c>
      <c r="O447" s="6" t="str">
        <f>IF(OR($E447="",$F447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7" s="4"/>
      <c r="Q447" s="4"/>
      <c r="R447" s="4"/>
      <c r="S447" s="4"/>
      <c r="T447" s="4"/>
      <c r="U447" s="4"/>
      <c r="V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HYPERLINK(IF(OR(JobState="MI",JobState=""),"https://fema.maps.arcgis.com/apps/mapviewer/index.html?webmap=6a1702b9147243d1a5ee62cd614bc681&amp;center="&amp;$F448&amp;","&amp;$E448&amp;"&amp;level=16&amp;marker="&amp;$F448&amp;","&amp;$E448&amp;"",IF(JobState="IN","https://fema.maps.arcgis.com/apps/mapviewer/index.html?url=https%3A%2F%2Fgisdata.in.gov%2Fserver%2Frest%2Fservices%2FHosted%2FLRSE_Functional_Class%2FFeatureServer%2F22&amp;find="&amp;$F448&amp;"%2C"&amp;$E448&amp;"&amp;marker="&amp;$F448&amp;","&amp;$E448&amp;",4326&amp;level=16",IF(JobState="WI","https://fema.maps.arcgis.com/apps/mapviewer/index.html?url=https%3A%2F%2Fservices5.arcgis.com%2F0pgGLzT0Nh7FVjon%2Farcgis%2Frest%2Fservices%2FFFCL_gdb%2FFeatureServer%2F3&amp;find="&amp;$F448&amp;"%2C"&amp;$E448&amp;"&amp;marker="&amp;$F448&amp;","&amp;$E448&amp;",4326&amp;level=16","https://fema.maps.arcgis.com/apps/mapviewer/index.html?find="&amp;$F448&amp;"%2C"&amp;$E448&amp;"&amp;marker="&amp;$F448&amp;","&amp;$E448&amp;",4326&amp;level=16"))),"Open"))</f>
        <v/>
      </c>
      <c r="N448" s="6" t="str">
        <f>IF(OR(JobAgolMap="", $E448="", $F448=""),"",HYPERLINK(JobAgolMap&amp;IF(ISNUMBER(FIND("?",JobAgolMap)),"&amp;","?")&amp;"center="&amp;$F448&amp;","&amp;$E448&amp;"&amp;level=16&amp;marker="&amp;$F448&amp;","&amp;$E448,"Open"))</f>
        <v/>
      </c>
      <c r="O448" s="6" t="str">
        <f>IF(OR($E448="",$F448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8" s="4"/>
      <c r="Q448" s="4"/>
      <c r="R448" s="4"/>
      <c r="S448" s="4"/>
      <c r="T448" s="4"/>
      <c r="U448" s="4"/>
      <c r="V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HYPERLINK(IF(OR(JobState="MI",JobState=""),"https://fema.maps.arcgis.com/apps/mapviewer/index.html?webmap=6a1702b9147243d1a5ee62cd614bc681&amp;center="&amp;$F449&amp;","&amp;$E449&amp;"&amp;level=16&amp;marker="&amp;$F449&amp;","&amp;$E449&amp;"",IF(JobState="IN","https://fema.maps.arcgis.com/apps/mapviewer/index.html?url=https%3A%2F%2Fgisdata.in.gov%2Fserver%2Frest%2Fservices%2FHosted%2FLRSE_Functional_Class%2FFeatureServer%2F22&amp;find="&amp;$F449&amp;"%2C"&amp;$E449&amp;"&amp;marker="&amp;$F449&amp;","&amp;$E449&amp;",4326&amp;level=16",IF(JobState="WI","https://fema.maps.arcgis.com/apps/mapviewer/index.html?url=https%3A%2F%2Fservices5.arcgis.com%2F0pgGLzT0Nh7FVjon%2Farcgis%2Frest%2Fservices%2FFFCL_gdb%2FFeatureServer%2F3&amp;find="&amp;$F449&amp;"%2C"&amp;$E449&amp;"&amp;marker="&amp;$F449&amp;","&amp;$E449&amp;",4326&amp;level=16","https://fema.maps.arcgis.com/apps/mapviewer/index.html?find="&amp;$F449&amp;"%2C"&amp;$E449&amp;"&amp;marker="&amp;$F449&amp;","&amp;$E449&amp;",4326&amp;level=16"))),"Open"))</f>
        <v/>
      </c>
      <c r="N449" s="6" t="str">
        <f>IF(OR(JobAgolMap="", $E449="", $F449=""),"",HYPERLINK(JobAgolMap&amp;IF(ISNUMBER(FIND("?",JobAgolMap)),"&amp;","?")&amp;"center="&amp;$F449&amp;","&amp;$E449&amp;"&amp;level=16&amp;marker="&amp;$F449&amp;","&amp;$E449,"Open"))</f>
        <v/>
      </c>
      <c r="O449" s="6" t="str">
        <f>IF(OR($E449="",$F449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9" s="4"/>
      <c r="Q449" s="4"/>
      <c r="R449" s="4"/>
      <c r="S449" s="4"/>
      <c r="T449" s="4"/>
      <c r="U449" s="4"/>
      <c r="V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HYPERLINK(IF(OR(JobState="MI",JobState=""),"https://fema.maps.arcgis.com/apps/mapviewer/index.html?webmap=6a1702b9147243d1a5ee62cd614bc681&amp;center="&amp;$F450&amp;","&amp;$E450&amp;"&amp;level=16&amp;marker="&amp;$F450&amp;","&amp;$E450&amp;"",IF(JobState="IN","https://fema.maps.arcgis.com/apps/mapviewer/index.html?url=https%3A%2F%2Fgisdata.in.gov%2Fserver%2Frest%2Fservices%2FHosted%2FLRSE_Functional_Class%2FFeatureServer%2F22&amp;find="&amp;$F450&amp;"%2C"&amp;$E450&amp;"&amp;marker="&amp;$F450&amp;","&amp;$E450&amp;",4326&amp;level=16",IF(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IF(OR(JobAgolMap="", $E450="", $F450=""),"",HYPERLINK(JobAgolMap&amp;IF(ISNUMBER(FIND("?",JobAgolMap)),"&amp;","?")&amp;"center="&amp;$F450&amp;","&amp;$E450&amp;"&amp;level=16&amp;marker="&amp;$F450&amp;","&amp;$E450,"Open"))</f>
        <v/>
      </c>
      <c r="O450" s="6" t="str">
        <f>IF(OR($E450="",$F450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0" s="4"/>
      <c r="Q450" s="4"/>
      <c r="R450" s="4"/>
      <c r="S450" s="4"/>
      <c r="T450" s="4"/>
      <c r="U450" s="4"/>
      <c r="V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HYPERLINK(IF(OR(JobState="MI",JobState=""),"https://fema.maps.arcgis.com/apps/mapviewer/index.html?webmap=6a1702b9147243d1a5ee62cd614bc681&amp;center="&amp;$F451&amp;","&amp;$E451&amp;"&amp;level=16&amp;marker="&amp;$F451&amp;","&amp;$E451&amp;"",IF(JobState="IN","https://fema.maps.arcgis.com/apps/mapviewer/index.html?url=https%3A%2F%2Fgisdata.in.gov%2Fserver%2Frest%2Fservices%2FHosted%2FLRSE_Functional_Class%2FFeatureServer%2F22&amp;find="&amp;$F451&amp;"%2C"&amp;$E451&amp;"&amp;marker="&amp;$F451&amp;","&amp;$E451&amp;",4326&amp;level=16",IF(JobState="WI","https://fema.maps.arcgis.com/apps/mapviewer/index.html?url=https%3A%2F%2Fservices5.arcgis.com%2F0pgGLzT0Nh7FVjon%2Farcgis%2Frest%2Fservices%2FFFCL_gdb%2FFeatureServer%2F3&amp;find="&amp;$F451&amp;"%2C"&amp;$E451&amp;"&amp;marker="&amp;$F451&amp;","&amp;$E451&amp;",4326&amp;level=16","https://fema.maps.arcgis.com/apps/mapviewer/index.html?find="&amp;$F451&amp;"%2C"&amp;$E451&amp;"&amp;marker="&amp;$F451&amp;","&amp;$E451&amp;",4326&amp;level=16"))),"Open"))</f>
        <v/>
      </c>
      <c r="N451" s="6" t="str">
        <f>IF(OR(JobAgolMap="", $E451="", $F451=""),"",HYPERLINK(JobAgolMap&amp;IF(ISNUMBER(FIND("?",JobAgolMap)),"&amp;","?")&amp;"center="&amp;$F451&amp;","&amp;$E451&amp;"&amp;level=16&amp;marker="&amp;$F451&amp;","&amp;$E451,"Open"))</f>
        <v/>
      </c>
      <c r="O451" s="6" t="str">
        <f>IF(OR($E451="",$F451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1" s="4"/>
      <c r="Q451" s="4"/>
      <c r="R451" s="4"/>
      <c r="S451" s="4"/>
      <c r="T451" s="4"/>
      <c r="U451" s="4"/>
      <c r="V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HYPERLINK(IF(OR(JobState="MI",JobState=""),"https://fema.maps.arcgis.com/apps/mapviewer/index.html?webmap=6a1702b9147243d1a5ee62cd614bc681&amp;center="&amp;$F452&amp;","&amp;$E452&amp;"&amp;level=16&amp;marker="&amp;$F452&amp;","&amp;$E452&amp;"",IF(JobState="IN","https://fema.maps.arcgis.com/apps/mapviewer/index.html?url=https%3A%2F%2Fgisdata.in.gov%2Fserver%2Frest%2Fservices%2FHosted%2FLRSE_Functional_Class%2FFeatureServer%2F22&amp;find="&amp;$F452&amp;"%2C"&amp;$E452&amp;"&amp;marker="&amp;$F452&amp;","&amp;$E452&amp;",4326&amp;level=16",IF(JobState="WI","https://fema.maps.arcgis.com/apps/mapviewer/index.html?url=https%3A%2F%2Fservices5.arcgis.com%2F0pgGLzT0Nh7FVjon%2Farcgis%2Frest%2Fservices%2FFFCL_gdb%2FFeatureServer%2F3&amp;find="&amp;$F452&amp;"%2C"&amp;$E452&amp;"&amp;marker="&amp;$F452&amp;","&amp;$E452&amp;",4326&amp;level=16","https://fema.maps.arcgis.com/apps/mapviewer/index.html?find="&amp;$F452&amp;"%2C"&amp;$E452&amp;"&amp;marker="&amp;$F452&amp;","&amp;$E452&amp;",4326&amp;level=16"))),"Open"))</f>
        <v/>
      </c>
      <c r="N452" s="6" t="str">
        <f>IF(OR(JobAgolMap="", $E452="", $F452=""),"",HYPERLINK(JobAgolMap&amp;IF(ISNUMBER(FIND("?",JobAgolMap)),"&amp;","?")&amp;"center="&amp;$F452&amp;","&amp;$E452&amp;"&amp;level=16&amp;marker="&amp;$F452&amp;","&amp;$E452,"Open"))</f>
        <v/>
      </c>
      <c r="O452" s="6" t="str">
        <f>IF(OR($E452="",$F452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2" s="4"/>
      <c r="Q452" s="4"/>
      <c r="R452" s="4"/>
      <c r="S452" s="4"/>
      <c r="T452" s="4"/>
      <c r="U452" s="4"/>
      <c r="V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HYPERLINK(IF(OR(JobState="MI",JobState=""),"https://fema.maps.arcgis.com/apps/mapviewer/index.html?webmap=6a1702b9147243d1a5ee62cd614bc681&amp;center="&amp;$F453&amp;","&amp;$E453&amp;"&amp;level=16&amp;marker="&amp;$F453&amp;","&amp;$E453&amp;"",IF(JobState="IN","https://fema.maps.arcgis.com/apps/mapviewer/index.html?url=https%3A%2F%2Fgisdata.in.gov%2Fserver%2Frest%2Fservices%2FHosted%2FLRSE_Functional_Class%2FFeatureServer%2F22&amp;find="&amp;$F453&amp;"%2C"&amp;$E453&amp;"&amp;marker="&amp;$F453&amp;","&amp;$E453&amp;",4326&amp;level=16",IF(JobState="WI","https://fema.maps.arcgis.com/apps/mapviewer/index.html?url=https%3A%2F%2Fservices5.arcgis.com%2F0pgGLzT0Nh7FVjon%2Farcgis%2Frest%2Fservices%2FFFCL_gdb%2FFeatureServer%2F3&amp;find="&amp;$F453&amp;"%2C"&amp;$E453&amp;"&amp;marker="&amp;$F453&amp;","&amp;$E453&amp;",4326&amp;level=16","https://fema.maps.arcgis.com/apps/mapviewer/index.html?find="&amp;$F453&amp;"%2C"&amp;$E453&amp;"&amp;marker="&amp;$F453&amp;","&amp;$E453&amp;",4326&amp;level=16"))),"Open"))</f>
        <v/>
      </c>
      <c r="N453" s="6" t="str">
        <f>IF(OR(JobAgolMap="", $E453="", $F453=""),"",HYPERLINK(JobAgolMap&amp;IF(ISNUMBER(FIND("?",JobAgolMap)),"&amp;","?")&amp;"center="&amp;$F453&amp;","&amp;$E453&amp;"&amp;level=16&amp;marker="&amp;$F453&amp;","&amp;$E453,"Open"))</f>
        <v/>
      </c>
      <c r="O453" s="6" t="str">
        <f>IF(OR($E453="",$F453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3" s="4"/>
      <c r="Q453" s="4"/>
      <c r="R453" s="4"/>
      <c r="S453" s="4"/>
      <c r="T453" s="4"/>
      <c r="U453" s="4"/>
      <c r="V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HYPERLINK(IF(OR(JobState="MI",JobState=""),"https://fema.maps.arcgis.com/apps/mapviewer/index.html?webmap=6a1702b9147243d1a5ee62cd614bc681&amp;center="&amp;$F454&amp;","&amp;$E454&amp;"&amp;level=16&amp;marker="&amp;$F454&amp;","&amp;$E454&amp;"",IF(JobState="IN","https://fema.maps.arcgis.com/apps/mapviewer/index.html?url=https%3A%2F%2Fgisdata.in.gov%2Fserver%2Frest%2Fservices%2FHosted%2FLRSE_Functional_Class%2FFeatureServer%2F22&amp;find="&amp;$F454&amp;"%2C"&amp;$E454&amp;"&amp;marker="&amp;$F454&amp;","&amp;$E454&amp;",4326&amp;level=16",IF(JobState="WI","https://fema.maps.arcgis.com/apps/mapviewer/index.html?url=https%3A%2F%2Fservices5.arcgis.com%2F0pgGLzT0Nh7FVjon%2Farcgis%2Frest%2Fservices%2FFFCL_gdb%2FFeatureServer%2F3&amp;find="&amp;$F454&amp;"%2C"&amp;$E454&amp;"&amp;marker="&amp;$F454&amp;","&amp;$E454&amp;",4326&amp;level=16","https://fema.maps.arcgis.com/apps/mapviewer/index.html?find="&amp;$F454&amp;"%2C"&amp;$E454&amp;"&amp;marker="&amp;$F454&amp;","&amp;$E454&amp;",4326&amp;level=16"))),"Open"))</f>
        <v/>
      </c>
      <c r="N454" s="6" t="str">
        <f>IF(OR(JobAgolMap="", $E454="", $F454=""),"",HYPERLINK(JobAgolMap&amp;IF(ISNUMBER(FIND("?",JobAgolMap)),"&amp;","?")&amp;"center="&amp;$F454&amp;","&amp;$E454&amp;"&amp;level=16&amp;marker="&amp;$F454&amp;","&amp;$E454,"Open"))</f>
        <v/>
      </c>
      <c r="O454" s="6" t="str">
        <f>IF(OR($E454="",$F454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4" s="4"/>
      <c r="Q454" s="4"/>
      <c r="R454" s="4"/>
      <c r="S454" s="4"/>
      <c r="T454" s="4"/>
      <c r="U454" s="4"/>
      <c r="V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HYPERLINK(IF(OR(JobState="MI",JobState=""),"https://fema.maps.arcgis.com/apps/mapviewer/index.html?webmap=6a1702b9147243d1a5ee62cd614bc681&amp;center="&amp;$F455&amp;","&amp;$E455&amp;"&amp;level=16&amp;marker="&amp;$F455&amp;","&amp;$E455&amp;"",IF(JobState="IN","https://fema.maps.arcgis.com/apps/mapviewer/index.html?url=https%3A%2F%2Fgisdata.in.gov%2Fserver%2Frest%2Fservices%2FHosted%2FLRSE_Functional_Class%2FFeatureServer%2F22&amp;find="&amp;$F455&amp;"%2C"&amp;$E455&amp;"&amp;marker="&amp;$F455&amp;","&amp;$E455&amp;",4326&amp;level=16",IF(JobState="WI","https://fema.maps.arcgis.com/apps/mapviewer/index.html?url=https%3A%2F%2Fservices5.arcgis.com%2F0pgGLzT0Nh7FVjon%2Farcgis%2Frest%2Fservices%2FFFCL_gdb%2FFeatureServer%2F3&amp;find="&amp;$F455&amp;"%2C"&amp;$E455&amp;"&amp;marker="&amp;$F455&amp;","&amp;$E455&amp;",4326&amp;level=16","https://fema.maps.arcgis.com/apps/mapviewer/index.html?find="&amp;$F455&amp;"%2C"&amp;$E455&amp;"&amp;marker="&amp;$F455&amp;","&amp;$E455&amp;",4326&amp;level=16"))),"Open"))</f>
        <v/>
      </c>
      <c r="N455" s="6" t="str">
        <f>IF(OR(JobAgolMap="", $E455="", $F455=""),"",HYPERLINK(JobAgolMap&amp;IF(ISNUMBER(FIND("?",JobAgolMap)),"&amp;","?")&amp;"center="&amp;$F455&amp;","&amp;$E455&amp;"&amp;level=16&amp;marker="&amp;$F455&amp;","&amp;$E455,"Open"))</f>
        <v/>
      </c>
      <c r="O455" s="6" t="str">
        <f>IF(OR($E455="",$F455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5" s="4"/>
      <c r="Q455" s="4"/>
      <c r="R455" s="4"/>
      <c r="S455" s="4"/>
      <c r="T455" s="4"/>
      <c r="U455" s="4"/>
      <c r="V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HYPERLINK(IF(OR(JobState="MI",JobState=""),"https://fema.maps.arcgis.com/apps/mapviewer/index.html?webmap=6a1702b9147243d1a5ee62cd614bc681&amp;center="&amp;$F456&amp;","&amp;$E456&amp;"&amp;level=16&amp;marker="&amp;$F456&amp;","&amp;$E456&amp;"",IF(JobState="IN","https://fema.maps.arcgis.com/apps/mapviewer/index.html?url=https%3A%2F%2Fgisdata.in.gov%2Fserver%2Frest%2Fservices%2FHosted%2FLRSE_Functional_Class%2FFeatureServer%2F22&amp;find="&amp;$F456&amp;"%2C"&amp;$E456&amp;"&amp;marker="&amp;$F456&amp;","&amp;$E456&amp;",4326&amp;level=16",IF(JobState="WI","https://fema.maps.arcgis.com/apps/mapviewer/index.html?url=https%3A%2F%2Fservices5.arcgis.com%2F0pgGLzT0Nh7FVjon%2Farcgis%2Frest%2Fservices%2FFFCL_gdb%2FFeatureServer%2F3&amp;find="&amp;$F456&amp;"%2C"&amp;$E456&amp;"&amp;marker="&amp;$F456&amp;","&amp;$E456&amp;",4326&amp;level=16","https://fema.maps.arcgis.com/apps/mapviewer/index.html?find="&amp;$F456&amp;"%2C"&amp;$E456&amp;"&amp;marker="&amp;$F456&amp;","&amp;$E456&amp;",4326&amp;level=16"))),"Open"))</f>
        <v/>
      </c>
      <c r="N456" s="6" t="str">
        <f>IF(OR(JobAgolMap="", $E456="", $F456=""),"",HYPERLINK(JobAgolMap&amp;IF(ISNUMBER(FIND("?",JobAgolMap)),"&amp;","?")&amp;"center="&amp;$F456&amp;","&amp;$E456&amp;"&amp;level=16&amp;marker="&amp;$F456&amp;","&amp;$E456,"Open"))</f>
        <v/>
      </c>
      <c r="O456" s="6" t="str">
        <f>IF(OR($E456="",$F456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6" s="4"/>
      <c r="Q456" s="4"/>
      <c r="R456" s="4"/>
      <c r="S456" s="4"/>
      <c r="T456" s="4"/>
      <c r="U456" s="4"/>
      <c r="V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HYPERLINK(IF(OR(JobState="MI",JobState=""),"https://fema.maps.arcgis.com/apps/mapviewer/index.html?webmap=6a1702b9147243d1a5ee62cd614bc681&amp;center="&amp;$F457&amp;","&amp;$E457&amp;"&amp;level=16&amp;marker="&amp;$F457&amp;","&amp;$E457&amp;"",IF(JobState="IN","https://fema.maps.arcgis.com/apps/mapviewer/index.html?url=https%3A%2F%2Fgisdata.in.gov%2Fserver%2Frest%2Fservices%2FHosted%2FLRSE_Functional_Class%2FFeatureServer%2F22&amp;find="&amp;$F457&amp;"%2C"&amp;$E457&amp;"&amp;marker="&amp;$F457&amp;","&amp;$E457&amp;",4326&amp;level=16",IF(JobState="WI","https://fema.maps.arcgis.com/apps/mapviewer/index.html?url=https%3A%2F%2Fservices5.arcgis.com%2F0pgGLzT0Nh7FVjon%2Farcgis%2Frest%2Fservices%2FFFCL_gdb%2FFeatureServer%2F3&amp;find="&amp;$F457&amp;"%2C"&amp;$E457&amp;"&amp;marker="&amp;$F457&amp;","&amp;$E457&amp;",4326&amp;level=16","https://fema.maps.arcgis.com/apps/mapviewer/index.html?find="&amp;$F457&amp;"%2C"&amp;$E457&amp;"&amp;marker="&amp;$F457&amp;","&amp;$E457&amp;",4326&amp;level=16"))),"Open"))</f>
        <v/>
      </c>
      <c r="N457" s="6" t="str">
        <f>IF(OR(JobAgolMap="", $E457="", $F457=""),"",HYPERLINK(JobAgolMap&amp;IF(ISNUMBER(FIND("?",JobAgolMap)),"&amp;","?")&amp;"center="&amp;$F457&amp;","&amp;$E457&amp;"&amp;level=16&amp;marker="&amp;$F457&amp;","&amp;$E457,"Open"))</f>
        <v/>
      </c>
      <c r="O457" s="6" t="str">
        <f>IF(OR($E457="",$F457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7" s="4"/>
      <c r="Q457" s="4"/>
      <c r="R457" s="4"/>
      <c r="S457" s="4"/>
      <c r="T457" s="4"/>
      <c r="U457" s="4"/>
      <c r="V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HYPERLINK(IF(OR(JobState="MI",JobState=""),"https://fema.maps.arcgis.com/apps/mapviewer/index.html?webmap=6a1702b9147243d1a5ee62cd614bc681&amp;center="&amp;$F458&amp;","&amp;$E458&amp;"&amp;level=16&amp;marker="&amp;$F458&amp;","&amp;$E458&amp;"",IF(JobState="IN","https://fema.maps.arcgis.com/apps/mapviewer/index.html?url=https%3A%2F%2Fgisdata.in.gov%2Fserver%2Frest%2Fservices%2FHosted%2FLRSE_Functional_Class%2FFeatureServer%2F22&amp;find="&amp;$F458&amp;"%2C"&amp;$E458&amp;"&amp;marker="&amp;$F458&amp;","&amp;$E458&amp;",4326&amp;level=16",IF(JobState="WI","https://fema.maps.arcgis.com/apps/mapviewer/index.html?url=https%3A%2F%2Fservices5.arcgis.com%2F0pgGLzT0Nh7FVjon%2Farcgis%2Frest%2Fservices%2FFFCL_gdb%2FFeatureServer%2F3&amp;find="&amp;$F458&amp;"%2C"&amp;$E458&amp;"&amp;marker="&amp;$F458&amp;","&amp;$E458&amp;",4326&amp;level=16","https://fema.maps.arcgis.com/apps/mapviewer/index.html?find="&amp;$F458&amp;"%2C"&amp;$E458&amp;"&amp;marker="&amp;$F458&amp;","&amp;$E458&amp;",4326&amp;level=16"))),"Open"))</f>
        <v/>
      </c>
      <c r="N458" s="6" t="str">
        <f>IF(OR(JobAgolMap="", $E458="", $F458=""),"",HYPERLINK(JobAgolMap&amp;IF(ISNUMBER(FIND("?",JobAgolMap)),"&amp;","?")&amp;"center="&amp;$F458&amp;","&amp;$E458&amp;"&amp;level=16&amp;marker="&amp;$F458&amp;","&amp;$E458,"Open"))</f>
        <v/>
      </c>
      <c r="O458" s="6" t="str">
        <f>IF(OR($E458="",$F458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8" s="4"/>
      <c r="Q458" s="4"/>
      <c r="R458" s="4"/>
      <c r="S458" s="4"/>
      <c r="T458" s="4"/>
      <c r="U458" s="4"/>
      <c r="V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HYPERLINK(IF(OR(JobState="MI",JobState=""),"https://fema.maps.arcgis.com/apps/mapviewer/index.html?webmap=6a1702b9147243d1a5ee62cd614bc681&amp;center="&amp;$F459&amp;","&amp;$E459&amp;"&amp;level=16&amp;marker="&amp;$F459&amp;","&amp;$E459&amp;"",IF(JobState="IN","https://fema.maps.arcgis.com/apps/mapviewer/index.html?url=https%3A%2F%2Fgisdata.in.gov%2Fserver%2Frest%2Fservices%2FHosted%2FLRSE_Functional_Class%2FFeatureServer%2F22&amp;find="&amp;$F459&amp;"%2C"&amp;$E459&amp;"&amp;marker="&amp;$F459&amp;","&amp;$E459&amp;",4326&amp;level=16",IF(JobState="WI","https://fema.maps.arcgis.com/apps/mapviewer/index.html?url=https%3A%2F%2Fservices5.arcgis.com%2F0pgGLzT0Nh7FVjon%2Farcgis%2Frest%2Fservices%2FFFCL_gdb%2FFeatureServer%2F3&amp;find="&amp;$F459&amp;"%2C"&amp;$E459&amp;"&amp;marker="&amp;$F459&amp;","&amp;$E459&amp;",4326&amp;level=16","https://fema.maps.arcgis.com/apps/mapviewer/index.html?find="&amp;$F459&amp;"%2C"&amp;$E459&amp;"&amp;marker="&amp;$F459&amp;","&amp;$E459&amp;",4326&amp;level=16"))),"Open"))</f>
        <v/>
      </c>
      <c r="N459" s="6" t="str">
        <f>IF(OR(JobAgolMap="", $E459="", $F459=""),"",HYPERLINK(JobAgolMap&amp;IF(ISNUMBER(FIND("?",JobAgolMap)),"&amp;","?")&amp;"center="&amp;$F459&amp;","&amp;$E459&amp;"&amp;level=16&amp;marker="&amp;$F459&amp;","&amp;$E459,"Open"))</f>
        <v/>
      </c>
      <c r="O459" s="6" t="str">
        <f>IF(OR($E459="",$F459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9" s="4"/>
      <c r="Q459" s="4"/>
      <c r="R459" s="4"/>
      <c r="S459" s="4"/>
      <c r="T459" s="4"/>
      <c r="U459" s="4"/>
      <c r="V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HYPERLINK(IF(OR(JobState="MI",JobState=""),"https://fema.maps.arcgis.com/apps/mapviewer/index.html?webmap=6a1702b9147243d1a5ee62cd614bc681&amp;center="&amp;$F460&amp;","&amp;$E460&amp;"&amp;level=16&amp;marker="&amp;$F460&amp;","&amp;$E460&amp;"",IF(JobState="IN","https://fema.maps.arcgis.com/apps/mapviewer/index.html?url=https%3A%2F%2Fgisdata.in.gov%2Fserver%2Frest%2Fservices%2FHosted%2FLRSE_Functional_Class%2FFeatureServer%2F22&amp;find="&amp;$F460&amp;"%2C"&amp;$E460&amp;"&amp;marker="&amp;$F460&amp;","&amp;$E460&amp;",4326&amp;level=16",IF(JobState="WI","https://fema.maps.arcgis.com/apps/mapviewer/index.html?url=https%3A%2F%2Fservices5.arcgis.com%2F0pgGLzT0Nh7FVjon%2Farcgis%2Frest%2Fservices%2FFFCL_gdb%2FFeatureServer%2F3&amp;find="&amp;$F460&amp;"%2C"&amp;$E460&amp;"&amp;marker="&amp;$F460&amp;","&amp;$E460&amp;",4326&amp;level=16","https://fema.maps.arcgis.com/apps/mapviewer/index.html?find="&amp;$F460&amp;"%2C"&amp;$E460&amp;"&amp;marker="&amp;$F460&amp;","&amp;$E460&amp;",4326&amp;level=16"))),"Open"))</f>
        <v/>
      </c>
      <c r="N460" s="6" t="str">
        <f>IF(OR(JobAgolMap="", $E460="", $F460=""),"",HYPERLINK(JobAgolMap&amp;IF(ISNUMBER(FIND("?",JobAgolMap)),"&amp;","?")&amp;"center="&amp;$F460&amp;","&amp;$E460&amp;"&amp;level=16&amp;marker="&amp;$F460&amp;","&amp;$E460,"Open"))</f>
        <v/>
      </c>
      <c r="O460" s="6" t="str">
        <f>IF(OR($E460="",$F460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0" s="4"/>
      <c r="Q460" s="4"/>
      <c r="R460" s="4"/>
      <c r="S460" s="4"/>
      <c r="T460" s="4"/>
      <c r="U460" s="4"/>
      <c r="V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HYPERLINK(IF(OR(JobState="MI",JobState=""),"https://fema.maps.arcgis.com/apps/mapviewer/index.html?webmap=6a1702b9147243d1a5ee62cd614bc681&amp;center="&amp;$F461&amp;","&amp;$E461&amp;"&amp;level=16&amp;marker="&amp;$F461&amp;","&amp;$E461&amp;"",IF(JobState="IN","https://fema.maps.arcgis.com/apps/mapviewer/index.html?url=https%3A%2F%2Fgisdata.in.gov%2Fserver%2Frest%2Fservices%2FHosted%2FLRSE_Functional_Class%2FFeatureServer%2F22&amp;find="&amp;$F461&amp;"%2C"&amp;$E461&amp;"&amp;marker="&amp;$F461&amp;","&amp;$E461&amp;",4326&amp;level=16",IF(JobState="WI","https://fema.maps.arcgis.com/apps/mapviewer/index.html?url=https%3A%2F%2Fservices5.arcgis.com%2F0pgGLzT0Nh7FVjon%2Farcgis%2Frest%2Fservices%2FFFCL_gdb%2FFeatureServer%2F3&amp;find="&amp;$F461&amp;"%2C"&amp;$E461&amp;"&amp;marker="&amp;$F461&amp;","&amp;$E461&amp;",4326&amp;level=16","https://fema.maps.arcgis.com/apps/mapviewer/index.html?find="&amp;$F461&amp;"%2C"&amp;$E461&amp;"&amp;marker="&amp;$F461&amp;","&amp;$E461&amp;",4326&amp;level=16"))),"Open"))</f>
        <v/>
      </c>
      <c r="N461" s="6" t="str">
        <f>IF(OR(JobAgolMap="", $E461="", $F461=""),"",HYPERLINK(JobAgolMap&amp;IF(ISNUMBER(FIND("?",JobAgolMap)),"&amp;","?")&amp;"center="&amp;$F461&amp;","&amp;$E461&amp;"&amp;level=16&amp;marker="&amp;$F461&amp;","&amp;$E461,"Open"))</f>
        <v/>
      </c>
      <c r="O461" s="6" t="str">
        <f>IF(OR($E461="",$F461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1" s="4"/>
      <c r="Q461" s="4"/>
      <c r="R461" s="4"/>
      <c r="S461" s="4"/>
      <c r="T461" s="4"/>
      <c r="U461" s="4"/>
      <c r="V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HYPERLINK(IF(OR(JobState="MI",JobState=""),"https://fema.maps.arcgis.com/apps/mapviewer/index.html?webmap=6a1702b9147243d1a5ee62cd614bc681&amp;center="&amp;$F462&amp;","&amp;$E462&amp;"&amp;level=16&amp;marker="&amp;$F462&amp;","&amp;$E462&amp;"",IF(JobState="IN","https://fema.maps.arcgis.com/apps/mapviewer/index.html?url=https%3A%2F%2Fgisdata.in.gov%2Fserver%2Frest%2Fservices%2FHosted%2FLRSE_Functional_Class%2FFeatureServer%2F22&amp;find="&amp;$F462&amp;"%2C"&amp;$E462&amp;"&amp;marker="&amp;$F462&amp;","&amp;$E462&amp;",4326&amp;level=16",IF(JobState="WI","https://fema.maps.arcgis.com/apps/mapviewer/index.html?url=https%3A%2F%2Fservices5.arcgis.com%2F0pgGLzT0Nh7FVjon%2Farcgis%2Frest%2Fservices%2FFFCL_gdb%2FFeatureServer%2F3&amp;find="&amp;$F462&amp;"%2C"&amp;$E462&amp;"&amp;marker="&amp;$F462&amp;","&amp;$E462&amp;",4326&amp;level=16","https://fema.maps.arcgis.com/apps/mapviewer/index.html?find="&amp;$F462&amp;"%2C"&amp;$E462&amp;"&amp;marker="&amp;$F462&amp;","&amp;$E462&amp;",4326&amp;level=16"))),"Open"))</f>
        <v/>
      </c>
      <c r="N462" s="6" t="str">
        <f>IF(OR(JobAgolMap="", $E462="", $F462=""),"",HYPERLINK(JobAgolMap&amp;IF(ISNUMBER(FIND("?",JobAgolMap)),"&amp;","?")&amp;"center="&amp;$F462&amp;","&amp;$E462&amp;"&amp;level=16&amp;marker="&amp;$F462&amp;","&amp;$E462,"Open"))</f>
        <v/>
      </c>
      <c r="O462" s="6" t="str">
        <f>IF(OR($E462="",$F462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2" s="4"/>
      <c r="Q462" s="4"/>
      <c r="R462" s="4"/>
      <c r="S462" s="4"/>
      <c r="T462" s="4"/>
      <c r="U462" s="4"/>
      <c r="V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HYPERLINK(IF(OR(JobState="MI",JobState=""),"https://fema.maps.arcgis.com/apps/mapviewer/index.html?webmap=6a1702b9147243d1a5ee62cd614bc681&amp;center="&amp;$F463&amp;","&amp;$E463&amp;"&amp;level=16&amp;marker="&amp;$F463&amp;","&amp;$E463&amp;"",IF(JobState="IN","https://fema.maps.arcgis.com/apps/mapviewer/index.html?url=https%3A%2F%2Fgisdata.in.gov%2Fserver%2Frest%2Fservices%2FHosted%2FLRSE_Functional_Class%2FFeatureServer%2F22&amp;find="&amp;$F463&amp;"%2C"&amp;$E463&amp;"&amp;marker="&amp;$F463&amp;","&amp;$E463&amp;",4326&amp;level=16",IF(JobState="WI","https://fema.maps.arcgis.com/apps/mapviewer/index.html?url=https%3A%2F%2Fservices5.arcgis.com%2F0pgGLzT0Nh7FVjon%2Farcgis%2Frest%2Fservices%2FFFCL_gdb%2FFeatureServer%2F3&amp;find="&amp;$F463&amp;"%2C"&amp;$E463&amp;"&amp;marker="&amp;$F463&amp;","&amp;$E463&amp;",4326&amp;level=16","https://fema.maps.arcgis.com/apps/mapviewer/index.html?find="&amp;$F463&amp;"%2C"&amp;$E463&amp;"&amp;marker="&amp;$F463&amp;","&amp;$E463&amp;",4326&amp;level=16"))),"Open"))</f>
        <v/>
      </c>
      <c r="N463" s="6" t="str">
        <f>IF(OR(JobAgolMap="", $E463="", $F463=""),"",HYPERLINK(JobAgolMap&amp;IF(ISNUMBER(FIND("?",JobAgolMap)),"&amp;","?")&amp;"center="&amp;$F463&amp;","&amp;$E463&amp;"&amp;level=16&amp;marker="&amp;$F463&amp;","&amp;$E463,"Open"))</f>
        <v/>
      </c>
      <c r="O463" s="6" t="str">
        <f>IF(OR($E463="",$F463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3" s="4"/>
      <c r="Q463" s="4"/>
      <c r="R463" s="4"/>
      <c r="S463" s="4"/>
      <c r="T463" s="4"/>
      <c r="U463" s="4"/>
      <c r="V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HYPERLINK(IF(OR(JobState="MI",JobState=""),"https://fema.maps.arcgis.com/apps/mapviewer/index.html?webmap=6a1702b9147243d1a5ee62cd614bc681&amp;center="&amp;$F464&amp;","&amp;$E464&amp;"&amp;level=16&amp;marker="&amp;$F464&amp;","&amp;$E464&amp;"",IF(JobState="IN","https://fema.maps.arcgis.com/apps/mapviewer/index.html?url=https%3A%2F%2Fgisdata.in.gov%2Fserver%2Frest%2Fservices%2FHosted%2FLRSE_Functional_Class%2FFeatureServer%2F22&amp;find="&amp;$F464&amp;"%2C"&amp;$E464&amp;"&amp;marker="&amp;$F464&amp;","&amp;$E464&amp;",4326&amp;level=16",IF(JobState="WI","https://fema.maps.arcgis.com/apps/mapviewer/index.html?url=https%3A%2F%2Fservices5.arcgis.com%2F0pgGLzT0Nh7FVjon%2Farcgis%2Frest%2Fservices%2FFFCL_gdb%2FFeatureServer%2F3&amp;find="&amp;$F464&amp;"%2C"&amp;$E464&amp;"&amp;marker="&amp;$F464&amp;","&amp;$E464&amp;",4326&amp;level=16","https://fema.maps.arcgis.com/apps/mapviewer/index.html?find="&amp;$F464&amp;"%2C"&amp;$E464&amp;"&amp;marker="&amp;$F464&amp;","&amp;$E464&amp;",4326&amp;level=16"))),"Open"))</f>
        <v/>
      </c>
      <c r="N464" s="6" t="str">
        <f>IF(OR(JobAgolMap="", $E464="", $F464=""),"",HYPERLINK(JobAgolMap&amp;IF(ISNUMBER(FIND("?",JobAgolMap)),"&amp;","?")&amp;"center="&amp;$F464&amp;","&amp;$E464&amp;"&amp;level=16&amp;marker="&amp;$F464&amp;","&amp;$E464,"Open"))</f>
        <v/>
      </c>
      <c r="O464" s="6" t="str">
        <f>IF(OR($E464="",$F464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4" s="4"/>
      <c r="Q464" s="4"/>
      <c r="R464" s="4"/>
      <c r="S464" s="4"/>
      <c r="T464" s="4"/>
      <c r="U464" s="4"/>
      <c r="V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HYPERLINK(IF(OR(JobState="MI",JobState=""),"https://fema.maps.arcgis.com/apps/mapviewer/index.html?webmap=6a1702b9147243d1a5ee62cd614bc681&amp;center="&amp;$F465&amp;","&amp;$E465&amp;"&amp;level=16&amp;marker="&amp;$F465&amp;","&amp;$E465&amp;"",IF(JobState="IN","https://fema.maps.arcgis.com/apps/mapviewer/index.html?url=https%3A%2F%2Fgisdata.in.gov%2Fserver%2Frest%2Fservices%2FHosted%2FLRSE_Functional_Class%2FFeatureServer%2F22&amp;find="&amp;$F465&amp;"%2C"&amp;$E465&amp;"&amp;marker="&amp;$F465&amp;","&amp;$E465&amp;",4326&amp;level=16",IF(JobState="WI","https://fema.maps.arcgis.com/apps/mapviewer/index.html?url=https%3A%2F%2Fservices5.arcgis.com%2F0pgGLzT0Nh7FVjon%2Farcgis%2Frest%2Fservices%2FFFCL_gdb%2FFeatureServer%2F3&amp;find="&amp;$F465&amp;"%2C"&amp;$E465&amp;"&amp;marker="&amp;$F465&amp;","&amp;$E465&amp;",4326&amp;level=16","https://fema.maps.arcgis.com/apps/mapviewer/index.html?find="&amp;$F465&amp;"%2C"&amp;$E465&amp;"&amp;marker="&amp;$F465&amp;","&amp;$E465&amp;",4326&amp;level=16"))),"Open"))</f>
        <v/>
      </c>
      <c r="N465" s="6" t="str">
        <f>IF(OR(JobAgolMap="", $E465="", $F465=""),"",HYPERLINK(JobAgolMap&amp;IF(ISNUMBER(FIND("?",JobAgolMap)),"&amp;","?")&amp;"center="&amp;$F465&amp;","&amp;$E465&amp;"&amp;level=16&amp;marker="&amp;$F465&amp;","&amp;$E465,"Open"))</f>
        <v/>
      </c>
      <c r="O465" s="6" t="str">
        <f>IF(OR($E465="",$F465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5" s="4"/>
      <c r="Q465" s="4"/>
      <c r="R465" s="4"/>
      <c r="S465" s="4"/>
      <c r="T465" s="4"/>
      <c r="U465" s="4"/>
      <c r="V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HYPERLINK(IF(OR(JobState="MI",JobState=""),"https://fema.maps.arcgis.com/apps/mapviewer/index.html?webmap=6a1702b9147243d1a5ee62cd614bc681&amp;center="&amp;$F466&amp;","&amp;$E466&amp;"&amp;level=16&amp;marker="&amp;$F466&amp;","&amp;$E466&amp;"",IF(JobState="IN","https://fema.maps.arcgis.com/apps/mapviewer/index.html?url=https%3A%2F%2Fgisdata.in.gov%2Fserver%2Frest%2Fservices%2FHosted%2FLRSE_Functional_Class%2FFeatureServer%2F22&amp;find="&amp;$F466&amp;"%2C"&amp;$E466&amp;"&amp;marker="&amp;$F466&amp;","&amp;$E466&amp;",4326&amp;level=16",IF(JobState="WI","https://fema.maps.arcgis.com/apps/mapviewer/index.html?url=https%3A%2F%2Fservices5.arcgis.com%2F0pgGLzT0Nh7FVjon%2Farcgis%2Frest%2Fservices%2FFFCL_gdb%2FFeatureServer%2F3&amp;find="&amp;$F466&amp;"%2C"&amp;$E466&amp;"&amp;marker="&amp;$F466&amp;","&amp;$E466&amp;",4326&amp;level=16","https://fema.maps.arcgis.com/apps/mapviewer/index.html?find="&amp;$F466&amp;"%2C"&amp;$E466&amp;"&amp;marker="&amp;$F466&amp;","&amp;$E466&amp;",4326&amp;level=16"))),"Open"))</f>
        <v/>
      </c>
      <c r="N466" s="6" t="str">
        <f>IF(OR(JobAgolMap="", $E466="", $F466=""),"",HYPERLINK(JobAgolMap&amp;IF(ISNUMBER(FIND("?",JobAgolMap)),"&amp;","?")&amp;"center="&amp;$F466&amp;","&amp;$E466&amp;"&amp;level=16&amp;marker="&amp;$F466&amp;","&amp;$E466,"Open"))</f>
        <v/>
      </c>
      <c r="O466" s="6" t="str">
        <f>IF(OR($E466="",$F466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6" s="4"/>
      <c r="Q466" s="4"/>
      <c r="R466" s="4"/>
      <c r="S466" s="4"/>
      <c r="T466" s="4"/>
      <c r="U466" s="4"/>
      <c r="V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HYPERLINK(IF(OR(JobState="MI",JobState=""),"https://fema.maps.arcgis.com/apps/mapviewer/index.html?webmap=6a1702b9147243d1a5ee62cd614bc681&amp;center="&amp;$F467&amp;","&amp;$E467&amp;"&amp;level=16&amp;marker="&amp;$F467&amp;","&amp;$E467&amp;"",IF(JobState="IN","https://fema.maps.arcgis.com/apps/mapviewer/index.html?url=https%3A%2F%2Fgisdata.in.gov%2Fserver%2Frest%2Fservices%2FHosted%2FLRSE_Functional_Class%2FFeatureServer%2F22&amp;find="&amp;$F467&amp;"%2C"&amp;$E467&amp;"&amp;marker="&amp;$F467&amp;","&amp;$E467&amp;",4326&amp;level=16",IF(JobState="WI","https://fema.maps.arcgis.com/apps/mapviewer/index.html?url=https%3A%2F%2Fservices5.arcgis.com%2F0pgGLzT0Nh7FVjon%2Farcgis%2Frest%2Fservices%2FFFCL_gdb%2FFeatureServer%2F3&amp;find="&amp;$F467&amp;"%2C"&amp;$E467&amp;"&amp;marker="&amp;$F467&amp;","&amp;$E467&amp;",4326&amp;level=16","https://fema.maps.arcgis.com/apps/mapviewer/index.html?find="&amp;$F467&amp;"%2C"&amp;$E467&amp;"&amp;marker="&amp;$F467&amp;","&amp;$E467&amp;",4326&amp;level=16"))),"Open"))</f>
        <v/>
      </c>
      <c r="N467" s="6" t="str">
        <f>IF(OR(JobAgolMap="", $E467="", $F467=""),"",HYPERLINK(JobAgolMap&amp;IF(ISNUMBER(FIND("?",JobAgolMap)),"&amp;","?")&amp;"center="&amp;$F467&amp;","&amp;$E467&amp;"&amp;level=16&amp;marker="&amp;$F467&amp;","&amp;$E467,"Open"))</f>
        <v/>
      </c>
      <c r="O467" s="6" t="str">
        <f>IF(OR($E467="",$F467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7" s="4"/>
      <c r="Q467" s="4"/>
      <c r="R467" s="4"/>
      <c r="S467" s="4"/>
      <c r="T467" s="4"/>
      <c r="U467" s="4"/>
      <c r="V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HYPERLINK(IF(OR(JobState="MI",JobState=""),"https://fema.maps.arcgis.com/apps/mapviewer/index.html?webmap=6a1702b9147243d1a5ee62cd614bc681&amp;center="&amp;$F468&amp;","&amp;$E468&amp;"&amp;level=16&amp;marker="&amp;$F468&amp;","&amp;$E468&amp;"",IF(JobState="IN","https://fema.maps.arcgis.com/apps/mapviewer/index.html?url=https%3A%2F%2Fgisdata.in.gov%2Fserver%2Frest%2Fservices%2FHosted%2FLRSE_Functional_Class%2FFeatureServer%2F22&amp;find="&amp;$F468&amp;"%2C"&amp;$E468&amp;"&amp;marker="&amp;$F468&amp;","&amp;$E468&amp;",4326&amp;level=16",IF(JobState="WI","https://fema.maps.arcgis.com/apps/mapviewer/index.html?url=https%3A%2F%2Fservices5.arcgis.com%2F0pgGLzT0Nh7FVjon%2Farcgis%2Frest%2Fservices%2FFFCL_gdb%2FFeatureServer%2F3&amp;find="&amp;$F468&amp;"%2C"&amp;$E468&amp;"&amp;marker="&amp;$F468&amp;","&amp;$E468&amp;",4326&amp;level=16","https://fema.maps.arcgis.com/apps/mapviewer/index.html?find="&amp;$F468&amp;"%2C"&amp;$E468&amp;"&amp;marker="&amp;$F468&amp;","&amp;$E468&amp;",4326&amp;level=16"))),"Open"))</f>
        <v/>
      </c>
      <c r="N468" s="6" t="str">
        <f>IF(OR(JobAgolMap="", $E468="", $F468=""),"",HYPERLINK(JobAgolMap&amp;IF(ISNUMBER(FIND("?",JobAgolMap)),"&amp;","?")&amp;"center="&amp;$F468&amp;","&amp;$E468&amp;"&amp;level=16&amp;marker="&amp;$F468&amp;","&amp;$E468,"Open"))</f>
        <v/>
      </c>
      <c r="O468" s="6" t="str">
        <f>IF(OR($E468="",$F468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8" s="4"/>
      <c r="Q468" s="4"/>
      <c r="R468" s="4"/>
      <c r="S468" s="4"/>
      <c r="T468" s="4"/>
      <c r="U468" s="4"/>
      <c r="V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HYPERLINK(IF(OR(JobState="MI",JobState=""),"https://fema.maps.arcgis.com/apps/mapviewer/index.html?webmap=6a1702b9147243d1a5ee62cd614bc681&amp;center="&amp;$F469&amp;","&amp;$E469&amp;"&amp;level=16&amp;marker="&amp;$F469&amp;","&amp;$E469&amp;"",IF(JobState="IN","https://fema.maps.arcgis.com/apps/mapviewer/index.html?url=https%3A%2F%2Fgisdata.in.gov%2Fserver%2Frest%2Fservices%2FHosted%2FLRSE_Functional_Class%2FFeatureServer%2F22&amp;find="&amp;$F469&amp;"%2C"&amp;$E469&amp;"&amp;marker="&amp;$F469&amp;","&amp;$E469&amp;",4326&amp;level=16",IF(JobState="WI","https://fema.maps.arcgis.com/apps/mapviewer/index.html?url=https%3A%2F%2Fservices5.arcgis.com%2F0pgGLzT0Nh7FVjon%2Farcgis%2Frest%2Fservices%2FFFCL_gdb%2FFeatureServer%2F3&amp;find="&amp;$F469&amp;"%2C"&amp;$E469&amp;"&amp;marker="&amp;$F469&amp;","&amp;$E469&amp;",4326&amp;level=16","https://fema.maps.arcgis.com/apps/mapviewer/index.html?find="&amp;$F469&amp;"%2C"&amp;$E469&amp;"&amp;marker="&amp;$F469&amp;","&amp;$E469&amp;",4326&amp;level=16"))),"Open"))</f>
        <v/>
      </c>
      <c r="N469" s="6" t="str">
        <f>IF(OR(JobAgolMap="", $E469="", $F469=""),"",HYPERLINK(JobAgolMap&amp;IF(ISNUMBER(FIND("?",JobAgolMap)),"&amp;","?")&amp;"center="&amp;$F469&amp;","&amp;$E469&amp;"&amp;level=16&amp;marker="&amp;$F469&amp;","&amp;$E469,"Open"))</f>
        <v/>
      </c>
      <c r="O469" s="6" t="str">
        <f>IF(OR($E469="",$F469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9" s="4"/>
      <c r="Q469" s="4"/>
      <c r="R469" s="4"/>
      <c r="S469" s="4"/>
      <c r="T469" s="4"/>
      <c r="U469" s="4"/>
      <c r="V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HYPERLINK(IF(OR(JobState="MI",JobState=""),"https://fema.maps.arcgis.com/apps/mapviewer/index.html?webmap=6a1702b9147243d1a5ee62cd614bc681&amp;center="&amp;$F470&amp;","&amp;$E470&amp;"&amp;level=16&amp;marker="&amp;$F470&amp;","&amp;$E470&amp;"",IF(JobState="IN","https://fema.maps.arcgis.com/apps/mapviewer/index.html?url=https%3A%2F%2Fgisdata.in.gov%2Fserver%2Frest%2Fservices%2FHosted%2FLRSE_Functional_Class%2FFeatureServer%2F22&amp;find="&amp;$F470&amp;"%2C"&amp;$E470&amp;"&amp;marker="&amp;$F470&amp;","&amp;$E470&amp;",4326&amp;level=16",IF(JobState="WI","https://fema.maps.arcgis.com/apps/mapviewer/index.html?url=https%3A%2F%2Fservices5.arcgis.com%2F0pgGLzT0Nh7FVjon%2Farcgis%2Frest%2Fservices%2FFFCL_gdb%2FFeatureServer%2F3&amp;find="&amp;$F470&amp;"%2C"&amp;$E470&amp;"&amp;marker="&amp;$F470&amp;","&amp;$E470&amp;",4326&amp;level=16","https://fema.maps.arcgis.com/apps/mapviewer/index.html?find="&amp;$F470&amp;"%2C"&amp;$E470&amp;"&amp;marker="&amp;$F470&amp;","&amp;$E470&amp;",4326&amp;level=16"))),"Open"))</f>
        <v/>
      </c>
      <c r="N470" s="6" t="str">
        <f>IF(OR(JobAgolMap="", $E470="", $F470=""),"",HYPERLINK(JobAgolMap&amp;IF(ISNUMBER(FIND("?",JobAgolMap)),"&amp;","?")&amp;"center="&amp;$F470&amp;","&amp;$E470&amp;"&amp;level=16&amp;marker="&amp;$F470&amp;","&amp;$E470,"Open"))</f>
        <v/>
      </c>
      <c r="O470" s="6" t="str">
        <f>IF(OR($E470="",$F470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0" s="4"/>
      <c r="Q470" s="4"/>
      <c r="R470" s="4"/>
      <c r="S470" s="4"/>
      <c r="T470" s="4"/>
      <c r="U470" s="4"/>
      <c r="V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HYPERLINK(IF(OR(JobState="MI",JobState=""),"https://fema.maps.arcgis.com/apps/mapviewer/index.html?webmap=6a1702b9147243d1a5ee62cd614bc681&amp;center="&amp;$F471&amp;","&amp;$E471&amp;"&amp;level=16&amp;marker="&amp;$F471&amp;","&amp;$E471&amp;"",IF(JobState="IN","https://fema.maps.arcgis.com/apps/mapviewer/index.html?url=https%3A%2F%2Fgisdata.in.gov%2Fserver%2Frest%2Fservices%2FHosted%2FLRSE_Functional_Class%2FFeatureServer%2F22&amp;find="&amp;$F471&amp;"%2C"&amp;$E471&amp;"&amp;marker="&amp;$F471&amp;","&amp;$E471&amp;",4326&amp;level=16",IF(JobState="WI","https://fema.maps.arcgis.com/apps/mapviewer/index.html?url=https%3A%2F%2Fservices5.arcgis.com%2F0pgGLzT0Nh7FVjon%2Farcgis%2Frest%2Fservices%2FFFCL_gdb%2FFeatureServer%2F3&amp;find="&amp;$F471&amp;"%2C"&amp;$E471&amp;"&amp;marker="&amp;$F471&amp;","&amp;$E471&amp;",4326&amp;level=16","https://fema.maps.arcgis.com/apps/mapviewer/index.html?find="&amp;$F471&amp;"%2C"&amp;$E471&amp;"&amp;marker="&amp;$F471&amp;","&amp;$E471&amp;",4326&amp;level=16"))),"Open"))</f>
        <v/>
      </c>
      <c r="N471" s="6" t="str">
        <f>IF(OR(JobAgolMap="", $E471="", $F471=""),"",HYPERLINK(JobAgolMap&amp;IF(ISNUMBER(FIND("?",JobAgolMap)),"&amp;","?")&amp;"center="&amp;$F471&amp;","&amp;$E471&amp;"&amp;level=16&amp;marker="&amp;$F471&amp;","&amp;$E471,"Open"))</f>
        <v/>
      </c>
      <c r="O471" s="6" t="str">
        <f>IF(OR($E471="",$F471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1" s="4"/>
      <c r="Q471" s="4"/>
      <c r="R471" s="4"/>
      <c r="S471" s="4"/>
      <c r="T471" s="4"/>
      <c r="U471" s="4"/>
      <c r="V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HYPERLINK(IF(OR(JobState="MI",JobState=""),"https://fema.maps.arcgis.com/apps/mapviewer/index.html?webmap=6a1702b9147243d1a5ee62cd614bc681&amp;center="&amp;$F472&amp;","&amp;$E472&amp;"&amp;level=16&amp;marker="&amp;$F472&amp;","&amp;$E472&amp;"",IF(JobState="IN","https://fema.maps.arcgis.com/apps/mapviewer/index.html?url=https%3A%2F%2Fgisdata.in.gov%2Fserver%2Frest%2Fservices%2FHosted%2FLRSE_Functional_Class%2FFeatureServer%2F22&amp;find="&amp;$F472&amp;"%2C"&amp;$E472&amp;"&amp;marker="&amp;$F472&amp;","&amp;$E472&amp;",4326&amp;level=16",IF(JobState="WI","https://fema.maps.arcgis.com/apps/mapviewer/index.html?url=https%3A%2F%2Fservices5.arcgis.com%2F0pgGLzT0Nh7FVjon%2Farcgis%2Frest%2Fservices%2FFFCL_gdb%2FFeatureServer%2F3&amp;find="&amp;$F472&amp;"%2C"&amp;$E472&amp;"&amp;marker="&amp;$F472&amp;","&amp;$E472&amp;",4326&amp;level=16","https://fema.maps.arcgis.com/apps/mapviewer/index.html?find="&amp;$F472&amp;"%2C"&amp;$E472&amp;"&amp;marker="&amp;$F472&amp;","&amp;$E472&amp;",4326&amp;level=16"))),"Open"))</f>
        <v/>
      </c>
      <c r="N472" s="6" t="str">
        <f>IF(OR(JobAgolMap="", $E472="", $F472=""),"",HYPERLINK(JobAgolMap&amp;IF(ISNUMBER(FIND("?",JobAgolMap)),"&amp;","?")&amp;"center="&amp;$F472&amp;","&amp;$E472&amp;"&amp;level=16&amp;marker="&amp;$F472&amp;","&amp;$E472,"Open"))</f>
        <v/>
      </c>
      <c r="O472" s="6" t="str">
        <f>IF(OR($E472="",$F472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2" s="4"/>
      <c r="Q472" s="4"/>
      <c r="R472" s="4"/>
      <c r="S472" s="4"/>
      <c r="T472" s="4"/>
      <c r="U472" s="4"/>
      <c r="V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HYPERLINK(IF(OR(JobState="MI",JobState=""),"https://fema.maps.arcgis.com/apps/mapviewer/index.html?webmap=6a1702b9147243d1a5ee62cd614bc681&amp;center="&amp;$F473&amp;","&amp;$E473&amp;"&amp;level=16&amp;marker="&amp;$F473&amp;","&amp;$E473&amp;"",IF(JobState="IN","https://fema.maps.arcgis.com/apps/mapviewer/index.html?url=https%3A%2F%2Fgisdata.in.gov%2Fserver%2Frest%2Fservices%2FHosted%2FLRSE_Functional_Class%2FFeatureServer%2F22&amp;find="&amp;$F473&amp;"%2C"&amp;$E473&amp;"&amp;marker="&amp;$F473&amp;","&amp;$E473&amp;",4326&amp;level=16",IF(JobState="WI","https://fema.maps.arcgis.com/apps/mapviewer/index.html?url=https%3A%2F%2Fservices5.arcgis.com%2F0pgGLzT0Nh7FVjon%2Farcgis%2Frest%2Fservices%2FFFCL_gdb%2FFeatureServer%2F3&amp;find="&amp;$F473&amp;"%2C"&amp;$E473&amp;"&amp;marker="&amp;$F473&amp;","&amp;$E473&amp;",4326&amp;level=16","https://fema.maps.arcgis.com/apps/mapviewer/index.html?find="&amp;$F473&amp;"%2C"&amp;$E473&amp;"&amp;marker="&amp;$F473&amp;","&amp;$E473&amp;",4326&amp;level=16"))),"Open"))</f>
        <v/>
      </c>
      <c r="N473" s="6" t="str">
        <f>IF(OR(JobAgolMap="", $E473="", $F473=""),"",HYPERLINK(JobAgolMap&amp;IF(ISNUMBER(FIND("?",JobAgolMap)),"&amp;","?")&amp;"center="&amp;$F473&amp;","&amp;$E473&amp;"&amp;level=16&amp;marker="&amp;$F473&amp;","&amp;$E473,"Open"))</f>
        <v/>
      </c>
      <c r="O473" s="6" t="str">
        <f>IF(OR($E473="",$F473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3" s="4"/>
      <c r="Q473" s="4"/>
      <c r="R473" s="4"/>
      <c r="S473" s="4"/>
      <c r="T473" s="4"/>
      <c r="U473" s="4"/>
      <c r="V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HYPERLINK(IF(OR(JobState="MI",JobState=""),"https://fema.maps.arcgis.com/apps/mapviewer/index.html?webmap=6a1702b9147243d1a5ee62cd614bc681&amp;center="&amp;$F474&amp;","&amp;$E474&amp;"&amp;level=16&amp;marker="&amp;$F474&amp;","&amp;$E474&amp;"",IF(JobState="IN","https://fema.maps.arcgis.com/apps/mapviewer/index.html?url=https%3A%2F%2Fgisdata.in.gov%2Fserver%2Frest%2Fservices%2FHosted%2FLRSE_Functional_Class%2FFeatureServer%2F22&amp;find="&amp;$F474&amp;"%2C"&amp;$E474&amp;"&amp;marker="&amp;$F474&amp;","&amp;$E474&amp;",4326&amp;level=16",IF(JobState="WI","https://fema.maps.arcgis.com/apps/mapviewer/index.html?url=https%3A%2F%2Fservices5.arcgis.com%2F0pgGLzT0Nh7FVjon%2Farcgis%2Frest%2Fservices%2FFFCL_gdb%2FFeatureServer%2F3&amp;find="&amp;$F474&amp;"%2C"&amp;$E474&amp;"&amp;marker="&amp;$F474&amp;","&amp;$E474&amp;",4326&amp;level=16","https://fema.maps.arcgis.com/apps/mapviewer/index.html?find="&amp;$F474&amp;"%2C"&amp;$E474&amp;"&amp;marker="&amp;$F474&amp;","&amp;$E474&amp;",4326&amp;level=16"))),"Open"))</f>
        <v/>
      </c>
      <c r="N474" s="6" t="str">
        <f>IF(OR(JobAgolMap="", $E474="", $F474=""),"",HYPERLINK(JobAgolMap&amp;IF(ISNUMBER(FIND("?",JobAgolMap)),"&amp;","?")&amp;"center="&amp;$F474&amp;","&amp;$E474&amp;"&amp;level=16&amp;marker="&amp;$F474&amp;","&amp;$E474,"Open"))</f>
        <v/>
      </c>
      <c r="O474" s="6" t="str">
        <f>IF(OR($E474="",$F474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4" s="4"/>
      <c r="Q474" s="4"/>
      <c r="R474" s="4"/>
      <c r="S474" s="4"/>
      <c r="T474" s="4"/>
      <c r="U474" s="4"/>
      <c r="V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HYPERLINK(IF(OR(JobState="MI",JobState=""),"https://fema.maps.arcgis.com/apps/mapviewer/index.html?webmap=6a1702b9147243d1a5ee62cd614bc681&amp;center="&amp;$F475&amp;","&amp;$E475&amp;"&amp;level=16&amp;marker="&amp;$F475&amp;","&amp;$E475&amp;"",IF(JobState="IN","https://fema.maps.arcgis.com/apps/mapviewer/index.html?url=https%3A%2F%2Fgisdata.in.gov%2Fserver%2Frest%2Fservices%2FHosted%2FLRSE_Functional_Class%2FFeatureServer%2F22&amp;find="&amp;$F475&amp;"%2C"&amp;$E475&amp;"&amp;marker="&amp;$F475&amp;","&amp;$E475&amp;",4326&amp;level=16",IF(JobState="WI","https://fema.maps.arcgis.com/apps/mapviewer/index.html?url=https%3A%2F%2Fservices5.arcgis.com%2F0pgGLzT0Nh7FVjon%2Farcgis%2Frest%2Fservices%2FFFCL_gdb%2FFeatureServer%2F3&amp;find="&amp;$F475&amp;"%2C"&amp;$E475&amp;"&amp;marker="&amp;$F475&amp;","&amp;$E475&amp;",4326&amp;level=16","https://fema.maps.arcgis.com/apps/mapviewer/index.html?find="&amp;$F475&amp;"%2C"&amp;$E475&amp;"&amp;marker="&amp;$F475&amp;","&amp;$E475&amp;",4326&amp;level=16"))),"Open"))</f>
        <v/>
      </c>
      <c r="N475" s="6" t="str">
        <f>IF(OR(JobAgolMap="", $E475="", $F475=""),"",HYPERLINK(JobAgolMap&amp;IF(ISNUMBER(FIND("?",JobAgolMap)),"&amp;","?")&amp;"center="&amp;$F475&amp;","&amp;$E475&amp;"&amp;level=16&amp;marker="&amp;$F475&amp;","&amp;$E475,"Open"))</f>
        <v/>
      </c>
      <c r="O475" s="6" t="str">
        <f>IF(OR($E475="",$F475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5" s="4"/>
      <c r="Q475" s="4"/>
      <c r="R475" s="4"/>
      <c r="S475" s="4"/>
      <c r="T475" s="4"/>
      <c r="U475" s="4"/>
      <c r="V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HYPERLINK(IF(OR(JobState="MI",JobState=""),"https://fema.maps.arcgis.com/apps/mapviewer/index.html?webmap=6a1702b9147243d1a5ee62cd614bc681&amp;center="&amp;$F476&amp;","&amp;$E476&amp;"&amp;level=16&amp;marker="&amp;$F476&amp;","&amp;$E476&amp;"",IF(JobState="IN","https://fema.maps.arcgis.com/apps/mapviewer/index.html?url=https%3A%2F%2Fgisdata.in.gov%2Fserver%2Frest%2Fservices%2FHosted%2FLRSE_Functional_Class%2FFeatureServer%2F22&amp;find="&amp;$F476&amp;"%2C"&amp;$E476&amp;"&amp;marker="&amp;$F476&amp;","&amp;$E476&amp;",4326&amp;level=16",IF(JobState="WI","https://fema.maps.arcgis.com/apps/mapviewer/index.html?url=https%3A%2F%2Fservices5.arcgis.com%2F0pgGLzT0Nh7FVjon%2Farcgis%2Frest%2Fservices%2FFFCL_gdb%2FFeatureServer%2F3&amp;find="&amp;$F476&amp;"%2C"&amp;$E476&amp;"&amp;marker="&amp;$F476&amp;","&amp;$E476&amp;",4326&amp;level=16","https://fema.maps.arcgis.com/apps/mapviewer/index.html?find="&amp;$F476&amp;"%2C"&amp;$E476&amp;"&amp;marker="&amp;$F476&amp;","&amp;$E476&amp;",4326&amp;level=16"))),"Open"))</f>
        <v/>
      </c>
      <c r="N476" s="6" t="str">
        <f>IF(OR(JobAgolMap="", $E476="", $F476=""),"",HYPERLINK(JobAgolMap&amp;IF(ISNUMBER(FIND("?",JobAgolMap)),"&amp;","?")&amp;"center="&amp;$F476&amp;","&amp;$E476&amp;"&amp;level=16&amp;marker="&amp;$F476&amp;","&amp;$E476,"Open"))</f>
        <v/>
      </c>
      <c r="O476" s="6" t="str">
        <f>IF(OR($E476="",$F476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6" s="4"/>
      <c r="Q476" s="4"/>
      <c r="R476" s="4"/>
      <c r="S476" s="4"/>
      <c r="T476" s="4"/>
      <c r="U476" s="4"/>
      <c r="V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HYPERLINK(IF(OR(JobState="MI",JobState=""),"https://fema.maps.arcgis.com/apps/mapviewer/index.html?webmap=6a1702b9147243d1a5ee62cd614bc681&amp;center="&amp;$F477&amp;","&amp;$E477&amp;"&amp;level=16&amp;marker="&amp;$F477&amp;","&amp;$E477&amp;"",IF(JobState="IN","https://fema.maps.arcgis.com/apps/mapviewer/index.html?url=https%3A%2F%2Fgisdata.in.gov%2Fserver%2Frest%2Fservices%2FHosted%2FLRSE_Functional_Class%2FFeatureServer%2F22&amp;find="&amp;$F477&amp;"%2C"&amp;$E477&amp;"&amp;marker="&amp;$F477&amp;","&amp;$E477&amp;",4326&amp;level=16",IF(JobState="WI","https://fema.maps.arcgis.com/apps/mapviewer/index.html?url=https%3A%2F%2Fservices5.arcgis.com%2F0pgGLzT0Nh7FVjon%2Farcgis%2Frest%2Fservices%2FFFCL_gdb%2FFeatureServer%2F3&amp;find="&amp;$F477&amp;"%2C"&amp;$E477&amp;"&amp;marker="&amp;$F477&amp;","&amp;$E477&amp;",4326&amp;level=16","https://fema.maps.arcgis.com/apps/mapviewer/index.html?find="&amp;$F477&amp;"%2C"&amp;$E477&amp;"&amp;marker="&amp;$F477&amp;","&amp;$E477&amp;",4326&amp;level=16"))),"Open"))</f>
        <v/>
      </c>
      <c r="N477" s="6" t="str">
        <f>IF(OR(JobAgolMap="", $E477="", $F477=""),"",HYPERLINK(JobAgolMap&amp;IF(ISNUMBER(FIND("?",JobAgolMap)),"&amp;","?")&amp;"center="&amp;$F477&amp;","&amp;$E477&amp;"&amp;level=16&amp;marker="&amp;$F477&amp;","&amp;$E477,"Open"))</f>
        <v/>
      </c>
      <c r="O477" s="6" t="str">
        <f>IF(OR($E477="",$F477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7" s="4"/>
      <c r="Q477" s="4"/>
      <c r="R477" s="4"/>
      <c r="S477" s="4"/>
      <c r="T477" s="4"/>
      <c r="U477" s="4"/>
      <c r="V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HYPERLINK(IF(OR(JobState="MI",JobState=""),"https://fema.maps.arcgis.com/apps/mapviewer/index.html?webmap=6a1702b9147243d1a5ee62cd614bc681&amp;center="&amp;$F478&amp;","&amp;$E478&amp;"&amp;level=16&amp;marker="&amp;$F478&amp;","&amp;$E478&amp;"",IF(JobState="IN","https://fema.maps.arcgis.com/apps/mapviewer/index.html?url=https%3A%2F%2Fgisdata.in.gov%2Fserver%2Frest%2Fservices%2FHosted%2FLRSE_Functional_Class%2FFeatureServer%2F22&amp;find="&amp;$F478&amp;"%2C"&amp;$E478&amp;"&amp;marker="&amp;$F478&amp;","&amp;$E478&amp;",4326&amp;level=16",IF(JobState="WI","https://fema.maps.arcgis.com/apps/mapviewer/index.html?url=https%3A%2F%2Fservices5.arcgis.com%2F0pgGLzT0Nh7FVjon%2Farcgis%2Frest%2Fservices%2FFFCL_gdb%2FFeatureServer%2F3&amp;find="&amp;$F478&amp;"%2C"&amp;$E478&amp;"&amp;marker="&amp;$F478&amp;","&amp;$E478&amp;",4326&amp;level=16","https://fema.maps.arcgis.com/apps/mapviewer/index.html?find="&amp;$F478&amp;"%2C"&amp;$E478&amp;"&amp;marker="&amp;$F478&amp;","&amp;$E478&amp;",4326&amp;level=16"))),"Open"))</f>
        <v/>
      </c>
      <c r="N478" s="6" t="str">
        <f>IF(OR(JobAgolMap="", $E478="", $F478=""),"",HYPERLINK(JobAgolMap&amp;IF(ISNUMBER(FIND("?",JobAgolMap)),"&amp;","?")&amp;"center="&amp;$F478&amp;","&amp;$E478&amp;"&amp;level=16&amp;marker="&amp;$F478&amp;","&amp;$E478,"Open"))</f>
        <v/>
      </c>
      <c r="O478" s="6" t="str">
        <f>IF(OR($E478="",$F478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8" s="4"/>
      <c r="Q478" s="4"/>
      <c r="R478" s="4"/>
      <c r="S478" s="4"/>
      <c r="T478" s="4"/>
      <c r="U478" s="4"/>
      <c r="V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HYPERLINK(IF(OR(JobState="MI",JobState=""),"https://fema.maps.arcgis.com/apps/mapviewer/index.html?webmap=6a1702b9147243d1a5ee62cd614bc681&amp;center="&amp;$F479&amp;","&amp;$E479&amp;"&amp;level=16&amp;marker="&amp;$F479&amp;","&amp;$E479&amp;"",IF(JobState="IN","https://fema.maps.arcgis.com/apps/mapviewer/index.html?url=https%3A%2F%2Fgisdata.in.gov%2Fserver%2Frest%2Fservices%2FHosted%2FLRSE_Functional_Class%2FFeatureServer%2F22&amp;find="&amp;$F479&amp;"%2C"&amp;$E479&amp;"&amp;marker="&amp;$F479&amp;","&amp;$E479&amp;",4326&amp;level=16",IF(JobState="WI","https://fema.maps.arcgis.com/apps/mapviewer/index.html?url=https%3A%2F%2Fservices5.arcgis.com%2F0pgGLzT0Nh7FVjon%2Farcgis%2Frest%2Fservices%2FFFCL_gdb%2FFeatureServer%2F3&amp;find="&amp;$F479&amp;"%2C"&amp;$E479&amp;"&amp;marker="&amp;$F479&amp;","&amp;$E479&amp;",4326&amp;level=16","https://fema.maps.arcgis.com/apps/mapviewer/index.html?find="&amp;$F479&amp;"%2C"&amp;$E479&amp;"&amp;marker="&amp;$F479&amp;","&amp;$E479&amp;",4326&amp;level=16"))),"Open"))</f>
        <v/>
      </c>
      <c r="N479" s="6" t="str">
        <f>IF(OR(JobAgolMap="", $E479="", $F479=""),"",HYPERLINK(JobAgolMap&amp;IF(ISNUMBER(FIND("?",JobAgolMap)),"&amp;","?")&amp;"center="&amp;$F479&amp;","&amp;$E479&amp;"&amp;level=16&amp;marker="&amp;$F479&amp;","&amp;$E479,"Open"))</f>
        <v/>
      </c>
      <c r="O479" s="6" t="str">
        <f>IF(OR($E479="",$F479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9" s="4"/>
      <c r="Q479" s="4"/>
      <c r="R479" s="4"/>
      <c r="S479" s="4"/>
      <c r="T479" s="4"/>
      <c r="U479" s="4"/>
      <c r="V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HYPERLINK(IF(OR(JobState="MI",JobState=""),"https://fema.maps.arcgis.com/apps/mapviewer/index.html?webmap=6a1702b9147243d1a5ee62cd614bc681&amp;center="&amp;$F480&amp;","&amp;$E480&amp;"&amp;level=16&amp;marker="&amp;$F480&amp;","&amp;$E480&amp;"",IF(JobState="IN","https://fema.maps.arcgis.com/apps/mapviewer/index.html?url=https%3A%2F%2Fgisdata.in.gov%2Fserver%2Frest%2Fservices%2FHosted%2FLRSE_Functional_Class%2FFeatureServer%2F22&amp;find="&amp;$F480&amp;"%2C"&amp;$E480&amp;"&amp;marker="&amp;$F480&amp;","&amp;$E480&amp;",4326&amp;level=16",IF(JobState="WI","https://fema.maps.arcgis.com/apps/mapviewer/index.html?url=https%3A%2F%2Fservices5.arcgis.com%2F0pgGLzT0Nh7FVjon%2Farcgis%2Frest%2Fservices%2FFFCL_gdb%2FFeatureServer%2F3&amp;find="&amp;$F480&amp;"%2C"&amp;$E480&amp;"&amp;marker="&amp;$F480&amp;","&amp;$E480&amp;",4326&amp;level=16","https://fema.maps.arcgis.com/apps/mapviewer/index.html?find="&amp;$F480&amp;"%2C"&amp;$E480&amp;"&amp;marker="&amp;$F480&amp;","&amp;$E480&amp;",4326&amp;level=16"))),"Open"))</f>
        <v/>
      </c>
      <c r="N480" s="6" t="str">
        <f>IF(OR(JobAgolMap="", $E480="", $F480=""),"",HYPERLINK(JobAgolMap&amp;IF(ISNUMBER(FIND("?",JobAgolMap)),"&amp;","?")&amp;"center="&amp;$F480&amp;","&amp;$E480&amp;"&amp;level=16&amp;marker="&amp;$F480&amp;","&amp;$E480,"Open"))</f>
        <v/>
      </c>
      <c r="O480" s="6" t="str">
        <f>IF(OR($E480="",$F480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0" s="4"/>
      <c r="Q480" s="4"/>
      <c r="R480" s="4"/>
      <c r="S480" s="4"/>
      <c r="T480" s="4"/>
      <c r="U480" s="4"/>
      <c r="V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HYPERLINK(IF(OR(JobState="MI",JobState=""),"https://fema.maps.arcgis.com/apps/mapviewer/index.html?webmap=6a1702b9147243d1a5ee62cd614bc681&amp;center="&amp;$F481&amp;","&amp;$E481&amp;"&amp;level=16&amp;marker="&amp;$F481&amp;","&amp;$E481&amp;"",IF(JobState="IN","https://fema.maps.arcgis.com/apps/mapviewer/index.html?url=https%3A%2F%2Fgisdata.in.gov%2Fserver%2Frest%2Fservices%2FHosted%2FLRSE_Functional_Class%2FFeatureServer%2F22&amp;find="&amp;$F481&amp;"%2C"&amp;$E481&amp;"&amp;marker="&amp;$F481&amp;","&amp;$E481&amp;",4326&amp;level=16",IF(JobState="WI","https://fema.maps.arcgis.com/apps/mapviewer/index.html?url=https%3A%2F%2Fservices5.arcgis.com%2F0pgGLzT0Nh7FVjon%2Farcgis%2Frest%2Fservices%2FFFCL_gdb%2FFeatureServer%2F3&amp;find="&amp;$F481&amp;"%2C"&amp;$E481&amp;"&amp;marker="&amp;$F481&amp;","&amp;$E481&amp;",4326&amp;level=16","https://fema.maps.arcgis.com/apps/mapviewer/index.html?find="&amp;$F481&amp;"%2C"&amp;$E481&amp;"&amp;marker="&amp;$F481&amp;","&amp;$E481&amp;",4326&amp;level=16"))),"Open"))</f>
        <v/>
      </c>
      <c r="N481" s="6" t="str">
        <f>IF(OR(JobAgolMap="", $E481="", $F481=""),"",HYPERLINK(JobAgolMap&amp;IF(ISNUMBER(FIND("?",JobAgolMap)),"&amp;","?")&amp;"center="&amp;$F481&amp;","&amp;$E481&amp;"&amp;level=16&amp;marker="&amp;$F481&amp;","&amp;$E481,"Open"))</f>
        <v/>
      </c>
      <c r="O481" s="6" t="str">
        <f>IF(OR($E481="",$F481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1" s="4"/>
      <c r="Q481" s="4"/>
      <c r="R481" s="4"/>
      <c r="S481" s="4"/>
      <c r="T481" s="4"/>
      <c r="U481" s="4"/>
      <c r="V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HYPERLINK(IF(OR(JobState="MI",JobState=""),"https://fema.maps.arcgis.com/apps/mapviewer/index.html?webmap=6a1702b9147243d1a5ee62cd614bc681&amp;center="&amp;$F482&amp;","&amp;$E482&amp;"&amp;level=16&amp;marker="&amp;$F482&amp;","&amp;$E482&amp;"",IF(JobState="IN","https://fema.maps.arcgis.com/apps/mapviewer/index.html?url=https%3A%2F%2Fgisdata.in.gov%2Fserver%2Frest%2Fservices%2FHosted%2FLRSE_Functional_Class%2FFeatureServer%2F22&amp;find="&amp;$F482&amp;"%2C"&amp;$E482&amp;"&amp;marker="&amp;$F482&amp;","&amp;$E482&amp;",4326&amp;level=16",IF(JobState="WI","https://fema.maps.arcgis.com/apps/mapviewer/index.html?url=https%3A%2F%2Fservices5.arcgis.com%2F0pgGLzT0Nh7FVjon%2Farcgis%2Frest%2Fservices%2FFFCL_gdb%2FFeatureServer%2F3&amp;find="&amp;$F482&amp;"%2C"&amp;$E482&amp;"&amp;marker="&amp;$F482&amp;","&amp;$E482&amp;",4326&amp;level=16","https://fema.maps.arcgis.com/apps/mapviewer/index.html?find="&amp;$F482&amp;"%2C"&amp;$E482&amp;"&amp;marker="&amp;$F482&amp;","&amp;$E482&amp;",4326&amp;level=16"))),"Open"))</f>
        <v/>
      </c>
      <c r="N482" s="6" t="str">
        <f>IF(OR(JobAgolMap="", $E482="", $F482=""),"",HYPERLINK(JobAgolMap&amp;IF(ISNUMBER(FIND("?",JobAgolMap)),"&amp;","?")&amp;"center="&amp;$F482&amp;","&amp;$E482&amp;"&amp;level=16&amp;marker="&amp;$F482&amp;","&amp;$E482,"Open"))</f>
        <v/>
      </c>
      <c r="O482" s="6" t="str">
        <f>IF(OR($E482="",$F482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2" s="4"/>
      <c r="Q482" s="4"/>
      <c r="R482" s="4"/>
      <c r="S482" s="4"/>
      <c r="T482" s="4"/>
      <c r="U482" s="4"/>
      <c r="V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HYPERLINK(IF(OR(JobState="MI",JobState=""),"https://fema.maps.arcgis.com/apps/mapviewer/index.html?webmap=6a1702b9147243d1a5ee62cd614bc681&amp;center="&amp;$F483&amp;","&amp;$E483&amp;"&amp;level=16&amp;marker="&amp;$F483&amp;","&amp;$E483&amp;"",IF(JobState="IN","https://fema.maps.arcgis.com/apps/mapviewer/index.html?url=https%3A%2F%2Fgisdata.in.gov%2Fserver%2Frest%2Fservices%2FHosted%2FLRSE_Functional_Class%2FFeatureServer%2F22&amp;find="&amp;$F483&amp;"%2C"&amp;$E483&amp;"&amp;marker="&amp;$F483&amp;","&amp;$E483&amp;",4326&amp;level=16",IF(JobState="WI","https://fema.maps.arcgis.com/apps/mapviewer/index.html?url=https%3A%2F%2Fservices5.arcgis.com%2F0pgGLzT0Nh7FVjon%2Farcgis%2Frest%2Fservices%2FFFCL_gdb%2FFeatureServer%2F3&amp;find="&amp;$F483&amp;"%2C"&amp;$E483&amp;"&amp;marker="&amp;$F483&amp;","&amp;$E483&amp;",4326&amp;level=16","https://fema.maps.arcgis.com/apps/mapviewer/index.html?find="&amp;$F483&amp;"%2C"&amp;$E483&amp;"&amp;marker="&amp;$F483&amp;","&amp;$E483&amp;",4326&amp;level=16"))),"Open"))</f>
        <v/>
      </c>
      <c r="N483" s="6" t="str">
        <f>IF(OR(JobAgolMap="", $E483="", $F483=""),"",HYPERLINK(JobAgolMap&amp;IF(ISNUMBER(FIND("?",JobAgolMap)),"&amp;","?")&amp;"center="&amp;$F483&amp;","&amp;$E483&amp;"&amp;level=16&amp;marker="&amp;$F483&amp;","&amp;$E483,"Open"))</f>
        <v/>
      </c>
      <c r="O483" s="6" t="str">
        <f>IF(OR($E483="",$F483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3" s="4"/>
      <c r="Q483" s="4"/>
      <c r="R483" s="4"/>
      <c r="S483" s="4"/>
      <c r="T483" s="4"/>
      <c r="U483" s="4"/>
      <c r="V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HYPERLINK(IF(OR(JobState="MI",JobState=""),"https://fema.maps.arcgis.com/apps/mapviewer/index.html?webmap=6a1702b9147243d1a5ee62cd614bc681&amp;center="&amp;$F484&amp;","&amp;$E484&amp;"&amp;level=16&amp;marker="&amp;$F484&amp;","&amp;$E484&amp;"",IF(JobState="IN","https://fema.maps.arcgis.com/apps/mapviewer/index.html?url=https%3A%2F%2Fgisdata.in.gov%2Fserver%2Frest%2Fservices%2FHosted%2FLRSE_Functional_Class%2FFeatureServer%2F22&amp;find="&amp;$F484&amp;"%2C"&amp;$E484&amp;"&amp;marker="&amp;$F484&amp;","&amp;$E484&amp;",4326&amp;level=16",IF(JobState="WI","https://fema.maps.arcgis.com/apps/mapviewer/index.html?url=https%3A%2F%2Fservices5.arcgis.com%2F0pgGLzT0Nh7FVjon%2Farcgis%2Frest%2Fservices%2FFFCL_gdb%2FFeatureServer%2F3&amp;find="&amp;$F484&amp;"%2C"&amp;$E484&amp;"&amp;marker="&amp;$F484&amp;","&amp;$E484&amp;",4326&amp;level=16","https://fema.maps.arcgis.com/apps/mapviewer/index.html?find="&amp;$F484&amp;"%2C"&amp;$E484&amp;"&amp;marker="&amp;$F484&amp;","&amp;$E484&amp;",4326&amp;level=16"))),"Open"))</f>
        <v/>
      </c>
      <c r="N484" s="6" t="str">
        <f>IF(OR(JobAgolMap="", $E484="", $F484=""),"",HYPERLINK(JobAgolMap&amp;IF(ISNUMBER(FIND("?",JobAgolMap)),"&amp;","?")&amp;"center="&amp;$F484&amp;","&amp;$E484&amp;"&amp;level=16&amp;marker="&amp;$F484&amp;","&amp;$E484,"Open"))</f>
        <v/>
      </c>
      <c r="O484" s="6" t="str">
        <f>IF(OR($E484="",$F484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4" s="4"/>
      <c r="Q484" s="4"/>
      <c r="R484" s="4"/>
      <c r="S484" s="4"/>
      <c r="T484" s="4"/>
      <c r="U484" s="4"/>
      <c r="V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HYPERLINK(IF(OR(JobState="MI",JobState=""),"https://fema.maps.arcgis.com/apps/mapviewer/index.html?webmap=6a1702b9147243d1a5ee62cd614bc681&amp;center="&amp;$F485&amp;","&amp;$E485&amp;"&amp;level=16&amp;marker="&amp;$F485&amp;","&amp;$E485&amp;"",IF(JobState="IN","https://fema.maps.arcgis.com/apps/mapviewer/index.html?url=https%3A%2F%2Fgisdata.in.gov%2Fserver%2Frest%2Fservices%2FHosted%2FLRSE_Functional_Class%2FFeatureServer%2F22&amp;find="&amp;$F485&amp;"%2C"&amp;$E485&amp;"&amp;marker="&amp;$F485&amp;","&amp;$E485&amp;",4326&amp;level=16",IF(JobState="WI","https://fema.maps.arcgis.com/apps/mapviewer/index.html?url=https%3A%2F%2Fservices5.arcgis.com%2F0pgGLzT0Nh7FVjon%2Farcgis%2Frest%2Fservices%2FFFCL_gdb%2FFeatureServer%2F3&amp;find="&amp;$F485&amp;"%2C"&amp;$E485&amp;"&amp;marker="&amp;$F485&amp;","&amp;$E485&amp;",4326&amp;level=16","https://fema.maps.arcgis.com/apps/mapviewer/index.html?find="&amp;$F485&amp;"%2C"&amp;$E485&amp;"&amp;marker="&amp;$F485&amp;","&amp;$E485&amp;",4326&amp;level=16"))),"Open"))</f>
        <v/>
      </c>
      <c r="N485" s="6" t="str">
        <f>IF(OR(JobAgolMap="", $E485="", $F485=""),"",HYPERLINK(JobAgolMap&amp;IF(ISNUMBER(FIND("?",JobAgolMap)),"&amp;","?")&amp;"center="&amp;$F485&amp;","&amp;$E485&amp;"&amp;level=16&amp;marker="&amp;$F485&amp;","&amp;$E485,"Open"))</f>
        <v/>
      </c>
      <c r="O485" s="6" t="str">
        <f>IF(OR($E485="",$F485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5" s="4"/>
      <c r="Q485" s="4"/>
      <c r="R485" s="4"/>
      <c r="S485" s="4"/>
      <c r="T485" s="4"/>
      <c r="U485" s="4"/>
      <c r="V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HYPERLINK(IF(OR(JobState="MI",JobState=""),"https://fema.maps.arcgis.com/apps/mapviewer/index.html?webmap=6a1702b9147243d1a5ee62cd614bc681&amp;center="&amp;$F486&amp;","&amp;$E486&amp;"&amp;level=16&amp;marker="&amp;$F486&amp;","&amp;$E486&amp;"",IF(JobState="IN","https://fema.maps.arcgis.com/apps/mapviewer/index.html?url=https%3A%2F%2Fgisdata.in.gov%2Fserver%2Frest%2Fservices%2FHosted%2FLRSE_Functional_Class%2FFeatureServer%2F22&amp;find="&amp;$F486&amp;"%2C"&amp;$E486&amp;"&amp;marker="&amp;$F486&amp;","&amp;$E486&amp;",4326&amp;level=16",IF(JobState="WI","https://fema.maps.arcgis.com/apps/mapviewer/index.html?url=https%3A%2F%2Fservices5.arcgis.com%2F0pgGLzT0Nh7FVjon%2Farcgis%2Frest%2Fservices%2FFFCL_gdb%2FFeatureServer%2F3&amp;find="&amp;$F486&amp;"%2C"&amp;$E486&amp;"&amp;marker="&amp;$F486&amp;","&amp;$E486&amp;",4326&amp;level=16","https://fema.maps.arcgis.com/apps/mapviewer/index.html?find="&amp;$F486&amp;"%2C"&amp;$E486&amp;"&amp;marker="&amp;$F486&amp;","&amp;$E486&amp;",4326&amp;level=16"))),"Open"))</f>
        <v/>
      </c>
      <c r="N486" s="6" t="str">
        <f>IF(OR(JobAgolMap="", $E486="", $F486=""),"",HYPERLINK(JobAgolMap&amp;IF(ISNUMBER(FIND("?",JobAgolMap)),"&amp;","?")&amp;"center="&amp;$F486&amp;","&amp;$E486&amp;"&amp;level=16&amp;marker="&amp;$F486&amp;","&amp;$E486,"Open"))</f>
        <v/>
      </c>
      <c r="O486" s="6" t="str">
        <f>IF(OR($E486="",$F486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6" s="4"/>
      <c r="Q486" s="4"/>
      <c r="R486" s="4"/>
      <c r="S486" s="4"/>
      <c r="T486" s="4"/>
      <c r="U486" s="4"/>
      <c r="V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HYPERLINK(IF(OR(JobState="MI",JobState=""),"https://fema.maps.arcgis.com/apps/mapviewer/index.html?webmap=6a1702b9147243d1a5ee62cd614bc681&amp;center="&amp;$F487&amp;","&amp;$E487&amp;"&amp;level=16&amp;marker="&amp;$F487&amp;","&amp;$E487&amp;"",IF(JobState="IN","https://fema.maps.arcgis.com/apps/mapviewer/index.html?url=https%3A%2F%2Fgisdata.in.gov%2Fserver%2Frest%2Fservices%2FHosted%2FLRSE_Functional_Class%2FFeatureServer%2F22&amp;find="&amp;$F487&amp;"%2C"&amp;$E487&amp;"&amp;marker="&amp;$F487&amp;","&amp;$E487&amp;",4326&amp;level=16",IF(JobState="WI","https://fema.maps.arcgis.com/apps/mapviewer/index.html?url=https%3A%2F%2Fservices5.arcgis.com%2F0pgGLzT0Nh7FVjon%2Farcgis%2Frest%2Fservices%2FFFCL_gdb%2FFeatureServer%2F3&amp;find="&amp;$F487&amp;"%2C"&amp;$E487&amp;"&amp;marker="&amp;$F487&amp;","&amp;$E487&amp;",4326&amp;level=16","https://fema.maps.arcgis.com/apps/mapviewer/index.html?find="&amp;$F487&amp;"%2C"&amp;$E487&amp;"&amp;marker="&amp;$F487&amp;","&amp;$E487&amp;",4326&amp;level=16"))),"Open"))</f>
        <v/>
      </c>
      <c r="N487" s="6" t="str">
        <f>IF(OR(JobAgolMap="", $E487="", $F487=""),"",HYPERLINK(JobAgolMap&amp;IF(ISNUMBER(FIND("?",JobAgolMap)),"&amp;","?")&amp;"center="&amp;$F487&amp;","&amp;$E487&amp;"&amp;level=16&amp;marker="&amp;$F487&amp;","&amp;$E487,"Open"))</f>
        <v/>
      </c>
      <c r="O487" s="6" t="str">
        <f>IF(OR($E487="",$F487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7" s="4"/>
      <c r="Q487" s="4"/>
      <c r="R487" s="4"/>
      <c r="S487" s="4"/>
      <c r="T487" s="4"/>
      <c r="U487" s="4"/>
      <c r="V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HYPERLINK(IF(OR(JobState="MI",JobState=""),"https://fema.maps.arcgis.com/apps/mapviewer/index.html?webmap=6a1702b9147243d1a5ee62cd614bc681&amp;center="&amp;$F488&amp;","&amp;$E488&amp;"&amp;level=16&amp;marker="&amp;$F488&amp;","&amp;$E488&amp;"",IF(JobState="IN","https://fema.maps.arcgis.com/apps/mapviewer/index.html?url=https%3A%2F%2Fgisdata.in.gov%2Fserver%2Frest%2Fservices%2FHosted%2FLRSE_Functional_Class%2FFeatureServer%2F22&amp;find="&amp;$F488&amp;"%2C"&amp;$E488&amp;"&amp;marker="&amp;$F488&amp;","&amp;$E488&amp;",4326&amp;level=16",IF(JobState="WI","https://fema.maps.arcgis.com/apps/mapviewer/index.html?url=https%3A%2F%2Fservices5.arcgis.com%2F0pgGLzT0Nh7FVjon%2Farcgis%2Frest%2Fservices%2FFFCL_gdb%2FFeatureServer%2F3&amp;find="&amp;$F488&amp;"%2C"&amp;$E488&amp;"&amp;marker="&amp;$F488&amp;","&amp;$E488&amp;",4326&amp;level=16","https://fema.maps.arcgis.com/apps/mapviewer/index.html?find="&amp;$F488&amp;"%2C"&amp;$E488&amp;"&amp;marker="&amp;$F488&amp;","&amp;$E488&amp;",4326&amp;level=16"))),"Open"))</f>
        <v/>
      </c>
      <c r="N488" s="6" t="str">
        <f>IF(OR(JobAgolMap="", $E488="", $F488=""),"",HYPERLINK(JobAgolMap&amp;IF(ISNUMBER(FIND("?",JobAgolMap)),"&amp;","?")&amp;"center="&amp;$F488&amp;","&amp;$E488&amp;"&amp;level=16&amp;marker="&amp;$F488&amp;","&amp;$E488,"Open"))</f>
        <v/>
      </c>
      <c r="O488" s="6" t="str">
        <f>IF(OR($E488="",$F488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8" s="4"/>
      <c r="Q488" s="4"/>
      <c r="R488" s="4"/>
      <c r="S488" s="4"/>
      <c r="T488" s="4"/>
      <c r="U488" s="4"/>
      <c r="V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HYPERLINK(IF(OR(JobState="MI",JobState=""),"https://fema.maps.arcgis.com/apps/mapviewer/index.html?webmap=6a1702b9147243d1a5ee62cd614bc681&amp;center="&amp;$F489&amp;","&amp;$E489&amp;"&amp;level=16&amp;marker="&amp;$F489&amp;","&amp;$E489&amp;"",IF(JobState="IN","https://fema.maps.arcgis.com/apps/mapviewer/index.html?url=https%3A%2F%2Fgisdata.in.gov%2Fserver%2Frest%2Fservices%2FHosted%2FLRSE_Functional_Class%2FFeatureServer%2F22&amp;find="&amp;$F489&amp;"%2C"&amp;$E489&amp;"&amp;marker="&amp;$F489&amp;","&amp;$E489&amp;",4326&amp;level=16",IF(JobState="WI","https://fema.maps.arcgis.com/apps/mapviewer/index.html?url=https%3A%2F%2Fservices5.arcgis.com%2F0pgGLzT0Nh7FVjon%2Farcgis%2Frest%2Fservices%2FFFCL_gdb%2FFeatureServer%2F3&amp;find="&amp;$F489&amp;"%2C"&amp;$E489&amp;"&amp;marker="&amp;$F489&amp;","&amp;$E489&amp;",4326&amp;level=16","https://fema.maps.arcgis.com/apps/mapviewer/index.html?find="&amp;$F489&amp;"%2C"&amp;$E489&amp;"&amp;marker="&amp;$F489&amp;","&amp;$E489&amp;",4326&amp;level=16"))),"Open"))</f>
        <v/>
      </c>
      <c r="N489" s="6" t="str">
        <f>IF(OR(JobAgolMap="", $E489="", $F489=""),"",HYPERLINK(JobAgolMap&amp;IF(ISNUMBER(FIND("?",JobAgolMap)),"&amp;","?")&amp;"center="&amp;$F489&amp;","&amp;$E489&amp;"&amp;level=16&amp;marker="&amp;$F489&amp;","&amp;$E489,"Open"))</f>
        <v/>
      </c>
      <c r="O489" s="6" t="str">
        <f>IF(OR($E489="",$F489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9" s="4"/>
      <c r="Q489" s="4"/>
      <c r="R489" s="4"/>
      <c r="S489" s="4"/>
      <c r="T489" s="4"/>
      <c r="U489" s="4"/>
      <c r="V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HYPERLINK(IF(OR(JobState="MI",JobState=""),"https://fema.maps.arcgis.com/apps/mapviewer/index.html?webmap=6a1702b9147243d1a5ee62cd614bc681&amp;center="&amp;$F490&amp;","&amp;$E490&amp;"&amp;level=16&amp;marker="&amp;$F490&amp;","&amp;$E490&amp;"",IF(JobState="IN","https://fema.maps.arcgis.com/apps/mapviewer/index.html?url=https%3A%2F%2Fgisdata.in.gov%2Fserver%2Frest%2Fservices%2FHosted%2FLRSE_Functional_Class%2FFeatureServer%2F22&amp;find="&amp;$F490&amp;"%2C"&amp;$E490&amp;"&amp;marker="&amp;$F490&amp;","&amp;$E490&amp;",4326&amp;level=16",IF(JobState="WI","https://fema.maps.arcgis.com/apps/mapviewer/index.html?url=https%3A%2F%2Fservices5.arcgis.com%2F0pgGLzT0Nh7FVjon%2Farcgis%2Frest%2Fservices%2FFFCL_gdb%2FFeatureServer%2F3&amp;find="&amp;$F490&amp;"%2C"&amp;$E490&amp;"&amp;marker="&amp;$F490&amp;","&amp;$E490&amp;",4326&amp;level=16","https://fema.maps.arcgis.com/apps/mapviewer/index.html?find="&amp;$F490&amp;"%2C"&amp;$E490&amp;"&amp;marker="&amp;$F490&amp;","&amp;$E490&amp;",4326&amp;level=16"))),"Open"))</f>
        <v/>
      </c>
      <c r="N490" s="6" t="str">
        <f>IF(OR(JobAgolMap="", $E490="", $F490=""),"",HYPERLINK(JobAgolMap&amp;IF(ISNUMBER(FIND("?",JobAgolMap)),"&amp;","?")&amp;"center="&amp;$F490&amp;","&amp;$E490&amp;"&amp;level=16&amp;marker="&amp;$F490&amp;","&amp;$E490,"Open"))</f>
        <v/>
      </c>
      <c r="O490" s="6" t="str">
        <f>IF(OR($E490="",$F490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0" s="4"/>
      <c r="Q490" s="4"/>
      <c r="R490" s="4"/>
      <c r="S490" s="4"/>
      <c r="T490" s="4"/>
      <c r="U490" s="4"/>
      <c r="V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HYPERLINK(IF(OR(JobState="MI",JobState=""),"https://fema.maps.arcgis.com/apps/mapviewer/index.html?webmap=6a1702b9147243d1a5ee62cd614bc681&amp;center="&amp;$F491&amp;","&amp;$E491&amp;"&amp;level=16&amp;marker="&amp;$F491&amp;","&amp;$E491&amp;"",IF(JobState="IN","https://fema.maps.arcgis.com/apps/mapviewer/index.html?url=https%3A%2F%2Fgisdata.in.gov%2Fserver%2Frest%2Fservices%2FHosted%2FLRSE_Functional_Class%2FFeatureServer%2F22&amp;find="&amp;$F491&amp;"%2C"&amp;$E491&amp;"&amp;marker="&amp;$F491&amp;","&amp;$E491&amp;",4326&amp;level=16",IF(JobState="WI","https://fema.maps.arcgis.com/apps/mapviewer/index.html?url=https%3A%2F%2Fservices5.arcgis.com%2F0pgGLzT0Nh7FVjon%2Farcgis%2Frest%2Fservices%2FFFCL_gdb%2FFeatureServer%2F3&amp;find="&amp;$F491&amp;"%2C"&amp;$E491&amp;"&amp;marker="&amp;$F491&amp;","&amp;$E491&amp;",4326&amp;level=16","https://fema.maps.arcgis.com/apps/mapviewer/index.html?find="&amp;$F491&amp;"%2C"&amp;$E491&amp;"&amp;marker="&amp;$F491&amp;","&amp;$E491&amp;",4326&amp;level=16"))),"Open"))</f>
        <v/>
      </c>
      <c r="N491" s="6" t="str">
        <f>IF(OR(JobAgolMap="", $E491="", $F491=""),"",HYPERLINK(JobAgolMap&amp;IF(ISNUMBER(FIND("?",JobAgolMap)),"&amp;","?")&amp;"center="&amp;$F491&amp;","&amp;$E491&amp;"&amp;level=16&amp;marker="&amp;$F491&amp;","&amp;$E491,"Open"))</f>
        <v/>
      </c>
      <c r="O491" s="6" t="str">
        <f>IF(OR($E491="",$F491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1" s="4"/>
      <c r="Q491" s="4"/>
      <c r="R491" s="4"/>
      <c r="S491" s="4"/>
      <c r="T491" s="4"/>
      <c r="U491" s="4"/>
      <c r="V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HYPERLINK(IF(OR(JobState="MI",JobState=""),"https://fema.maps.arcgis.com/apps/mapviewer/index.html?webmap=6a1702b9147243d1a5ee62cd614bc681&amp;center="&amp;$F492&amp;","&amp;$E492&amp;"&amp;level=16&amp;marker="&amp;$F492&amp;","&amp;$E492&amp;"",IF(JobState="IN","https://fema.maps.arcgis.com/apps/mapviewer/index.html?url=https%3A%2F%2Fgisdata.in.gov%2Fserver%2Frest%2Fservices%2FHosted%2FLRSE_Functional_Class%2FFeatureServer%2F22&amp;find="&amp;$F492&amp;"%2C"&amp;$E492&amp;"&amp;marker="&amp;$F492&amp;","&amp;$E492&amp;",4326&amp;level=16",IF(JobState="WI","https://fema.maps.arcgis.com/apps/mapviewer/index.html?url=https%3A%2F%2Fservices5.arcgis.com%2F0pgGLzT0Nh7FVjon%2Farcgis%2Frest%2Fservices%2FFFCL_gdb%2FFeatureServer%2F3&amp;find="&amp;$F492&amp;"%2C"&amp;$E492&amp;"&amp;marker="&amp;$F492&amp;","&amp;$E492&amp;",4326&amp;level=16","https://fema.maps.arcgis.com/apps/mapviewer/index.html?find="&amp;$F492&amp;"%2C"&amp;$E492&amp;"&amp;marker="&amp;$F492&amp;","&amp;$E492&amp;",4326&amp;level=16"))),"Open"))</f>
        <v/>
      </c>
      <c r="N492" s="6" t="str">
        <f>IF(OR(JobAgolMap="", $E492="", $F492=""),"",HYPERLINK(JobAgolMap&amp;IF(ISNUMBER(FIND("?",JobAgolMap)),"&amp;","?")&amp;"center="&amp;$F492&amp;","&amp;$E492&amp;"&amp;level=16&amp;marker="&amp;$F492&amp;","&amp;$E492,"Open"))</f>
        <v/>
      </c>
      <c r="O492" s="6" t="str">
        <f>IF(OR($E492="",$F492=""),"",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2" s="4"/>
      <c r="Q492" s="4"/>
      <c r="R492" s="4"/>
      <c r="S492" s="4"/>
      <c r="T492" s="4"/>
      <c r="U492" s="4"/>
      <c r="V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HYPERLINK(IF(OR(JobState="MI",JobState=""),"https://fema.maps.arcgis.com/apps/mapviewer/index.html?webmap=6a1702b9147243d1a5ee62cd614bc681&amp;center="&amp;$F493&amp;","&amp;$E493&amp;"&amp;level=16&amp;marker="&amp;$F493&amp;","&amp;$E493&amp;"",IF(JobState="IN","https://fema.maps.arcgis.com/apps/mapviewer/index.html?url=https%3A%2F%2Fgisdata.in.gov%2Fserver%2Frest%2Fservices%2FHosted%2FLRSE_Functional_Class%2FFeatureServer%2F22&amp;find="&amp;$F493&amp;"%2C"&amp;$E493&amp;"&amp;marker="&amp;$F493&amp;","&amp;$E493&amp;",4326&amp;level=16",IF(JobState="WI","https://fema.maps.arcgis.com/apps/mapviewer/index.html?url=https%3A%2F%2Fservices5.arcgis.com%2F0pgGLzT0Nh7FVjon%2Farcgis%2Frest%2Fservices%2FFFCL_gdb%2FFeatureServer%2F3&amp;find="&amp;$F493&amp;"%2C"&amp;$E493&amp;"&amp;marker="&amp;$F493&amp;","&amp;$E493&amp;",4326&amp;level=16","https://fema.maps.arcgis.com/apps/mapviewer/index.html?find="&amp;$F493&amp;"%2C"&amp;$E493&amp;"&amp;marker="&amp;$F493&amp;","&amp;$E493&amp;",4326&amp;level=16"))),"Open"))</f>
        <v/>
      </c>
      <c r="N493" s="6" t="str">
        <f>IF(OR(JobAgolMap="", $E493="", $F493=""),"",HYPERLINK(JobAgolMap&amp;IF(ISNUMBER(FIND("?",JobAgolMap)),"&amp;","?")&amp;"center="&amp;$F493&amp;","&amp;$E493&amp;"&amp;level=16&amp;marker="&amp;$F493&amp;","&amp;$E493,"Open"))</f>
        <v/>
      </c>
      <c r="O493" s="6" t="str">
        <f>IF(OR($E493="",$F493=""),"",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3" s="4"/>
      <c r="Q493" s="4"/>
      <c r="R493" s="4"/>
      <c r="S493" s="4"/>
      <c r="T493" s="4"/>
      <c r="U493" s="4"/>
      <c r="V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HYPERLINK(IF(OR(JobState="MI",JobState=""),"https://fema.maps.arcgis.com/apps/mapviewer/index.html?webmap=6a1702b9147243d1a5ee62cd614bc681&amp;center="&amp;$F494&amp;","&amp;$E494&amp;"&amp;level=16&amp;marker="&amp;$F494&amp;","&amp;$E494&amp;"",IF(JobState="IN","https://fema.maps.arcgis.com/apps/mapviewer/index.html?url=https%3A%2F%2Fgisdata.in.gov%2Fserver%2Frest%2Fservices%2FHosted%2FLRSE_Functional_Class%2FFeatureServer%2F22&amp;find="&amp;$F494&amp;"%2C"&amp;$E494&amp;"&amp;marker="&amp;$F494&amp;","&amp;$E494&amp;",4326&amp;level=16",IF(JobState="WI","https://fema.maps.arcgis.com/apps/mapviewer/index.html?url=https%3A%2F%2Fservices5.arcgis.com%2F0pgGLzT0Nh7FVjon%2Farcgis%2Frest%2Fservices%2FFFCL_gdb%2FFeatureServer%2F3&amp;find="&amp;$F494&amp;"%2C"&amp;$E494&amp;"&amp;marker="&amp;$F494&amp;","&amp;$E494&amp;",4326&amp;level=16","https://fema.maps.arcgis.com/apps/mapviewer/index.html?find="&amp;$F494&amp;"%2C"&amp;$E494&amp;"&amp;marker="&amp;$F494&amp;","&amp;$E494&amp;",4326&amp;level=16"))),"Open"))</f>
        <v/>
      </c>
      <c r="N494" s="6" t="str">
        <f>IF(OR(JobAgolMap="", $E494="", $F494=""),"",HYPERLINK(JobAgolMap&amp;IF(ISNUMBER(FIND("?",JobAgolMap)),"&amp;","?")&amp;"center="&amp;$F494&amp;","&amp;$E494&amp;"&amp;level=16&amp;marker="&amp;$F494&amp;","&amp;$E494,"Open"))</f>
        <v/>
      </c>
      <c r="O494" s="6" t="str">
        <f>IF(OR($E494="",$F494=""),"",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4" s="4"/>
      <c r="Q494" s="4"/>
      <c r="R494" s="4"/>
      <c r="S494" s="4"/>
      <c r="T494" s="4"/>
      <c r="U494" s="4"/>
      <c r="V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HYPERLINK(IF(OR(JobState="MI",JobState=""),"https://fema.maps.arcgis.com/apps/mapviewer/index.html?webmap=6a1702b9147243d1a5ee62cd614bc681&amp;center="&amp;$F495&amp;","&amp;$E495&amp;"&amp;level=16&amp;marker="&amp;$F495&amp;","&amp;$E495&amp;"",IF(JobState="IN","https://fema.maps.arcgis.com/apps/mapviewer/index.html?url=https%3A%2F%2Fgisdata.in.gov%2Fserver%2Frest%2Fservices%2FHosted%2FLRSE_Functional_Class%2FFeatureServer%2F22&amp;find="&amp;$F495&amp;"%2C"&amp;$E495&amp;"&amp;marker="&amp;$F495&amp;","&amp;$E495&amp;",4326&amp;level=16",IF(JobState="WI","https://fema.maps.arcgis.com/apps/mapviewer/index.html?url=https%3A%2F%2Fservices5.arcgis.com%2F0pgGLzT0Nh7FVjon%2Farcgis%2Frest%2Fservices%2FFFCL_gdb%2FFeatureServer%2F3&amp;find="&amp;$F495&amp;"%2C"&amp;$E495&amp;"&amp;marker="&amp;$F495&amp;","&amp;$E495&amp;",4326&amp;level=16","https://fema.maps.arcgis.com/apps/mapviewer/index.html?find="&amp;$F495&amp;"%2C"&amp;$E495&amp;"&amp;marker="&amp;$F495&amp;","&amp;$E495&amp;",4326&amp;level=16"))),"Open"))</f>
        <v/>
      </c>
      <c r="N495" s="6" t="str">
        <f>IF(OR(JobAgolMap="", $E495="", $F495=""),"",HYPERLINK(JobAgolMap&amp;IF(ISNUMBER(FIND("?",JobAgolMap)),"&amp;","?")&amp;"center="&amp;$F495&amp;","&amp;$E495&amp;"&amp;level=16&amp;marker="&amp;$F495&amp;","&amp;$E495,"Open"))</f>
        <v/>
      </c>
      <c r="O495" s="6" t="str">
        <f>IF(OR($E495="",$F495=""),"",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5" s="4"/>
      <c r="Q495" s="4"/>
      <c r="R495" s="4"/>
      <c r="S495" s="4"/>
      <c r="T495" s="4"/>
      <c r="U495" s="4"/>
      <c r="V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HYPERLINK(IF(OR(JobState="MI",JobState=""),"https://fema.maps.arcgis.com/apps/mapviewer/index.html?webmap=6a1702b9147243d1a5ee62cd614bc681&amp;center="&amp;$F496&amp;","&amp;$E496&amp;"&amp;level=16&amp;marker="&amp;$F496&amp;","&amp;$E496&amp;"",IF(JobState="IN","https://fema.maps.arcgis.com/apps/mapviewer/index.html?url=https%3A%2F%2Fgisdata.in.gov%2Fserver%2Frest%2Fservices%2FHosted%2FLRSE_Functional_Class%2FFeatureServer%2F22&amp;find="&amp;$F496&amp;"%2C"&amp;$E496&amp;"&amp;marker="&amp;$F496&amp;","&amp;$E496&amp;",4326&amp;level=16",IF(JobState="WI","https://fema.maps.arcgis.com/apps/mapviewer/index.html?url=https%3A%2F%2Fservices5.arcgis.com%2F0pgGLzT0Nh7FVjon%2Farcgis%2Frest%2Fservices%2FFFCL_gdb%2FFeatureServer%2F3&amp;find="&amp;$F496&amp;"%2C"&amp;$E496&amp;"&amp;marker="&amp;$F496&amp;","&amp;$E496&amp;",4326&amp;level=16","https://fema.maps.arcgis.com/apps/mapviewer/index.html?find="&amp;$F496&amp;"%2C"&amp;$E496&amp;"&amp;marker="&amp;$F496&amp;","&amp;$E496&amp;",4326&amp;level=16"))),"Open"))</f>
        <v/>
      </c>
      <c r="N496" s="6" t="str">
        <f>IF(OR(JobAgolMap="", $E496="", $F496=""),"",HYPERLINK(JobAgolMap&amp;IF(ISNUMBER(FIND("?",JobAgolMap)),"&amp;","?")&amp;"center="&amp;$F496&amp;","&amp;$E496&amp;"&amp;level=16&amp;marker="&amp;$F496&amp;","&amp;$E496,"Open"))</f>
        <v/>
      </c>
      <c r="O496" s="6" t="str">
        <f>IF(OR($E496="",$F496=""),"",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6" s="4"/>
      <c r="Q496" s="4"/>
      <c r="R496" s="4"/>
      <c r="S496" s="4"/>
      <c r="T496" s="4"/>
      <c r="U496" s="4"/>
      <c r="V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HYPERLINK(IF(OR(JobState="MI",JobState=""),"https://fema.maps.arcgis.com/apps/mapviewer/index.html?webmap=6a1702b9147243d1a5ee62cd614bc681&amp;center="&amp;$F497&amp;","&amp;$E497&amp;"&amp;level=16&amp;marker="&amp;$F497&amp;","&amp;$E497&amp;"",IF(JobState="IN","https://fema.maps.arcgis.com/apps/mapviewer/index.html?url=https%3A%2F%2Fgisdata.in.gov%2Fserver%2Frest%2Fservices%2FHosted%2FLRSE_Functional_Class%2FFeatureServer%2F22&amp;find="&amp;$F497&amp;"%2C"&amp;$E497&amp;"&amp;marker="&amp;$F497&amp;","&amp;$E497&amp;",4326&amp;level=16",IF(JobState="WI","https://fema.maps.arcgis.com/apps/mapviewer/index.html?url=https%3A%2F%2Fservices5.arcgis.com%2F0pgGLzT0Nh7FVjon%2Farcgis%2Frest%2Fservices%2FFFCL_gdb%2FFeatureServer%2F3&amp;find="&amp;$F497&amp;"%2C"&amp;$E497&amp;"&amp;marker="&amp;$F497&amp;","&amp;$E497&amp;",4326&amp;level=16","https://fema.maps.arcgis.com/apps/mapviewer/index.html?find="&amp;$F497&amp;"%2C"&amp;$E497&amp;"&amp;marker="&amp;$F497&amp;","&amp;$E497&amp;",4326&amp;level=16"))),"Open"))</f>
        <v/>
      </c>
      <c r="N497" s="6" t="str">
        <f>IF(OR(JobAgolMap="", $E497="", $F497=""),"",HYPERLINK(JobAgolMap&amp;IF(ISNUMBER(FIND("?",JobAgolMap)),"&amp;","?")&amp;"center="&amp;$F497&amp;","&amp;$E497&amp;"&amp;level=16&amp;marker="&amp;$F497&amp;","&amp;$E497,"Open"))</f>
        <v/>
      </c>
      <c r="O497" s="6" t="str">
        <f>IF(OR($E497="",$F497=""),"",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7" s="4"/>
      <c r="Q497" s="4"/>
      <c r="R497" s="4"/>
      <c r="S497" s="4"/>
      <c r="T497" s="4"/>
      <c r="U497" s="4"/>
      <c r="V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HYPERLINK(IF(OR(JobState="MI",JobState=""),"https://fema.maps.arcgis.com/apps/mapviewer/index.html?webmap=6a1702b9147243d1a5ee62cd614bc681&amp;center="&amp;$F498&amp;","&amp;$E498&amp;"&amp;level=16&amp;marker="&amp;$F498&amp;","&amp;$E498&amp;"",IF(JobState="IN","https://fema.maps.arcgis.com/apps/mapviewer/index.html?url=https%3A%2F%2Fgisdata.in.gov%2Fserver%2Frest%2Fservices%2FHosted%2FLRSE_Functional_Class%2FFeatureServer%2F22&amp;find="&amp;$F498&amp;"%2C"&amp;$E498&amp;"&amp;marker="&amp;$F498&amp;","&amp;$E498&amp;",4326&amp;level=16",IF(JobState="WI","https://fema.maps.arcgis.com/apps/mapviewer/index.html?url=https%3A%2F%2Fservices5.arcgis.com%2F0pgGLzT0Nh7FVjon%2Farcgis%2Frest%2Fservices%2FFFCL_gdb%2FFeatureServer%2F3&amp;find="&amp;$F498&amp;"%2C"&amp;$E498&amp;"&amp;marker="&amp;$F498&amp;","&amp;$E498&amp;",4326&amp;level=16","https://fema.maps.arcgis.com/apps/mapviewer/index.html?find="&amp;$F498&amp;"%2C"&amp;$E498&amp;"&amp;marker="&amp;$F498&amp;","&amp;$E498&amp;",4326&amp;level=16"))),"Open"))</f>
        <v/>
      </c>
      <c r="N498" s="6" t="str">
        <f>IF(OR(JobAgolMap="", $E498="", $F498=""),"",HYPERLINK(JobAgolMap&amp;IF(ISNUMBER(FIND("?",JobAgolMap)),"&amp;","?")&amp;"center="&amp;$F498&amp;","&amp;$E498&amp;"&amp;level=16&amp;marker="&amp;$F498&amp;","&amp;$E498,"Open"))</f>
        <v/>
      </c>
      <c r="O498" s="6" t="str">
        <f>IF(OR($E498="",$F498=""),"",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8" s="4"/>
      <c r="Q498" s="4"/>
      <c r="R498" s="4"/>
      <c r="S498" s="4"/>
      <c r="T498" s="4"/>
      <c r="U498" s="4"/>
      <c r="V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HYPERLINK(IF(OR(JobState="MI",JobState=""),"https://fema.maps.arcgis.com/apps/mapviewer/index.html?webmap=6a1702b9147243d1a5ee62cd614bc681&amp;center="&amp;$F499&amp;","&amp;$E499&amp;"&amp;level=16&amp;marker="&amp;$F499&amp;","&amp;$E499&amp;"",IF(JobState="IN","https://fema.maps.arcgis.com/apps/mapviewer/index.html?url=https%3A%2F%2Fgisdata.in.gov%2Fserver%2Frest%2Fservices%2FHosted%2FLRSE_Functional_Class%2FFeatureServer%2F22&amp;find="&amp;$F499&amp;"%2C"&amp;$E499&amp;"&amp;marker="&amp;$F499&amp;","&amp;$E499&amp;",4326&amp;level=16",IF(JobState="WI","https://fema.maps.arcgis.com/apps/mapviewer/index.html?url=https%3A%2F%2Fservices5.arcgis.com%2F0pgGLzT0Nh7FVjon%2Farcgis%2Frest%2Fservices%2FFFCL_gdb%2FFeatureServer%2F3&amp;find="&amp;$F499&amp;"%2C"&amp;$E499&amp;"&amp;marker="&amp;$F499&amp;","&amp;$E499&amp;",4326&amp;level=16","https://fema.maps.arcgis.com/apps/mapviewer/index.html?find="&amp;$F499&amp;"%2C"&amp;$E499&amp;"&amp;marker="&amp;$F499&amp;","&amp;$E499&amp;",4326&amp;level=16"))),"Open"))</f>
        <v/>
      </c>
      <c r="N499" s="6" t="str">
        <f>IF(OR(JobAgolMap="", $E499="", $F499=""),"",HYPERLINK(JobAgolMap&amp;IF(ISNUMBER(FIND("?",JobAgolMap)),"&amp;","?")&amp;"center="&amp;$F499&amp;","&amp;$E499&amp;"&amp;level=16&amp;marker="&amp;$F499&amp;","&amp;$E499,"Open"))</f>
        <v/>
      </c>
      <c r="O499" s="6" t="str">
        <f>IF(OR($E499="",$F499=""),"",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9" s="4"/>
      <c r="Q499" s="4"/>
      <c r="R499" s="4"/>
      <c r="S499" s="4"/>
      <c r="T499" s="4"/>
      <c r="U499" s="4"/>
      <c r="V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HYPERLINK(IF(OR(JobState="MI",JobState=""),"https://fema.maps.arcgis.com/apps/mapviewer/index.html?webmap=6a1702b9147243d1a5ee62cd614bc681&amp;center="&amp;$F500&amp;","&amp;$E500&amp;"&amp;level=16&amp;marker="&amp;$F500&amp;","&amp;$E500&amp;"",IF(JobState="IN","https://fema.maps.arcgis.com/apps/mapviewer/index.html?url=https%3A%2F%2Fgisdata.in.gov%2Fserver%2Frest%2Fservices%2FHosted%2FLRSE_Functional_Class%2FFeatureServer%2F22&amp;find="&amp;$F500&amp;"%2C"&amp;$E500&amp;"&amp;marker="&amp;$F500&amp;","&amp;$E500&amp;",4326&amp;level=16",IF(JobState="WI","https://fema.maps.arcgis.com/apps/mapviewer/index.html?url=https%3A%2F%2Fservices5.arcgis.com%2F0pgGLzT0Nh7FVjon%2Farcgis%2Frest%2Fservices%2FFFCL_gdb%2FFeatureServer%2F3&amp;find="&amp;$F500&amp;"%2C"&amp;$E500&amp;"&amp;marker="&amp;$F500&amp;","&amp;$E500&amp;",4326&amp;level=16","https://fema.maps.arcgis.com/apps/mapviewer/index.html?find="&amp;$F500&amp;"%2C"&amp;$E500&amp;"&amp;marker="&amp;$F500&amp;","&amp;$E500&amp;",4326&amp;level=16"))),"Open"))</f>
        <v/>
      </c>
      <c r="N500" s="6" t="str">
        <f>IF(OR(JobAgolMap="", $E500="", $F500=""),"",HYPERLINK(JobAgolMap&amp;IF(ISNUMBER(FIND("?",JobAgolMap)),"&amp;","?")&amp;"center="&amp;$F500&amp;","&amp;$E500&amp;"&amp;level=16&amp;marker="&amp;$F500&amp;","&amp;$E500,"Open"))</f>
        <v/>
      </c>
      <c r="O500" s="6" t="str">
        <f>IF(OR($E500="",$F500=""),"",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00" s="4"/>
      <c r="Q500" s="4"/>
      <c r="R500" s="4"/>
      <c r="S500" s="4"/>
      <c r="T500" s="4"/>
      <c r="U500" s="4"/>
      <c r="V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HYPERLINK(IF(OR(JobState="MI",JobState=""),"https://fema.maps.arcgis.com/apps/mapviewer/index.html?webmap=6a1702b9147243d1a5ee62cd614bc681&amp;center="&amp;$F501&amp;","&amp;$E501&amp;"&amp;level=16&amp;marker="&amp;$F501&amp;","&amp;$E501&amp;"",IF(JobState="IN","https://fema.maps.arcgis.com/apps/mapviewer/index.html?url=https%3A%2F%2Fgisdata.in.gov%2Fserver%2Frest%2Fservices%2FHosted%2FLRSE_Functional_Class%2FFeatureServer%2F22&amp;find="&amp;$F501&amp;"%2C"&amp;$E501&amp;"&amp;marker="&amp;$F501&amp;","&amp;$E501&amp;",4326&amp;level=16",IF(JobState="WI","https://fema.maps.arcgis.com/apps/mapviewer/index.html?url=https%3A%2F%2Fservices5.arcgis.com%2F0pgGLzT0Nh7FVjon%2Farcgis%2Frest%2Fservices%2FFFCL_gdb%2FFeatureServer%2F3&amp;find="&amp;$F501&amp;"%2C"&amp;$E501&amp;"&amp;marker="&amp;$F501&amp;","&amp;$E501&amp;",4326&amp;level=16","https://fema.maps.arcgis.com/apps/mapviewer/index.html?find="&amp;$F501&amp;"%2C"&amp;$E501&amp;"&amp;marker="&amp;$F501&amp;","&amp;$E501&amp;",4326&amp;level=16"))),"Open"))</f>
        <v/>
      </c>
      <c r="N501" s="6" t="str">
        <f>IF(OR(JobAgolMap="", $E501="", $F501=""),"",HYPERLINK(JobAgolMap&amp;IF(ISNUMBER(FIND("?",JobAgolMap)),"&amp;","?")&amp;"center="&amp;$F501&amp;","&amp;$E501&amp;"&amp;level=16&amp;marker="&amp;$F501&amp;","&amp;$E501,"Open"))</f>
        <v/>
      </c>
      <c r="O501" s="6" t="str">
        <f>IF(OR($E501="",$F501=""),"",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01" s="4"/>
      <c r="Q501" s="4"/>
      <c r="R501" s="4"/>
      <c r="S501" s="4"/>
      <c r="T501" s="4"/>
      <c r="U501" s="4"/>
      <c r="V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28DCA174-31C6-4B89-846D-5994F85B4348}"/>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E9A23634-D784-431F-9325-AF5C84294779}">
      <formula1>-90</formula1>
      <formula2>90</formula2>
    </dataValidation>
    <dataValidation type="decimal" allowBlank="1" showInputMessage="1" showErrorMessage="1" error="Longitude must be between -180 and 180." sqref="F2:F501" xr:uid="{4F686D62-CEC7-4389-9BAE-87727EBAC825}">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0320A-0A6F-4AA5-B22F-D67C010F1504}">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8" t="s">
        <v>30</v>
      </c>
    </row>
    <row r="3" spans="2:2" ht="42.75" x14ac:dyDescent="0.45">
      <c r="B3" s="9" t="s">
        <v>31</v>
      </c>
    </row>
    <row r="5" spans="2:2" ht="15.75" x14ac:dyDescent="0.5">
      <c r="B5" s="10" t="s">
        <v>32</v>
      </c>
    </row>
    <row r="6" spans="2:2" ht="26.25" x14ac:dyDescent="0.45">
      <c r="B6" s="11" t="s">
        <v>33</v>
      </c>
    </row>
    <row r="7" spans="2:2" ht="26.25" x14ac:dyDescent="0.45">
      <c r="B7" s="11" t="s">
        <v>34</v>
      </c>
    </row>
    <row r="8" spans="2:2" ht="15.75" x14ac:dyDescent="0.5">
      <c r="B8" s="10" t="s">
        <v>35</v>
      </c>
    </row>
    <row r="9" spans="2:2" ht="26.25" x14ac:dyDescent="0.45">
      <c r="B9" s="11" t="s">
        <v>36</v>
      </c>
    </row>
    <row r="10" spans="2:2" ht="26.25" x14ac:dyDescent="0.45">
      <c r="B10" s="11" t="s">
        <v>37</v>
      </c>
    </row>
    <row r="11" spans="2:2" ht="15.75" x14ac:dyDescent="0.5">
      <c r="B11" s="10" t="s">
        <v>38</v>
      </c>
    </row>
    <row r="12" spans="2:2" ht="26.25" x14ac:dyDescent="0.45">
      <c r="B12" s="11" t="s">
        <v>39</v>
      </c>
    </row>
    <row r="13" spans="2:2" ht="26.25" x14ac:dyDescent="0.45">
      <c r="B13" s="11" t="s">
        <v>40</v>
      </c>
    </row>
    <row r="14" spans="2:2" ht="26.25" x14ac:dyDescent="0.45">
      <c r="B14" s="11" t="s">
        <v>41</v>
      </c>
    </row>
    <row r="15" spans="2:2" ht="15.75" x14ac:dyDescent="0.5">
      <c r="B15" s="10" t="s">
        <v>42</v>
      </c>
    </row>
    <row r="16" spans="2:2" ht="26.25" x14ac:dyDescent="0.45">
      <c r="B16" s="11" t="s">
        <v>43</v>
      </c>
    </row>
    <row r="17" spans="2:2" ht="26.25" x14ac:dyDescent="0.45">
      <c r="B17" s="11" t="s">
        <v>44</v>
      </c>
    </row>
    <row r="18" spans="2:2" ht="15.75" x14ac:dyDescent="0.5">
      <c r="B18" s="10" t="s">
        <v>45</v>
      </c>
    </row>
    <row r="19" spans="2:2" ht="26.25" x14ac:dyDescent="0.45">
      <c r="B19" s="11" t="s">
        <v>46</v>
      </c>
    </row>
    <row r="20" spans="2:2" ht="26.25" x14ac:dyDescent="0.45">
      <c r="B20" s="11" t="s">
        <v>47</v>
      </c>
    </row>
    <row r="21" spans="2:2" ht="15.75" x14ac:dyDescent="0.5">
      <c r="B21" s="10" t="s">
        <v>48</v>
      </c>
    </row>
    <row r="22" spans="2:2" x14ac:dyDescent="0.45">
      <c r="B22" s="11" t="s">
        <v>49</v>
      </c>
    </row>
    <row r="23" spans="2:2" ht="26.25" x14ac:dyDescent="0.45">
      <c r="B23" s="11" t="s">
        <v>50</v>
      </c>
    </row>
    <row r="24" spans="2:2" ht="15.75" x14ac:dyDescent="0.5">
      <c r="B24" s="10" t="s">
        <v>51</v>
      </c>
    </row>
    <row r="25" spans="2:2" ht="26.25" x14ac:dyDescent="0.45">
      <c r="B25" s="11" t="s">
        <v>52</v>
      </c>
    </row>
    <row r="26" spans="2:2" ht="26.25" x14ac:dyDescent="0.45">
      <c r="B26" s="11" t="s">
        <v>53</v>
      </c>
    </row>
    <row r="27" spans="2:2" ht="26.25" x14ac:dyDescent="0.45">
      <c r="B27" s="11" t="s">
        <v>54</v>
      </c>
    </row>
    <row r="28" spans="2:2" ht="26.25" x14ac:dyDescent="0.45">
      <c r="B28" s="11" t="s">
        <v>55</v>
      </c>
    </row>
    <row r="30" spans="2:2" ht="19.5" x14ac:dyDescent="0.6">
      <c r="B30" s="8" t="s">
        <v>56</v>
      </c>
    </row>
    <row r="31" spans="2:2" ht="15.75" x14ac:dyDescent="0.5">
      <c r="B31" s="10" t="s">
        <v>57</v>
      </c>
    </row>
    <row r="32" spans="2:2" ht="42.75" x14ac:dyDescent="0.45">
      <c r="B32" s="9" t="s">
        <v>58</v>
      </c>
    </row>
    <row r="33" spans="2:2" ht="15.75" x14ac:dyDescent="0.5">
      <c r="B33" s="10" t="s">
        <v>59</v>
      </c>
    </row>
    <row r="34" spans="2:2" ht="42.75" x14ac:dyDescent="0.45">
      <c r="B34" s="9" t="s">
        <v>60</v>
      </c>
    </row>
    <row r="35" spans="2:2" ht="15.75" x14ac:dyDescent="0.5">
      <c r="B35" s="10" t="s">
        <v>61</v>
      </c>
    </row>
    <row r="36" spans="2:2" ht="57" x14ac:dyDescent="0.45">
      <c r="B36" s="9" t="s">
        <v>62</v>
      </c>
    </row>
    <row r="37" spans="2:2" ht="15.75" x14ac:dyDescent="0.5">
      <c r="B37" s="10" t="s">
        <v>63</v>
      </c>
    </row>
    <row r="38" spans="2:2" ht="28.5" x14ac:dyDescent="0.45">
      <c r="B38" s="9" t="s">
        <v>64</v>
      </c>
    </row>
    <row r="39" spans="2:2" ht="15.75" x14ac:dyDescent="0.5">
      <c r="B39" s="10" t="s">
        <v>65</v>
      </c>
    </row>
    <row r="40" spans="2:2" ht="28.5" x14ac:dyDescent="0.45">
      <c r="B40" s="9" t="s">
        <v>66</v>
      </c>
    </row>
    <row r="41" spans="2:2" ht="15.75" x14ac:dyDescent="0.5">
      <c r="B41" s="10" t="s">
        <v>67</v>
      </c>
    </row>
    <row r="42" spans="2:2" ht="85.5" x14ac:dyDescent="0.45">
      <c r="B42" s="9" t="s">
        <v>68</v>
      </c>
    </row>
    <row r="43" spans="2:2" ht="15.75" x14ac:dyDescent="0.5">
      <c r="B43" s="10" t="s">
        <v>69</v>
      </c>
    </row>
    <row r="44" spans="2:2" ht="28.5" x14ac:dyDescent="0.45">
      <c r="B44" s="9" t="s">
        <v>70</v>
      </c>
    </row>
    <row r="45" spans="2:2" ht="15.75" x14ac:dyDescent="0.5">
      <c r="B45" s="10" t="s">
        <v>71</v>
      </c>
    </row>
    <row r="46" spans="2:2" ht="28.5" x14ac:dyDescent="0.45">
      <c r="B46" s="9" t="s">
        <v>72</v>
      </c>
    </row>
    <row r="48" spans="2:2" ht="19.5" x14ac:dyDescent="0.6">
      <c r="B48" s="8" t="s">
        <v>73</v>
      </c>
    </row>
    <row r="49" spans="2:3" ht="71.25" x14ac:dyDescent="0.45">
      <c r="B49" s="9" t="s">
        <v>74</v>
      </c>
    </row>
    <row r="51" spans="2:3" x14ac:dyDescent="0.45">
      <c r="B51" s="7" t="s">
        <v>75</v>
      </c>
      <c r="C51" s="7" t="s">
        <v>76</v>
      </c>
    </row>
    <row r="52" spans="2:3" ht="24" x14ac:dyDescent="0.45">
      <c r="B52" s="12" t="s">
        <v>77</v>
      </c>
      <c r="C52" s="13"/>
    </row>
    <row r="53" spans="2:3" x14ac:dyDescent="0.45">
      <c r="B53" s="12" t="s">
        <v>78</v>
      </c>
      <c r="C53" s="13"/>
    </row>
    <row r="54" spans="2:3" x14ac:dyDescent="0.45">
      <c r="B54" s="12" t="s">
        <v>79</v>
      </c>
      <c r="C54" s="13"/>
    </row>
    <row r="55" spans="2:3" x14ac:dyDescent="0.45">
      <c r="B55" s="12" t="s">
        <v>80</v>
      </c>
      <c r="C55" s="13"/>
    </row>
    <row r="56" spans="2:3" x14ac:dyDescent="0.45">
      <c r="B56" s="12" t="s">
        <v>81</v>
      </c>
      <c r="C56" s="13"/>
    </row>
    <row r="57" spans="2:3" x14ac:dyDescent="0.45">
      <c r="B57" s="12" t="s">
        <v>82</v>
      </c>
      <c r="C57" s="13"/>
    </row>
    <row r="58" spans="2:3" ht="24" x14ac:dyDescent="0.45">
      <c r="B58" s="12" t="s">
        <v>83</v>
      </c>
      <c r="C58" s="13"/>
    </row>
    <row r="59" spans="2:3" x14ac:dyDescent="0.45">
      <c r="B59" s="12" t="s">
        <v>84</v>
      </c>
      <c r="C59" s="13"/>
    </row>
    <row r="60" spans="2:3" x14ac:dyDescent="0.45">
      <c r="B60" s="12" t="s">
        <v>85</v>
      </c>
      <c r="C60" s="13"/>
    </row>
    <row r="61" spans="2:3" x14ac:dyDescent="0.45">
      <c r="B61" s="12" t="s">
        <v>86</v>
      </c>
      <c r="C61" s="13"/>
    </row>
    <row r="62" spans="2:3" x14ac:dyDescent="0.45">
      <c r="B62" s="12" t="s">
        <v>87</v>
      </c>
      <c r="C62" s="13"/>
    </row>
    <row r="64" spans="2:3" x14ac:dyDescent="0.45">
      <c r="B64" s="9" t="s">
        <v>88</v>
      </c>
    </row>
    <row r="66" spans="2:2" x14ac:dyDescent="0.45">
      <c r="B66" s="14" t="s">
        <v>89</v>
      </c>
    </row>
  </sheetData>
  <hyperlinks>
    <hyperlink ref="B6" r:id="rId1" xr:uid="{44C8E312-4886-4155-B272-8C22A4769344}"/>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318679BC-C271-42E3-97A3-1A16101BE592}"/>
    <hyperlink ref="B9" r:id="rId3" xr:uid="{4F8F5A5E-752F-4656-B2E7-B47620B2D81E}"/>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9EE49B53-C60D-4A97-8F7E-77023FAFC080}"/>
    <hyperlink ref="B12" r:id="rId5" display="    Wisconsin Department of Transportation, Functional Classification (official page; static county and urban-area PDF maps - WisDOT publishes no statewide interactive map), available at: https://wisconsindot.gov/Pages/projects/data-plan/plan-res/function.aspx" xr:uid="{2898580B-5C6C-4A7B-99C3-5076FB8BBAA8}"/>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CEB1E086-112F-4A6B-9F0E-EAED8C81050D}"/>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4EB39147-6EDF-427B-9DD3-8AED777EE1BA}"/>
    <hyperlink ref="B16" r:id="rId8" xr:uid="{9FCB5A11-AD04-471E-9EF8-5FA315161850}"/>
    <hyperlink ref="B17" r:id="rId9" xr:uid="{0AC989B1-263C-43B4-B67F-D769D3661129}"/>
    <hyperlink ref="B19" r:id="rId10" xr:uid="{A33968F5-D4E1-42BB-9D55-51DA3890C2A0}"/>
    <hyperlink ref="B20" r:id="rId11" xr:uid="{24CC2F7C-DC13-41CE-AA30-ED3989EE4351}"/>
    <hyperlink ref="B22" r:id="rId12" xr:uid="{2713C29F-A4F4-4841-A791-45EA60DA71B7}"/>
    <hyperlink ref="B23" r:id="rId13" xr:uid="{95563B68-B01A-48BD-8937-CC072966CED3}"/>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2E783F79-0B1C-4A14-AAE1-21DE364B9A09}"/>
    <hyperlink ref="B26" r:id="rId15" xr:uid="{D2A0231B-3ED9-4173-B8C9-4E6B5FADEA52}"/>
    <hyperlink ref="B27" r:id="rId16" xr:uid="{F65BEFE7-1DA5-4C1F-A880-3BD13D690968}"/>
    <hyperlink ref="B28" r:id="rId17" xr:uid="{F2C0B1BD-B304-4FF8-8B58-D3158E68F2F1}"/>
    <hyperlink ref="B66" r:id="rId18" xr:uid="{208BAA41-5373-4309-9917-2F3974541D16}"/>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15</vt:i4>
      </vt:variant>
    </vt:vector>
  </HeadingPairs>
  <TitlesOfParts>
    <vt:vector size="18" baseType="lpstr">
      <vt:lpstr>Start Here</vt:lpstr>
      <vt:lpstr>Sites</vt:lpstr>
      <vt:lpstr>Sources</vt:lpstr>
      <vt:lpstr>JobAgolMap</vt:lpstr>
      <vt:lpstr>JobBufferFeet</vt:lpstr>
      <vt:lpstr>JobOutputFolder</vt:lpstr>
      <vt:lpstr>JobState</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2026-07-14T16:30:55Z</dcterms:created>
  <dcterms:modified xsi:type="dcterms:W3CDTF">2026-07-14T16:33:15Z</dcterms:modified>
</cp:coreProperties>
</file>