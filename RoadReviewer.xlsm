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4" documentId="8_{F35879EB-32E4-405C-A50B-7E8BB349F8E6}" xr6:coauthVersionLast="47" xr6:coauthVersionMax="47" xr10:uidLastSave="{B1A60FD7-4336-4121-883B-02A37C7BC8FF}"/>
  <bookViews>
    <workbookView xWindow="0" yWindow="2287" windowWidth="16200" windowHeight="9428" activeTab="2" xr2:uid="{A135506D-2ADD-4F31-9B41-04E1C03B0AC8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Sites!$A$1:$AA$1</definedName>
    <definedName name="JobAgolMap">Setup!$B$11</definedName>
    <definedName name="JobApplicant">Setup!$B$8</definedName>
    <definedName name="JobBufferFeet">Setup!$B$12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R2" i="2" l="1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<sst xmlns="http://schemas.openxmlformats.org/spreadsheetml/2006/main" count="621" uniqueCount="269">
  <si>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</si>
  <si>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</si>
  <si>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</si>
  <si>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</si>
  <si>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</si>
  <si>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</si>
  <si>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</si>
  <si>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</si>
  <si>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</si>
  <si>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</si>
  <si>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</si>
  <si>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</si>
  <si>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</si>
  <si>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</si>
  <si>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</si>
  <si>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</si>
  <si>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</si>
  <si>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</si>
  <si>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</si>
  <si>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</si>
  <si>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</si>
  <si>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</si>
  <si>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</si>
  <si>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</si>
  <si>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</si>
  <si>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</si>
  <si>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</si>
  <si>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</si>
  <si>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</si>
  <si>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</si>
  <si>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</si>
  <si>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</si>
  <si>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</si>
  <si>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</si>
  <si>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</si>
  <si>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</si>
  <si>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</si>
  <si>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Search buffer (feet)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</si>
  <si>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</si>
  <si>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</si>
  <si>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Search buffer is the radius used when no road segment intersects the exact point. 200 ft is a good default; lower it for dense urban grids, raise it for sparse rural networks.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</si>
  <si>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</si>
  <si>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</si>
  <si>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</si>
  <si>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</si>
  <si>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</si>
  <si>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</si>
  <si>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</si>
  <si>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</si>
  <si>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</si>
  <si>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</si>
  <si>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</si>
  <si>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</si>
  <si>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</si>
  <si>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</si>
  <si>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</si>
  <si>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</si>
  <si>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</si>
  <si>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</si>
  <si>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</si>
  <si>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</si>
  <si>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</si>
  <si>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</si>
  <si>
    <t>Van Pelt Road</t>
  </si>
  <si>
    <t>C</t>
  </si>
  <si>
    <t>$5,000.00 - Road Surface/Shoulder - Work Complete</t>
  </si>
  <si>
    <t>Lackey Road</t>
  </si>
  <si>
    <t>S Hobbs Highway</t>
  </si>
  <si>
    <t>Hager Road</t>
  </si>
  <si>
    <t>Scout Camp Road</t>
  </si>
  <si>
    <t>E Arbutus Lake Road</t>
  </si>
  <si>
    <t>$5,000.00 - Scour - Work Complete</t>
  </si>
  <si>
    <t>Hannah Road</t>
  </si>
  <si>
    <t>$2,000.00 - Debris - Work Incomplete</t>
  </si>
  <si>
    <t>Whitney Road</t>
  </si>
  <si>
    <t>Peninsula Drive</t>
  </si>
  <si>
    <t>$2,000.00 - Road Surface/Shoulder - Work Incomplete</t>
  </si>
  <si>
    <t>Hawley Road</t>
  </si>
  <si>
    <t>$15,000.00 - Culvert - Work Complete</t>
  </si>
  <si>
    <t>$8,000.00 - Culvert - Work Complete</t>
  </si>
  <si>
    <t>Lossie Road</t>
  </si>
  <si>
    <t>$10,000.00 - Scour - Work Complete</t>
  </si>
  <si>
    <t>Swaney Road</t>
  </si>
  <si>
    <t>$40,000.00 - Culvert - Work Incomplete</t>
  </si>
  <si>
    <t>$50,000.00 - Culvert - Work Incomplete</t>
  </si>
  <si>
    <t>Nelson Road</t>
  </si>
  <si>
    <t>$15,000.00 - Scour - Work Incomplete</t>
  </si>
  <si>
    <t>Eagle Rise Road</t>
  </si>
  <si>
    <t>Montague Road</t>
  </si>
  <si>
    <t>$10,000.00 - Scour - Work Incomplete</t>
  </si>
  <si>
    <t>Sawyer Road</t>
  </si>
  <si>
    <t>$180,000.00 - Culvert - Work Incomplete</t>
  </si>
  <si>
    <t>Hodge Road</t>
  </si>
  <si>
    <t>$60,000.00 - Scour - Work Complete</t>
  </si>
  <si>
    <t>E Blair Townhall Road</t>
  </si>
  <si>
    <t>Rahe Road</t>
  </si>
  <si>
    <t>$25,000.00 - Culvert - Work Complete</t>
  </si>
  <si>
    <t>Willsey Road</t>
  </si>
  <si>
    <t>Salon Road</t>
  </si>
  <si>
    <t>Miller Road</t>
  </si>
  <si>
    <t>Wilson Road</t>
  </si>
  <si>
    <t>Lake Road</t>
  </si>
  <si>
    <t>$6,000.00 - Road Surface/Shoulder - Work Complete</t>
  </si>
  <si>
    <t>Marsh Road</t>
  </si>
  <si>
    <t>$7,000.00 - Road Surface/Shoulder - Work Complete</t>
  </si>
  <si>
    <t>Park Road</t>
  </si>
  <si>
    <t>$15,000.00 - Road Surface/Shoulder - Work Complete</t>
  </si>
  <si>
    <t>Herkner Road</t>
  </si>
  <si>
    <t>$6,000.00 - Scour - Work Incomplete</t>
  </si>
  <si>
    <t>Schell Road</t>
  </si>
  <si>
    <t>$7,000.00 - Scour - Work Complete</t>
  </si>
  <si>
    <t>Karlin Road</t>
  </si>
  <si>
    <t>Pouzar Road</t>
  </si>
  <si>
    <t>$15,000.00 - Scour - Work Complete</t>
  </si>
  <si>
    <t>Bennett Road</t>
  </si>
  <si>
    <t>Barney Road</t>
  </si>
  <si>
    <t>Silver Farms Lane</t>
  </si>
  <si>
    <t>$8,000.00 - Scour - Work Complete</t>
  </si>
  <si>
    <t>S Broomhead Road</t>
  </si>
  <si>
    <t>$8,000.00 - Road Surface/Shoulder - Work Complete</t>
  </si>
  <si>
    <t>S Four Mile Road</t>
  </si>
  <si>
    <t>$12,000.00 - Scour - Work Complete</t>
  </si>
  <si>
    <t>Terrace Avenue</t>
  </si>
  <si>
    <t>$4,000.00 - Scour - Work Complete</t>
  </si>
  <si>
    <t>Woodward Avenue</t>
  </si>
  <si>
    <t>Windcrest Lane</t>
  </si>
  <si>
    <t>$16,000.00 - Scour - Work Incomplete</t>
  </si>
  <si>
    <t>Pinehurst Trail</t>
  </si>
  <si>
    <t>S Rusch Road</t>
  </si>
  <si>
    <t>Innis Lane</t>
  </si>
  <si>
    <t>$8,000.00 - Scour - Work Incomplete</t>
  </si>
  <si>
    <t>$20,000.00 - Culvert - Work Incomplete</t>
  </si>
  <si>
    <t>Scharmen Road</t>
  </si>
  <si>
    <t>Yuba Road</t>
  </si>
  <si>
    <t>$7,000.00 - Scour - Work Incomplete</t>
  </si>
  <si>
    <t>Skegemog Point Road</t>
  </si>
  <si>
    <t>$4,000.00 - Scour - Work Incomplete</t>
  </si>
  <si>
    <t>E Mill Road</t>
  </si>
  <si>
    <t>Freedom Road</t>
  </si>
  <si>
    <t>$4,000.00 - Road Surface/Shoulder - Work Complete</t>
  </si>
  <si>
    <t>Virginia Avenue</t>
  </si>
  <si>
    <t>$5,000.00 - Road Surface/Shoulder - Work Incomplete</t>
  </si>
  <si>
    <t>Hammond Road</t>
  </si>
  <si>
    <t>Mayfield Road</t>
  </si>
  <si>
    <t>Mayfield Trail</t>
  </si>
  <si>
    <t>$12,000.00 - Culvert - Work Incomplete</t>
  </si>
  <si>
    <t>Mill Road</t>
  </si>
  <si>
    <t>Fouch Road</t>
  </si>
  <si>
    <t>$14,000.00 - Culvert - Work Complete</t>
  </si>
  <si>
    <t>Maplewood Lane</t>
  </si>
  <si>
    <t>Basswood Drive</t>
  </si>
  <si>
    <t>$2,000.00 - Scour - Work Incomplete</t>
  </si>
  <si>
    <t>Holiday Pines Road</t>
  </si>
  <si>
    <t>$5,000.00 - Scour - Work Incomplete</t>
  </si>
  <si>
    <t>Bunker Hill Road</t>
  </si>
  <si>
    <t>Clous Road</t>
  </si>
  <si>
    <t>Smith Road</t>
  </si>
  <si>
    <t>Megan Lane</t>
  </si>
  <si>
    <t>$6,000.00 - Scour - Work Complete</t>
  </si>
  <si>
    <t>Vance Road</t>
  </si>
  <si>
    <t>Pyatt Road</t>
  </si>
  <si>
    <t>Brunson Place</t>
  </si>
  <si>
    <t>$12,000.00 - Road Surface/Shoulder - Work Complete</t>
  </si>
  <si>
    <t>Vans Lane</t>
  </si>
  <si>
    <t>E Sparling Road</t>
  </si>
  <si>
    <t>Woodland Road</t>
  </si>
  <si>
    <t>Schichtel Road</t>
  </si>
  <si>
    <t>$5,000.00 - Debris - Work Complete</t>
  </si>
  <si>
    <t>Ramsey Road</t>
  </si>
  <si>
    <t>$20,000.00 - Road Surface/Shoulder - Work Complete</t>
  </si>
  <si>
    <t>Grand Kal Road</t>
  </si>
  <si>
    <t>Warbler Drive</t>
  </si>
  <si>
    <t>Hoosier Valley Road</t>
  </si>
  <si>
    <t>Eimen Road</t>
  </si>
  <si>
    <t>Old Mission Road</t>
  </si>
  <si>
    <t>Silver Lake Shore Road</t>
  </si>
  <si>
    <t>Supply Road</t>
  </si>
  <si>
    <t>Phelps Road</t>
  </si>
  <si>
    <t>Mason Road</t>
  </si>
  <si>
    <t>Mobile Trail W</t>
  </si>
  <si>
    <t>$20,000.00 - Culvert - Work Complete</t>
  </si>
  <si>
    <t>Cedar Lake Road</t>
  </si>
  <si>
    <t>$8,000.00 - Road Surface/Shoulder - Work Incomplete</t>
  </si>
  <si>
    <t>Fisher Road</t>
  </si>
  <si>
    <t>$60,000.00 - Culvert - Work Incomplete</t>
  </si>
  <si>
    <t>Lakeshore Drive</t>
  </si>
  <si>
    <t>$100,000.00 - Culvert - Work Incomplete</t>
  </si>
  <si>
    <t>Gleaner Hall Road</t>
  </si>
  <si>
    <t>Jackson Road</t>
  </si>
  <si>
    <t>Watson Road</t>
  </si>
  <si>
    <t>Cedar Valley Road</t>
  </si>
  <si>
    <t>$6,000.00 - Road Surface/Shoulder - Work Incomplete</t>
  </si>
  <si>
    <t>Dell Road</t>
  </si>
  <si>
    <t>Heniser Road</t>
  </si>
  <si>
    <t>Skiver Road</t>
  </si>
  <si>
    <t>$10,000.00 - Road Surface/Shoulder - Work Incomplete</t>
  </si>
  <si>
    <t>Crisp Road</t>
  </si>
  <si>
    <t>$12,000.00 - Road Surface/Shoulder - Work Incomplete</t>
  </si>
  <si>
    <t>Moore Road</t>
  </si>
  <si>
    <t>Sleights Valley Road</t>
  </si>
  <si>
    <t>$12,000.00 - Scour - Work Incomplete</t>
  </si>
  <si>
    <t>Farrell Road</t>
  </si>
  <si>
    <t>Hursh Road</t>
  </si>
  <si>
    <t>N 4 Mile Road</t>
  </si>
  <si>
    <t>Pine Drive</t>
  </si>
  <si>
    <t>Pierce Road</t>
  </si>
  <si>
    <t>$50,000.00 - Road Surface/Shoulder - Work Complete</t>
  </si>
  <si>
    <t>W Elliott Road</t>
  </si>
  <si>
    <t>Emerson Road</t>
  </si>
  <si>
    <t>Zue Road</t>
  </si>
  <si>
    <t>Westminister Road</t>
  </si>
  <si>
    <t>Deal Road</t>
  </si>
  <si>
    <t>$18,000.00 - Road Surface/Shoulder - Work Incomplete</t>
  </si>
  <si>
    <t>W Blair Townhall Road</t>
  </si>
  <si>
    <t>Vanderlip Road</t>
  </si>
  <si>
    <t>$10,000.00 - Culvert - Work Incomplete</t>
  </si>
  <si>
    <t>Huellmantel Lake Road</t>
  </si>
  <si>
    <t>Carlisle Road</t>
  </si>
  <si>
    <t>Euclid Avenue</t>
  </si>
  <si>
    <t>Rasho Road</t>
  </si>
  <si>
    <t>Brown Bridge Road</t>
  </si>
  <si>
    <t>$8,000.00 - Debris - Work Incomplete</t>
  </si>
  <si>
    <t>$4,000,000.00 - Bridge - Work Incomplete</t>
  </si>
  <si>
    <t>E Potter Road</t>
  </si>
  <si>
    <t>Carpenter Creek Road</t>
  </si>
  <si>
    <t>$8,000.00 - Culvert - Work Incomplete</t>
  </si>
  <si>
    <t>Voice Road</t>
  </si>
  <si>
    <t>$1,000.00 - Debris - Work Incomplete</t>
  </si>
  <si>
    <t>$6,000.00 - Debris - Work Complete</t>
  </si>
  <si>
    <t>$40,000.00 - Scour - Work Complete</t>
  </si>
  <si>
    <t>Cedar Run Road</t>
  </si>
  <si>
    <t>5 Mile Road</t>
  </si>
  <si>
    <t>$100,000.00 - Debris - Work Incomplete</t>
  </si>
  <si>
    <t>North Long Lake Road</t>
  </si>
  <si>
    <t>Silver Lake Road</t>
  </si>
  <si>
    <t>Three Mile Road</t>
  </si>
  <si>
    <t>Bates Road</t>
  </si>
  <si>
    <t>Angell Road</t>
  </si>
  <si>
    <t>$2,000.00 - Culvert - Work Incomplete</t>
  </si>
  <si>
    <t>S Airport Road W</t>
  </si>
  <si>
    <t>$500,000.00 - Bridge - Work Incomplete</t>
  </si>
  <si>
    <t>Hobbs Highway</t>
  </si>
  <si>
    <t>N W Silver Lake Road</t>
  </si>
  <si>
    <t>E Hammond Road</t>
  </si>
  <si>
    <t>$60,000.00 - Road Surface/Shoulder - Work Incomplete</t>
  </si>
  <si>
    <t>M-37</t>
  </si>
  <si>
    <t>E River Road</t>
  </si>
  <si>
    <t>$3,000.00 - Culvert - Work Complete</t>
  </si>
  <si>
    <t>Barnes Road</t>
  </si>
  <si>
    <t>Beitner Road</t>
  </si>
  <si>
    <t>$5,000,000.00 - Bridge - Work Incomplete</t>
  </si>
  <si>
    <t>$5,000.00 - Culvert - Work Complete</t>
  </si>
  <si>
    <t>$10,000.00 - Bridge - Work Complete</t>
  </si>
  <si>
    <t>3 Mile Road</t>
  </si>
  <si>
    <t>$5,000.00 - Debris - Work Incomplete</t>
  </si>
  <si>
    <t>$40,000.00 - Bridge - Work Incomplete</t>
  </si>
  <si>
    <t>$20,000.00 - Scour - Work Incomplete</t>
  </si>
  <si>
    <t>Youker Road</t>
  </si>
  <si>
    <t>$20,000.00 - Scour - Work Complete</t>
  </si>
  <si>
    <t>S Garfield Road</t>
  </si>
  <si>
    <t>$40,000.00 - Road Surface/Shoulder - Work Incomplete</t>
  </si>
  <si>
    <t>$10,000.00 - Debris - Work Incomplete</t>
  </si>
  <si>
    <t>$12,000.00 - Debris - Work Incomplete</t>
  </si>
  <si>
    <t>W River Road</t>
  </si>
  <si>
    <t>$20,000.00 - Debris - Work Incomplete</t>
  </si>
  <si>
    <t>$15,000.00 - Debris - Work Incomplete</t>
  </si>
  <si>
    <t>$4,000.00 - Debris - Work Incomplete</t>
  </si>
  <si>
    <t>Cass Road</t>
  </si>
  <si>
    <t>$1,000,000.00 - Scour - Work Incomplete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</si>
</sst>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2A4DD-A09A-6883-F5D8-5BDDF0251D96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7D3773-4A1E-BC9D-7283-7DE5C765CF05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5797B2-02B4-F1DE-70F1-6567F3CD6F37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E3BDAA-1BF8-4D80-42A4-50C3782F5635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9163D4C-8ADF-582F-0B5D-C11FB910277C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7F64498-E217-7446-3751-A50CE4606C11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75A1F84-3A30-2A88-F034-C78EC6972DD7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BA98B5-FEDE-1CE7-F731-91C343C5EEF9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BB51FA-551F-4A52-0BA3-D977F3B70BB8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85E5B6-3CFF-897F-98F6-27A8715E0622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7C40FE-3930-85EE-D947-4B9AEBB1C976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7B9BD8-5289-E26A-7561-D70C286574D5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E5B610-F974-B2CF-FB17-6C96D10B25F8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66F38CF-5DD8-A075-E066-D8CF32EF0B0B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97E8BD4-2FBE-2648-7211-72665D081ED4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D96BBAE-7562-DC06-8FC3-DFF2F3A987DD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2D17338-D95F-CED0-A485-E94FF1E1117D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8143BAB-F019-D833-EB95-44AAC50D01DD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E8C97-80A2-4F91-B9D6-8BC986BE7FE9}">
  <sheetPr>
    <tabColor rgb="FF2F4F4F"/>
  </sheetPr>
  <dimension ref="B2:E16"/>
  <sheetViews>
    <sheetView showGridLines="0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57</v>
      </c>
    </row>
    <row r="3" spans="2:5" x14ac:dyDescent="0.45">
      <c r="B3" s="10" t="s">
        <v>58</v>
      </c>
    </row>
    <row r="5" spans="2:5" x14ac:dyDescent="0.45">
      <c r="B5" s="11" t="s">
        <v>59</v>
      </c>
    </row>
    <row r="11" spans="2:5" x14ac:dyDescent="0.45">
      <c r="E11" s="12" t="s">
        <v>60</v>
      </c>
    </row>
    <row r="13" spans="2:5" x14ac:dyDescent="0.45">
      <c r="E13" s="8" t="s">
        <v>61</v>
      </c>
    </row>
    <row r="16" spans="2:5" x14ac:dyDescent="0.45">
      <c r="E16" s="13" t="s">
        <v>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70271-BFD9-46EB-B06E-CFC5DDD832DE}">
  <sheetPr>
    <tabColor rgb="FF4682B4"/>
  </sheetPr>
  <dimension ref="A2:B16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27</v>
      </c>
    </row>
    <row r="3" spans="1:2" x14ac:dyDescent="0.45">
      <c r="B3" s="4" t="s">
        <v>28</v>
      </c>
    </row>
    <row r="5" spans="1:2" x14ac:dyDescent="0.45">
      <c r="A5" s="5" t="s">
        <v>29</v>
      </c>
      <c r="B5" s="6"/>
    </row>
    <row r="6" spans="1:2" x14ac:dyDescent="0.45">
      <c r="A6" s="5" t="s">
        <v>30</v>
      </c>
      <c r="B6" s="6"/>
    </row>
    <row r="7" spans="1:2" x14ac:dyDescent="0.45">
      <c r="A7" s="5" t="s">
        <v>31</v>
      </c>
      <c r="B7" s="6"/>
    </row>
    <row r="8" spans="1:2" x14ac:dyDescent="0.45">
      <c r="A8" s="5" t="s">
        <v>32</v>
      </c>
      <c r="B8" s="6"/>
    </row>
    <row r="9" spans="1:2" x14ac:dyDescent="0.45">
      <c r="A9" s="5" t="s">
        <v>33</v>
      </c>
      <c r="B9" s="6" t="s">
        <v>34</v>
      </c>
    </row>
    <row r="10" spans="1:2" x14ac:dyDescent="0.45">
      <c r="A10" s="5" t="s">
        <v>35</v>
      </c>
      <c r="B10" s="6"/>
    </row>
    <row r="11" spans="1:2" x14ac:dyDescent="0.45">
      <c r="A11" s="5" t="s">
        <v>36</v>
      </c>
      <c r="B11" s="6"/>
    </row>
    <row r="12" spans="1:2" x14ac:dyDescent="0.45">
      <c r="A12" s="5" t="s">
        <v>37</v>
      </c>
      <c r="B12" s="6">
        <v>200</v>
      </c>
    </row>
    <row r="14" spans="1:2" x14ac:dyDescent="0.45">
      <c r="A14" s="4" t="s">
        <v>38</v>
      </c>
    </row>
    <row r="15" spans="1:2" x14ac:dyDescent="0.45">
      <c r="A15" s="4" t="s">
        <v>39</v>
      </c>
    </row>
    <row r="16" spans="1:2" x14ac:dyDescent="0.45">
      <c r="A16" s="4" t="s">
        <v>40</v>
      </c>
    </row>
  </sheetData>
  <dataValidations count="2">
    <dataValidation type="list" allowBlank="1" showInputMessage="1" showErrorMessage="1" sqref="B9" xr:uid="{62D55E83-F106-4C22-848E-265150D028BF}">
      <formula1>"WI,IN,MI,MN,IL,OH"</formula1>
    </dataValidation>
    <dataValidation type="whole" allowBlank="1" showInputMessage="1" showErrorMessage="1" error="Enter a whole number between 1 and 1000 ft." sqref="B12" xr:uid="{4BA98118-3B3A-4BC7-A881-632955C7E1EF}">
      <formula1>1</formula1>
      <formula2>1000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59CC-3EFA-4102-9DEA-7BA0AB20F773}">
  <sheetPr>
    <tabColor rgb="FF3C3C3C"/>
  </sheetPr>
  <dimension ref="A1:AA501"/>
  <sheetViews>
    <sheetView tabSelected="1" topLeftCell="I1" workbookViewId="0">
      <pane ySplit="1" topLeftCell="A2" activePane="bottomLeft" state="frozen"/>
      <selection pane="bottomLeft" activeCell="R2" sqref="R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42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2.59765625" style="1" customWidth="1"/>
    <col min="24" max="24" width="24.59765625" style="1" customWidth="1"/>
    <col min="25" max="25" width="18.59765625" style="1" customWidth="1"/>
    <col min="26" max="26" width="16.59765625" style="1" customWidth="1"/>
    <col min="27" max="27" width="10.59765625" style="1" customWidth="1"/>
    <col min="28" max="16384" width="9.06640625" style="1"/>
  </cols>
  <sheetData>
    <row r="1" spans="1:27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</row>
    <row r="2" spans="1:27" x14ac:dyDescent="0.45">
      <c r="D2" t="s">
        <v>63</v>
      </c>
      <c r="F2">
        <v>44.575105000000001</v>
      </c>
      <c r="G2">
        <v>-85.566719000000006</v>
      </c>
      <c r="H2" s="1" t="s">
        <v>64</v>
      </c>
      <c r="I2" t="s">
        <v>65</v>
      </c>
      <c r="M2" s="1" t="str">
        <f t="shared" ref="M2:M65" si="0">IF(OR($F2="",$G2=""),"",HYPERLINK("https://www.google.com/maps?q="&amp;$F2&amp;","&amp;$G2&amp;"","Map"))</f>
        <v>Map</v>
      </c>
      <c r="N2" s="1" t="str">
        <f t="shared" ref="N2:N65" si="1">IF(OR($F2="",$G2=""),"",HYPERLINK("https://www.google.com/maps?q&amp;layer=c&amp;cbll="&amp;$F2&amp;","&amp;$G2&amp;"","Street"))</f>
        <v>Street</v>
      </c>
      <c r="O2" s="1" t="str">
        <f t="shared" ref="O2:O65" si="2">IF(OR($F2="",$G2=""),"",HYPERLINK("https://www.bing.com/maps?cp="&amp;$F2&amp;"~"&amp;$G2&amp;"&amp;lvl=18&amp;style=h","Bing"))</f>
        <v>Bing</v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>FEMA</v>
      </c>
      <c r="Q2" s="1" t="str">
        <f t="shared" ref="Q2:Q65" si="4">IF(OR($F2="",$G2=""),"",HYPERLINK("https://msc.fema.gov/portal/firmette?latitude="&amp;$F2&amp;"&amp;longitude="&amp;$G2&amp;"","FIRMette"))</f>
        <v>FIRMette</v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IF(OR($F2="",$G2=""),"",HYPERLINK("https://fema.maps.arcgis.com/apps/mapviewer/index.html?webmap=6a1702b9147243d1a5ee62cd614bc681&amp;center="&amp;$G2&amp;","&amp;$F2&amp;"&amp;level=16&amp;marker="&amp;$G2&amp;","&amp;$F2&amp;"","Open"))</f>
        <v>Open</v>
      </c>
      <c r="AA2" s="1" t="str">
        <f t="shared" ref="AA2:AA65" si="6">IF(OR(_xlfn.SINGLE(JobAgolMap)="", $F2="", $G2=""),"",HYPERLINK(_xlfn.SINGLE(JobAgolMap)&amp;IF(ISNUMBER(FIND("?",_xlfn.SINGLE(JobAgolMap))),"&amp;","?")&amp;"center="&amp;$G2&amp;","&amp;$F2&amp;"&amp;level=16&amp;marker="&amp;$G2&amp;","&amp;$F2,"Open"))</f>
        <v/>
      </c>
    </row>
    <row r="3" spans="1:27" x14ac:dyDescent="0.45">
      <c r="D3" t="s">
        <v>66</v>
      </c>
      <c r="F3">
        <v>44.754752000000003</v>
      </c>
      <c r="G3">
        <v>-85.339714999999998</v>
      </c>
      <c r="H3" s="1" t="s">
        <v>64</v>
      </c>
      <c r="I3" t="s">
        <v>65</v>
      </c>
      <c r="M3" s="1" t="str">
        <f t="shared" si="0"/>
        <v>Map</v>
      </c>
      <c r="N3" s="1" t="str">
        <f t="shared" si="1"/>
        <v>Street</v>
      </c>
      <c r="O3" s="1" t="str">
        <f t="shared" si="2"/>
        <v>Bing</v>
      </c>
      <c r="P3" s="1" t="str">
        <f t="shared" si="3"/>
        <v>FEMA</v>
      </c>
      <c r="Q3" s="1" t="str">
        <f t="shared" si="4"/>
        <v>FIRMette</v>
      </c>
      <c r="R3" s="1" t="str">
        <f t="shared" si="5"/>
        <v>Open</v>
      </c>
      <c r="AA3" s="1" t="str">
        <f t="shared" si="6"/>
        <v/>
      </c>
    </row>
    <row r="4" spans="1:27" x14ac:dyDescent="0.45">
      <c r="D4" t="s">
        <v>67</v>
      </c>
      <c r="F4">
        <v>44.657443000000001</v>
      </c>
      <c r="G4">
        <v>-85.497099000000006</v>
      </c>
      <c r="H4" s="1" t="s">
        <v>64</v>
      </c>
      <c r="I4" t="s">
        <v>65</v>
      </c>
      <c r="M4" s="1" t="str">
        <f t="shared" si="0"/>
        <v>Map</v>
      </c>
      <c r="N4" s="1" t="str">
        <f t="shared" si="1"/>
        <v>Street</v>
      </c>
      <c r="O4" s="1" t="str">
        <f t="shared" si="2"/>
        <v>Bing</v>
      </c>
      <c r="P4" s="1" t="str">
        <f t="shared" si="3"/>
        <v>FEMA</v>
      </c>
      <c r="Q4" s="1" t="str">
        <f t="shared" si="4"/>
        <v>FIRMette</v>
      </c>
      <c r="R4" s="1" t="str">
        <f t="shared" si="5"/>
        <v>Open</v>
      </c>
      <c r="AA4" s="1" t="str">
        <f t="shared" si="6"/>
        <v/>
      </c>
    </row>
    <row r="5" spans="1:27" x14ac:dyDescent="0.45">
      <c r="D5" t="s">
        <v>68</v>
      </c>
      <c r="F5">
        <v>44.605395000000001</v>
      </c>
      <c r="G5">
        <v>-85.363367999999994</v>
      </c>
      <c r="H5" s="1" t="s">
        <v>64</v>
      </c>
      <c r="I5" t="s">
        <v>65</v>
      </c>
      <c r="M5" s="1" t="str">
        <f t="shared" si="0"/>
        <v>Map</v>
      </c>
      <c r="N5" s="1" t="str">
        <f t="shared" si="1"/>
        <v>Street</v>
      </c>
      <c r="O5" s="1" t="str">
        <f t="shared" si="2"/>
        <v>Bing</v>
      </c>
      <c r="P5" s="1" t="str">
        <f t="shared" si="3"/>
        <v>FEMA</v>
      </c>
      <c r="Q5" s="1" t="str">
        <f t="shared" si="4"/>
        <v>FIRMette</v>
      </c>
      <c r="R5" s="1" t="str">
        <f t="shared" si="5"/>
        <v>Open</v>
      </c>
      <c r="AA5" s="1" t="str">
        <f t="shared" si="6"/>
        <v/>
      </c>
    </row>
    <row r="6" spans="1:27" x14ac:dyDescent="0.45">
      <c r="D6" t="s">
        <v>69</v>
      </c>
      <c r="F6">
        <v>44.670932999999998</v>
      </c>
      <c r="G6">
        <v>-85.475763999999998</v>
      </c>
      <c r="H6" s="1" t="s">
        <v>64</v>
      </c>
      <c r="I6" t="s">
        <v>65</v>
      </c>
      <c r="M6" s="1" t="str">
        <f t="shared" si="0"/>
        <v>Map</v>
      </c>
      <c r="N6" s="1" t="str">
        <f t="shared" si="1"/>
        <v>Street</v>
      </c>
      <c r="O6" s="1" t="str">
        <f t="shared" si="2"/>
        <v>Bing</v>
      </c>
      <c r="P6" s="1" t="str">
        <f t="shared" si="3"/>
        <v>FEMA</v>
      </c>
      <c r="Q6" s="1" t="str">
        <f t="shared" si="4"/>
        <v>FIRMette</v>
      </c>
      <c r="R6" s="1" t="str">
        <f t="shared" si="5"/>
        <v>Open</v>
      </c>
      <c r="AA6" s="1" t="str">
        <f t="shared" si="6"/>
        <v/>
      </c>
    </row>
    <row r="7" spans="1:27" x14ac:dyDescent="0.45">
      <c r="D7" t="s">
        <v>70</v>
      </c>
      <c r="F7">
        <v>44.670729000000001</v>
      </c>
      <c r="G7">
        <v>-85.508037999999999</v>
      </c>
      <c r="H7" s="1" t="s">
        <v>64</v>
      </c>
      <c r="I7" t="s">
        <v>71</v>
      </c>
      <c r="M7" s="1" t="str">
        <f t="shared" si="0"/>
        <v>Map</v>
      </c>
      <c r="N7" s="1" t="str">
        <f t="shared" si="1"/>
        <v>Street</v>
      </c>
      <c r="O7" s="1" t="str">
        <f t="shared" si="2"/>
        <v>Bing</v>
      </c>
      <c r="P7" s="1" t="str">
        <f t="shared" si="3"/>
        <v>FEMA</v>
      </c>
      <c r="Q7" s="1" t="str">
        <f t="shared" si="4"/>
        <v>FIRMette</v>
      </c>
      <c r="R7" s="1" t="str">
        <f t="shared" si="5"/>
        <v>Open</v>
      </c>
      <c r="AA7" s="1" t="str">
        <f t="shared" si="6"/>
        <v/>
      </c>
    </row>
    <row r="8" spans="1:27" x14ac:dyDescent="0.45">
      <c r="D8" t="s">
        <v>72</v>
      </c>
      <c r="F8">
        <v>44.530315000000002</v>
      </c>
      <c r="G8">
        <v>-85.645841000000004</v>
      </c>
      <c r="H8" s="1" t="s">
        <v>64</v>
      </c>
      <c r="I8" t="s">
        <v>73</v>
      </c>
      <c r="M8" s="1" t="str">
        <f t="shared" si="0"/>
        <v>Map</v>
      </c>
      <c r="N8" s="1" t="str">
        <f t="shared" si="1"/>
        <v>Street</v>
      </c>
      <c r="O8" s="1" t="str">
        <f t="shared" si="2"/>
        <v>Bing</v>
      </c>
      <c r="P8" s="1" t="str">
        <f t="shared" si="3"/>
        <v>FEMA</v>
      </c>
      <c r="Q8" s="1" t="str">
        <f t="shared" si="4"/>
        <v>FIRMette</v>
      </c>
      <c r="R8" s="1" t="str">
        <f t="shared" si="5"/>
        <v>Open</v>
      </c>
      <c r="AA8" s="1" t="str">
        <f t="shared" si="6"/>
        <v/>
      </c>
    </row>
    <row r="9" spans="1:27" x14ac:dyDescent="0.45">
      <c r="D9" t="s">
        <v>74</v>
      </c>
      <c r="F9">
        <v>44.765110999999997</v>
      </c>
      <c r="G9">
        <v>-85.392407000000006</v>
      </c>
      <c r="H9" s="1" t="s">
        <v>64</v>
      </c>
      <c r="I9" t="s">
        <v>65</v>
      </c>
      <c r="M9" s="1" t="str">
        <f t="shared" si="0"/>
        <v>Map</v>
      </c>
      <c r="N9" s="1" t="str">
        <f t="shared" si="1"/>
        <v>Street</v>
      </c>
      <c r="O9" s="1" t="str">
        <f t="shared" si="2"/>
        <v>Bing</v>
      </c>
      <c r="P9" s="1" t="str">
        <f t="shared" si="3"/>
        <v>FEMA</v>
      </c>
      <c r="Q9" s="1" t="str">
        <f t="shared" si="4"/>
        <v>FIRMette</v>
      </c>
      <c r="R9" s="1" t="str">
        <f t="shared" si="5"/>
        <v>Open</v>
      </c>
      <c r="AA9" s="1" t="str">
        <f t="shared" si="6"/>
        <v/>
      </c>
    </row>
    <row r="10" spans="1:27" x14ac:dyDescent="0.45">
      <c r="D10" t="s">
        <v>75</v>
      </c>
      <c r="F10">
        <v>44.893385000000002</v>
      </c>
      <c r="G10">
        <v>-85.526266000000007</v>
      </c>
      <c r="H10" s="1" t="s">
        <v>64</v>
      </c>
      <c r="I10" t="s">
        <v>76</v>
      </c>
      <c r="M10" s="1" t="str">
        <f t="shared" si="0"/>
        <v>Map</v>
      </c>
      <c r="N10" s="1" t="str">
        <f t="shared" si="1"/>
        <v>Street</v>
      </c>
      <c r="O10" s="1" t="str">
        <f t="shared" si="2"/>
        <v>Bing</v>
      </c>
      <c r="P10" s="1" t="str">
        <f t="shared" si="3"/>
        <v>FEMA</v>
      </c>
      <c r="Q10" s="1" t="str">
        <f t="shared" si="4"/>
        <v>FIRMette</v>
      </c>
      <c r="R10" s="1" t="str">
        <f t="shared" si="5"/>
        <v>Open</v>
      </c>
      <c r="AA10" s="1" t="str">
        <f t="shared" si="6"/>
        <v/>
      </c>
    </row>
    <row r="11" spans="1:27" x14ac:dyDescent="0.45">
      <c r="D11" t="s">
        <v>77</v>
      </c>
      <c r="F11">
        <v>44.787315999999997</v>
      </c>
      <c r="G11">
        <v>-85.430595999999994</v>
      </c>
      <c r="H11" s="1" t="s">
        <v>64</v>
      </c>
      <c r="I11" t="s">
        <v>78</v>
      </c>
      <c r="M11" s="1" t="str">
        <f t="shared" si="0"/>
        <v>Map</v>
      </c>
      <c r="N11" s="1" t="str">
        <f t="shared" si="1"/>
        <v>Street</v>
      </c>
      <c r="O11" s="1" t="str">
        <f t="shared" si="2"/>
        <v>Bing</v>
      </c>
      <c r="P11" s="1" t="str">
        <f t="shared" si="3"/>
        <v>FEMA</v>
      </c>
      <c r="Q11" s="1" t="str">
        <f t="shared" si="4"/>
        <v>FIRMette</v>
      </c>
      <c r="R11" s="1" t="str">
        <f t="shared" si="5"/>
        <v>Open</v>
      </c>
      <c r="AA11" s="1" t="str">
        <f t="shared" si="6"/>
        <v/>
      </c>
    </row>
    <row r="12" spans="1:27" x14ac:dyDescent="0.45">
      <c r="D12" t="s">
        <v>63</v>
      </c>
      <c r="F12">
        <v>44.579366</v>
      </c>
      <c r="G12">
        <v>-85.566969999999998</v>
      </c>
      <c r="H12" s="1" t="s">
        <v>64</v>
      </c>
      <c r="I12" t="s">
        <v>79</v>
      </c>
      <c r="M12" s="1" t="str">
        <f t="shared" si="0"/>
        <v>Map</v>
      </c>
      <c r="N12" s="1" t="str">
        <f t="shared" si="1"/>
        <v>Street</v>
      </c>
      <c r="O12" s="1" t="str">
        <f t="shared" si="2"/>
        <v>Bing</v>
      </c>
      <c r="P12" s="1" t="str">
        <f t="shared" si="3"/>
        <v>FEMA</v>
      </c>
      <c r="Q12" s="1" t="str">
        <f t="shared" si="4"/>
        <v>FIRMette</v>
      </c>
      <c r="R12" s="1" t="str">
        <f t="shared" si="5"/>
        <v>Open</v>
      </c>
      <c r="AA12" s="1" t="str">
        <f t="shared" si="6"/>
        <v/>
      </c>
    </row>
    <row r="13" spans="1:27" x14ac:dyDescent="0.45">
      <c r="D13" t="s">
        <v>80</v>
      </c>
      <c r="F13">
        <v>44.787025999999997</v>
      </c>
      <c r="G13">
        <v>-85.351933000000002</v>
      </c>
      <c r="H13" s="1" t="s">
        <v>64</v>
      </c>
      <c r="I13" t="s">
        <v>81</v>
      </c>
      <c r="M13" s="1" t="str">
        <f t="shared" si="0"/>
        <v>Map</v>
      </c>
      <c r="N13" s="1" t="str">
        <f t="shared" si="1"/>
        <v>Street</v>
      </c>
      <c r="O13" s="1" t="str">
        <f t="shared" si="2"/>
        <v>Bing</v>
      </c>
      <c r="P13" s="1" t="str">
        <f t="shared" si="3"/>
        <v>FEMA</v>
      </c>
      <c r="Q13" s="1" t="str">
        <f t="shared" si="4"/>
        <v>FIRMette</v>
      </c>
      <c r="R13" s="1" t="str">
        <f t="shared" si="5"/>
        <v>Open</v>
      </c>
      <c r="AA13" s="1" t="str">
        <f t="shared" si="6"/>
        <v/>
      </c>
    </row>
    <row r="14" spans="1:27" x14ac:dyDescent="0.45">
      <c r="D14" t="s">
        <v>82</v>
      </c>
      <c r="F14">
        <v>44.965152000000003</v>
      </c>
      <c r="G14">
        <v>-85.502656999999999</v>
      </c>
      <c r="H14" s="1" t="s">
        <v>64</v>
      </c>
      <c r="I14" t="s">
        <v>83</v>
      </c>
      <c r="M14" s="1" t="str">
        <f t="shared" si="0"/>
        <v>Map</v>
      </c>
      <c r="N14" s="1" t="str">
        <f t="shared" si="1"/>
        <v>Street</v>
      </c>
      <c r="O14" s="1" t="str">
        <f t="shared" si="2"/>
        <v>Bing</v>
      </c>
      <c r="P14" s="1" t="str">
        <f t="shared" si="3"/>
        <v>FEMA</v>
      </c>
      <c r="Q14" s="1" t="str">
        <f t="shared" si="4"/>
        <v>FIRMette</v>
      </c>
      <c r="R14" s="1" t="str">
        <f t="shared" si="5"/>
        <v>Open</v>
      </c>
      <c r="AA14" s="1" t="str">
        <f t="shared" si="6"/>
        <v/>
      </c>
    </row>
    <row r="15" spans="1:27" x14ac:dyDescent="0.45">
      <c r="D15" t="s">
        <v>82</v>
      </c>
      <c r="F15">
        <v>44.961436999999997</v>
      </c>
      <c r="G15">
        <v>-85.488307000000006</v>
      </c>
      <c r="H15" s="1" t="s">
        <v>64</v>
      </c>
      <c r="I15" t="s">
        <v>84</v>
      </c>
      <c r="M15" s="1" t="str">
        <f t="shared" si="0"/>
        <v>Map</v>
      </c>
      <c r="N15" s="1" t="str">
        <f t="shared" si="1"/>
        <v>Street</v>
      </c>
      <c r="O15" s="1" t="str">
        <f t="shared" si="2"/>
        <v>Bing</v>
      </c>
      <c r="P15" s="1" t="str">
        <f t="shared" si="3"/>
        <v>FEMA</v>
      </c>
      <c r="Q15" s="1" t="str">
        <f t="shared" si="4"/>
        <v>FIRMette</v>
      </c>
      <c r="R15" s="1" t="str">
        <f t="shared" si="5"/>
        <v>Open</v>
      </c>
      <c r="AA15" s="1" t="str">
        <f t="shared" si="6"/>
        <v/>
      </c>
    </row>
    <row r="16" spans="1:27" x14ac:dyDescent="0.45">
      <c r="D16" t="s">
        <v>85</v>
      </c>
      <c r="F16">
        <v>44.861597000000003</v>
      </c>
      <c r="G16">
        <v>-85.547306000000006</v>
      </c>
      <c r="H16" s="1" t="s">
        <v>64</v>
      </c>
      <c r="I16" t="s">
        <v>86</v>
      </c>
      <c r="M16" s="1" t="str">
        <f t="shared" si="0"/>
        <v>Map</v>
      </c>
      <c r="N16" s="1" t="str">
        <f t="shared" si="1"/>
        <v>Street</v>
      </c>
      <c r="O16" s="1" t="str">
        <f t="shared" si="2"/>
        <v>Bing</v>
      </c>
      <c r="P16" s="1" t="str">
        <f t="shared" si="3"/>
        <v>FEMA</v>
      </c>
      <c r="Q16" s="1" t="str">
        <f t="shared" si="4"/>
        <v>FIRMette</v>
      </c>
      <c r="R16" s="1" t="str">
        <f t="shared" si="5"/>
        <v>Open</v>
      </c>
      <c r="AA16" s="1" t="str">
        <f t="shared" si="6"/>
        <v/>
      </c>
    </row>
    <row r="17" spans="4:27" x14ac:dyDescent="0.45">
      <c r="D17" t="s">
        <v>87</v>
      </c>
      <c r="F17">
        <v>44.979799</v>
      </c>
      <c r="G17">
        <v>-85.494309000000001</v>
      </c>
      <c r="H17" s="1" t="s">
        <v>64</v>
      </c>
      <c r="I17" t="s">
        <v>65</v>
      </c>
      <c r="M17" s="1" t="str">
        <f t="shared" si="0"/>
        <v>Map</v>
      </c>
      <c r="N17" s="1" t="str">
        <f t="shared" si="1"/>
        <v>Street</v>
      </c>
      <c r="O17" s="1" t="str">
        <f t="shared" si="2"/>
        <v>Bing</v>
      </c>
      <c r="P17" s="1" t="str">
        <f t="shared" si="3"/>
        <v>FEMA</v>
      </c>
      <c r="Q17" s="1" t="str">
        <f t="shared" si="4"/>
        <v>FIRMette</v>
      </c>
      <c r="R17" s="1" t="str">
        <f t="shared" si="5"/>
        <v>Open</v>
      </c>
      <c r="AA17" s="1" t="str">
        <f t="shared" si="6"/>
        <v/>
      </c>
    </row>
    <row r="18" spans="4:27" x14ac:dyDescent="0.45">
      <c r="D18" t="s">
        <v>88</v>
      </c>
      <c r="F18">
        <v>44.828034000000002</v>
      </c>
      <c r="G18">
        <v>-85.553740000000005</v>
      </c>
      <c r="H18" s="1" t="s">
        <v>64</v>
      </c>
      <c r="I18" t="s">
        <v>89</v>
      </c>
      <c r="M18" s="1" t="str">
        <f t="shared" si="0"/>
        <v>Map</v>
      </c>
      <c r="N18" s="1" t="str">
        <f t="shared" si="1"/>
        <v>Street</v>
      </c>
      <c r="O18" s="1" t="str">
        <f t="shared" si="2"/>
        <v>Bing</v>
      </c>
      <c r="P18" s="1" t="str">
        <f t="shared" si="3"/>
        <v>FEMA</v>
      </c>
      <c r="Q18" s="1" t="str">
        <f t="shared" si="4"/>
        <v>FIRMette</v>
      </c>
      <c r="R18" s="1" t="str">
        <f t="shared" si="5"/>
        <v>Open</v>
      </c>
      <c r="AA18" s="1" t="str">
        <f t="shared" si="6"/>
        <v/>
      </c>
    </row>
    <row r="19" spans="4:27" x14ac:dyDescent="0.45">
      <c r="D19" t="s">
        <v>90</v>
      </c>
      <c r="F19">
        <v>44.663237000000002</v>
      </c>
      <c r="G19">
        <v>-85.676604999999995</v>
      </c>
      <c r="H19" s="1" t="s">
        <v>64</v>
      </c>
      <c r="I19" t="s">
        <v>91</v>
      </c>
      <c r="M19" s="1" t="str">
        <f t="shared" si="0"/>
        <v>Map</v>
      </c>
      <c r="N19" s="1" t="str">
        <f t="shared" si="1"/>
        <v>Street</v>
      </c>
      <c r="O19" s="1" t="str">
        <f t="shared" si="2"/>
        <v>Bing</v>
      </c>
      <c r="P19" s="1" t="str">
        <f t="shared" si="3"/>
        <v>FEMA</v>
      </c>
      <c r="Q19" s="1" t="str">
        <f t="shared" si="4"/>
        <v>FIRMette</v>
      </c>
      <c r="R19" s="1" t="str">
        <f t="shared" si="5"/>
        <v>Open</v>
      </c>
      <c r="AA19" s="1" t="str">
        <f t="shared" si="6"/>
        <v/>
      </c>
    </row>
    <row r="20" spans="4:27" x14ac:dyDescent="0.45">
      <c r="D20" t="s">
        <v>92</v>
      </c>
      <c r="F20">
        <v>44.564732999999997</v>
      </c>
      <c r="G20">
        <v>-85.434408000000005</v>
      </c>
      <c r="H20" s="1" t="s">
        <v>64</v>
      </c>
      <c r="I20" t="s">
        <v>93</v>
      </c>
      <c r="M20" s="1" t="str">
        <f t="shared" si="0"/>
        <v>Map</v>
      </c>
      <c r="N20" s="1" t="str">
        <f t="shared" si="1"/>
        <v>Street</v>
      </c>
      <c r="O20" s="1" t="str">
        <f t="shared" si="2"/>
        <v>Bing</v>
      </c>
      <c r="P20" s="1" t="str">
        <f t="shared" si="3"/>
        <v>FEMA</v>
      </c>
      <c r="Q20" s="1" t="str">
        <f t="shared" si="4"/>
        <v>FIRMette</v>
      </c>
      <c r="R20" s="1" t="str">
        <f t="shared" si="5"/>
        <v>Open</v>
      </c>
      <c r="AA20" s="1" t="str">
        <f t="shared" si="6"/>
        <v/>
      </c>
    </row>
    <row r="21" spans="4:27" x14ac:dyDescent="0.45">
      <c r="D21" t="s">
        <v>94</v>
      </c>
      <c r="F21">
        <v>44.627676999999998</v>
      </c>
      <c r="G21">
        <v>-85.535201000000001</v>
      </c>
      <c r="H21" s="1" t="s">
        <v>64</v>
      </c>
      <c r="I21" t="s">
        <v>78</v>
      </c>
      <c r="M21" s="1" t="str">
        <f t="shared" si="0"/>
        <v>Map</v>
      </c>
      <c r="N21" s="1" t="str">
        <f t="shared" si="1"/>
        <v>Street</v>
      </c>
      <c r="O21" s="1" t="str">
        <f t="shared" si="2"/>
        <v>Bing</v>
      </c>
      <c r="P21" s="1" t="str">
        <f t="shared" si="3"/>
        <v>FEMA</v>
      </c>
      <c r="Q21" s="1" t="str">
        <f t="shared" si="4"/>
        <v>FIRMette</v>
      </c>
      <c r="R21" s="1" t="str">
        <f t="shared" si="5"/>
        <v>Open</v>
      </c>
      <c r="AA21" s="1" t="str">
        <f t="shared" si="6"/>
        <v/>
      </c>
    </row>
    <row r="22" spans="4:27" x14ac:dyDescent="0.45">
      <c r="D22" t="s">
        <v>95</v>
      </c>
      <c r="F22">
        <v>44.572316000000001</v>
      </c>
      <c r="G22">
        <v>-85.604975999999994</v>
      </c>
      <c r="H22" s="1" t="s">
        <v>64</v>
      </c>
      <c r="I22" t="s">
        <v>96</v>
      </c>
      <c r="M22" s="1" t="str">
        <f t="shared" si="0"/>
        <v>Map</v>
      </c>
      <c r="N22" s="1" t="str">
        <f t="shared" si="1"/>
        <v>Street</v>
      </c>
      <c r="O22" s="1" t="str">
        <f t="shared" si="2"/>
        <v>Bing</v>
      </c>
      <c r="P22" s="1" t="str">
        <f t="shared" si="3"/>
        <v>FEMA</v>
      </c>
      <c r="Q22" s="1" t="str">
        <f t="shared" si="4"/>
        <v>FIRMette</v>
      </c>
      <c r="R22" s="1" t="str">
        <f t="shared" si="5"/>
        <v>Open</v>
      </c>
      <c r="AA22" s="1" t="str">
        <f t="shared" si="6"/>
        <v/>
      </c>
    </row>
    <row r="23" spans="4:27" x14ac:dyDescent="0.45">
      <c r="D23" t="s">
        <v>97</v>
      </c>
      <c r="F23">
        <v>44.699992999999999</v>
      </c>
      <c r="G23">
        <v>-85.525886</v>
      </c>
      <c r="H23" s="1" t="s">
        <v>64</v>
      </c>
      <c r="I23" t="s">
        <v>86</v>
      </c>
      <c r="M23" s="1" t="str">
        <f t="shared" si="0"/>
        <v>Map</v>
      </c>
      <c r="N23" s="1" t="str">
        <f t="shared" si="1"/>
        <v>Street</v>
      </c>
      <c r="O23" s="1" t="str">
        <f t="shared" si="2"/>
        <v>Bing</v>
      </c>
      <c r="P23" s="1" t="str">
        <f t="shared" si="3"/>
        <v>FEMA</v>
      </c>
      <c r="Q23" s="1" t="str">
        <f t="shared" si="4"/>
        <v>FIRMette</v>
      </c>
      <c r="R23" s="1" t="str">
        <f t="shared" si="5"/>
        <v>Open</v>
      </c>
      <c r="AA23" s="1" t="str">
        <f t="shared" si="6"/>
        <v/>
      </c>
    </row>
    <row r="24" spans="4:27" x14ac:dyDescent="0.45">
      <c r="D24" t="s">
        <v>98</v>
      </c>
      <c r="F24">
        <v>44.659188999999998</v>
      </c>
      <c r="G24">
        <v>-85.530344999999997</v>
      </c>
      <c r="H24" s="1" t="s">
        <v>64</v>
      </c>
      <c r="I24" t="s">
        <v>65</v>
      </c>
      <c r="M24" s="1" t="str">
        <f t="shared" si="0"/>
        <v>Map</v>
      </c>
      <c r="N24" s="1" t="str">
        <f t="shared" si="1"/>
        <v>Street</v>
      </c>
      <c r="O24" s="1" t="str">
        <f t="shared" si="2"/>
        <v>Bing</v>
      </c>
      <c r="P24" s="1" t="str">
        <f t="shared" si="3"/>
        <v>FEMA</v>
      </c>
      <c r="Q24" s="1" t="str">
        <f t="shared" si="4"/>
        <v>FIRMette</v>
      </c>
      <c r="R24" s="1" t="str">
        <f t="shared" si="5"/>
        <v>Open</v>
      </c>
      <c r="AA24" s="1" t="str">
        <f t="shared" si="6"/>
        <v/>
      </c>
    </row>
    <row r="25" spans="4:27" x14ac:dyDescent="0.45">
      <c r="D25" t="s">
        <v>99</v>
      </c>
      <c r="F25">
        <v>44.584459000000003</v>
      </c>
      <c r="G25">
        <v>-85.703828000000001</v>
      </c>
      <c r="H25" s="1" t="s">
        <v>64</v>
      </c>
      <c r="I25" t="s">
        <v>65</v>
      </c>
      <c r="M25" s="1" t="str">
        <f t="shared" si="0"/>
        <v>Map</v>
      </c>
      <c r="N25" s="1" t="str">
        <f t="shared" si="1"/>
        <v>Street</v>
      </c>
      <c r="O25" s="1" t="str">
        <f t="shared" si="2"/>
        <v>Bing</v>
      </c>
      <c r="P25" s="1" t="str">
        <f t="shared" si="3"/>
        <v>FEMA</v>
      </c>
      <c r="Q25" s="1" t="str">
        <f t="shared" si="4"/>
        <v>FIRMette</v>
      </c>
      <c r="R25" s="1" t="str">
        <f t="shared" si="5"/>
        <v>Open</v>
      </c>
      <c r="AA25" s="1" t="str">
        <f t="shared" si="6"/>
        <v/>
      </c>
    </row>
    <row r="26" spans="4:27" x14ac:dyDescent="0.45">
      <c r="D26" t="s">
        <v>100</v>
      </c>
      <c r="F26">
        <v>44.520021999999997</v>
      </c>
      <c r="G26">
        <v>-85.716621000000004</v>
      </c>
      <c r="H26" s="1" t="s">
        <v>64</v>
      </c>
      <c r="I26" t="s">
        <v>65</v>
      </c>
      <c r="M26" s="1" t="str">
        <f t="shared" si="0"/>
        <v>Map</v>
      </c>
      <c r="N26" s="1" t="str">
        <f t="shared" si="1"/>
        <v>Street</v>
      </c>
      <c r="O26" s="1" t="str">
        <f t="shared" si="2"/>
        <v>Bing</v>
      </c>
      <c r="P26" s="1" t="str">
        <f t="shared" si="3"/>
        <v>FEMA</v>
      </c>
      <c r="Q26" s="1" t="str">
        <f t="shared" si="4"/>
        <v>FIRMette</v>
      </c>
      <c r="R26" s="1" t="str">
        <f t="shared" si="5"/>
        <v>Open</v>
      </c>
      <c r="AA26" s="1" t="str">
        <f t="shared" si="6"/>
        <v/>
      </c>
    </row>
    <row r="27" spans="4:27" x14ac:dyDescent="0.45">
      <c r="D27" t="s">
        <v>101</v>
      </c>
      <c r="F27">
        <v>44.575021</v>
      </c>
      <c r="G27">
        <v>-85.373140000000006</v>
      </c>
      <c r="H27" s="1" t="s">
        <v>64</v>
      </c>
      <c r="I27" t="s">
        <v>102</v>
      </c>
      <c r="M27" s="1" t="str">
        <f t="shared" si="0"/>
        <v>Map</v>
      </c>
      <c r="N27" s="1" t="str">
        <f t="shared" si="1"/>
        <v>Street</v>
      </c>
      <c r="O27" s="1" t="str">
        <f t="shared" si="2"/>
        <v>Bing</v>
      </c>
      <c r="P27" s="1" t="str">
        <f t="shared" si="3"/>
        <v>FEMA</v>
      </c>
      <c r="Q27" s="1" t="str">
        <f t="shared" si="4"/>
        <v>FIRMette</v>
      </c>
      <c r="R27" s="1" t="str">
        <f t="shared" si="5"/>
        <v>Open</v>
      </c>
      <c r="AA27" s="1" t="str">
        <f t="shared" si="6"/>
        <v/>
      </c>
    </row>
    <row r="28" spans="4:27" x14ac:dyDescent="0.45">
      <c r="D28" t="s">
        <v>103</v>
      </c>
      <c r="F28">
        <v>44.598531999999999</v>
      </c>
      <c r="G28">
        <v>-85.363302000000004</v>
      </c>
      <c r="H28" s="1" t="s">
        <v>64</v>
      </c>
      <c r="I28" t="s">
        <v>104</v>
      </c>
      <c r="M28" s="1" t="str">
        <f t="shared" si="0"/>
        <v>Map</v>
      </c>
      <c r="N28" s="1" t="str">
        <f t="shared" si="1"/>
        <v>Street</v>
      </c>
      <c r="O28" s="1" t="str">
        <f t="shared" si="2"/>
        <v>Bing</v>
      </c>
      <c r="P28" s="1" t="str">
        <f t="shared" si="3"/>
        <v>FEMA</v>
      </c>
      <c r="Q28" s="1" t="str">
        <f t="shared" si="4"/>
        <v>FIRMette</v>
      </c>
      <c r="R28" s="1" t="str">
        <f t="shared" si="5"/>
        <v>Open</v>
      </c>
      <c r="AA28" s="1" t="str">
        <f t="shared" si="6"/>
        <v/>
      </c>
    </row>
    <row r="29" spans="4:27" x14ac:dyDescent="0.45">
      <c r="D29" t="s">
        <v>105</v>
      </c>
      <c r="F29">
        <v>44.816454</v>
      </c>
      <c r="G29">
        <v>-85.400396999999998</v>
      </c>
      <c r="H29" s="1" t="s">
        <v>64</v>
      </c>
      <c r="I29" t="s">
        <v>106</v>
      </c>
      <c r="M29" s="1" t="str">
        <f t="shared" si="0"/>
        <v>Map</v>
      </c>
      <c r="N29" s="1" t="str">
        <f t="shared" si="1"/>
        <v>Street</v>
      </c>
      <c r="O29" s="1" t="str">
        <f t="shared" si="2"/>
        <v>Bing</v>
      </c>
      <c r="P29" s="1" t="str">
        <f t="shared" si="3"/>
        <v>FEMA</v>
      </c>
      <c r="Q29" s="1" t="str">
        <f t="shared" si="4"/>
        <v>FIRMette</v>
      </c>
      <c r="R29" s="1" t="str">
        <f t="shared" si="5"/>
        <v>Open</v>
      </c>
      <c r="AA29" s="1" t="str">
        <f t="shared" si="6"/>
        <v/>
      </c>
    </row>
    <row r="30" spans="4:27" x14ac:dyDescent="0.45">
      <c r="D30" t="s">
        <v>107</v>
      </c>
      <c r="F30">
        <v>44.742297000000001</v>
      </c>
      <c r="G30">
        <v>-85.684971000000004</v>
      </c>
      <c r="H30" s="1" t="s">
        <v>64</v>
      </c>
      <c r="I30" t="s">
        <v>108</v>
      </c>
      <c r="M30" s="1" t="str">
        <f t="shared" si="0"/>
        <v>Map</v>
      </c>
      <c r="N30" s="1" t="str">
        <f t="shared" si="1"/>
        <v>Street</v>
      </c>
      <c r="O30" s="1" t="str">
        <f t="shared" si="2"/>
        <v>Bing</v>
      </c>
      <c r="P30" s="1" t="str">
        <f t="shared" si="3"/>
        <v>FEMA</v>
      </c>
      <c r="Q30" s="1" t="str">
        <f t="shared" si="4"/>
        <v>FIRMette</v>
      </c>
      <c r="R30" s="1" t="str">
        <f t="shared" si="5"/>
        <v>Open</v>
      </c>
      <c r="AA30" s="1" t="str">
        <f t="shared" si="6"/>
        <v/>
      </c>
    </row>
    <row r="31" spans="4:27" x14ac:dyDescent="0.45">
      <c r="D31" t="s">
        <v>109</v>
      </c>
      <c r="F31">
        <v>44.567042000000001</v>
      </c>
      <c r="G31">
        <v>-85.567042000000001</v>
      </c>
      <c r="H31" s="1" t="s">
        <v>64</v>
      </c>
      <c r="I31" t="s">
        <v>110</v>
      </c>
      <c r="M31" s="1" t="str">
        <f t="shared" si="0"/>
        <v>Map</v>
      </c>
      <c r="N31" s="1" t="str">
        <f t="shared" si="1"/>
        <v>Street</v>
      </c>
      <c r="O31" s="1" t="str">
        <f t="shared" si="2"/>
        <v>Bing</v>
      </c>
      <c r="P31" s="1" t="str">
        <f t="shared" si="3"/>
        <v>FEMA</v>
      </c>
      <c r="Q31" s="1" t="str">
        <f t="shared" si="4"/>
        <v>FIRMette</v>
      </c>
      <c r="R31" s="1" t="str">
        <f t="shared" si="5"/>
        <v>Open</v>
      </c>
      <c r="AA31" s="1" t="str">
        <f t="shared" si="6"/>
        <v/>
      </c>
    </row>
    <row r="32" spans="4:27" x14ac:dyDescent="0.45">
      <c r="D32" t="s">
        <v>111</v>
      </c>
      <c r="F32">
        <v>44.577190000000002</v>
      </c>
      <c r="G32">
        <v>-85.765152999999998</v>
      </c>
      <c r="H32" s="1" t="s">
        <v>64</v>
      </c>
      <c r="I32" t="s">
        <v>106</v>
      </c>
      <c r="M32" s="1" t="str">
        <f t="shared" si="0"/>
        <v>Map</v>
      </c>
      <c r="N32" s="1" t="str">
        <f t="shared" si="1"/>
        <v>Street</v>
      </c>
      <c r="O32" s="1" t="str">
        <f t="shared" si="2"/>
        <v>Bing</v>
      </c>
      <c r="P32" s="1" t="str">
        <f t="shared" si="3"/>
        <v>FEMA</v>
      </c>
      <c r="Q32" s="1" t="str">
        <f t="shared" si="4"/>
        <v>FIRMette</v>
      </c>
      <c r="R32" s="1" t="str">
        <f t="shared" si="5"/>
        <v>Open</v>
      </c>
      <c r="AA32" s="1" t="str">
        <f t="shared" si="6"/>
        <v/>
      </c>
    </row>
    <row r="33" spans="4:27" x14ac:dyDescent="0.45">
      <c r="D33" t="s">
        <v>112</v>
      </c>
      <c r="F33">
        <v>44.546695</v>
      </c>
      <c r="G33">
        <v>-85.805555999999996</v>
      </c>
      <c r="H33" s="1" t="s">
        <v>64</v>
      </c>
      <c r="I33" t="s">
        <v>113</v>
      </c>
      <c r="M33" s="1" t="str">
        <f t="shared" si="0"/>
        <v>Map</v>
      </c>
      <c r="N33" s="1" t="str">
        <f t="shared" si="1"/>
        <v>Street</v>
      </c>
      <c r="O33" s="1" t="str">
        <f t="shared" si="2"/>
        <v>Bing</v>
      </c>
      <c r="P33" s="1" t="str">
        <f t="shared" si="3"/>
        <v>FEMA</v>
      </c>
      <c r="Q33" s="1" t="str">
        <f t="shared" si="4"/>
        <v>FIRMette</v>
      </c>
      <c r="R33" s="1" t="str">
        <f t="shared" si="5"/>
        <v>Open</v>
      </c>
      <c r="AA33" s="1" t="str">
        <f t="shared" si="6"/>
        <v/>
      </c>
    </row>
    <row r="34" spans="4:27" x14ac:dyDescent="0.45">
      <c r="D34" t="s">
        <v>114</v>
      </c>
      <c r="F34">
        <v>44.801563999999999</v>
      </c>
      <c r="G34">
        <v>-85.454307999999997</v>
      </c>
      <c r="H34" s="1" t="s">
        <v>64</v>
      </c>
      <c r="I34" t="s">
        <v>86</v>
      </c>
      <c r="M34" s="1" t="str">
        <f t="shared" si="0"/>
        <v>Map</v>
      </c>
      <c r="N34" s="1" t="str">
        <f t="shared" si="1"/>
        <v>Street</v>
      </c>
      <c r="O34" s="1" t="str">
        <f t="shared" si="2"/>
        <v>Bing</v>
      </c>
      <c r="P34" s="1" t="str">
        <f t="shared" si="3"/>
        <v>FEMA</v>
      </c>
      <c r="Q34" s="1" t="str">
        <f t="shared" si="4"/>
        <v>FIRMette</v>
      </c>
      <c r="R34" s="1" t="str">
        <f t="shared" si="5"/>
        <v>Open</v>
      </c>
      <c r="AA34" s="1" t="str">
        <f t="shared" si="6"/>
        <v/>
      </c>
    </row>
    <row r="35" spans="4:27" x14ac:dyDescent="0.45">
      <c r="D35" t="s">
        <v>115</v>
      </c>
      <c r="F35">
        <v>44.763930000000002</v>
      </c>
      <c r="G35">
        <v>-85.738121000000007</v>
      </c>
      <c r="H35" s="1" t="s">
        <v>64</v>
      </c>
      <c r="I35" t="s">
        <v>89</v>
      </c>
      <c r="M35" s="1" t="str">
        <f t="shared" si="0"/>
        <v>Map</v>
      </c>
      <c r="N35" s="1" t="str">
        <f t="shared" si="1"/>
        <v>Street</v>
      </c>
      <c r="O35" s="1" t="str">
        <f t="shared" si="2"/>
        <v>Bing</v>
      </c>
      <c r="P35" s="1" t="str">
        <f t="shared" si="3"/>
        <v>FEMA</v>
      </c>
      <c r="Q35" s="1" t="str">
        <f t="shared" si="4"/>
        <v>FIRMette</v>
      </c>
      <c r="R35" s="1" t="str">
        <f t="shared" si="5"/>
        <v>Open</v>
      </c>
      <c r="AA35" s="1" t="str">
        <f t="shared" si="6"/>
        <v/>
      </c>
    </row>
    <row r="36" spans="4:27" x14ac:dyDescent="0.45">
      <c r="D36" t="s">
        <v>116</v>
      </c>
      <c r="F36">
        <v>44.730804999999997</v>
      </c>
      <c r="G36">
        <v>-85.662711999999999</v>
      </c>
      <c r="H36" s="1" t="s">
        <v>64</v>
      </c>
      <c r="I36" t="s">
        <v>117</v>
      </c>
      <c r="M36" s="1" t="str">
        <f t="shared" si="0"/>
        <v>Map</v>
      </c>
      <c r="N36" s="1" t="str">
        <f t="shared" si="1"/>
        <v>Street</v>
      </c>
      <c r="O36" s="1" t="str">
        <f t="shared" si="2"/>
        <v>Bing</v>
      </c>
      <c r="P36" s="1" t="str">
        <f t="shared" si="3"/>
        <v>FEMA</v>
      </c>
      <c r="Q36" s="1" t="str">
        <f t="shared" si="4"/>
        <v>FIRMette</v>
      </c>
      <c r="R36" s="1" t="str">
        <f t="shared" si="5"/>
        <v>Open</v>
      </c>
      <c r="AA36" s="1" t="str">
        <f t="shared" si="6"/>
        <v/>
      </c>
    </row>
    <row r="37" spans="4:27" x14ac:dyDescent="0.45">
      <c r="D37" t="s">
        <v>118</v>
      </c>
      <c r="F37">
        <v>44.675792000000001</v>
      </c>
      <c r="G37">
        <v>-85.386505</v>
      </c>
      <c r="H37" s="1" t="s">
        <v>64</v>
      </c>
      <c r="I37" t="s">
        <v>119</v>
      </c>
      <c r="M37" s="1" t="str">
        <f t="shared" si="0"/>
        <v>Map</v>
      </c>
      <c r="N37" s="1" t="str">
        <f t="shared" si="1"/>
        <v>Street</v>
      </c>
      <c r="O37" s="1" t="str">
        <f t="shared" si="2"/>
        <v>Bing</v>
      </c>
      <c r="P37" s="1" t="str">
        <f t="shared" si="3"/>
        <v>FEMA</v>
      </c>
      <c r="Q37" s="1" t="str">
        <f t="shared" si="4"/>
        <v>FIRMette</v>
      </c>
      <c r="R37" s="1" t="str">
        <f t="shared" si="5"/>
        <v>Open</v>
      </c>
      <c r="AA37" s="1" t="str">
        <f t="shared" si="6"/>
        <v/>
      </c>
    </row>
    <row r="38" spans="4:27" x14ac:dyDescent="0.45">
      <c r="D38" t="s">
        <v>120</v>
      </c>
      <c r="F38">
        <v>44.694451999999998</v>
      </c>
      <c r="G38">
        <v>-85.536282999999997</v>
      </c>
      <c r="H38" s="1" t="s">
        <v>64</v>
      </c>
      <c r="I38" t="s">
        <v>121</v>
      </c>
      <c r="M38" s="1" t="str">
        <f t="shared" si="0"/>
        <v>Map</v>
      </c>
      <c r="N38" s="1" t="str">
        <f t="shared" si="1"/>
        <v>Street</v>
      </c>
      <c r="O38" s="1" t="str">
        <f t="shared" si="2"/>
        <v>Bing</v>
      </c>
      <c r="P38" s="1" t="str">
        <f t="shared" si="3"/>
        <v>FEMA</v>
      </c>
      <c r="Q38" s="1" t="str">
        <f t="shared" si="4"/>
        <v>FIRMette</v>
      </c>
      <c r="R38" s="1" t="str">
        <f t="shared" si="5"/>
        <v>Open</v>
      </c>
      <c r="AA38" s="1" t="str">
        <f t="shared" si="6"/>
        <v/>
      </c>
    </row>
    <row r="39" spans="4:27" x14ac:dyDescent="0.45">
      <c r="D39" t="s">
        <v>122</v>
      </c>
      <c r="F39">
        <v>44.893548000000003</v>
      </c>
      <c r="G39">
        <v>-85.553600000000003</v>
      </c>
      <c r="H39" s="1" t="s">
        <v>64</v>
      </c>
      <c r="I39" t="s">
        <v>123</v>
      </c>
      <c r="M39" s="1" t="str">
        <f t="shared" si="0"/>
        <v>Map</v>
      </c>
      <c r="N39" s="1" t="str">
        <f t="shared" si="1"/>
        <v>Street</v>
      </c>
      <c r="O39" s="1" t="str">
        <f t="shared" si="2"/>
        <v>Bing</v>
      </c>
      <c r="P39" s="1" t="str">
        <f t="shared" si="3"/>
        <v>FEMA</v>
      </c>
      <c r="Q39" s="1" t="str">
        <f t="shared" si="4"/>
        <v>FIRMette</v>
      </c>
      <c r="R39" s="1" t="str">
        <f t="shared" si="5"/>
        <v>Open</v>
      </c>
      <c r="AA39" s="1" t="str">
        <f t="shared" si="6"/>
        <v/>
      </c>
    </row>
    <row r="40" spans="4:27" x14ac:dyDescent="0.45">
      <c r="D40" t="s">
        <v>124</v>
      </c>
      <c r="F40">
        <v>44.735298</v>
      </c>
      <c r="G40">
        <v>-85.601011999999997</v>
      </c>
      <c r="H40" s="1" t="s">
        <v>64</v>
      </c>
      <c r="I40" t="s">
        <v>86</v>
      </c>
      <c r="M40" s="1" t="str">
        <f t="shared" si="0"/>
        <v>Map</v>
      </c>
      <c r="N40" s="1" t="str">
        <f t="shared" si="1"/>
        <v>Street</v>
      </c>
      <c r="O40" s="1" t="str">
        <f t="shared" si="2"/>
        <v>Bing</v>
      </c>
      <c r="P40" s="1" t="str">
        <f t="shared" si="3"/>
        <v>FEMA</v>
      </c>
      <c r="Q40" s="1" t="str">
        <f t="shared" si="4"/>
        <v>FIRMette</v>
      </c>
      <c r="R40" s="1" t="str">
        <f t="shared" si="5"/>
        <v>Open</v>
      </c>
      <c r="AA40" s="1" t="str">
        <f t="shared" si="6"/>
        <v/>
      </c>
    </row>
    <row r="41" spans="4:27" x14ac:dyDescent="0.45">
      <c r="D41" t="s">
        <v>125</v>
      </c>
      <c r="F41">
        <v>44.652332000000001</v>
      </c>
      <c r="G41">
        <v>-85.527151000000003</v>
      </c>
      <c r="H41" s="1" t="s">
        <v>64</v>
      </c>
      <c r="I41" t="s">
        <v>126</v>
      </c>
      <c r="M41" s="1" t="str">
        <f t="shared" si="0"/>
        <v>Map</v>
      </c>
      <c r="N41" s="1" t="str">
        <f t="shared" si="1"/>
        <v>Street</v>
      </c>
      <c r="O41" s="1" t="str">
        <f t="shared" si="2"/>
        <v>Bing</v>
      </c>
      <c r="P41" s="1" t="str">
        <f t="shared" si="3"/>
        <v>FEMA</v>
      </c>
      <c r="Q41" s="1" t="str">
        <f t="shared" si="4"/>
        <v>FIRMette</v>
      </c>
      <c r="R41" s="1" t="str">
        <f t="shared" si="5"/>
        <v>Open</v>
      </c>
      <c r="AA41" s="1" t="str">
        <f t="shared" si="6"/>
        <v/>
      </c>
    </row>
    <row r="42" spans="4:27" x14ac:dyDescent="0.45">
      <c r="D42" t="s">
        <v>127</v>
      </c>
      <c r="F42">
        <v>44.653894999999999</v>
      </c>
      <c r="G42">
        <v>-85.528146000000007</v>
      </c>
      <c r="H42" s="1" t="s">
        <v>64</v>
      </c>
      <c r="I42" t="s">
        <v>89</v>
      </c>
      <c r="M42" s="1" t="str">
        <f t="shared" si="0"/>
        <v>Map</v>
      </c>
      <c r="N42" s="1" t="str">
        <f t="shared" si="1"/>
        <v>Street</v>
      </c>
      <c r="O42" s="1" t="str">
        <f t="shared" si="2"/>
        <v>Bing</v>
      </c>
      <c r="P42" s="1" t="str">
        <f t="shared" si="3"/>
        <v>FEMA</v>
      </c>
      <c r="Q42" s="1" t="str">
        <f t="shared" si="4"/>
        <v>FIRMette</v>
      </c>
      <c r="R42" s="1" t="str">
        <f t="shared" si="5"/>
        <v>Open</v>
      </c>
      <c r="AA42" s="1" t="str">
        <f t="shared" si="6"/>
        <v/>
      </c>
    </row>
    <row r="43" spans="4:27" x14ac:dyDescent="0.45">
      <c r="D43" t="s">
        <v>128</v>
      </c>
      <c r="F43">
        <v>44.678677</v>
      </c>
      <c r="G43">
        <v>-85.582633000000001</v>
      </c>
      <c r="H43" s="1" t="s">
        <v>64</v>
      </c>
      <c r="I43" t="s">
        <v>113</v>
      </c>
      <c r="M43" s="1" t="str">
        <f t="shared" si="0"/>
        <v>Map</v>
      </c>
      <c r="N43" s="1" t="str">
        <f t="shared" si="1"/>
        <v>Street</v>
      </c>
      <c r="O43" s="1" t="str">
        <f t="shared" si="2"/>
        <v>Bing</v>
      </c>
      <c r="P43" s="1" t="str">
        <f t="shared" si="3"/>
        <v>FEMA</v>
      </c>
      <c r="Q43" s="1" t="str">
        <f t="shared" si="4"/>
        <v>FIRMette</v>
      </c>
      <c r="R43" s="1" t="str">
        <f t="shared" si="5"/>
        <v>Open</v>
      </c>
      <c r="AA43" s="1" t="str">
        <f t="shared" si="6"/>
        <v/>
      </c>
    </row>
    <row r="44" spans="4:27" x14ac:dyDescent="0.45">
      <c r="D44" t="s">
        <v>129</v>
      </c>
      <c r="F44">
        <v>44.845225999999997</v>
      </c>
      <c r="G44">
        <v>-85.393559999999994</v>
      </c>
      <c r="H44" s="1" t="s">
        <v>64</v>
      </c>
      <c r="I44" t="s">
        <v>130</v>
      </c>
      <c r="M44" s="1" t="str">
        <f t="shared" si="0"/>
        <v>Map</v>
      </c>
      <c r="N44" s="1" t="str">
        <f t="shared" si="1"/>
        <v>Street</v>
      </c>
      <c r="O44" s="1" t="str">
        <f t="shared" si="2"/>
        <v>Bing</v>
      </c>
      <c r="P44" s="1" t="str">
        <f t="shared" si="3"/>
        <v>FEMA</v>
      </c>
      <c r="Q44" s="1" t="str">
        <f t="shared" si="4"/>
        <v>FIRMette</v>
      </c>
      <c r="R44" s="1" t="str">
        <f t="shared" si="5"/>
        <v>Open</v>
      </c>
      <c r="AA44" s="1" t="str">
        <f t="shared" si="6"/>
        <v/>
      </c>
    </row>
    <row r="45" spans="4:27" x14ac:dyDescent="0.45">
      <c r="D45" t="s">
        <v>77</v>
      </c>
      <c r="F45">
        <v>44.787351000000001</v>
      </c>
      <c r="G45">
        <v>-85.430565000000001</v>
      </c>
      <c r="H45" s="1" t="s">
        <v>64</v>
      </c>
      <c r="I45" t="s">
        <v>131</v>
      </c>
      <c r="M45" s="1" t="str">
        <f t="shared" si="0"/>
        <v>Map</v>
      </c>
      <c r="N45" s="1" t="str">
        <f t="shared" si="1"/>
        <v>Street</v>
      </c>
      <c r="O45" s="1" t="str">
        <f t="shared" si="2"/>
        <v>Bing</v>
      </c>
      <c r="P45" s="1" t="str">
        <f t="shared" si="3"/>
        <v>FEMA</v>
      </c>
      <c r="Q45" s="1" t="str">
        <f t="shared" si="4"/>
        <v>FIRMette</v>
      </c>
      <c r="R45" s="1" t="str">
        <f t="shared" si="5"/>
        <v>Open</v>
      </c>
      <c r="AA45" s="1" t="str">
        <f t="shared" si="6"/>
        <v/>
      </c>
    </row>
    <row r="46" spans="4:27" x14ac:dyDescent="0.45">
      <c r="D46" t="s">
        <v>132</v>
      </c>
      <c r="F46">
        <v>44.641727000000003</v>
      </c>
      <c r="G46">
        <v>-85.482698999999997</v>
      </c>
      <c r="H46" s="1" t="s">
        <v>64</v>
      </c>
      <c r="I46" t="s">
        <v>71</v>
      </c>
      <c r="M46" s="1" t="str">
        <f t="shared" si="0"/>
        <v>Map</v>
      </c>
      <c r="N46" s="1" t="str">
        <f t="shared" si="1"/>
        <v>Street</v>
      </c>
      <c r="O46" s="1" t="str">
        <f t="shared" si="2"/>
        <v>Bing</v>
      </c>
      <c r="P46" s="1" t="str">
        <f t="shared" si="3"/>
        <v>FEMA</v>
      </c>
      <c r="Q46" s="1" t="str">
        <f t="shared" si="4"/>
        <v>FIRMette</v>
      </c>
      <c r="R46" s="1" t="str">
        <f t="shared" si="5"/>
        <v>Open</v>
      </c>
      <c r="AA46" s="1" t="str">
        <f t="shared" si="6"/>
        <v/>
      </c>
    </row>
    <row r="47" spans="4:27" x14ac:dyDescent="0.45">
      <c r="D47" t="s">
        <v>133</v>
      </c>
      <c r="F47">
        <v>44.816315000000003</v>
      </c>
      <c r="G47">
        <v>-85.434146999999996</v>
      </c>
      <c r="H47" s="1" t="s">
        <v>64</v>
      </c>
      <c r="I47" t="s">
        <v>134</v>
      </c>
      <c r="M47" s="1" t="str">
        <f t="shared" si="0"/>
        <v>Map</v>
      </c>
      <c r="N47" s="1" t="str">
        <f t="shared" si="1"/>
        <v>Street</v>
      </c>
      <c r="O47" s="1" t="str">
        <f t="shared" si="2"/>
        <v>Bing</v>
      </c>
      <c r="P47" s="1" t="str">
        <f t="shared" si="3"/>
        <v>FEMA</v>
      </c>
      <c r="Q47" s="1" t="str">
        <f t="shared" si="4"/>
        <v>FIRMette</v>
      </c>
      <c r="R47" s="1" t="str">
        <f t="shared" si="5"/>
        <v>Open</v>
      </c>
      <c r="AA47" s="1" t="str">
        <f t="shared" si="6"/>
        <v/>
      </c>
    </row>
    <row r="48" spans="4:27" x14ac:dyDescent="0.45">
      <c r="D48" t="s">
        <v>135</v>
      </c>
      <c r="F48">
        <v>44.795093999999999</v>
      </c>
      <c r="G48">
        <v>-85.353112999999993</v>
      </c>
      <c r="H48" s="1" t="s">
        <v>64</v>
      </c>
      <c r="I48" t="s">
        <v>136</v>
      </c>
      <c r="M48" s="1" t="str">
        <f t="shared" si="0"/>
        <v>Map</v>
      </c>
      <c r="N48" s="1" t="str">
        <f t="shared" si="1"/>
        <v>Street</v>
      </c>
      <c r="O48" s="1" t="str">
        <f t="shared" si="2"/>
        <v>Bing</v>
      </c>
      <c r="P48" s="1" t="str">
        <f t="shared" si="3"/>
        <v>FEMA</v>
      </c>
      <c r="Q48" s="1" t="str">
        <f t="shared" si="4"/>
        <v>FIRMette</v>
      </c>
      <c r="R48" s="1" t="str">
        <f t="shared" si="5"/>
        <v>Open</v>
      </c>
      <c r="AA48" s="1" t="str">
        <f t="shared" si="6"/>
        <v/>
      </c>
    </row>
    <row r="49" spans="4:27" x14ac:dyDescent="0.45">
      <c r="D49" t="s">
        <v>137</v>
      </c>
      <c r="F49">
        <v>44.621110000000002</v>
      </c>
      <c r="G49">
        <v>-85.631536999999994</v>
      </c>
      <c r="H49" s="1" t="s">
        <v>64</v>
      </c>
      <c r="I49" t="s">
        <v>119</v>
      </c>
      <c r="M49" s="1" t="str">
        <f t="shared" si="0"/>
        <v>Map</v>
      </c>
      <c r="N49" s="1" t="str">
        <f t="shared" si="1"/>
        <v>Street</v>
      </c>
      <c r="O49" s="1" t="str">
        <f t="shared" si="2"/>
        <v>Bing</v>
      </c>
      <c r="P49" s="1" t="str">
        <f t="shared" si="3"/>
        <v>FEMA</v>
      </c>
      <c r="Q49" s="1" t="str">
        <f t="shared" si="4"/>
        <v>FIRMette</v>
      </c>
      <c r="R49" s="1" t="str">
        <f t="shared" si="5"/>
        <v>Open</v>
      </c>
      <c r="AA49" s="1" t="str">
        <f t="shared" si="6"/>
        <v/>
      </c>
    </row>
    <row r="50" spans="4:27" x14ac:dyDescent="0.45">
      <c r="D50" t="s">
        <v>138</v>
      </c>
      <c r="F50">
        <v>44.627859999999998</v>
      </c>
      <c r="G50">
        <v>-85.558301</v>
      </c>
      <c r="H50" s="1" t="s">
        <v>64</v>
      </c>
      <c r="I50" t="s">
        <v>139</v>
      </c>
      <c r="M50" s="1" t="str">
        <f t="shared" si="0"/>
        <v>Map</v>
      </c>
      <c r="N50" s="1" t="str">
        <f t="shared" si="1"/>
        <v>Street</v>
      </c>
      <c r="O50" s="1" t="str">
        <f t="shared" si="2"/>
        <v>Bing</v>
      </c>
      <c r="P50" s="1" t="str">
        <f t="shared" si="3"/>
        <v>FEMA</v>
      </c>
      <c r="Q50" s="1" t="str">
        <f t="shared" si="4"/>
        <v>FIRMette</v>
      </c>
      <c r="R50" s="1" t="str">
        <f t="shared" si="5"/>
        <v>Open</v>
      </c>
      <c r="AA50" s="1" t="str">
        <f t="shared" si="6"/>
        <v/>
      </c>
    </row>
    <row r="51" spans="4:27" x14ac:dyDescent="0.45">
      <c r="D51" t="s">
        <v>140</v>
      </c>
      <c r="F51">
        <v>44.726168000000001</v>
      </c>
      <c r="G51">
        <v>-85.792895999999999</v>
      </c>
      <c r="H51" s="1" t="s">
        <v>64</v>
      </c>
      <c r="I51" t="s">
        <v>141</v>
      </c>
      <c r="M51" s="1" t="str">
        <f t="shared" si="0"/>
        <v>Map</v>
      </c>
      <c r="N51" s="1" t="str">
        <f t="shared" si="1"/>
        <v>Street</v>
      </c>
      <c r="O51" s="1" t="str">
        <f t="shared" si="2"/>
        <v>Bing</v>
      </c>
      <c r="P51" s="1" t="str">
        <f t="shared" si="3"/>
        <v>FEMA</v>
      </c>
      <c r="Q51" s="1" t="str">
        <f t="shared" si="4"/>
        <v>FIRMette</v>
      </c>
      <c r="R51" s="1" t="str">
        <f t="shared" si="5"/>
        <v>Open</v>
      </c>
      <c r="AA51" s="1" t="str">
        <f t="shared" si="6"/>
        <v/>
      </c>
    </row>
    <row r="52" spans="4:27" x14ac:dyDescent="0.45">
      <c r="D52" t="s">
        <v>82</v>
      </c>
      <c r="F52">
        <v>44.965091000000001</v>
      </c>
      <c r="G52">
        <v>-85.514657</v>
      </c>
      <c r="H52" s="1" t="s">
        <v>64</v>
      </c>
      <c r="I52" t="s">
        <v>139</v>
      </c>
      <c r="M52" s="1" t="str">
        <f t="shared" si="0"/>
        <v>Map</v>
      </c>
      <c r="N52" s="1" t="str">
        <f t="shared" si="1"/>
        <v>Street</v>
      </c>
      <c r="O52" s="1" t="str">
        <f t="shared" si="2"/>
        <v>Bing</v>
      </c>
      <c r="P52" s="1" t="str">
        <f t="shared" si="3"/>
        <v>FEMA</v>
      </c>
      <c r="Q52" s="1" t="str">
        <f t="shared" si="4"/>
        <v>FIRMette</v>
      </c>
      <c r="R52" s="1" t="str">
        <f t="shared" si="5"/>
        <v>Open</v>
      </c>
      <c r="AA52" s="1" t="str">
        <f t="shared" si="6"/>
        <v/>
      </c>
    </row>
    <row r="53" spans="4:27" x14ac:dyDescent="0.45">
      <c r="D53" t="s">
        <v>75</v>
      </c>
      <c r="F53">
        <v>44.957711000000003</v>
      </c>
      <c r="G53">
        <v>-85.515592999999996</v>
      </c>
      <c r="H53" s="1" t="s">
        <v>64</v>
      </c>
      <c r="I53" t="s">
        <v>139</v>
      </c>
      <c r="M53" s="1" t="str">
        <f t="shared" si="0"/>
        <v>Map</v>
      </c>
      <c r="N53" s="1" t="str">
        <f t="shared" si="1"/>
        <v>Street</v>
      </c>
      <c r="O53" s="1" t="str">
        <f t="shared" si="2"/>
        <v>Bing</v>
      </c>
      <c r="P53" s="1" t="str">
        <f t="shared" si="3"/>
        <v>FEMA</v>
      </c>
      <c r="Q53" s="1" t="str">
        <f t="shared" si="4"/>
        <v>FIRMette</v>
      </c>
      <c r="R53" s="1" t="str">
        <f t="shared" si="5"/>
        <v>Open</v>
      </c>
      <c r="AA53" s="1" t="str">
        <f t="shared" si="6"/>
        <v/>
      </c>
    </row>
    <row r="54" spans="4:27" x14ac:dyDescent="0.45">
      <c r="D54" t="s">
        <v>92</v>
      </c>
      <c r="F54">
        <v>44.599088999999999</v>
      </c>
      <c r="G54">
        <v>-85.434061999999997</v>
      </c>
      <c r="H54" s="1" t="s">
        <v>64</v>
      </c>
      <c r="I54" t="s">
        <v>71</v>
      </c>
      <c r="M54" s="1" t="str">
        <f t="shared" si="0"/>
        <v>Map</v>
      </c>
      <c r="N54" s="1" t="str">
        <f t="shared" si="1"/>
        <v>Street</v>
      </c>
      <c r="O54" s="1" t="str">
        <f t="shared" si="2"/>
        <v>Bing</v>
      </c>
      <c r="P54" s="1" t="str">
        <f t="shared" si="3"/>
        <v>FEMA</v>
      </c>
      <c r="Q54" s="1" t="str">
        <f t="shared" si="4"/>
        <v>FIRMette</v>
      </c>
      <c r="R54" s="1" t="str">
        <f t="shared" si="5"/>
        <v>Open</v>
      </c>
      <c r="AA54" s="1" t="str">
        <f t="shared" si="6"/>
        <v/>
      </c>
    </row>
    <row r="55" spans="4:27" x14ac:dyDescent="0.45">
      <c r="D55" t="s">
        <v>103</v>
      </c>
      <c r="F55">
        <v>44.599145</v>
      </c>
      <c r="G55">
        <v>-85.444125999999997</v>
      </c>
      <c r="H55" s="1" t="s">
        <v>64</v>
      </c>
      <c r="I55" t="s">
        <v>123</v>
      </c>
      <c r="M55" s="1" t="str">
        <f t="shared" si="0"/>
        <v>Map</v>
      </c>
      <c r="N55" s="1" t="str">
        <f t="shared" si="1"/>
        <v>Street</v>
      </c>
      <c r="O55" s="1" t="str">
        <f t="shared" si="2"/>
        <v>Bing</v>
      </c>
      <c r="P55" s="1" t="str">
        <f t="shared" si="3"/>
        <v>FEMA</v>
      </c>
      <c r="Q55" s="1" t="str">
        <f t="shared" si="4"/>
        <v>FIRMette</v>
      </c>
      <c r="R55" s="1" t="str">
        <f t="shared" si="5"/>
        <v>Open</v>
      </c>
      <c r="AA55" s="1" t="str">
        <f t="shared" si="6"/>
        <v/>
      </c>
    </row>
    <row r="56" spans="4:27" x14ac:dyDescent="0.45">
      <c r="D56" t="s">
        <v>142</v>
      </c>
      <c r="F56">
        <v>44.715476000000002</v>
      </c>
      <c r="G56">
        <v>-85.556195000000002</v>
      </c>
      <c r="H56" s="1" t="s">
        <v>64</v>
      </c>
      <c r="I56" t="s">
        <v>108</v>
      </c>
      <c r="M56" s="1" t="str">
        <f t="shared" si="0"/>
        <v>Map</v>
      </c>
      <c r="N56" s="1" t="str">
        <f t="shared" si="1"/>
        <v>Street</v>
      </c>
      <c r="O56" s="1" t="str">
        <f t="shared" si="2"/>
        <v>Bing</v>
      </c>
      <c r="P56" s="1" t="str">
        <f t="shared" si="3"/>
        <v>FEMA</v>
      </c>
      <c r="Q56" s="1" t="str">
        <f t="shared" si="4"/>
        <v>FIRMette</v>
      </c>
      <c r="R56" s="1" t="str">
        <f t="shared" si="5"/>
        <v>Open</v>
      </c>
      <c r="AA56" s="1" t="str">
        <f t="shared" si="6"/>
        <v/>
      </c>
    </row>
    <row r="57" spans="4:27" x14ac:dyDescent="0.45">
      <c r="D57" t="s">
        <v>143</v>
      </c>
      <c r="F57">
        <v>44.627512000000003</v>
      </c>
      <c r="G57">
        <v>-85.504859999999994</v>
      </c>
      <c r="H57" s="1" t="s">
        <v>64</v>
      </c>
      <c r="I57" t="s">
        <v>89</v>
      </c>
      <c r="M57" s="1" t="str">
        <f t="shared" si="0"/>
        <v>Map</v>
      </c>
      <c r="N57" s="1" t="str">
        <f t="shared" si="1"/>
        <v>Street</v>
      </c>
      <c r="O57" s="1" t="str">
        <f t="shared" si="2"/>
        <v>Bing</v>
      </c>
      <c r="P57" s="1" t="str">
        <f t="shared" si="3"/>
        <v>FEMA</v>
      </c>
      <c r="Q57" s="1" t="str">
        <f t="shared" si="4"/>
        <v>FIRMette</v>
      </c>
      <c r="R57" s="1" t="str">
        <f t="shared" si="5"/>
        <v>Open</v>
      </c>
      <c r="AA57" s="1" t="str">
        <f t="shared" si="6"/>
        <v/>
      </c>
    </row>
    <row r="58" spans="4:27" x14ac:dyDescent="0.45">
      <c r="D58" t="s">
        <v>144</v>
      </c>
      <c r="F58">
        <v>44.604368000000001</v>
      </c>
      <c r="G58">
        <v>-85.572137999999995</v>
      </c>
      <c r="H58" s="1" t="s">
        <v>64</v>
      </c>
      <c r="I58" t="s">
        <v>145</v>
      </c>
      <c r="M58" s="1" t="str">
        <f t="shared" si="0"/>
        <v>Map</v>
      </c>
      <c r="N58" s="1" t="str">
        <f t="shared" si="1"/>
        <v>Street</v>
      </c>
      <c r="O58" s="1" t="str">
        <f t="shared" si="2"/>
        <v>Bing</v>
      </c>
      <c r="P58" s="1" t="str">
        <f t="shared" si="3"/>
        <v>FEMA</v>
      </c>
      <c r="Q58" s="1" t="str">
        <f t="shared" si="4"/>
        <v>FIRMette</v>
      </c>
      <c r="R58" s="1" t="str">
        <f t="shared" si="5"/>
        <v>Open</v>
      </c>
      <c r="AA58" s="1" t="str">
        <f t="shared" si="6"/>
        <v/>
      </c>
    </row>
    <row r="59" spans="4:27" x14ac:dyDescent="0.45">
      <c r="D59" t="s">
        <v>146</v>
      </c>
      <c r="F59">
        <v>44.615451</v>
      </c>
      <c r="G59">
        <v>-85.604457999999994</v>
      </c>
      <c r="H59" s="1" t="s">
        <v>64</v>
      </c>
      <c r="I59" t="s">
        <v>113</v>
      </c>
      <c r="M59" s="1" t="str">
        <f t="shared" si="0"/>
        <v>Map</v>
      </c>
      <c r="N59" s="1" t="str">
        <f t="shared" si="1"/>
        <v>Street</v>
      </c>
      <c r="O59" s="1" t="str">
        <f t="shared" si="2"/>
        <v>Bing</v>
      </c>
      <c r="P59" s="1" t="str">
        <f t="shared" si="3"/>
        <v>FEMA</v>
      </c>
      <c r="Q59" s="1" t="str">
        <f t="shared" si="4"/>
        <v>FIRMette</v>
      </c>
      <c r="R59" s="1" t="str">
        <f t="shared" si="5"/>
        <v>Open</v>
      </c>
      <c r="AA59" s="1" t="str">
        <f t="shared" si="6"/>
        <v/>
      </c>
    </row>
    <row r="60" spans="4:27" x14ac:dyDescent="0.45">
      <c r="D60" t="s">
        <v>147</v>
      </c>
      <c r="F60">
        <v>44.615864999999999</v>
      </c>
      <c r="G60">
        <v>-85.645719999999997</v>
      </c>
      <c r="H60" s="1" t="s">
        <v>64</v>
      </c>
      <c r="I60" t="s">
        <v>148</v>
      </c>
      <c r="M60" s="1" t="str">
        <f t="shared" si="0"/>
        <v>Map</v>
      </c>
      <c r="N60" s="1" t="str">
        <f t="shared" si="1"/>
        <v>Street</v>
      </c>
      <c r="O60" s="1" t="str">
        <f t="shared" si="2"/>
        <v>Bing</v>
      </c>
      <c r="P60" s="1" t="str">
        <f t="shared" si="3"/>
        <v>FEMA</v>
      </c>
      <c r="Q60" s="1" t="str">
        <f t="shared" si="4"/>
        <v>FIRMette</v>
      </c>
      <c r="R60" s="1" t="str">
        <f t="shared" si="5"/>
        <v>Open</v>
      </c>
      <c r="AA60" s="1" t="str">
        <f t="shared" si="6"/>
        <v/>
      </c>
    </row>
    <row r="61" spans="4:27" x14ac:dyDescent="0.45">
      <c r="D61" t="s">
        <v>149</v>
      </c>
      <c r="F61">
        <v>44.742983000000002</v>
      </c>
      <c r="G61">
        <v>-85.508645999999999</v>
      </c>
      <c r="H61" s="1" t="s">
        <v>64</v>
      </c>
      <c r="I61" t="s">
        <v>130</v>
      </c>
      <c r="M61" s="1" t="str">
        <f t="shared" si="0"/>
        <v>Map</v>
      </c>
      <c r="N61" s="1" t="str">
        <f t="shared" si="1"/>
        <v>Street</v>
      </c>
      <c r="O61" s="1" t="str">
        <f t="shared" si="2"/>
        <v>Bing</v>
      </c>
      <c r="P61" s="1" t="str">
        <f t="shared" si="3"/>
        <v>FEMA</v>
      </c>
      <c r="Q61" s="1" t="str">
        <f t="shared" si="4"/>
        <v>FIRMette</v>
      </c>
      <c r="R61" s="1" t="str">
        <f t="shared" si="5"/>
        <v>Open</v>
      </c>
      <c r="AA61" s="1" t="str">
        <f t="shared" si="6"/>
        <v/>
      </c>
    </row>
    <row r="62" spans="4:27" x14ac:dyDescent="0.45">
      <c r="D62" t="s">
        <v>150</v>
      </c>
      <c r="F62">
        <v>44.746133</v>
      </c>
      <c r="G62">
        <v>-85.508543000000003</v>
      </c>
      <c r="H62" s="1" t="s">
        <v>64</v>
      </c>
      <c r="I62" t="s">
        <v>151</v>
      </c>
      <c r="M62" s="1" t="str">
        <f t="shared" si="0"/>
        <v>Map</v>
      </c>
      <c r="N62" s="1" t="str">
        <f t="shared" si="1"/>
        <v>Street</v>
      </c>
      <c r="O62" s="1" t="str">
        <f t="shared" si="2"/>
        <v>Bing</v>
      </c>
      <c r="P62" s="1" t="str">
        <f t="shared" si="3"/>
        <v>FEMA</v>
      </c>
      <c r="Q62" s="1" t="str">
        <f t="shared" si="4"/>
        <v>FIRMette</v>
      </c>
      <c r="R62" s="1" t="str">
        <f t="shared" si="5"/>
        <v>Open</v>
      </c>
      <c r="AA62" s="1" t="str">
        <f t="shared" si="6"/>
        <v/>
      </c>
    </row>
    <row r="63" spans="4:27" x14ac:dyDescent="0.45">
      <c r="D63" t="s">
        <v>152</v>
      </c>
      <c r="F63">
        <v>44.74982</v>
      </c>
      <c r="G63">
        <v>-85.517396000000005</v>
      </c>
      <c r="H63" s="1" t="s">
        <v>64</v>
      </c>
      <c r="I63" t="s">
        <v>130</v>
      </c>
      <c r="M63" s="1" t="str">
        <f t="shared" si="0"/>
        <v>Map</v>
      </c>
      <c r="N63" s="1" t="str">
        <f t="shared" si="1"/>
        <v>Street</v>
      </c>
      <c r="O63" s="1" t="str">
        <f t="shared" si="2"/>
        <v>Bing</v>
      </c>
      <c r="P63" s="1" t="str">
        <f t="shared" si="3"/>
        <v>FEMA</v>
      </c>
      <c r="Q63" s="1" t="str">
        <f t="shared" si="4"/>
        <v>FIRMette</v>
      </c>
      <c r="R63" s="1" t="str">
        <f t="shared" si="5"/>
        <v>Open</v>
      </c>
      <c r="AA63" s="1" t="str">
        <f t="shared" si="6"/>
        <v/>
      </c>
    </row>
    <row r="64" spans="4:27" x14ac:dyDescent="0.45">
      <c r="D64" t="s">
        <v>70</v>
      </c>
      <c r="F64">
        <v>44.656869</v>
      </c>
      <c r="G64">
        <v>-85.510014999999996</v>
      </c>
      <c r="H64" s="1" t="s">
        <v>64</v>
      </c>
      <c r="I64" t="s">
        <v>89</v>
      </c>
      <c r="M64" s="1" t="str">
        <f t="shared" si="0"/>
        <v>Map</v>
      </c>
      <c r="N64" s="1" t="str">
        <f t="shared" si="1"/>
        <v>Street</v>
      </c>
      <c r="O64" s="1" t="str">
        <f t="shared" si="2"/>
        <v>Bing</v>
      </c>
      <c r="P64" s="1" t="str">
        <f t="shared" si="3"/>
        <v>FEMA</v>
      </c>
      <c r="Q64" s="1" t="str">
        <f t="shared" si="4"/>
        <v>FIRMette</v>
      </c>
      <c r="R64" s="1" t="str">
        <f t="shared" si="5"/>
        <v>Open</v>
      </c>
      <c r="AA64" s="1" t="str">
        <f t="shared" si="6"/>
        <v/>
      </c>
    </row>
    <row r="65" spans="4:27" x14ac:dyDescent="0.45">
      <c r="D65" t="s">
        <v>70</v>
      </c>
      <c r="F65">
        <v>44.668384000000003</v>
      </c>
      <c r="G65">
        <v>-85.508279000000002</v>
      </c>
      <c r="H65" s="1" t="s">
        <v>64</v>
      </c>
      <c r="I65" t="s">
        <v>71</v>
      </c>
      <c r="M65" s="1" t="str">
        <f t="shared" si="0"/>
        <v>Map</v>
      </c>
      <c r="N65" s="1" t="str">
        <f t="shared" si="1"/>
        <v>Street</v>
      </c>
      <c r="O65" s="1" t="str">
        <f t="shared" si="2"/>
        <v>Bing</v>
      </c>
      <c r="P65" s="1" t="str">
        <f t="shared" si="3"/>
        <v>FEMA</v>
      </c>
      <c r="Q65" s="1" t="str">
        <f t="shared" si="4"/>
        <v>FIRMette</v>
      </c>
      <c r="R65" s="1" t="str">
        <f t="shared" si="5"/>
        <v>Open</v>
      </c>
      <c r="AA65" s="1" t="str">
        <f t="shared" si="6"/>
        <v/>
      </c>
    </row>
    <row r="66" spans="4:27" x14ac:dyDescent="0.45">
      <c r="D66" t="s">
        <v>70</v>
      </c>
      <c r="F66">
        <v>44.676822000000001</v>
      </c>
      <c r="G66">
        <v>-85.510435999999999</v>
      </c>
      <c r="H66" s="1" t="s">
        <v>64</v>
      </c>
      <c r="I66" t="s">
        <v>153</v>
      </c>
      <c r="M66" s="1" t="str">
        <f t="shared" ref="M66:M129" si="7">IF(OR($F66="",$G66=""),"",HYPERLINK("https://www.google.com/maps?q="&amp;$F66&amp;","&amp;$G66&amp;"","Map"))</f>
        <v>Map</v>
      </c>
      <c r="N66" s="1" t="str">
        <f t="shared" ref="N66:N129" si="8">IF(OR($F66="",$G66=""),"",HYPERLINK("https://www.google.com/maps?q&amp;layer=c&amp;cbll="&amp;$F66&amp;","&amp;$G66&amp;"","Street"))</f>
        <v>Street</v>
      </c>
      <c r="O66" s="1" t="str">
        <f t="shared" ref="O66:O129" si="9">IF(OR($F66="",$G66=""),"",HYPERLINK("https://www.bing.com/maps?cp="&amp;$F66&amp;"~"&amp;$G66&amp;"&amp;lvl=18&amp;style=h","Bing"))</f>
        <v>Bing</v>
      </c>
      <c r="P66" s="1" t="str">
        <f t="shared" ref="P66:P129" si="10">IF(OR($F66="",$G66=""),"",HYPERLINK("https://fema.maps.arcgis.com/apps/mapviewer/index.html?find="&amp;$G66&amp;"%2C"&amp;$F66&amp;"&amp;marker="&amp;$G66&amp;","&amp;$F66&amp;",4326&amp;level=16","FEMA"))</f>
        <v>FEMA</v>
      </c>
      <c r="Q66" s="1" t="str">
        <f t="shared" ref="Q66:Q129" si="11">IF(OR($F66="",$G66=""),"",HYPERLINK("https://msc.fema.gov/portal/firmette?latitude="&amp;$F66&amp;"&amp;longitude="&amp;$G66&amp;"","FIRMette"))</f>
        <v>FIRMette</v>
      </c>
      <c r="R66" s="1" t="str">
        <f t="shared" ref="R66:R129" si="12">IF(OR($F66="",$G66=""),"",HYPERLINK("https://fema.maps.arcgis.com/apps/mapviewer/index.html?webmap=6a1702b9147243d1a5ee62cd614bc681&amp;center="&amp;$G66&amp;","&amp;$F66&amp;"&amp;level=16&amp;marker="&amp;$G66&amp;","&amp;$F66&amp;"","Open"))</f>
        <v>Open</v>
      </c>
      <c r="AA66" s="1" t="str">
        <f t="shared" ref="AA66:AA129" si="13">IF(OR(_xlfn.SINGLE(JobAgolMap)="", $F66="", $G66=""),"",HYPERLINK(_xlfn.SINGLE(JobAgolMap)&amp;IF(ISNUMBER(FIND("?",_xlfn.SINGLE(JobAgolMap))),"&amp;","?")&amp;"center="&amp;$G66&amp;","&amp;$F66&amp;"&amp;level=16&amp;marker="&amp;$G66&amp;","&amp;$F66,"Open"))</f>
        <v/>
      </c>
    </row>
    <row r="67" spans="4:27" x14ac:dyDescent="0.45">
      <c r="D67" t="s">
        <v>154</v>
      </c>
      <c r="F67">
        <v>44.760694000000001</v>
      </c>
      <c r="G67">
        <v>-85.501351999999997</v>
      </c>
      <c r="H67" s="1" t="s">
        <v>64</v>
      </c>
      <c r="I67" t="s">
        <v>86</v>
      </c>
      <c r="M67" s="1" t="str">
        <f t="shared" si="7"/>
        <v>Map</v>
      </c>
      <c r="N67" s="1" t="str">
        <f t="shared" si="8"/>
        <v>Street</v>
      </c>
      <c r="O67" s="1" t="str">
        <f t="shared" si="9"/>
        <v>Bing</v>
      </c>
      <c r="P67" s="1" t="str">
        <f t="shared" si="10"/>
        <v>FEMA</v>
      </c>
      <c r="Q67" s="1" t="str">
        <f t="shared" si="11"/>
        <v>FIRMette</v>
      </c>
      <c r="R67" s="1" t="str">
        <f t="shared" si="12"/>
        <v>Open</v>
      </c>
      <c r="AA67" s="1" t="str">
        <f t="shared" si="13"/>
        <v/>
      </c>
    </row>
    <row r="68" spans="4:27" x14ac:dyDescent="0.45">
      <c r="D68" t="s">
        <v>155</v>
      </c>
      <c r="F68">
        <v>44.602331</v>
      </c>
      <c r="G68">
        <v>-85.588725999999994</v>
      </c>
      <c r="H68" s="1" t="s">
        <v>64</v>
      </c>
      <c r="I68" t="s">
        <v>65</v>
      </c>
      <c r="M68" s="1" t="str">
        <f t="shared" si="7"/>
        <v>Map</v>
      </c>
      <c r="N68" s="1" t="str">
        <f t="shared" si="8"/>
        <v>Street</v>
      </c>
      <c r="O68" s="1" t="str">
        <f t="shared" si="9"/>
        <v>Bing</v>
      </c>
      <c r="P68" s="1" t="str">
        <f t="shared" si="10"/>
        <v>FEMA</v>
      </c>
      <c r="Q68" s="1" t="str">
        <f t="shared" si="11"/>
        <v>FIRMette</v>
      </c>
      <c r="R68" s="1" t="str">
        <f t="shared" si="12"/>
        <v>Open</v>
      </c>
      <c r="AA68" s="1" t="str">
        <f t="shared" si="13"/>
        <v/>
      </c>
    </row>
    <row r="69" spans="4:27" x14ac:dyDescent="0.45">
      <c r="D69" t="s">
        <v>154</v>
      </c>
      <c r="F69">
        <v>44.758540000000004</v>
      </c>
      <c r="G69">
        <v>-85.489087999999995</v>
      </c>
      <c r="H69" s="1" t="s">
        <v>64</v>
      </c>
      <c r="I69" t="s">
        <v>130</v>
      </c>
      <c r="M69" s="1" t="str">
        <f t="shared" si="7"/>
        <v>Map</v>
      </c>
      <c r="N69" s="1" t="str">
        <f t="shared" si="8"/>
        <v>Street</v>
      </c>
      <c r="O69" s="1" t="str">
        <f t="shared" si="9"/>
        <v>Bing</v>
      </c>
      <c r="P69" s="1" t="str">
        <f t="shared" si="10"/>
        <v>FEMA</v>
      </c>
      <c r="Q69" s="1" t="str">
        <f t="shared" si="11"/>
        <v>FIRMette</v>
      </c>
      <c r="R69" s="1" t="str">
        <f t="shared" si="12"/>
        <v>Open</v>
      </c>
      <c r="AA69" s="1" t="str">
        <f t="shared" si="13"/>
        <v/>
      </c>
    </row>
    <row r="70" spans="4:27" x14ac:dyDescent="0.45">
      <c r="D70" t="s">
        <v>154</v>
      </c>
      <c r="F70">
        <v>44.758809999999997</v>
      </c>
      <c r="G70">
        <v>-85.496319</v>
      </c>
      <c r="H70" s="1" t="s">
        <v>64</v>
      </c>
      <c r="I70" t="s">
        <v>83</v>
      </c>
      <c r="M70" s="1" t="str">
        <f t="shared" si="7"/>
        <v>Map</v>
      </c>
      <c r="N70" s="1" t="str">
        <f t="shared" si="8"/>
        <v>Street</v>
      </c>
      <c r="O70" s="1" t="str">
        <f t="shared" si="9"/>
        <v>Bing</v>
      </c>
      <c r="P70" s="1" t="str">
        <f t="shared" si="10"/>
        <v>FEMA</v>
      </c>
      <c r="Q70" s="1" t="str">
        <f t="shared" si="11"/>
        <v>FIRMette</v>
      </c>
      <c r="R70" s="1" t="str">
        <f t="shared" si="12"/>
        <v>Open</v>
      </c>
      <c r="AA70" s="1" t="str">
        <f t="shared" si="13"/>
        <v/>
      </c>
    </row>
    <row r="71" spans="4:27" x14ac:dyDescent="0.45">
      <c r="D71" t="s">
        <v>156</v>
      </c>
      <c r="F71">
        <v>44.700857999999997</v>
      </c>
      <c r="G71">
        <v>-85.547865000000002</v>
      </c>
      <c r="H71" s="1" t="s">
        <v>64</v>
      </c>
      <c r="I71" t="s">
        <v>65</v>
      </c>
      <c r="M71" s="1" t="str">
        <f t="shared" si="7"/>
        <v>Map</v>
      </c>
      <c r="N71" s="1" t="str">
        <f t="shared" si="8"/>
        <v>Street</v>
      </c>
      <c r="O71" s="1" t="str">
        <f t="shared" si="9"/>
        <v>Bing</v>
      </c>
      <c r="P71" s="1" t="str">
        <f t="shared" si="10"/>
        <v>FEMA</v>
      </c>
      <c r="Q71" s="1" t="str">
        <f t="shared" si="11"/>
        <v>FIRMette</v>
      </c>
      <c r="R71" s="1" t="str">
        <f t="shared" si="12"/>
        <v>Open</v>
      </c>
      <c r="AA71" s="1" t="str">
        <f t="shared" si="13"/>
        <v/>
      </c>
    </row>
    <row r="72" spans="4:27" x14ac:dyDescent="0.45">
      <c r="D72" t="s">
        <v>66</v>
      </c>
      <c r="F72">
        <v>44.755012999999998</v>
      </c>
      <c r="G72">
        <v>-85.340104999999994</v>
      </c>
      <c r="H72" s="1" t="s">
        <v>64</v>
      </c>
      <c r="I72" t="s">
        <v>113</v>
      </c>
      <c r="M72" s="1" t="str">
        <f t="shared" si="7"/>
        <v>Map</v>
      </c>
      <c r="N72" s="1" t="str">
        <f t="shared" si="8"/>
        <v>Street</v>
      </c>
      <c r="O72" s="1" t="str">
        <f t="shared" si="9"/>
        <v>Bing</v>
      </c>
      <c r="P72" s="1" t="str">
        <f t="shared" si="10"/>
        <v>FEMA</v>
      </c>
      <c r="Q72" s="1" t="str">
        <f t="shared" si="11"/>
        <v>FIRMette</v>
      </c>
      <c r="R72" s="1" t="str">
        <f t="shared" si="12"/>
        <v>Open</v>
      </c>
      <c r="AA72" s="1" t="str">
        <f t="shared" si="13"/>
        <v/>
      </c>
    </row>
    <row r="73" spans="4:27" x14ac:dyDescent="0.45">
      <c r="D73" t="s">
        <v>157</v>
      </c>
      <c r="F73">
        <v>44.649774000000001</v>
      </c>
      <c r="G73">
        <v>-85.615380000000002</v>
      </c>
      <c r="H73" s="1" t="s">
        <v>64</v>
      </c>
      <c r="I73" t="s">
        <v>158</v>
      </c>
      <c r="M73" s="1" t="str">
        <f t="shared" si="7"/>
        <v>Map</v>
      </c>
      <c r="N73" s="1" t="str">
        <f t="shared" si="8"/>
        <v>Street</v>
      </c>
      <c r="O73" s="1" t="str">
        <f t="shared" si="9"/>
        <v>Bing</v>
      </c>
      <c r="P73" s="1" t="str">
        <f t="shared" si="10"/>
        <v>FEMA</v>
      </c>
      <c r="Q73" s="1" t="str">
        <f t="shared" si="11"/>
        <v>FIRMette</v>
      </c>
      <c r="R73" s="1" t="str">
        <f t="shared" si="12"/>
        <v>Open</v>
      </c>
      <c r="AA73" s="1" t="str">
        <f t="shared" si="13"/>
        <v/>
      </c>
    </row>
    <row r="74" spans="4:27" x14ac:dyDescent="0.45">
      <c r="D74" t="s">
        <v>159</v>
      </c>
      <c r="F74">
        <v>44.657466999999997</v>
      </c>
      <c r="G74">
        <v>-85.645032</v>
      </c>
      <c r="H74" s="1" t="s">
        <v>64</v>
      </c>
      <c r="I74" t="s">
        <v>119</v>
      </c>
      <c r="M74" s="1" t="str">
        <f t="shared" si="7"/>
        <v>Map</v>
      </c>
      <c r="N74" s="1" t="str">
        <f t="shared" si="8"/>
        <v>Street</v>
      </c>
      <c r="O74" s="1" t="str">
        <f t="shared" si="9"/>
        <v>Bing</v>
      </c>
      <c r="P74" s="1" t="str">
        <f t="shared" si="10"/>
        <v>FEMA</v>
      </c>
      <c r="Q74" s="1" t="str">
        <f t="shared" si="11"/>
        <v>FIRMette</v>
      </c>
      <c r="R74" s="1" t="str">
        <f t="shared" si="12"/>
        <v>Open</v>
      </c>
      <c r="AA74" s="1" t="str">
        <f t="shared" si="13"/>
        <v/>
      </c>
    </row>
    <row r="75" spans="4:27" x14ac:dyDescent="0.45">
      <c r="D75" t="s">
        <v>160</v>
      </c>
      <c r="F75">
        <v>44.899427000000003</v>
      </c>
      <c r="G75">
        <v>-85.525222999999997</v>
      </c>
      <c r="H75" s="1" t="s">
        <v>64</v>
      </c>
      <c r="I75" t="s">
        <v>65</v>
      </c>
      <c r="M75" s="1" t="str">
        <f t="shared" si="7"/>
        <v>Map</v>
      </c>
      <c r="N75" s="1" t="str">
        <f t="shared" si="8"/>
        <v>Street</v>
      </c>
      <c r="O75" s="1" t="str">
        <f t="shared" si="9"/>
        <v>Bing</v>
      </c>
      <c r="P75" s="1" t="str">
        <f t="shared" si="10"/>
        <v>FEMA</v>
      </c>
      <c r="Q75" s="1" t="str">
        <f t="shared" si="11"/>
        <v>FIRMette</v>
      </c>
      <c r="R75" s="1" t="str">
        <f t="shared" si="12"/>
        <v>Open</v>
      </c>
      <c r="AA75" s="1" t="str">
        <f t="shared" si="13"/>
        <v/>
      </c>
    </row>
    <row r="76" spans="4:27" x14ac:dyDescent="0.45">
      <c r="D76" t="s">
        <v>161</v>
      </c>
      <c r="F76">
        <v>44.728594000000001</v>
      </c>
      <c r="G76">
        <v>-85.664511000000005</v>
      </c>
      <c r="H76" s="1" t="s">
        <v>64</v>
      </c>
      <c r="I76" t="s">
        <v>89</v>
      </c>
      <c r="M76" s="1" t="str">
        <f t="shared" si="7"/>
        <v>Map</v>
      </c>
      <c r="N76" s="1" t="str">
        <f t="shared" si="8"/>
        <v>Street</v>
      </c>
      <c r="O76" s="1" t="str">
        <f t="shared" si="9"/>
        <v>Bing</v>
      </c>
      <c r="P76" s="1" t="str">
        <f t="shared" si="10"/>
        <v>FEMA</v>
      </c>
      <c r="Q76" s="1" t="str">
        <f t="shared" si="11"/>
        <v>FIRMette</v>
      </c>
      <c r="R76" s="1" t="str">
        <f t="shared" si="12"/>
        <v>Open</v>
      </c>
      <c r="AA76" s="1" t="str">
        <f t="shared" si="13"/>
        <v/>
      </c>
    </row>
    <row r="77" spans="4:27" x14ac:dyDescent="0.45">
      <c r="D77" t="s">
        <v>92</v>
      </c>
      <c r="F77">
        <v>44.586334000000001</v>
      </c>
      <c r="G77">
        <v>-85.434233000000006</v>
      </c>
      <c r="H77" s="1" t="s">
        <v>64</v>
      </c>
      <c r="I77" t="s">
        <v>162</v>
      </c>
      <c r="M77" s="1" t="str">
        <f t="shared" si="7"/>
        <v>Map</v>
      </c>
      <c r="N77" s="1" t="str">
        <f t="shared" si="8"/>
        <v>Street</v>
      </c>
      <c r="O77" s="1" t="str">
        <f t="shared" si="9"/>
        <v>Bing</v>
      </c>
      <c r="P77" s="1" t="str">
        <f t="shared" si="10"/>
        <v>FEMA</v>
      </c>
      <c r="Q77" s="1" t="str">
        <f t="shared" si="11"/>
        <v>FIRMette</v>
      </c>
      <c r="R77" s="1" t="str">
        <f t="shared" si="12"/>
        <v>Open</v>
      </c>
      <c r="AA77" s="1" t="str">
        <f t="shared" si="13"/>
        <v/>
      </c>
    </row>
    <row r="78" spans="4:27" x14ac:dyDescent="0.45">
      <c r="D78" t="s">
        <v>163</v>
      </c>
      <c r="F78">
        <v>44.584460999999997</v>
      </c>
      <c r="G78">
        <v>-85.398197999999994</v>
      </c>
      <c r="H78" s="1" t="s">
        <v>64</v>
      </c>
      <c r="I78" t="s">
        <v>65</v>
      </c>
      <c r="M78" s="1" t="str">
        <f t="shared" si="7"/>
        <v>Map</v>
      </c>
      <c r="N78" s="1" t="str">
        <f t="shared" si="8"/>
        <v>Street</v>
      </c>
      <c r="O78" s="1" t="str">
        <f t="shared" si="9"/>
        <v>Bing</v>
      </c>
      <c r="P78" s="1" t="str">
        <f t="shared" si="10"/>
        <v>FEMA</v>
      </c>
      <c r="Q78" s="1" t="str">
        <f t="shared" si="11"/>
        <v>FIRMette</v>
      </c>
      <c r="R78" s="1" t="str">
        <f t="shared" si="12"/>
        <v>Open</v>
      </c>
      <c r="AA78" s="1" t="str">
        <f t="shared" si="13"/>
        <v/>
      </c>
    </row>
    <row r="79" spans="4:27" x14ac:dyDescent="0.45">
      <c r="D79" t="s">
        <v>164</v>
      </c>
      <c r="F79">
        <v>44.569757000000003</v>
      </c>
      <c r="G79">
        <v>-85.447940000000003</v>
      </c>
      <c r="H79" s="1" t="s">
        <v>64</v>
      </c>
      <c r="I79" t="s">
        <v>76</v>
      </c>
      <c r="M79" s="1" t="str">
        <f t="shared" si="7"/>
        <v>Map</v>
      </c>
      <c r="N79" s="1" t="str">
        <f t="shared" si="8"/>
        <v>Street</v>
      </c>
      <c r="O79" s="1" t="str">
        <f t="shared" si="9"/>
        <v>Bing</v>
      </c>
      <c r="P79" s="1" t="str">
        <f t="shared" si="10"/>
        <v>FEMA</v>
      </c>
      <c r="Q79" s="1" t="str">
        <f t="shared" si="11"/>
        <v>FIRMette</v>
      </c>
      <c r="R79" s="1" t="str">
        <f t="shared" si="12"/>
        <v>Open</v>
      </c>
      <c r="AA79" s="1" t="str">
        <f t="shared" si="13"/>
        <v/>
      </c>
    </row>
    <row r="80" spans="4:27" x14ac:dyDescent="0.45">
      <c r="D80" t="s">
        <v>165</v>
      </c>
      <c r="F80">
        <v>44.965333000000001</v>
      </c>
      <c r="G80">
        <v>-85.486948999999996</v>
      </c>
      <c r="H80" s="1" t="s">
        <v>64</v>
      </c>
      <c r="I80" t="s">
        <v>81</v>
      </c>
      <c r="M80" s="1" t="str">
        <f t="shared" si="7"/>
        <v>Map</v>
      </c>
      <c r="N80" s="1" t="str">
        <f t="shared" si="8"/>
        <v>Street</v>
      </c>
      <c r="O80" s="1" t="str">
        <f t="shared" si="9"/>
        <v>Bing</v>
      </c>
      <c r="P80" s="1" t="str">
        <f t="shared" si="10"/>
        <v>FEMA</v>
      </c>
      <c r="Q80" s="1" t="str">
        <f t="shared" si="11"/>
        <v>FIRMette</v>
      </c>
      <c r="R80" s="1" t="str">
        <f t="shared" si="12"/>
        <v>Open</v>
      </c>
      <c r="AA80" s="1" t="str">
        <f t="shared" si="13"/>
        <v/>
      </c>
    </row>
    <row r="81" spans="4:27" x14ac:dyDescent="0.45">
      <c r="D81" t="s">
        <v>166</v>
      </c>
      <c r="F81">
        <v>44.554394000000002</v>
      </c>
      <c r="G81">
        <v>-85.615206999999998</v>
      </c>
      <c r="H81" s="1" t="s">
        <v>64</v>
      </c>
      <c r="I81" t="s">
        <v>167</v>
      </c>
      <c r="M81" s="1" t="str">
        <f t="shared" si="7"/>
        <v>Map</v>
      </c>
      <c r="N81" s="1" t="str">
        <f t="shared" si="8"/>
        <v>Street</v>
      </c>
      <c r="O81" s="1" t="str">
        <f t="shared" si="9"/>
        <v>Bing</v>
      </c>
      <c r="P81" s="1" t="str">
        <f t="shared" si="10"/>
        <v>FEMA</v>
      </c>
      <c r="Q81" s="1" t="str">
        <f t="shared" si="11"/>
        <v>FIRMette</v>
      </c>
      <c r="R81" s="1" t="str">
        <f t="shared" si="12"/>
        <v>Open</v>
      </c>
      <c r="AA81" s="1" t="str">
        <f t="shared" si="13"/>
        <v/>
      </c>
    </row>
    <row r="82" spans="4:27" x14ac:dyDescent="0.45">
      <c r="D82" t="s">
        <v>168</v>
      </c>
      <c r="F82">
        <v>44.526366000000003</v>
      </c>
      <c r="G82">
        <v>-85.353437999999997</v>
      </c>
      <c r="H82" s="1" t="s">
        <v>64</v>
      </c>
      <c r="I82" t="s">
        <v>169</v>
      </c>
      <c r="M82" s="1" t="str">
        <f t="shared" si="7"/>
        <v>Map</v>
      </c>
      <c r="N82" s="1" t="str">
        <f t="shared" si="8"/>
        <v>Street</v>
      </c>
      <c r="O82" s="1" t="str">
        <f t="shared" si="9"/>
        <v>Bing</v>
      </c>
      <c r="P82" s="1" t="str">
        <f t="shared" si="10"/>
        <v>FEMA</v>
      </c>
      <c r="Q82" s="1" t="str">
        <f t="shared" si="11"/>
        <v>FIRMette</v>
      </c>
      <c r="R82" s="1" t="str">
        <f t="shared" si="12"/>
        <v>Open</v>
      </c>
      <c r="AA82" s="1" t="str">
        <f t="shared" si="13"/>
        <v/>
      </c>
    </row>
    <row r="83" spans="4:27" x14ac:dyDescent="0.45">
      <c r="D83" t="s">
        <v>170</v>
      </c>
      <c r="F83">
        <v>44.512898</v>
      </c>
      <c r="G83">
        <v>-85.334055000000006</v>
      </c>
      <c r="H83" s="1" t="s">
        <v>64</v>
      </c>
      <c r="I83" t="s">
        <v>65</v>
      </c>
      <c r="M83" s="1" t="str">
        <f t="shared" si="7"/>
        <v>Map</v>
      </c>
      <c r="N83" s="1" t="str">
        <f t="shared" si="8"/>
        <v>Street</v>
      </c>
      <c r="O83" s="1" t="str">
        <f t="shared" si="9"/>
        <v>Bing</v>
      </c>
      <c r="P83" s="1" t="str">
        <f t="shared" si="10"/>
        <v>FEMA</v>
      </c>
      <c r="Q83" s="1" t="str">
        <f t="shared" si="11"/>
        <v>FIRMette</v>
      </c>
      <c r="R83" s="1" t="str">
        <f t="shared" si="12"/>
        <v>Open</v>
      </c>
      <c r="AA83" s="1" t="str">
        <f t="shared" si="13"/>
        <v/>
      </c>
    </row>
    <row r="84" spans="4:27" x14ac:dyDescent="0.45">
      <c r="D84" t="s">
        <v>170</v>
      </c>
      <c r="F84">
        <v>44.521816999999999</v>
      </c>
      <c r="G84">
        <v>-85.331047999999996</v>
      </c>
      <c r="H84" s="1" t="s">
        <v>64</v>
      </c>
      <c r="I84" t="s">
        <v>71</v>
      </c>
      <c r="M84" s="1" t="str">
        <f t="shared" si="7"/>
        <v>Map</v>
      </c>
      <c r="N84" s="1" t="str">
        <f t="shared" si="8"/>
        <v>Street</v>
      </c>
      <c r="O84" s="1" t="str">
        <f t="shared" si="9"/>
        <v>Bing</v>
      </c>
      <c r="P84" s="1" t="str">
        <f t="shared" si="10"/>
        <v>FEMA</v>
      </c>
      <c r="Q84" s="1" t="str">
        <f t="shared" si="11"/>
        <v>FIRMette</v>
      </c>
      <c r="R84" s="1" t="str">
        <f t="shared" si="12"/>
        <v>Open</v>
      </c>
      <c r="AA84" s="1" t="str">
        <f t="shared" si="13"/>
        <v/>
      </c>
    </row>
    <row r="85" spans="4:27" x14ac:dyDescent="0.45">
      <c r="D85" t="s">
        <v>171</v>
      </c>
      <c r="F85">
        <v>44.65175</v>
      </c>
      <c r="G85">
        <v>-85.647300000000001</v>
      </c>
      <c r="H85" s="1" t="s">
        <v>64</v>
      </c>
      <c r="I85" t="s">
        <v>139</v>
      </c>
      <c r="M85" s="1" t="str">
        <f t="shared" si="7"/>
        <v>Map</v>
      </c>
      <c r="N85" s="1" t="str">
        <f t="shared" si="8"/>
        <v>Street</v>
      </c>
      <c r="O85" s="1" t="str">
        <f t="shared" si="9"/>
        <v>Bing</v>
      </c>
      <c r="P85" s="1" t="str">
        <f t="shared" si="10"/>
        <v>FEMA</v>
      </c>
      <c r="Q85" s="1" t="str">
        <f t="shared" si="11"/>
        <v>FIRMette</v>
      </c>
      <c r="R85" s="1" t="str">
        <f t="shared" si="12"/>
        <v>Open</v>
      </c>
      <c r="AA85" s="1" t="str">
        <f t="shared" si="13"/>
        <v/>
      </c>
    </row>
    <row r="86" spans="4:27" x14ac:dyDescent="0.45">
      <c r="D86" t="s">
        <v>172</v>
      </c>
      <c r="F86">
        <v>44.657620999999999</v>
      </c>
      <c r="G86">
        <v>-85.644199</v>
      </c>
      <c r="H86" s="1" t="s">
        <v>64</v>
      </c>
      <c r="I86" t="s">
        <v>119</v>
      </c>
      <c r="M86" s="1" t="str">
        <f t="shared" si="7"/>
        <v>Map</v>
      </c>
      <c r="N86" s="1" t="str">
        <f t="shared" si="8"/>
        <v>Street</v>
      </c>
      <c r="O86" s="1" t="str">
        <f t="shared" si="9"/>
        <v>Bing</v>
      </c>
      <c r="P86" s="1" t="str">
        <f t="shared" si="10"/>
        <v>FEMA</v>
      </c>
      <c r="Q86" s="1" t="str">
        <f t="shared" si="11"/>
        <v>FIRMette</v>
      </c>
      <c r="R86" s="1" t="str">
        <f t="shared" si="12"/>
        <v>Open</v>
      </c>
      <c r="AA86" s="1" t="str">
        <f t="shared" si="13"/>
        <v/>
      </c>
    </row>
    <row r="87" spans="4:27" x14ac:dyDescent="0.45">
      <c r="D87" t="s">
        <v>173</v>
      </c>
      <c r="F87">
        <v>44.935439000000002</v>
      </c>
      <c r="G87">
        <v>-85.520097000000007</v>
      </c>
      <c r="H87" s="1" t="s">
        <v>64</v>
      </c>
      <c r="I87" t="s">
        <v>117</v>
      </c>
      <c r="M87" s="1" t="str">
        <f t="shared" si="7"/>
        <v>Map</v>
      </c>
      <c r="N87" s="1" t="str">
        <f t="shared" si="8"/>
        <v>Street</v>
      </c>
      <c r="O87" s="1" t="str">
        <f t="shared" si="9"/>
        <v>Bing</v>
      </c>
      <c r="P87" s="1" t="str">
        <f t="shared" si="10"/>
        <v>FEMA</v>
      </c>
      <c r="Q87" s="1" t="str">
        <f t="shared" si="11"/>
        <v>FIRMette</v>
      </c>
      <c r="R87" s="1" t="str">
        <f t="shared" si="12"/>
        <v>Open</v>
      </c>
      <c r="AA87" s="1" t="str">
        <f t="shared" si="13"/>
        <v/>
      </c>
    </row>
    <row r="88" spans="4:27" x14ac:dyDescent="0.45">
      <c r="D88" t="s">
        <v>174</v>
      </c>
      <c r="F88">
        <v>44.950178000000001</v>
      </c>
      <c r="G88">
        <v>-85.520376999999996</v>
      </c>
      <c r="H88" s="1" t="s">
        <v>64</v>
      </c>
      <c r="I88" t="s">
        <v>102</v>
      </c>
      <c r="M88" s="1" t="str">
        <f t="shared" si="7"/>
        <v>Map</v>
      </c>
      <c r="N88" s="1" t="str">
        <f t="shared" si="8"/>
        <v>Street</v>
      </c>
      <c r="O88" s="1" t="str">
        <f t="shared" si="9"/>
        <v>Bing</v>
      </c>
      <c r="P88" s="1" t="str">
        <f t="shared" si="10"/>
        <v>FEMA</v>
      </c>
      <c r="Q88" s="1" t="str">
        <f t="shared" si="11"/>
        <v>FIRMette</v>
      </c>
      <c r="R88" s="1" t="str">
        <f t="shared" si="12"/>
        <v>Open</v>
      </c>
      <c r="AA88" s="1" t="str">
        <f t="shared" si="13"/>
        <v/>
      </c>
    </row>
    <row r="89" spans="4:27" x14ac:dyDescent="0.45">
      <c r="D89" t="s">
        <v>175</v>
      </c>
      <c r="F89">
        <v>44.686590000000002</v>
      </c>
      <c r="G89">
        <v>-85.675674000000001</v>
      </c>
      <c r="H89" s="1" t="s">
        <v>64</v>
      </c>
      <c r="I89" t="s">
        <v>134</v>
      </c>
      <c r="M89" s="1" t="str">
        <f t="shared" si="7"/>
        <v>Map</v>
      </c>
      <c r="N89" s="1" t="str">
        <f t="shared" si="8"/>
        <v>Street</v>
      </c>
      <c r="O89" s="1" t="str">
        <f t="shared" si="9"/>
        <v>Bing</v>
      </c>
      <c r="P89" s="1" t="str">
        <f t="shared" si="10"/>
        <v>FEMA</v>
      </c>
      <c r="Q89" s="1" t="str">
        <f t="shared" si="11"/>
        <v>FIRMette</v>
      </c>
      <c r="R89" s="1" t="str">
        <f t="shared" si="12"/>
        <v>Open</v>
      </c>
      <c r="AA89" s="1" t="str">
        <f t="shared" si="13"/>
        <v/>
      </c>
    </row>
    <row r="90" spans="4:27" x14ac:dyDescent="0.45">
      <c r="D90" t="s">
        <v>94</v>
      </c>
      <c r="F90">
        <v>44.627594000000002</v>
      </c>
      <c r="G90">
        <v>-85.546442999999996</v>
      </c>
      <c r="H90" s="1" t="s">
        <v>64</v>
      </c>
      <c r="I90" t="s">
        <v>102</v>
      </c>
      <c r="M90" s="1" t="str">
        <f t="shared" si="7"/>
        <v>Map</v>
      </c>
      <c r="N90" s="1" t="str">
        <f t="shared" si="8"/>
        <v>Street</v>
      </c>
      <c r="O90" s="1" t="str">
        <f t="shared" si="9"/>
        <v>Bing</v>
      </c>
      <c r="P90" s="1" t="str">
        <f t="shared" si="10"/>
        <v>FEMA</v>
      </c>
      <c r="Q90" s="1" t="str">
        <f t="shared" si="11"/>
        <v>FIRMette</v>
      </c>
      <c r="R90" s="1" t="str">
        <f t="shared" si="12"/>
        <v>Open</v>
      </c>
      <c r="AA90" s="1" t="str">
        <f t="shared" si="13"/>
        <v/>
      </c>
    </row>
    <row r="91" spans="4:27" x14ac:dyDescent="0.45">
      <c r="D91" t="s">
        <v>176</v>
      </c>
      <c r="F91">
        <v>44.706893999999998</v>
      </c>
      <c r="G91">
        <v>-85.502134999999996</v>
      </c>
      <c r="H91" s="1" t="s">
        <v>64</v>
      </c>
      <c r="I91" t="s">
        <v>71</v>
      </c>
      <c r="M91" s="1" t="str">
        <f t="shared" si="7"/>
        <v>Map</v>
      </c>
      <c r="N91" s="1" t="str">
        <f t="shared" si="8"/>
        <v>Street</v>
      </c>
      <c r="O91" s="1" t="str">
        <f t="shared" si="9"/>
        <v>Bing</v>
      </c>
      <c r="P91" s="1" t="str">
        <f t="shared" si="10"/>
        <v>FEMA</v>
      </c>
      <c r="Q91" s="1" t="str">
        <f t="shared" si="11"/>
        <v>FIRMette</v>
      </c>
      <c r="R91" s="1" t="str">
        <f t="shared" si="12"/>
        <v>Open</v>
      </c>
      <c r="AA91" s="1" t="str">
        <f t="shared" si="13"/>
        <v/>
      </c>
    </row>
    <row r="92" spans="4:27" x14ac:dyDescent="0.45">
      <c r="D92" t="s">
        <v>177</v>
      </c>
      <c r="F92">
        <v>44.928241</v>
      </c>
      <c r="G92">
        <v>-85.524140000000003</v>
      </c>
      <c r="H92" s="1" t="s">
        <v>64</v>
      </c>
      <c r="I92" t="s">
        <v>108</v>
      </c>
      <c r="M92" s="1" t="str">
        <f t="shared" si="7"/>
        <v>Map</v>
      </c>
      <c r="N92" s="1" t="str">
        <f t="shared" si="8"/>
        <v>Street</v>
      </c>
      <c r="O92" s="1" t="str">
        <f t="shared" si="9"/>
        <v>Bing</v>
      </c>
      <c r="P92" s="1" t="str">
        <f t="shared" si="10"/>
        <v>FEMA</v>
      </c>
      <c r="Q92" s="1" t="str">
        <f t="shared" si="11"/>
        <v>FIRMette</v>
      </c>
      <c r="R92" s="1" t="str">
        <f t="shared" si="12"/>
        <v>Open</v>
      </c>
      <c r="AA92" s="1" t="str">
        <f t="shared" si="13"/>
        <v/>
      </c>
    </row>
    <row r="93" spans="4:27" x14ac:dyDescent="0.45">
      <c r="D93" t="s">
        <v>178</v>
      </c>
      <c r="F93">
        <v>44.635154999999997</v>
      </c>
      <c r="G93">
        <v>-85.716742999999994</v>
      </c>
      <c r="H93" s="1" t="s">
        <v>64</v>
      </c>
      <c r="I93" t="s">
        <v>104</v>
      </c>
      <c r="M93" s="1" t="str">
        <f t="shared" si="7"/>
        <v>Map</v>
      </c>
      <c r="N93" s="1" t="str">
        <f t="shared" si="8"/>
        <v>Street</v>
      </c>
      <c r="O93" s="1" t="str">
        <f t="shared" si="9"/>
        <v>Bing</v>
      </c>
      <c r="P93" s="1" t="str">
        <f t="shared" si="10"/>
        <v>FEMA</v>
      </c>
      <c r="Q93" s="1" t="str">
        <f t="shared" si="11"/>
        <v>FIRMette</v>
      </c>
      <c r="R93" s="1" t="str">
        <f t="shared" si="12"/>
        <v>Open</v>
      </c>
      <c r="AA93" s="1" t="str">
        <f t="shared" si="13"/>
        <v/>
      </c>
    </row>
    <row r="94" spans="4:27" x14ac:dyDescent="0.45">
      <c r="D94" t="s">
        <v>179</v>
      </c>
      <c r="F94">
        <v>44.652962000000002</v>
      </c>
      <c r="G94">
        <v>-85.676501000000002</v>
      </c>
      <c r="H94" s="1" t="s">
        <v>64</v>
      </c>
      <c r="I94" t="s">
        <v>141</v>
      </c>
      <c r="M94" s="1" t="str">
        <f t="shared" si="7"/>
        <v>Map</v>
      </c>
      <c r="N94" s="1" t="str">
        <f t="shared" si="8"/>
        <v>Street</v>
      </c>
      <c r="O94" s="1" t="str">
        <f t="shared" si="9"/>
        <v>Bing</v>
      </c>
      <c r="P94" s="1" t="str">
        <f t="shared" si="10"/>
        <v>FEMA</v>
      </c>
      <c r="Q94" s="1" t="str">
        <f t="shared" si="11"/>
        <v>FIRMette</v>
      </c>
      <c r="R94" s="1" t="str">
        <f t="shared" si="12"/>
        <v>Open</v>
      </c>
      <c r="AA94" s="1" t="str">
        <f t="shared" si="13"/>
        <v/>
      </c>
    </row>
    <row r="95" spans="4:27" x14ac:dyDescent="0.45">
      <c r="D95" t="s">
        <v>164</v>
      </c>
      <c r="F95">
        <v>44.570121</v>
      </c>
      <c r="G95">
        <v>-85.463841000000002</v>
      </c>
      <c r="H95" s="1" t="s">
        <v>64</v>
      </c>
      <c r="I95" t="s">
        <v>180</v>
      </c>
      <c r="M95" s="1" t="str">
        <f t="shared" si="7"/>
        <v>Map</v>
      </c>
      <c r="N95" s="1" t="str">
        <f t="shared" si="8"/>
        <v>Street</v>
      </c>
      <c r="O95" s="1" t="str">
        <f t="shared" si="9"/>
        <v>Bing</v>
      </c>
      <c r="P95" s="1" t="str">
        <f t="shared" si="10"/>
        <v>FEMA</v>
      </c>
      <c r="Q95" s="1" t="str">
        <f t="shared" si="11"/>
        <v>FIRMette</v>
      </c>
      <c r="R95" s="1" t="str">
        <f t="shared" si="12"/>
        <v>Open</v>
      </c>
      <c r="AA95" s="1" t="str">
        <f t="shared" si="13"/>
        <v/>
      </c>
    </row>
    <row r="96" spans="4:27" x14ac:dyDescent="0.45">
      <c r="D96" t="s">
        <v>146</v>
      </c>
      <c r="F96">
        <v>44.614570999999998</v>
      </c>
      <c r="G96">
        <v>-85.613180999999997</v>
      </c>
      <c r="H96" s="1" t="s">
        <v>64</v>
      </c>
      <c r="I96" t="s">
        <v>65</v>
      </c>
      <c r="M96" s="1" t="str">
        <f t="shared" si="7"/>
        <v>Map</v>
      </c>
      <c r="N96" s="1" t="str">
        <f t="shared" si="8"/>
        <v>Street</v>
      </c>
      <c r="O96" s="1" t="str">
        <f t="shared" si="9"/>
        <v>Bing</v>
      </c>
      <c r="P96" s="1" t="str">
        <f t="shared" si="10"/>
        <v>FEMA</v>
      </c>
      <c r="Q96" s="1" t="str">
        <f t="shared" si="11"/>
        <v>FIRMette</v>
      </c>
      <c r="R96" s="1" t="str">
        <f t="shared" si="12"/>
        <v>Open</v>
      </c>
      <c r="AA96" s="1" t="str">
        <f t="shared" si="13"/>
        <v/>
      </c>
    </row>
    <row r="97" spans="4:27" x14ac:dyDescent="0.45">
      <c r="D97" t="s">
        <v>181</v>
      </c>
      <c r="F97">
        <v>44.753822999999997</v>
      </c>
      <c r="G97">
        <v>-85.796646999999993</v>
      </c>
      <c r="H97" s="1" t="s">
        <v>64</v>
      </c>
      <c r="I97" t="s">
        <v>182</v>
      </c>
      <c r="M97" s="1" t="str">
        <f t="shared" si="7"/>
        <v>Map</v>
      </c>
      <c r="N97" s="1" t="str">
        <f t="shared" si="8"/>
        <v>Street</v>
      </c>
      <c r="O97" s="1" t="str">
        <f t="shared" si="9"/>
        <v>Bing</v>
      </c>
      <c r="P97" s="1" t="str">
        <f t="shared" si="10"/>
        <v>FEMA</v>
      </c>
      <c r="Q97" s="1" t="str">
        <f t="shared" si="11"/>
        <v>FIRMette</v>
      </c>
      <c r="R97" s="1" t="str">
        <f t="shared" si="12"/>
        <v>Open</v>
      </c>
      <c r="AA97" s="1" t="str">
        <f t="shared" si="13"/>
        <v/>
      </c>
    </row>
    <row r="98" spans="4:27" x14ac:dyDescent="0.45">
      <c r="D98" t="s">
        <v>183</v>
      </c>
      <c r="F98">
        <v>44.686790999999999</v>
      </c>
      <c r="G98">
        <v>-85.757560999999995</v>
      </c>
      <c r="H98" s="1" t="s">
        <v>64</v>
      </c>
      <c r="I98" t="s">
        <v>184</v>
      </c>
      <c r="M98" s="1" t="str">
        <f t="shared" si="7"/>
        <v>Map</v>
      </c>
      <c r="N98" s="1" t="str">
        <f t="shared" si="8"/>
        <v>Street</v>
      </c>
      <c r="O98" s="1" t="str">
        <f t="shared" si="9"/>
        <v>Bing</v>
      </c>
      <c r="P98" s="1" t="str">
        <f t="shared" si="10"/>
        <v>FEMA</v>
      </c>
      <c r="Q98" s="1" t="str">
        <f t="shared" si="11"/>
        <v>FIRMette</v>
      </c>
      <c r="R98" s="1" t="str">
        <f t="shared" si="12"/>
        <v>Open</v>
      </c>
      <c r="AA98" s="1" t="str">
        <f t="shared" si="13"/>
        <v/>
      </c>
    </row>
    <row r="99" spans="4:27" x14ac:dyDescent="0.45">
      <c r="D99" t="s">
        <v>185</v>
      </c>
      <c r="F99">
        <v>44.558833</v>
      </c>
      <c r="G99">
        <v>-85.345518999999996</v>
      </c>
      <c r="H99" s="1" t="s">
        <v>64</v>
      </c>
      <c r="I99" t="s">
        <v>186</v>
      </c>
      <c r="M99" s="1" t="str">
        <f t="shared" si="7"/>
        <v>Map</v>
      </c>
      <c r="N99" s="1" t="str">
        <f t="shared" si="8"/>
        <v>Street</v>
      </c>
      <c r="O99" s="1" t="str">
        <f t="shared" si="9"/>
        <v>Bing</v>
      </c>
      <c r="P99" s="1" t="str">
        <f t="shared" si="10"/>
        <v>FEMA</v>
      </c>
      <c r="Q99" s="1" t="str">
        <f t="shared" si="11"/>
        <v>FIRMette</v>
      </c>
      <c r="R99" s="1" t="str">
        <f t="shared" si="12"/>
        <v>Open</v>
      </c>
      <c r="AA99" s="1" t="str">
        <f t="shared" si="13"/>
        <v/>
      </c>
    </row>
    <row r="100" spans="4:27" x14ac:dyDescent="0.45">
      <c r="D100" t="s">
        <v>187</v>
      </c>
      <c r="F100">
        <v>44.555709</v>
      </c>
      <c r="G100">
        <v>-85.445040000000006</v>
      </c>
      <c r="H100" s="1" t="s">
        <v>64</v>
      </c>
      <c r="I100" t="s">
        <v>119</v>
      </c>
      <c r="M100" s="1" t="str">
        <f t="shared" si="7"/>
        <v>Map</v>
      </c>
      <c r="N100" s="1" t="str">
        <f t="shared" si="8"/>
        <v>Street</v>
      </c>
      <c r="O100" s="1" t="str">
        <f t="shared" si="9"/>
        <v>Bing</v>
      </c>
      <c r="P100" s="1" t="str">
        <f t="shared" si="10"/>
        <v>FEMA</v>
      </c>
      <c r="Q100" s="1" t="str">
        <f t="shared" si="11"/>
        <v>FIRMette</v>
      </c>
      <c r="R100" s="1" t="str">
        <f t="shared" si="12"/>
        <v>Open</v>
      </c>
      <c r="AA100" s="1" t="str">
        <f t="shared" si="13"/>
        <v/>
      </c>
    </row>
    <row r="101" spans="4:27" x14ac:dyDescent="0.45">
      <c r="D101" t="s">
        <v>188</v>
      </c>
      <c r="F101">
        <v>44.526674</v>
      </c>
      <c r="G101">
        <v>-85.506536999999994</v>
      </c>
      <c r="H101" s="1" t="s">
        <v>64</v>
      </c>
      <c r="I101" t="s">
        <v>102</v>
      </c>
      <c r="M101" s="1" t="str">
        <f t="shared" si="7"/>
        <v>Map</v>
      </c>
      <c r="N101" s="1" t="str">
        <f t="shared" si="8"/>
        <v>Street</v>
      </c>
      <c r="O101" s="1" t="str">
        <f t="shared" si="9"/>
        <v>Bing</v>
      </c>
      <c r="P101" s="1" t="str">
        <f t="shared" si="10"/>
        <v>FEMA</v>
      </c>
      <c r="Q101" s="1" t="str">
        <f t="shared" si="11"/>
        <v>FIRMette</v>
      </c>
      <c r="R101" s="1" t="str">
        <f t="shared" si="12"/>
        <v>Open</v>
      </c>
      <c r="AA101" s="1" t="str">
        <f t="shared" si="13"/>
        <v/>
      </c>
    </row>
    <row r="102" spans="4:27" x14ac:dyDescent="0.45">
      <c r="D102" t="s">
        <v>189</v>
      </c>
      <c r="F102">
        <v>44.772776999999998</v>
      </c>
      <c r="G102">
        <v>-85.343585000000004</v>
      </c>
      <c r="H102" s="1" t="s">
        <v>64</v>
      </c>
      <c r="I102" t="s">
        <v>139</v>
      </c>
      <c r="M102" s="1" t="str">
        <f t="shared" si="7"/>
        <v>Map</v>
      </c>
      <c r="N102" s="1" t="str">
        <f t="shared" si="8"/>
        <v>Street</v>
      </c>
      <c r="O102" s="1" t="str">
        <f t="shared" si="9"/>
        <v>Bing</v>
      </c>
      <c r="P102" s="1" t="str">
        <f t="shared" si="10"/>
        <v>FEMA</v>
      </c>
      <c r="Q102" s="1" t="str">
        <f t="shared" si="11"/>
        <v>FIRMette</v>
      </c>
      <c r="R102" s="1" t="str">
        <f t="shared" si="12"/>
        <v>Open</v>
      </c>
      <c r="AA102" s="1" t="str">
        <f t="shared" si="13"/>
        <v/>
      </c>
    </row>
    <row r="103" spans="4:27" x14ac:dyDescent="0.45">
      <c r="D103" t="s">
        <v>190</v>
      </c>
      <c r="F103">
        <v>44.765382000000002</v>
      </c>
      <c r="G103">
        <v>-85.812211000000005</v>
      </c>
      <c r="H103" s="1" t="s">
        <v>64</v>
      </c>
      <c r="I103" t="s">
        <v>191</v>
      </c>
      <c r="M103" s="1" t="str">
        <f t="shared" si="7"/>
        <v>Map</v>
      </c>
      <c r="N103" s="1" t="str">
        <f t="shared" si="8"/>
        <v>Street</v>
      </c>
      <c r="O103" s="1" t="str">
        <f t="shared" si="9"/>
        <v>Bing</v>
      </c>
      <c r="P103" s="1" t="str">
        <f t="shared" si="10"/>
        <v>FEMA</v>
      </c>
      <c r="Q103" s="1" t="str">
        <f t="shared" si="11"/>
        <v>FIRMette</v>
      </c>
      <c r="R103" s="1" t="str">
        <f t="shared" si="12"/>
        <v>Open</v>
      </c>
      <c r="AA103" s="1" t="str">
        <f t="shared" si="13"/>
        <v/>
      </c>
    </row>
    <row r="104" spans="4:27" x14ac:dyDescent="0.45">
      <c r="D104" t="s">
        <v>192</v>
      </c>
      <c r="F104">
        <v>44.519458</v>
      </c>
      <c r="G104">
        <v>-85.496599000000003</v>
      </c>
      <c r="H104" s="1" t="s">
        <v>64</v>
      </c>
      <c r="I104" t="s">
        <v>102</v>
      </c>
      <c r="M104" s="1" t="str">
        <f t="shared" si="7"/>
        <v>Map</v>
      </c>
      <c r="N104" s="1" t="str">
        <f t="shared" si="8"/>
        <v>Street</v>
      </c>
      <c r="O104" s="1" t="str">
        <f t="shared" si="9"/>
        <v>Bing</v>
      </c>
      <c r="P104" s="1" t="str">
        <f t="shared" si="10"/>
        <v>FEMA</v>
      </c>
      <c r="Q104" s="1" t="str">
        <f t="shared" si="11"/>
        <v>FIRMette</v>
      </c>
      <c r="R104" s="1" t="str">
        <f t="shared" si="12"/>
        <v>Open</v>
      </c>
      <c r="AA104" s="1" t="str">
        <f t="shared" si="13"/>
        <v/>
      </c>
    </row>
    <row r="105" spans="4:27" x14ac:dyDescent="0.45">
      <c r="D105" t="s">
        <v>172</v>
      </c>
      <c r="F105">
        <v>44.665281999999998</v>
      </c>
      <c r="G105">
        <v>-85.641301999999996</v>
      </c>
      <c r="H105" s="1" t="s">
        <v>64</v>
      </c>
      <c r="I105" t="s">
        <v>182</v>
      </c>
      <c r="M105" s="1" t="str">
        <f t="shared" si="7"/>
        <v>Map</v>
      </c>
      <c r="N105" s="1" t="str">
        <f t="shared" si="8"/>
        <v>Street</v>
      </c>
      <c r="O105" s="1" t="str">
        <f t="shared" si="9"/>
        <v>Bing</v>
      </c>
      <c r="P105" s="1" t="str">
        <f t="shared" si="10"/>
        <v>FEMA</v>
      </c>
      <c r="Q105" s="1" t="str">
        <f t="shared" si="11"/>
        <v>FIRMette</v>
      </c>
      <c r="R105" s="1" t="str">
        <f t="shared" si="12"/>
        <v>Open</v>
      </c>
      <c r="AA105" s="1" t="str">
        <f t="shared" si="13"/>
        <v/>
      </c>
    </row>
    <row r="106" spans="4:27" x14ac:dyDescent="0.45">
      <c r="D106" t="s">
        <v>193</v>
      </c>
      <c r="F106">
        <v>44.723734999999998</v>
      </c>
      <c r="G106">
        <v>-85.797396000000006</v>
      </c>
      <c r="H106" s="1" t="s">
        <v>64</v>
      </c>
      <c r="I106" t="s">
        <v>182</v>
      </c>
      <c r="M106" s="1" t="str">
        <f t="shared" si="7"/>
        <v>Map</v>
      </c>
      <c r="N106" s="1" t="str">
        <f t="shared" si="8"/>
        <v>Street</v>
      </c>
      <c r="O106" s="1" t="str">
        <f t="shared" si="9"/>
        <v>Bing</v>
      </c>
      <c r="P106" s="1" t="str">
        <f t="shared" si="10"/>
        <v>FEMA</v>
      </c>
      <c r="Q106" s="1" t="str">
        <f t="shared" si="11"/>
        <v>FIRMette</v>
      </c>
      <c r="R106" s="1" t="str">
        <f t="shared" si="12"/>
        <v>Open</v>
      </c>
      <c r="AA106" s="1" t="str">
        <f t="shared" si="13"/>
        <v/>
      </c>
    </row>
    <row r="107" spans="4:27" x14ac:dyDescent="0.45">
      <c r="D107" t="s">
        <v>194</v>
      </c>
      <c r="F107">
        <v>44.747062</v>
      </c>
      <c r="G107">
        <v>-85.780797000000007</v>
      </c>
      <c r="H107" s="1" t="s">
        <v>64</v>
      </c>
      <c r="I107" t="s">
        <v>195</v>
      </c>
      <c r="M107" s="1" t="str">
        <f t="shared" si="7"/>
        <v>Map</v>
      </c>
      <c r="N107" s="1" t="str">
        <f t="shared" si="8"/>
        <v>Street</v>
      </c>
      <c r="O107" s="1" t="str">
        <f t="shared" si="9"/>
        <v>Bing</v>
      </c>
      <c r="P107" s="1" t="str">
        <f t="shared" si="10"/>
        <v>FEMA</v>
      </c>
      <c r="Q107" s="1" t="str">
        <f t="shared" si="11"/>
        <v>FIRMette</v>
      </c>
      <c r="R107" s="1" t="str">
        <f t="shared" si="12"/>
        <v>Open</v>
      </c>
      <c r="AA107" s="1" t="str">
        <f t="shared" si="13"/>
        <v/>
      </c>
    </row>
    <row r="108" spans="4:27" x14ac:dyDescent="0.45">
      <c r="D108" t="s">
        <v>196</v>
      </c>
      <c r="F108">
        <v>44.765258000000003</v>
      </c>
      <c r="G108">
        <v>-85.431928999999997</v>
      </c>
      <c r="H108" s="1" t="s">
        <v>64</v>
      </c>
      <c r="I108" t="s">
        <v>197</v>
      </c>
      <c r="M108" s="1" t="str">
        <f t="shared" si="7"/>
        <v>Map</v>
      </c>
      <c r="N108" s="1" t="str">
        <f t="shared" si="8"/>
        <v>Street</v>
      </c>
      <c r="O108" s="1" t="str">
        <f t="shared" si="9"/>
        <v>Bing</v>
      </c>
      <c r="P108" s="1" t="str">
        <f t="shared" si="10"/>
        <v>FEMA</v>
      </c>
      <c r="Q108" s="1" t="str">
        <f t="shared" si="11"/>
        <v>FIRMette</v>
      </c>
      <c r="R108" s="1" t="str">
        <f t="shared" si="12"/>
        <v>Open</v>
      </c>
      <c r="AA108" s="1" t="str">
        <f t="shared" si="13"/>
        <v/>
      </c>
    </row>
    <row r="109" spans="4:27" x14ac:dyDescent="0.45">
      <c r="D109" t="s">
        <v>198</v>
      </c>
      <c r="F109">
        <v>44.754443999999999</v>
      </c>
      <c r="G109">
        <v>-85.414205999999993</v>
      </c>
      <c r="H109" s="1" t="s">
        <v>64</v>
      </c>
      <c r="I109" t="s">
        <v>195</v>
      </c>
      <c r="M109" s="1" t="str">
        <f t="shared" si="7"/>
        <v>Map</v>
      </c>
      <c r="N109" s="1" t="str">
        <f t="shared" si="8"/>
        <v>Street</v>
      </c>
      <c r="O109" s="1" t="str">
        <f t="shared" si="9"/>
        <v>Bing</v>
      </c>
      <c r="P109" s="1" t="str">
        <f t="shared" si="10"/>
        <v>FEMA</v>
      </c>
      <c r="Q109" s="1" t="str">
        <f t="shared" si="11"/>
        <v>FIRMette</v>
      </c>
      <c r="R109" s="1" t="str">
        <f t="shared" si="12"/>
        <v>Open</v>
      </c>
      <c r="AA109" s="1" t="str">
        <f t="shared" si="13"/>
        <v/>
      </c>
    </row>
    <row r="110" spans="4:27" x14ac:dyDescent="0.45">
      <c r="D110" t="s">
        <v>199</v>
      </c>
      <c r="F110">
        <v>44.659291000000003</v>
      </c>
      <c r="G110">
        <v>-85.556639000000004</v>
      </c>
      <c r="H110" s="1" t="s">
        <v>64</v>
      </c>
      <c r="I110" t="s">
        <v>182</v>
      </c>
      <c r="M110" s="1" t="str">
        <f t="shared" si="7"/>
        <v>Map</v>
      </c>
      <c r="N110" s="1" t="str">
        <f t="shared" si="8"/>
        <v>Street</v>
      </c>
      <c r="O110" s="1" t="str">
        <f t="shared" si="9"/>
        <v>Bing</v>
      </c>
      <c r="P110" s="1" t="str">
        <f t="shared" si="10"/>
        <v>FEMA</v>
      </c>
      <c r="Q110" s="1" t="str">
        <f t="shared" si="11"/>
        <v>FIRMette</v>
      </c>
      <c r="R110" s="1" t="str">
        <f t="shared" si="12"/>
        <v>Open</v>
      </c>
      <c r="AA110" s="1" t="str">
        <f t="shared" si="13"/>
        <v/>
      </c>
    </row>
    <row r="111" spans="4:27" x14ac:dyDescent="0.45">
      <c r="D111" t="s">
        <v>100</v>
      </c>
      <c r="F111">
        <v>44.820252000000004</v>
      </c>
      <c r="G111">
        <v>-85.570629999999994</v>
      </c>
      <c r="H111" s="1" t="s">
        <v>64</v>
      </c>
      <c r="I111" t="s">
        <v>200</v>
      </c>
      <c r="M111" s="1" t="str">
        <f t="shared" si="7"/>
        <v>Map</v>
      </c>
      <c r="N111" s="1" t="str">
        <f t="shared" si="8"/>
        <v>Street</v>
      </c>
      <c r="O111" s="1" t="str">
        <f t="shared" si="9"/>
        <v>Bing</v>
      </c>
      <c r="P111" s="1" t="str">
        <f t="shared" si="10"/>
        <v>FEMA</v>
      </c>
      <c r="Q111" s="1" t="str">
        <f t="shared" si="11"/>
        <v>FIRMette</v>
      </c>
      <c r="R111" s="1" t="str">
        <f t="shared" si="12"/>
        <v>Open</v>
      </c>
      <c r="AA111" s="1" t="str">
        <f t="shared" si="13"/>
        <v/>
      </c>
    </row>
    <row r="112" spans="4:27" x14ac:dyDescent="0.45">
      <c r="D112" t="s">
        <v>201</v>
      </c>
      <c r="F112">
        <v>44.747067999999999</v>
      </c>
      <c r="G112">
        <v>-85.383781999999997</v>
      </c>
      <c r="H112" s="1" t="s">
        <v>64</v>
      </c>
      <c r="I112" t="s">
        <v>141</v>
      </c>
      <c r="M112" s="1" t="str">
        <f t="shared" si="7"/>
        <v>Map</v>
      </c>
      <c r="N112" s="1" t="str">
        <f t="shared" si="8"/>
        <v>Street</v>
      </c>
      <c r="O112" s="1" t="str">
        <f t="shared" si="9"/>
        <v>Bing</v>
      </c>
      <c r="P112" s="1" t="str">
        <f t="shared" si="10"/>
        <v>FEMA</v>
      </c>
      <c r="Q112" s="1" t="str">
        <f t="shared" si="11"/>
        <v>FIRMette</v>
      </c>
      <c r="R112" s="1" t="str">
        <f t="shared" si="12"/>
        <v>Open</v>
      </c>
      <c r="AA112" s="1" t="str">
        <f t="shared" si="13"/>
        <v/>
      </c>
    </row>
    <row r="113" spans="4:27" x14ac:dyDescent="0.45">
      <c r="D113" t="s">
        <v>202</v>
      </c>
      <c r="F113">
        <v>44.743392999999998</v>
      </c>
      <c r="G113">
        <v>-85.378647999999998</v>
      </c>
      <c r="H113" s="1" t="s">
        <v>64</v>
      </c>
      <c r="I113" t="s">
        <v>182</v>
      </c>
      <c r="M113" s="1" t="str">
        <f t="shared" si="7"/>
        <v>Map</v>
      </c>
      <c r="N113" s="1" t="str">
        <f t="shared" si="8"/>
        <v>Street</v>
      </c>
      <c r="O113" s="1" t="str">
        <f t="shared" si="9"/>
        <v>Bing</v>
      </c>
      <c r="P113" s="1" t="str">
        <f t="shared" si="10"/>
        <v>FEMA</v>
      </c>
      <c r="Q113" s="1" t="str">
        <f t="shared" si="11"/>
        <v>FIRMette</v>
      </c>
      <c r="R113" s="1" t="str">
        <f t="shared" si="12"/>
        <v>Open</v>
      </c>
      <c r="AA113" s="1" t="str">
        <f t="shared" si="13"/>
        <v/>
      </c>
    </row>
    <row r="114" spans="4:27" x14ac:dyDescent="0.45">
      <c r="D114" t="s">
        <v>203</v>
      </c>
      <c r="F114">
        <v>44.706533</v>
      </c>
      <c r="G114">
        <v>-85.535792000000001</v>
      </c>
      <c r="H114" s="1" t="s">
        <v>64</v>
      </c>
      <c r="I114" t="s">
        <v>108</v>
      </c>
      <c r="M114" s="1" t="str">
        <f t="shared" si="7"/>
        <v>Map</v>
      </c>
      <c r="N114" s="1" t="str">
        <f t="shared" si="8"/>
        <v>Street</v>
      </c>
      <c r="O114" s="1" t="str">
        <f t="shared" si="9"/>
        <v>Bing</v>
      </c>
      <c r="P114" s="1" t="str">
        <f t="shared" si="10"/>
        <v>FEMA</v>
      </c>
      <c r="Q114" s="1" t="str">
        <f t="shared" si="11"/>
        <v>FIRMette</v>
      </c>
      <c r="R114" s="1" t="str">
        <f t="shared" si="12"/>
        <v>Open</v>
      </c>
      <c r="AA114" s="1" t="str">
        <f t="shared" si="13"/>
        <v/>
      </c>
    </row>
    <row r="115" spans="4:27" x14ac:dyDescent="0.45">
      <c r="D115" t="s">
        <v>103</v>
      </c>
      <c r="F115">
        <v>44.59892</v>
      </c>
      <c r="G115">
        <v>-85.484182000000004</v>
      </c>
      <c r="H115" s="1" t="s">
        <v>64</v>
      </c>
      <c r="I115" t="s">
        <v>184</v>
      </c>
      <c r="M115" s="1" t="str">
        <f t="shared" si="7"/>
        <v>Map</v>
      </c>
      <c r="N115" s="1" t="str">
        <f t="shared" si="8"/>
        <v>Street</v>
      </c>
      <c r="O115" s="1" t="str">
        <f t="shared" si="9"/>
        <v>Bing</v>
      </c>
      <c r="P115" s="1" t="str">
        <f t="shared" si="10"/>
        <v>FEMA</v>
      </c>
      <c r="Q115" s="1" t="str">
        <f t="shared" si="11"/>
        <v>FIRMette</v>
      </c>
      <c r="R115" s="1" t="str">
        <f t="shared" si="12"/>
        <v>Open</v>
      </c>
      <c r="AA115" s="1" t="str">
        <f t="shared" si="13"/>
        <v/>
      </c>
    </row>
    <row r="116" spans="4:27" x14ac:dyDescent="0.45">
      <c r="D116" t="s">
        <v>204</v>
      </c>
      <c r="F116">
        <v>44.742274000000002</v>
      </c>
      <c r="G116">
        <v>-85.542525999999995</v>
      </c>
      <c r="H116" s="1" t="s">
        <v>64</v>
      </c>
      <c r="I116" t="s">
        <v>141</v>
      </c>
      <c r="M116" s="1" t="str">
        <f t="shared" si="7"/>
        <v>Map</v>
      </c>
      <c r="N116" s="1" t="str">
        <f t="shared" si="8"/>
        <v>Street</v>
      </c>
      <c r="O116" s="1" t="str">
        <f t="shared" si="9"/>
        <v>Bing</v>
      </c>
      <c r="P116" s="1" t="str">
        <f t="shared" si="10"/>
        <v>FEMA</v>
      </c>
      <c r="Q116" s="1" t="str">
        <f t="shared" si="11"/>
        <v>FIRMette</v>
      </c>
      <c r="R116" s="1" t="str">
        <f t="shared" si="12"/>
        <v>Open</v>
      </c>
      <c r="AA116" s="1" t="str">
        <f t="shared" si="13"/>
        <v/>
      </c>
    </row>
    <row r="117" spans="4:27" x14ac:dyDescent="0.45">
      <c r="D117" t="s">
        <v>205</v>
      </c>
      <c r="F117">
        <v>44.598208</v>
      </c>
      <c r="G117">
        <v>-85.475178999999997</v>
      </c>
      <c r="H117" s="1" t="s">
        <v>64</v>
      </c>
      <c r="I117" t="s">
        <v>184</v>
      </c>
      <c r="M117" s="1" t="str">
        <f t="shared" si="7"/>
        <v>Map</v>
      </c>
      <c r="N117" s="1" t="str">
        <f t="shared" si="8"/>
        <v>Street</v>
      </c>
      <c r="O117" s="1" t="str">
        <f t="shared" si="9"/>
        <v>Bing</v>
      </c>
      <c r="P117" s="1" t="str">
        <f t="shared" si="10"/>
        <v>FEMA</v>
      </c>
      <c r="Q117" s="1" t="str">
        <f t="shared" si="11"/>
        <v>FIRMette</v>
      </c>
      <c r="R117" s="1" t="str">
        <f t="shared" si="12"/>
        <v>Open</v>
      </c>
      <c r="AA117" s="1" t="str">
        <f t="shared" si="13"/>
        <v/>
      </c>
    </row>
    <row r="118" spans="4:27" x14ac:dyDescent="0.45">
      <c r="D118" t="s">
        <v>63</v>
      </c>
      <c r="F118">
        <v>44.578552999999999</v>
      </c>
      <c r="G118">
        <v>-85.566631000000001</v>
      </c>
      <c r="H118" s="1" t="s">
        <v>64</v>
      </c>
      <c r="I118" t="s">
        <v>78</v>
      </c>
      <c r="M118" s="1" t="str">
        <f t="shared" si="7"/>
        <v>Map</v>
      </c>
      <c r="N118" s="1" t="str">
        <f t="shared" si="8"/>
        <v>Street</v>
      </c>
      <c r="O118" s="1" t="str">
        <f t="shared" si="9"/>
        <v>Bing</v>
      </c>
      <c r="P118" s="1" t="str">
        <f t="shared" si="10"/>
        <v>FEMA</v>
      </c>
      <c r="Q118" s="1" t="str">
        <f t="shared" si="11"/>
        <v>FIRMette</v>
      </c>
      <c r="R118" s="1" t="str">
        <f t="shared" si="12"/>
        <v>Open</v>
      </c>
      <c r="AA118" s="1" t="str">
        <f t="shared" si="13"/>
        <v/>
      </c>
    </row>
    <row r="119" spans="4:27" x14ac:dyDescent="0.45">
      <c r="D119" t="s">
        <v>92</v>
      </c>
      <c r="F119">
        <v>44.562190999999999</v>
      </c>
      <c r="G119">
        <v>-85.435811000000001</v>
      </c>
      <c r="H119" s="1" t="s">
        <v>64</v>
      </c>
      <c r="I119" t="s">
        <v>206</v>
      </c>
      <c r="M119" s="1" t="str">
        <f t="shared" si="7"/>
        <v>Map</v>
      </c>
      <c r="N119" s="1" t="str">
        <f t="shared" si="8"/>
        <v>Street</v>
      </c>
      <c r="O119" s="1" t="str">
        <f t="shared" si="9"/>
        <v>Bing</v>
      </c>
      <c r="P119" s="1" t="str">
        <f t="shared" si="10"/>
        <v>FEMA</v>
      </c>
      <c r="Q119" s="1" t="str">
        <f t="shared" si="11"/>
        <v>FIRMette</v>
      </c>
      <c r="R119" s="1" t="str">
        <f t="shared" si="12"/>
        <v>Open</v>
      </c>
      <c r="AA119" s="1" t="str">
        <f t="shared" si="13"/>
        <v/>
      </c>
    </row>
    <row r="120" spans="4:27" x14ac:dyDescent="0.45">
      <c r="D120" t="s">
        <v>207</v>
      </c>
      <c r="F120">
        <v>44.5197</v>
      </c>
      <c r="G120">
        <v>-85.666233000000005</v>
      </c>
      <c r="H120" s="1" t="s">
        <v>64</v>
      </c>
      <c r="I120" t="s">
        <v>119</v>
      </c>
      <c r="M120" s="1" t="str">
        <f t="shared" si="7"/>
        <v>Map</v>
      </c>
      <c r="N120" s="1" t="str">
        <f t="shared" si="8"/>
        <v>Street</v>
      </c>
      <c r="O120" s="1" t="str">
        <f t="shared" si="9"/>
        <v>Bing</v>
      </c>
      <c r="P120" s="1" t="str">
        <f t="shared" si="10"/>
        <v>FEMA</v>
      </c>
      <c r="Q120" s="1" t="str">
        <f t="shared" si="11"/>
        <v>FIRMette</v>
      </c>
      <c r="R120" s="1" t="str">
        <f t="shared" si="12"/>
        <v>Open</v>
      </c>
      <c r="AA120" s="1" t="str">
        <f t="shared" si="13"/>
        <v/>
      </c>
    </row>
    <row r="121" spans="4:27" x14ac:dyDescent="0.45">
      <c r="D121" t="s">
        <v>208</v>
      </c>
      <c r="F121">
        <v>44.707912999999998</v>
      </c>
      <c r="G121">
        <v>-85.589882000000003</v>
      </c>
      <c r="H121" s="1" t="s">
        <v>64</v>
      </c>
      <c r="I121" t="s">
        <v>195</v>
      </c>
      <c r="M121" s="1" t="str">
        <f t="shared" si="7"/>
        <v>Map</v>
      </c>
      <c r="N121" s="1" t="str">
        <f t="shared" si="8"/>
        <v>Street</v>
      </c>
      <c r="O121" s="1" t="str">
        <f t="shared" si="9"/>
        <v>Bing</v>
      </c>
      <c r="P121" s="1" t="str">
        <f t="shared" si="10"/>
        <v>FEMA</v>
      </c>
      <c r="Q121" s="1" t="str">
        <f t="shared" si="11"/>
        <v>FIRMette</v>
      </c>
      <c r="R121" s="1" t="str">
        <f t="shared" si="12"/>
        <v>Open</v>
      </c>
      <c r="AA121" s="1" t="str">
        <f t="shared" si="13"/>
        <v/>
      </c>
    </row>
    <row r="122" spans="4:27" x14ac:dyDescent="0.45">
      <c r="D122" t="s">
        <v>209</v>
      </c>
      <c r="F122">
        <v>44.527360000000002</v>
      </c>
      <c r="G122">
        <v>-85.746910999999997</v>
      </c>
      <c r="H122" s="1" t="s">
        <v>64</v>
      </c>
      <c r="I122" t="s">
        <v>119</v>
      </c>
      <c r="M122" s="1" t="str">
        <f t="shared" si="7"/>
        <v>Map</v>
      </c>
      <c r="N122" s="1" t="str">
        <f t="shared" si="8"/>
        <v>Street</v>
      </c>
      <c r="O122" s="1" t="str">
        <f t="shared" si="9"/>
        <v>Bing</v>
      </c>
      <c r="P122" s="1" t="str">
        <f t="shared" si="10"/>
        <v>FEMA</v>
      </c>
      <c r="Q122" s="1" t="str">
        <f t="shared" si="11"/>
        <v>FIRMette</v>
      </c>
      <c r="R122" s="1" t="str">
        <f t="shared" si="12"/>
        <v>Open</v>
      </c>
      <c r="AA122" s="1" t="str">
        <f t="shared" si="13"/>
        <v/>
      </c>
    </row>
    <row r="123" spans="4:27" x14ac:dyDescent="0.45">
      <c r="D123" t="s">
        <v>210</v>
      </c>
      <c r="F123">
        <v>44.565398999999999</v>
      </c>
      <c r="G123">
        <v>-85.546951000000007</v>
      </c>
      <c r="H123" s="1" t="s">
        <v>64</v>
      </c>
      <c r="I123" t="s">
        <v>102</v>
      </c>
      <c r="M123" s="1" t="str">
        <f t="shared" si="7"/>
        <v>Map</v>
      </c>
      <c r="N123" s="1" t="str">
        <f t="shared" si="8"/>
        <v>Street</v>
      </c>
      <c r="O123" s="1" t="str">
        <f t="shared" si="9"/>
        <v>Bing</v>
      </c>
      <c r="P123" s="1" t="str">
        <f t="shared" si="10"/>
        <v>FEMA</v>
      </c>
      <c r="Q123" s="1" t="str">
        <f t="shared" si="11"/>
        <v>FIRMette</v>
      </c>
      <c r="R123" s="1" t="str">
        <f t="shared" si="12"/>
        <v>Open</v>
      </c>
      <c r="AA123" s="1" t="str">
        <f t="shared" si="13"/>
        <v/>
      </c>
    </row>
    <row r="124" spans="4:27" x14ac:dyDescent="0.45">
      <c r="D124" t="s">
        <v>211</v>
      </c>
      <c r="F124">
        <v>44.764961999999997</v>
      </c>
      <c r="G124">
        <v>-85.363585</v>
      </c>
      <c r="H124" s="1" t="s">
        <v>64</v>
      </c>
      <c r="I124" t="s">
        <v>212</v>
      </c>
      <c r="M124" s="1" t="str">
        <f t="shared" si="7"/>
        <v>Map</v>
      </c>
      <c r="N124" s="1" t="str">
        <f t="shared" si="8"/>
        <v>Street</v>
      </c>
      <c r="O124" s="1" t="str">
        <f t="shared" si="9"/>
        <v>Bing</v>
      </c>
      <c r="P124" s="1" t="str">
        <f t="shared" si="10"/>
        <v>FEMA</v>
      </c>
      <c r="Q124" s="1" t="str">
        <f t="shared" si="11"/>
        <v>FIRMette</v>
      </c>
      <c r="R124" s="1" t="str">
        <f t="shared" si="12"/>
        <v>Open</v>
      </c>
      <c r="AA124" s="1" t="str">
        <f t="shared" si="13"/>
        <v/>
      </c>
    </row>
    <row r="125" spans="4:27" x14ac:dyDescent="0.45">
      <c r="D125" t="s">
        <v>125</v>
      </c>
      <c r="F125">
        <v>44.724364999999999</v>
      </c>
      <c r="G125">
        <v>-85.500102999999996</v>
      </c>
      <c r="H125" s="1" t="s">
        <v>64</v>
      </c>
      <c r="I125" t="s">
        <v>65</v>
      </c>
      <c r="M125" s="1" t="str">
        <f t="shared" si="7"/>
        <v>Map</v>
      </c>
      <c r="N125" s="1" t="str">
        <f t="shared" si="8"/>
        <v>Street</v>
      </c>
      <c r="O125" s="1" t="str">
        <f t="shared" si="9"/>
        <v>Bing</v>
      </c>
      <c r="P125" s="1" t="str">
        <f t="shared" si="10"/>
        <v>FEMA</v>
      </c>
      <c r="Q125" s="1" t="str">
        <f t="shared" si="11"/>
        <v>FIRMette</v>
      </c>
      <c r="R125" s="1" t="str">
        <f t="shared" si="12"/>
        <v>Open</v>
      </c>
      <c r="AA125" s="1" t="str">
        <f t="shared" si="13"/>
        <v/>
      </c>
    </row>
    <row r="126" spans="4:27" x14ac:dyDescent="0.45">
      <c r="D126" t="s">
        <v>203</v>
      </c>
      <c r="F126">
        <v>44.699081</v>
      </c>
      <c r="G126">
        <v>-85.536351999999994</v>
      </c>
      <c r="H126" s="1" t="s">
        <v>64</v>
      </c>
      <c r="I126" t="s">
        <v>102</v>
      </c>
      <c r="M126" s="1" t="str">
        <f t="shared" si="7"/>
        <v>Map</v>
      </c>
      <c r="N126" s="1" t="str">
        <f t="shared" si="8"/>
        <v>Street</v>
      </c>
      <c r="O126" s="1" t="str">
        <f t="shared" si="9"/>
        <v>Bing</v>
      </c>
      <c r="P126" s="1" t="str">
        <f t="shared" si="10"/>
        <v>FEMA</v>
      </c>
      <c r="Q126" s="1" t="str">
        <f t="shared" si="11"/>
        <v>FIRMette</v>
      </c>
      <c r="R126" s="1" t="str">
        <f t="shared" si="12"/>
        <v>Open</v>
      </c>
      <c r="AA126" s="1" t="str">
        <f t="shared" si="13"/>
        <v/>
      </c>
    </row>
    <row r="127" spans="4:27" x14ac:dyDescent="0.45">
      <c r="D127" t="s">
        <v>213</v>
      </c>
      <c r="F127">
        <v>44.627887000000001</v>
      </c>
      <c r="G127">
        <v>-85.559916000000001</v>
      </c>
      <c r="H127" s="1" t="s">
        <v>64</v>
      </c>
      <c r="I127" t="s">
        <v>119</v>
      </c>
      <c r="M127" s="1" t="str">
        <f t="shared" si="7"/>
        <v>Map</v>
      </c>
      <c r="N127" s="1" t="str">
        <f t="shared" si="8"/>
        <v>Street</v>
      </c>
      <c r="O127" s="1" t="str">
        <f t="shared" si="9"/>
        <v>Bing</v>
      </c>
      <c r="P127" s="1" t="str">
        <f t="shared" si="10"/>
        <v>FEMA</v>
      </c>
      <c r="Q127" s="1" t="str">
        <f t="shared" si="11"/>
        <v>FIRMette</v>
      </c>
      <c r="R127" s="1" t="str">
        <f t="shared" si="12"/>
        <v>Open</v>
      </c>
      <c r="AA127" s="1" t="str">
        <f t="shared" si="13"/>
        <v/>
      </c>
    </row>
    <row r="128" spans="4:27" x14ac:dyDescent="0.45">
      <c r="D128" t="s">
        <v>214</v>
      </c>
      <c r="F128">
        <v>44.722608999999999</v>
      </c>
      <c r="G128">
        <v>-85.545550000000006</v>
      </c>
      <c r="H128" s="1" t="s">
        <v>64</v>
      </c>
      <c r="I128" t="s">
        <v>215</v>
      </c>
      <c r="M128" s="1" t="str">
        <f t="shared" si="7"/>
        <v>Map</v>
      </c>
      <c r="N128" s="1" t="str">
        <f t="shared" si="8"/>
        <v>Street</v>
      </c>
      <c r="O128" s="1" t="str">
        <f t="shared" si="9"/>
        <v>Bing</v>
      </c>
      <c r="P128" s="1" t="str">
        <f t="shared" si="10"/>
        <v>FEMA</v>
      </c>
      <c r="Q128" s="1" t="str">
        <f t="shared" si="11"/>
        <v>FIRMette</v>
      </c>
      <c r="R128" s="1" t="str">
        <f t="shared" si="12"/>
        <v>Open</v>
      </c>
      <c r="AA128" s="1" t="str">
        <f t="shared" si="13"/>
        <v/>
      </c>
    </row>
    <row r="129" spans="4:27" x14ac:dyDescent="0.45">
      <c r="D129" t="s">
        <v>216</v>
      </c>
      <c r="F129">
        <v>44.730595000000001</v>
      </c>
      <c r="G129">
        <v>-85.713854999999995</v>
      </c>
      <c r="H129" s="1" t="s">
        <v>64</v>
      </c>
      <c r="I129" t="s">
        <v>102</v>
      </c>
      <c r="M129" s="1" t="str">
        <f t="shared" si="7"/>
        <v>Map</v>
      </c>
      <c r="N129" s="1" t="str">
        <f t="shared" si="8"/>
        <v>Street</v>
      </c>
      <c r="O129" s="1" t="str">
        <f t="shared" si="9"/>
        <v>Bing</v>
      </c>
      <c r="P129" s="1" t="str">
        <f t="shared" si="10"/>
        <v>FEMA</v>
      </c>
      <c r="Q129" s="1" t="str">
        <f t="shared" si="11"/>
        <v>FIRMette</v>
      </c>
      <c r="R129" s="1" t="str">
        <f t="shared" si="12"/>
        <v>Open</v>
      </c>
      <c r="AA129" s="1" t="str">
        <f t="shared" si="13"/>
        <v/>
      </c>
    </row>
    <row r="130" spans="4:27" x14ac:dyDescent="0.45">
      <c r="D130" t="s">
        <v>217</v>
      </c>
      <c r="F130">
        <v>44.711722000000002</v>
      </c>
      <c r="G130">
        <v>-85.546181000000004</v>
      </c>
      <c r="H130" s="1" t="s">
        <v>64</v>
      </c>
      <c r="I130" t="s">
        <v>215</v>
      </c>
      <c r="M130" s="1" t="str">
        <f t="shared" ref="M130:M193" si="14">IF(OR($F130="",$G130=""),"",HYPERLINK("https://www.google.com/maps?q="&amp;$F130&amp;","&amp;$G130&amp;"","Map"))</f>
        <v>Map</v>
      </c>
      <c r="N130" s="1" t="str">
        <f t="shared" ref="N130:N193" si="15">IF(OR($F130="",$G130=""),"",HYPERLINK("https://www.google.com/maps?q&amp;layer=c&amp;cbll="&amp;$F130&amp;","&amp;$G130&amp;"","Street"))</f>
        <v>Street</v>
      </c>
      <c r="O130" s="1" t="str">
        <f t="shared" ref="O130:O193" si="16">IF(OR($F130="",$G130=""),"",HYPERLINK("https://www.bing.com/maps?cp="&amp;$F130&amp;"~"&amp;$G130&amp;"&amp;lvl=18&amp;style=h","Bing"))</f>
        <v>Bing</v>
      </c>
      <c r="P130" s="1" t="str">
        <f t="shared" ref="P130:P193" si="17">IF(OR($F130="",$G130=""),"",HYPERLINK("https://fema.maps.arcgis.com/apps/mapviewer/index.html?find="&amp;$G130&amp;"%2C"&amp;$F130&amp;"&amp;marker="&amp;$G130&amp;","&amp;$F130&amp;",4326&amp;level=16","FEMA"))</f>
        <v>FEMA</v>
      </c>
      <c r="Q130" s="1" t="str">
        <f t="shared" ref="Q130:Q193" si="18">IF(OR($F130="",$G130=""),"",HYPERLINK("https://msc.fema.gov/portal/firmette?latitude="&amp;$F130&amp;"&amp;longitude="&amp;$G130&amp;"","FIRMette"))</f>
        <v>FIRMette</v>
      </c>
      <c r="R130" s="1" t="str">
        <f t="shared" ref="R130:R193" si="19">IF(OR($F130="",$G130=""),"",HYPERLINK("https://fema.maps.arcgis.com/apps/mapviewer/index.html?webmap=6a1702b9147243d1a5ee62cd614bc681&amp;center="&amp;$G130&amp;","&amp;$F130&amp;"&amp;level=16&amp;marker="&amp;$G130&amp;","&amp;$F130&amp;"","Open"))</f>
        <v>Open</v>
      </c>
      <c r="AA130" s="1" t="str">
        <f t="shared" ref="AA130:AA193" si="20">IF(OR(_xlfn.SINGLE(JobAgolMap)="", $F130="", $G130=""),"",HYPERLINK(_xlfn.SINGLE(JobAgolMap)&amp;IF(ISNUMBER(FIND("?",_xlfn.SINGLE(JobAgolMap))),"&amp;","?")&amp;"center="&amp;$G130&amp;","&amp;$F130&amp;"&amp;level=16&amp;marker="&amp;$G130&amp;","&amp;$F130,"Open"))</f>
        <v/>
      </c>
    </row>
    <row r="131" spans="4:27" x14ac:dyDescent="0.45">
      <c r="D131" t="s">
        <v>218</v>
      </c>
      <c r="F131">
        <v>44.628382000000002</v>
      </c>
      <c r="G131">
        <v>-85.785745000000006</v>
      </c>
      <c r="H131" s="1" t="s">
        <v>64</v>
      </c>
      <c r="I131" t="s">
        <v>65</v>
      </c>
      <c r="M131" s="1" t="str">
        <f t="shared" si="14"/>
        <v>Map</v>
      </c>
      <c r="N131" s="1" t="str">
        <f t="shared" si="15"/>
        <v>Street</v>
      </c>
      <c r="O131" s="1" t="str">
        <f t="shared" si="16"/>
        <v>Bing</v>
      </c>
      <c r="P131" s="1" t="str">
        <f t="shared" si="17"/>
        <v>FEMA</v>
      </c>
      <c r="Q131" s="1" t="str">
        <f t="shared" si="18"/>
        <v>FIRMette</v>
      </c>
      <c r="R131" s="1" t="str">
        <f t="shared" si="19"/>
        <v>Open</v>
      </c>
      <c r="AA131" s="1" t="str">
        <f t="shared" si="20"/>
        <v/>
      </c>
    </row>
    <row r="132" spans="4:27" x14ac:dyDescent="0.45">
      <c r="D132" t="s">
        <v>98</v>
      </c>
      <c r="F132">
        <v>44.659671000000003</v>
      </c>
      <c r="G132">
        <v>-85.541797000000003</v>
      </c>
      <c r="H132" s="1" t="s">
        <v>64</v>
      </c>
      <c r="I132" t="s">
        <v>197</v>
      </c>
      <c r="M132" s="1" t="str">
        <f t="shared" si="14"/>
        <v>Map</v>
      </c>
      <c r="N132" s="1" t="str">
        <f t="shared" si="15"/>
        <v>Street</v>
      </c>
      <c r="O132" s="1" t="str">
        <f t="shared" si="16"/>
        <v>Bing</v>
      </c>
      <c r="P132" s="1" t="str">
        <f t="shared" si="17"/>
        <v>FEMA</v>
      </c>
      <c r="Q132" s="1" t="str">
        <f t="shared" si="18"/>
        <v>FIRMette</v>
      </c>
      <c r="R132" s="1" t="str">
        <f t="shared" si="19"/>
        <v>Open</v>
      </c>
      <c r="AA132" s="1" t="str">
        <f t="shared" si="20"/>
        <v/>
      </c>
    </row>
    <row r="133" spans="4:27" x14ac:dyDescent="0.45">
      <c r="D133" t="s">
        <v>219</v>
      </c>
      <c r="F133">
        <v>44.686705000000003</v>
      </c>
      <c r="G133">
        <v>-85.507822000000004</v>
      </c>
      <c r="H133" s="1" t="s">
        <v>64</v>
      </c>
      <c r="I133" t="s">
        <v>119</v>
      </c>
      <c r="M133" s="1" t="str">
        <f t="shared" si="14"/>
        <v>Map</v>
      </c>
      <c r="N133" s="1" t="str">
        <f t="shared" si="15"/>
        <v>Street</v>
      </c>
      <c r="O133" s="1" t="str">
        <f t="shared" si="16"/>
        <v>Bing</v>
      </c>
      <c r="P133" s="1" t="str">
        <f t="shared" si="17"/>
        <v>FEMA</v>
      </c>
      <c r="Q133" s="1" t="str">
        <f t="shared" si="18"/>
        <v>FIRMette</v>
      </c>
      <c r="R133" s="1" t="str">
        <f t="shared" si="19"/>
        <v>Open</v>
      </c>
      <c r="AA133" s="1" t="str">
        <f t="shared" si="20"/>
        <v/>
      </c>
    </row>
    <row r="134" spans="4:27" x14ac:dyDescent="0.45">
      <c r="D134" t="s">
        <v>220</v>
      </c>
      <c r="F134">
        <v>44.656882000000003</v>
      </c>
      <c r="G134">
        <v>-85.438415000000006</v>
      </c>
      <c r="H134" s="1" t="s">
        <v>64</v>
      </c>
      <c r="I134" t="s">
        <v>221</v>
      </c>
      <c r="M134" s="1" t="str">
        <f t="shared" si="14"/>
        <v>Map</v>
      </c>
      <c r="N134" s="1" t="str">
        <f t="shared" si="15"/>
        <v>Street</v>
      </c>
      <c r="O134" s="1" t="str">
        <f t="shared" si="16"/>
        <v>Bing</v>
      </c>
      <c r="P134" s="1" t="str">
        <f t="shared" si="17"/>
        <v>FEMA</v>
      </c>
      <c r="Q134" s="1" t="str">
        <f t="shared" si="18"/>
        <v>FIRMette</v>
      </c>
      <c r="R134" s="1" t="str">
        <f t="shared" si="19"/>
        <v>Open</v>
      </c>
      <c r="AA134" s="1" t="str">
        <f t="shared" si="20"/>
        <v/>
      </c>
    </row>
    <row r="135" spans="4:27" x14ac:dyDescent="0.45">
      <c r="D135" t="s">
        <v>220</v>
      </c>
      <c r="F135">
        <v>44.642094</v>
      </c>
      <c r="G135">
        <v>-85.515105000000005</v>
      </c>
      <c r="H135" s="1" t="s">
        <v>64</v>
      </c>
      <c r="I135" t="s">
        <v>222</v>
      </c>
      <c r="M135" s="1" t="str">
        <f t="shared" si="14"/>
        <v>Map</v>
      </c>
      <c r="N135" s="1" t="str">
        <f t="shared" si="15"/>
        <v>Street</v>
      </c>
      <c r="O135" s="1" t="str">
        <f t="shared" si="16"/>
        <v>Bing</v>
      </c>
      <c r="P135" s="1" t="str">
        <f t="shared" si="17"/>
        <v>FEMA</v>
      </c>
      <c r="Q135" s="1" t="str">
        <f t="shared" si="18"/>
        <v>FIRMette</v>
      </c>
      <c r="R135" s="1" t="str">
        <f t="shared" si="19"/>
        <v>Open</v>
      </c>
      <c r="AA135" s="1" t="str">
        <f t="shared" si="20"/>
        <v/>
      </c>
    </row>
    <row r="136" spans="4:27" x14ac:dyDescent="0.45">
      <c r="D136" t="s">
        <v>223</v>
      </c>
      <c r="F136">
        <v>44.684294999999999</v>
      </c>
      <c r="G136">
        <v>-85.527859000000007</v>
      </c>
      <c r="H136" s="1" t="s">
        <v>64</v>
      </c>
      <c r="I136" t="s">
        <v>162</v>
      </c>
      <c r="M136" s="1" t="str">
        <f t="shared" si="14"/>
        <v>Map</v>
      </c>
      <c r="N136" s="1" t="str">
        <f t="shared" si="15"/>
        <v>Street</v>
      </c>
      <c r="O136" s="1" t="str">
        <f t="shared" si="16"/>
        <v>Bing</v>
      </c>
      <c r="P136" s="1" t="str">
        <f t="shared" si="17"/>
        <v>FEMA</v>
      </c>
      <c r="Q136" s="1" t="str">
        <f t="shared" si="18"/>
        <v>FIRMette</v>
      </c>
      <c r="R136" s="1" t="str">
        <f t="shared" si="19"/>
        <v>Open</v>
      </c>
      <c r="AA136" s="1" t="str">
        <f t="shared" si="20"/>
        <v/>
      </c>
    </row>
    <row r="137" spans="4:27" x14ac:dyDescent="0.45">
      <c r="D137" t="s">
        <v>224</v>
      </c>
      <c r="F137">
        <v>44.647168000000001</v>
      </c>
      <c r="G137">
        <v>-85.403451000000004</v>
      </c>
      <c r="H137" s="1" t="s">
        <v>64</v>
      </c>
      <c r="I137" t="s">
        <v>119</v>
      </c>
      <c r="M137" s="1" t="str">
        <f t="shared" si="14"/>
        <v>Map</v>
      </c>
      <c r="N137" s="1" t="str">
        <f t="shared" si="15"/>
        <v>Street</v>
      </c>
      <c r="O137" s="1" t="str">
        <f t="shared" si="16"/>
        <v>Bing</v>
      </c>
      <c r="P137" s="1" t="str">
        <f t="shared" si="17"/>
        <v>FEMA</v>
      </c>
      <c r="Q137" s="1" t="str">
        <f t="shared" si="18"/>
        <v>FIRMette</v>
      </c>
      <c r="R137" s="1" t="str">
        <f t="shared" si="19"/>
        <v>Open</v>
      </c>
      <c r="AA137" s="1" t="str">
        <f t="shared" si="20"/>
        <v/>
      </c>
    </row>
    <row r="138" spans="4:27" x14ac:dyDescent="0.45">
      <c r="D138" t="s">
        <v>92</v>
      </c>
      <c r="F138">
        <v>44.584420000000001</v>
      </c>
      <c r="G138">
        <v>-85.434250000000006</v>
      </c>
      <c r="H138" s="1" t="s">
        <v>64</v>
      </c>
      <c r="I138" t="s">
        <v>158</v>
      </c>
      <c r="M138" s="1" t="str">
        <f t="shared" si="14"/>
        <v>Map</v>
      </c>
      <c r="N138" s="1" t="str">
        <f t="shared" si="15"/>
        <v>Street</v>
      </c>
      <c r="O138" s="1" t="str">
        <f t="shared" si="16"/>
        <v>Bing</v>
      </c>
      <c r="P138" s="1" t="str">
        <f t="shared" si="17"/>
        <v>FEMA</v>
      </c>
      <c r="Q138" s="1" t="str">
        <f t="shared" si="18"/>
        <v>FIRMette</v>
      </c>
      <c r="R138" s="1" t="str">
        <f t="shared" si="19"/>
        <v>Open</v>
      </c>
      <c r="AA138" s="1" t="str">
        <f t="shared" si="20"/>
        <v/>
      </c>
    </row>
    <row r="139" spans="4:27" x14ac:dyDescent="0.45">
      <c r="D139" t="s">
        <v>92</v>
      </c>
      <c r="F139">
        <v>44.606754000000002</v>
      </c>
      <c r="G139">
        <v>-85.434224</v>
      </c>
      <c r="H139" s="1" t="s">
        <v>64</v>
      </c>
      <c r="I139" t="s">
        <v>65</v>
      </c>
      <c r="M139" s="1" t="str">
        <f t="shared" si="14"/>
        <v>Map</v>
      </c>
      <c r="N139" s="1" t="str">
        <f t="shared" si="15"/>
        <v>Street</v>
      </c>
      <c r="O139" s="1" t="str">
        <f t="shared" si="16"/>
        <v>Bing</v>
      </c>
      <c r="P139" s="1" t="str">
        <f t="shared" si="17"/>
        <v>FEMA</v>
      </c>
      <c r="Q139" s="1" t="str">
        <f t="shared" si="18"/>
        <v>FIRMette</v>
      </c>
      <c r="R139" s="1" t="str">
        <f t="shared" si="19"/>
        <v>Open</v>
      </c>
      <c r="AA139" s="1" t="str">
        <f t="shared" si="20"/>
        <v/>
      </c>
    </row>
    <row r="140" spans="4:27" x14ac:dyDescent="0.45">
      <c r="D140" t="s">
        <v>103</v>
      </c>
      <c r="F140">
        <v>44.598849999999999</v>
      </c>
      <c r="G140">
        <v>-85.464212000000003</v>
      </c>
      <c r="H140" s="1" t="s">
        <v>64</v>
      </c>
      <c r="I140" t="s">
        <v>225</v>
      </c>
      <c r="M140" s="1" t="str">
        <f t="shared" si="14"/>
        <v>Map</v>
      </c>
      <c r="N140" s="1" t="str">
        <f t="shared" si="15"/>
        <v>Street</v>
      </c>
      <c r="O140" s="1" t="str">
        <f t="shared" si="16"/>
        <v>Bing</v>
      </c>
      <c r="P140" s="1" t="str">
        <f t="shared" si="17"/>
        <v>FEMA</v>
      </c>
      <c r="Q140" s="1" t="str">
        <f t="shared" si="18"/>
        <v>FIRMette</v>
      </c>
      <c r="R140" s="1" t="str">
        <f t="shared" si="19"/>
        <v>Open</v>
      </c>
      <c r="AA140" s="1" t="str">
        <f t="shared" si="20"/>
        <v/>
      </c>
    </row>
    <row r="141" spans="4:27" x14ac:dyDescent="0.45">
      <c r="D141" t="s">
        <v>226</v>
      </c>
      <c r="F141">
        <v>44.606054</v>
      </c>
      <c r="G141">
        <v>-85.486227999999997</v>
      </c>
      <c r="H141" s="1" t="s">
        <v>64</v>
      </c>
      <c r="I141" t="s">
        <v>227</v>
      </c>
      <c r="M141" s="1" t="str">
        <f t="shared" si="14"/>
        <v>Map</v>
      </c>
      <c r="N141" s="1" t="str">
        <f t="shared" si="15"/>
        <v>Street</v>
      </c>
      <c r="O141" s="1" t="str">
        <f t="shared" si="16"/>
        <v>Bing</v>
      </c>
      <c r="P141" s="1" t="str">
        <f t="shared" si="17"/>
        <v>FEMA</v>
      </c>
      <c r="Q141" s="1" t="str">
        <f t="shared" si="18"/>
        <v>FIRMette</v>
      </c>
      <c r="R141" s="1" t="str">
        <f t="shared" si="19"/>
        <v>Open</v>
      </c>
      <c r="AA141" s="1" t="str">
        <f t="shared" si="20"/>
        <v/>
      </c>
    </row>
    <row r="142" spans="4:27" x14ac:dyDescent="0.45">
      <c r="D142" t="s">
        <v>164</v>
      </c>
      <c r="F142">
        <v>44.570171000000002</v>
      </c>
      <c r="G142">
        <v>-85.508116000000001</v>
      </c>
      <c r="H142" s="1" t="s">
        <v>64</v>
      </c>
      <c r="I142" t="s">
        <v>228</v>
      </c>
      <c r="M142" s="1" t="str">
        <f t="shared" si="14"/>
        <v>Map</v>
      </c>
      <c r="N142" s="1" t="str">
        <f t="shared" si="15"/>
        <v>Street</v>
      </c>
      <c r="O142" s="1" t="str">
        <f t="shared" si="16"/>
        <v>Bing</v>
      </c>
      <c r="P142" s="1" t="str">
        <f t="shared" si="17"/>
        <v>FEMA</v>
      </c>
      <c r="Q142" s="1" t="str">
        <f t="shared" si="18"/>
        <v>FIRMette</v>
      </c>
      <c r="R142" s="1" t="str">
        <f t="shared" si="19"/>
        <v>Open</v>
      </c>
      <c r="AA142" s="1" t="str">
        <f t="shared" si="20"/>
        <v/>
      </c>
    </row>
    <row r="143" spans="4:27" x14ac:dyDescent="0.45">
      <c r="D143" t="s">
        <v>154</v>
      </c>
      <c r="F143">
        <v>44.758851999999997</v>
      </c>
      <c r="G143">
        <v>-85.492113000000003</v>
      </c>
      <c r="H143" s="1" t="s">
        <v>64</v>
      </c>
      <c r="I143" t="s">
        <v>229</v>
      </c>
      <c r="M143" s="1" t="str">
        <f t="shared" si="14"/>
        <v>Map</v>
      </c>
      <c r="N143" s="1" t="str">
        <f t="shared" si="15"/>
        <v>Street</v>
      </c>
      <c r="O143" s="1" t="str">
        <f t="shared" si="16"/>
        <v>Bing</v>
      </c>
      <c r="P143" s="1" t="str">
        <f t="shared" si="17"/>
        <v>FEMA</v>
      </c>
      <c r="Q143" s="1" t="str">
        <f t="shared" si="18"/>
        <v>FIRMette</v>
      </c>
      <c r="R143" s="1" t="str">
        <f t="shared" si="19"/>
        <v>Open</v>
      </c>
      <c r="AA143" s="1" t="str">
        <f t="shared" si="20"/>
        <v/>
      </c>
    </row>
    <row r="144" spans="4:27" x14ac:dyDescent="0.45">
      <c r="D144" t="s">
        <v>103</v>
      </c>
      <c r="F144">
        <v>44.598574999999997</v>
      </c>
      <c r="G144">
        <v>-85.504260000000002</v>
      </c>
      <c r="H144" s="1" t="s">
        <v>64</v>
      </c>
      <c r="I144" t="s">
        <v>162</v>
      </c>
      <c r="M144" s="1" t="str">
        <f t="shared" si="14"/>
        <v>Map</v>
      </c>
      <c r="N144" s="1" t="str">
        <f t="shared" si="15"/>
        <v>Street</v>
      </c>
      <c r="O144" s="1" t="str">
        <f t="shared" si="16"/>
        <v>Bing</v>
      </c>
      <c r="P144" s="1" t="str">
        <f t="shared" si="17"/>
        <v>FEMA</v>
      </c>
      <c r="Q144" s="1" t="str">
        <f t="shared" si="18"/>
        <v>FIRMette</v>
      </c>
      <c r="R144" s="1" t="str">
        <f t="shared" si="19"/>
        <v>Open</v>
      </c>
      <c r="AA144" s="1" t="str">
        <f t="shared" si="20"/>
        <v/>
      </c>
    </row>
    <row r="145" spans="4:27" x14ac:dyDescent="0.45">
      <c r="D145" t="s">
        <v>230</v>
      </c>
      <c r="F145">
        <v>44.759458000000002</v>
      </c>
      <c r="G145">
        <v>-85.706160999999994</v>
      </c>
      <c r="H145" s="1" t="s">
        <v>64</v>
      </c>
      <c r="I145" t="s">
        <v>141</v>
      </c>
      <c r="M145" s="1" t="str">
        <f t="shared" si="14"/>
        <v>Map</v>
      </c>
      <c r="N145" s="1" t="str">
        <f t="shared" si="15"/>
        <v>Street</v>
      </c>
      <c r="O145" s="1" t="str">
        <f t="shared" si="16"/>
        <v>Bing</v>
      </c>
      <c r="P145" s="1" t="str">
        <f t="shared" si="17"/>
        <v>FEMA</v>
      </c>
      <c r="Q145" s="1" t="str">
        <f t="shared" si="18"/>
        <v>FIRMette</v>
      </c>
      <c r="R145" s="1" t="str">
        <f t="shared" si="19"/>
        <v>Open</v>
      </c>
      <c r="AA145" s="1" t="str">
        <f t="shared" si="20"/>
        <v/>
      </c>
    </row>
    <row r="146" spans="4:27" x14ac:dyDescent="0.45">
      <c r="D146" t="s">
        <v>231</v>
      </c>
      <c r="F146">
        <v>44.720998999999999</v>
      </c>
      <c r="G146">
        <v>-85.513632000000001</v>
      </c>
      <c r="H146" s="1" t="s">
        <v>64</v>
      </c>
      <c r="I146" t="s">
        <v>232</v>
      </c>
      <c r="M146" s="1" t="str">
        <f t="shared" si="14"/>
        <v>Map</v>
      </c>
      <c r="N146" s="1" t="str">
        <f t="shared" si="15"/>
        <v>Street</v>
      </c>
      <c r="O146" s="1" t="str">
        <f t="shared" si="16"/>
        <v>Bing</v>
      </c>
      <c r="P146" s="1" t="str">
        <f t="shared" si="17"/>
        <v>FEMA</v>
      </c>
      <c r="Q146" s="1" t="str">
        <f t="shared" si="18"/>
        <v>FIRMette</v>
      </c>
      <c r="R146" s="1" t="str">
        <f t="shared" si="19"/>
        <v>Open</v>
      </c>
      <c r="AA146" s="1" t="str">
        <f t="shared" si="20"/>
        <v/>
      </c>
    </row>
    <row r="147" spans="4:27" x14ac:dyDescent="0.45">
      <c r="D147" t="s">
        <v>233</v>
      </c>
      <c r="F147">
        <v>44.746367999999997</v>
      </c>
      <c r="G147">
        <v>-85.735083000000003</v>
      </c>
      <c r="H147" s="1" t="s">
        <v>64</v>
      </c>
      <c r="I147" t="s">
        <v>89</v>
      </c>
      <c r="M147" s="1" t="str">
        <f t="shared" si="14"/>
        <v>Map</v>
      </c>
      <c r="N147" s="1" t="str">
        <f t="shared" si="15"/>
        <v>Street</v>
      </c>
      <c r="O147" s="1" t="str">
        <f t="shared" si="16"/>
        <v>Bing</v>
      </c>
      <c r="P147" s="1" t="str">
        <f t="shared" si="17"/>
        <v>FEMA</v>
      </c>
      <c r="Q147" s="1" t="str">
        <f t="shared" si="18"/>
        <v>FIRMette</v>
      </c>
      <c r="R147" s="1" t="str">
        <f t="shared" si="19"/>
        <v>Open</v>
      </c>
      <c r="AA147" s="1" t="str">
        <f t="shared" si="20"/>
        <v/>
      </c>
    </row>
    <row r="148" spans="4:27" x14ac:dyDescent="0.45">
      <c r="D148" t="s">
        <v>230</v>
      </c>
      <c r="F148">
        <v>44.762363999999998</v>
      </c>
      <c r="G148">
        <v>-85.809059000000005</v>
      </c>
      <c r="H148" s="1" t="s">
        <v>64</v>
      </c>
      <c r="I148" t="s">
        <v>136</v>
      </c>
      <c r="M148" s="1" t="str">
        <f t="shared" si="14"/>
        <v>Map</v>
      </c>
      <c r="N148" s="1" t="str">
        <f t="shared" si="15"/>
        <v>Street</v>
      </c>
      <c r="O148" s="1" t="str">
        <f t="shared" si="16"/>
        <v>Bing</v>
      </c>
      <c r="P148" s="1" t="str">
        <f t="shared" si="17"/>
        <v>FEMA</v>
      </c>
      <c r="Q148" s="1" t="str">
        <f t="shared" si="18"/>
        <v>FIRMette</v>
      </c>
      <c r="R148" s="1" t="str">
        <f t="shared" si="19"/>
        <v>Open</v>
      </c>
      <c r="AA148" s="1" t="str">
        <f t="shared" si="20"/>
        <v/>
      </c>
    </row>
    <row r="149" spans="4:27" x14ac:dyDescent="0.45">
      <c r="D149" t="s">
        <v>234</v>
      </c>
      <c r="F149">
        <v>44.728881999999999</v>
      </c>
      <c r="G149">
        <v>-85.663820999999999</v>
      </c>
      <c r="H149" s="1" t="s">
        <v>64</v>
      </c>
      <c r="I149" t="s">
        <v>71</v>
      </c>
      <c r="M149" s="1" t="str">
        <f t="shared" si="14"/>
        <v>Map</v>
      </c>
      <c r="N149" s="1" t="str">
        <f t="shared" si="15"/>
        <v>Street</v>
      </c>
      <c r="O149" s="1" t="str">
        <f t="shared" si="16"/>
        <v>Bing</v>
      </c>
      <c r="P149" s="1" t="str">
        <f t="shared" si="17"/>
        <v>FEMA</v>
      </c>
      <c r="Q149" s="1" t="str">
        <f t="shared" si="18"/>
        <v>FIRMette</v>
      </c>
      <c r="R149" s="1" t="str">
        <f t="shared" si="19"/>
        <v>Open</v>
      </c>
      <c r="AA149" s="1" t="str">
        <f t="shared" si="20"/>
        <v/>
      </c>
    </row>
    <row r="150" spans="4:27" x14ac:dyDescent="0.45">
      <c r="D150" t="s">
        <v>220</v>
      </c>
      <c r="F150">
        <v>44.670906000000002</v>
      </c>
      <c r="G150">
        <v>-85.409863000000001</v>
      </c>
      <c r="H150" s="1" t="s">
        <v>64</v>
      </c>
      <c r="I150" t="s">
        <v>81</v>
      </c>
      <c r="M150" s="1" t="str">
        <f t="shared" si="14"/>
        <v>Map</v>
      </c>
      <c r="N150" s="1" t="str">
        <f t="shared" si="15"/>
        <v>Street</v>
      </c>
      <c r="O150" s="1" t="str">
        <f t="shared" si="16"/>
        <v>Bing</v>
      </c>
      <c r="P150" s="1" t="str">
        <f t="shared" si="17"/>
        <v>FEMA</v>
      </c>
      <c r="Q150" s="1" t="str">
        <f t="shared" si="18"/>
        <v>FIRMette</v>
      </c>
      <c r="R150" s="1" t="str">
        <f t="shared" si="19"/>
        <v>Open</v>
      </c>
      <c r="AA150" s="1" t="str">
        <f t="shared" si="20"/>
        <v/>
      </c>
    </row>
    <row r="151" spans="4:27" x14ac:dyDescent="0.45">
      <c r="D151" t="s">
        <v>235</v>
      </c>
      <c r="F151">
        <v>44.682642999999999</v>
      </c>
      <c r="G151">
        <v>-85.557775000000007</v>
      </c>
      <c r="H151" s="1" t="s">
        <v>64</v>
      </c>
      <c r="I151" t="s">
        <v>158</v>
      </c>
      <c r="M151" s="1" t="str">
        <f t="shared" si="14"/>
        <v>Map</v>
      </c>
      <c r="N151" s="1" t="str">
        <f t="shared" si="15"/>
        <v>Street</v>
      </c>
      <c r="O151" s="1" t="str">
        <f t="shared" si="16"/>
        <v>Bing</v>
      </c>
      <c r="P151" s="1" t="str">
        <f t="shared" si="17"/>
        <v>FEMA</v>
      </c>
      <c r="Q151" s="1" t="str">
        <f t="shared" si="18"/>
        <v>FIRMette</v>
      </c>
      <c r="R151" s="1" t="str">
        <f t="shared" si="19"/>
        <v>Open</v>
      </c>
      <c r="AA151" s="1" t="str">
        <f t="shared" si="20"/>
        <v/>
      </c>
    </row>
    <row r="152" spans="4:27" x14ac:dyDescent="0.45">
      <c r="D152" t="s">
        <v>236</v>
      </c>
      <c r="F152">
        <v>44.796804999999999</v>
      </c>
      <c r="G152">
        <v>-85.434820999999999</v>
      </c>
      <c r="H152" s="1" t="s">
        <v>64</v>
      </c>
      <c r="I152" t="s">
        <v>71</v>
      </c>
      <c r="M152" s="1" t="str">
        <f t="shared" si="14"/>
        <v>Map</v>
      </c>
      <c r="N152" s="1" t="str">
        <f t="shared" si="15"/>
        <v>Street</v>
      </c>
      <c r="O152" s="1" t="str">
        <f t="shared" si="16"/>
        <v>Bing</v>
      </c>
      <c r="P152" s="1" t="str">
        <f t="shared" si="17"/>
        <v>FEMA</v>
      </c>
      <c r="Q152" s="1" t="str">
        <f t="shared" si="18"/>
        <v>FIRMette</v>
      </c>
      <c r="R152" s="1" t="str">
        <f t="shared" si="19"/>
        <v>Open</v>
      </c>
      <c r="AA152" s="1" t="str">
        <f t="shared" si="20"/>
        <v/>
      </c>
    </row>
    <row r="153" spans="4:27" x14ac:dyDescent="0.45">
      <c r="D153" t="s">
        <v>237</v>
      </c>
      <c r="F153">
        <v>44.830840999999999</v>
      </c>
      <c r="G153">
        <v>-85.422016999999997</v>
      </c>
      <c r="H153" s="1" t="s">
        <v>64</v>
      </c>
      <c r="I153" t="s">
        <v>238</v>
      </c>
      <c r="M153" s="1" t="str">
        <f t="shared" si="14"/>
        <v>Map</v>
      </c>
      <c r="N153" s="1" t="str">
        <f t="shared" si="15"/>
        <v>Street</v>
      </c>
      <c r="O153" s="1" t="str">
        <f t="shared" si="16"/>
        <v>Bing</v>
      </c>
      <c r="P153" s="1" t="str">
        <f t="shared" si="17"/>
        <v>FEMA</v>
      </c>
      <c r="Q153" s="1" t="str">
        <f t="shared" si="18"/>
        <v>FIRMette</v>
      </c>
      <c r="R153" s="1" t="str">
        <f t="shared" si="19"/>
        <v>Open</v>
      </c>
      <c r="AA153" s="1" t="str">
        <f t="shared" si="20"/>
        <v/>
      </c>
    </row>
    <row r="154" spans="4:27" x14ac:dyDescent="0.45">
      <c r="D154" t="s">
        <v>239</v>
      </c>
      <c r="F154">
        <v>44.733533000000001</v>
      </c>
      <c r="G154">
        <v>-85.616524999999996</v>
      </c>
      <c r="H154" s="1" t="s">
        <v>64</v>
      </c>
      <c r="I154" t="s">
        <v>240</v>
      </c>
      <c r="M154" s="1" t="str">
        <f t="shared" si="14"/>
        <v>Map</v>
      </c>
      <c r="N154" s="1" t="str">
        <f t="shared" si="15"/>
        <v>Street</v>
      </c>
      <c r="O154" s="1" t="str">
        <f t="shared" si="16"/>
        <v>Bing</v>
      </c>
      <c r="P154" s="1" t="str">
        <f t="shared" si="17"/>
        <v>FEMA</v>
      </c>
      <c r="Q154" s="1" t="str">
        <f t="shared" si="18"/>
        <v>FIRMette</v>
      </c>
      <c r="R154" s="1" t="str">
        <f t="shared" si="19"/>
        <v>Open</v>
      </c>
      <c r="AA154" s="1" t="str">
        <f t="shared" si="20"/>
        <v/>
      </c>
    </row>
    <row r="155" spans="4:27" x14ac:dyDescent="0.45">
      <c r="D155" t="s">
        <v>241</v>
      </c>
      <c r="F155">
        <v>44.652042999999999</v>
      </c>
      <c r="G155">
        <v>-85.508258999999995</v>
      </c>
      <c r="H155" s="1" t="s">
        <v>64</v>
      </c>
      <c r="I155" t="s">
        <v>123</v>
      </c>
      <c r="M155" s="1" t="str">
        <f t="shared" si="14"/>
        <v>Map</v>
      </c>
      <c r="N155" s="1" t="str">
        <f t="shared" si="15"/>
        <v>Street</v>
      </c>
      <c r="O155" s="1" t="str">
        <f t="shared" si="16"/>
        <v>Bing</v>
      </c>
      <c r="P155" s="1" t="str">
        <f t="shared" si="17"/>
        <v>FEMA</v>
      </c>
      <c r="Q155" s="1" t="str">
        <f t="shared" si="18"/>
        <v>FIRMette</v>
      </c>
      <c r="R155" s="1" t="str">
        <f t="shared" si="19"/>
        <v>Open</v>
      </c>
      <c r="AA155" s="1" t="str">
        <f t="shared" si="20"/>
        <v/>
      </c>
    </row>
    <row r="156" spans="4:27" x14ac:dyDescent="0.45">
      <c r="D156" t="s">
        <v>220</v>
      </c>
      <c r="F156">
        <v>44.663096000000003</v>
      </c>
      <c r="G156">
        <v>-85.422287999999995</v>
      </c>
      <c r="H156" s="1" t="s">
        <v>64</v>
      </c>
      <c r="I156" t="s">
        <v>225</v>
      </c>
      <c r="M156" s="1" t="str">
        <f t="shared" si="14"/>
        <v>Map</v>
      </c>
      <c r="N156" s="1" t="str">
        <f t="shared" si="15"/>
        <v>Street</v>
      </c>
      <c r="O156" s="1" t="str">
        <f t="shared" si="16"/>
        <v>Bing</v>
      </c>
      <c r="P156" s="1" t="str">
        <f t="shared" si="17"/>
        <v>FEMA</v>
      </c>
      <c r="Q156" s="1" t="str">
        <f t="shared" si="18"/>
        <v>FIRMette</v>
      </c>
      <c r="R156" s="1" t="str">
        <f t="shared" si="19"/>
        <v>Open</v>
      </c>
      <c r="AA156" s="1" t="str">
        <f t="shared" si="20"/>
        <v/>
      </c>
    </row>
    <row r="157" spans="4:27" x14ac:dyDescent="0.45">
      <c r="D157" t="s">
        <v>242</v>
      </c>
      <c r="F157">
        <v>44.715240000000001</v>
      </c>
      <c r="G157">
        <v>-85.685695999999993</v>
      </c>
      <c r="H157" s="1" t="s">
        <v>64</v>
      </c>
      <c r="I157" t="s">
        <v>108</v>
      </c>
      <c r="M157" s="1" t="str">
        <f t="shared" si="14"/>
        <v>Map</v>
      </c>
      <c r="N157" s="1" t="str">
        <f t="shared" si="15"/>
        <v>Street</v>
      </c>
      <c r="O157" s="1" t="str">
        <f t="shared" si="16"/>
        <v>Bing</v>
      </c>
      <c r="P157" s="1" t="str">
        <f t="shared" si="17"/>
        <v>FEMA</v>
      </c>
      <c r="Q157" s="1" t="str">
        <f t="shared" si="18"/>
        <v>FIRMette</v>
      </c>
      <c r="R157" s="1" t="str">
        <f t="shared" si="19"/>
        <v>Open</v>
      </c>
      <c r="AA157" s="1" t="str">
        <f t="shared" si="20"/>
        <v/>
      </c>
    </row>
    <row r="158" spans="4:27" x14ac:dyDescent="0.45">
      <c r="D158" t="s">
        <v>243</v>
      </c>
      <c r="F158">
        <v>44.715459000000003</v>
      </c>
      <c r="G158">
        <v>-85.540026999999995</v>
      </c>
      <c r="H158" s="1" t="s">
        <v>64</v>
      </c>
      <c r="I158" t="s">
        <v>244</v>
      </c>
      <c r="M158" s="1" t="str">
        <f t="shared" si="14"/>
        <v>Map</v>
      </c>
      <c r="N158" s="1" t="str">
        <f t="shared" si="15"/>
        <v>Street</v>
      </c>
      <c r="O158" s="1" t="str">
        <f t="shared" si="16"/>
        <v>Bing</v>
      </c>
      <c r="P158" s="1" t="str">
        <f t="shared" si="17"/>
        <v>FEMA</v>
      </c>
      <c r="Q158" s="1" t="str">
        <f t="shared" si="18"/>
        <v>FIRMette</v>
      </c>
      <c r="R158" s="1" t="str">
        <f t="shared" si="19"/>
        <v>Open</v>
      </c>
      <c r="AA158" s="1" t="str">
        <f t="shared" si="20"/>
        <v/>
      </c>
    </row>
    <row r="159" spans="4:27" x14ac:dyDescent="0.45">
      <c r="D159" t="s">
        <v>245</v>
      </c>
      <c r="F159">
        <v>44.665509999999998</v>
      </c>
      <c r="G159">
        <v>-85.656350000000003</v>
      </c>
      <c r="H159" s="1" t="s">
        <v>64</v>
      </c>
      <c r="I159" t="s">
        <v>130</v>
      </c>
      <c r="M159" s="1" t="str">
        <f t="shared" si="14"/>
        <v>Map</v>
      </c>
      <c r="N159" s="1" t="str">
        <f t="shared" si="15"/>
        <v>Street</v>
      </c>
      <c r="O159" s="1" t="str">
        <f t="shared" si="16"/>
        <v>Bing</v>
      </c>
      <c r="P159" s="1" t="str">
        <f t="shared" si="17"/>
        <v>FEMA</v>
      </c>
      <c r="Q159" s="1" t="str">
        <f t="shared" si="18"/>
        <v>FIRMette</v>
      </c>
      <c r="R159" s="1" t="str">
        <f t="shared" si="19"/>
        <v>Open</v>
      </c>
      <c r="AA159" s="1" t="str">
        <f t="shared" si="20"/>
        <v/>
      </c>
    </row>
    <row r="160" spans="4:27" x14ac:dyDescent="0.45">
      <c r="D160" t="s">
        <v>246</v>
      </c>
      <c r="F160">
        <v>44.698687</v>
      </c>
      <c r="G160">
        <v>-85.623338000000004</v>
      </c>
      <c r="H160" s="1" t="s">
        <v>64</v>
      </c>
      <c r="I160" t="s">
        <v>89</v>
      </c>
      <c r="M160" s="1" t="str">
        <f t="shared" si="14"/>
        <v>Map</v>
      </c>
      <c r="N160" s="1" t="str">
        <f t="shared" si="15"/>
        <v>Street</v>
      </c>
      <c r="O160" s="1" t="str">
        <f t="shared" si="16"/>
        <v>Bing</v>
      </c>
      <c r="P160" s="1" t="str">
        <f t="shared" si="17"/>
        <v>FEMA</v>
      </c>
      <c r="Q160" s="1" t="str">
        <f t="shared" si="18"/>
        <v>FIRMette</v>
      </c>
      <c r="R160" s="1" t="str">
        <f t="shared" si="19"/>
        <v>Open</v>
      </c>
      <c r="AA160" s="1" t="str">
        <f t="shared" si="20"/>
        <v/>
      </c>
    </row>
    <row r="161" spans="4:27" x14ac:dyDescent="0.45">
      <c r="D161" t="s">
        <v>75</v>
      </c>
      <c r="F161">
        <v>44.860954</v>
      </c>
      <c r="G161">
        <v>-85.549199999999999</v>
      </c>
      <c r="H161" s="1" t="s">
        <v>64</v>
      </c>
      <c r="I161" t="s">
        <v>247</v>
      </c>
      <c r="M161" s="1" t="str">
        <f t="shared" si="14"/>
        <v>Map</v>
      </c>
      <c r="N161" s="1" t="str">
        <f t="shared" si="15"/>
        <v>Street</v>
      </c>
      <c r="O161" s="1" t="str">
        <f t="shared" si="16"/>
        <v>Bing</v>
      </c>
      <c r="P161" s="1" t="str">
        <f t="shared" si="17"/>
        <v>FEMA</v>
      </c>
      <c r="Q161" s="1" t="str">
        <f t="shared" si="18"/>
        <v>FIRMette</v>
      </c>
      <c r="R161" s="1" t="str">
        <f t="shared" si="19"/>
        <v>Open</v>
      </c>
      <c r="AA161" s="1" t="str">
        <f t="shared" si="20"/>
        <v/>
      </c>
    </row>
    <row r="162" spans="4:27" x14ac:dyDescent="0.45">
      <c r="D162" t="s">
        <v>248</v>
      </c>
      <c r="F162">
        <v>44.744785999999998</v>
      </c>
      <c r="G162">
        <v>-85.664480999999995</v>
      </c>
      <c r="H162" s="1" t="s">
        <v>64</v>
      </c>
      <c r="I162" t="s">
        <v>113</v>
      </c>
      <c r="M162" s="1" t="str">
        <f t="shared" si="14"/>
        <v>Map</v>
      </c>
      <c r="N162" s="1" t="str">
        <f t="shared" si="15"/>
        <v>Street</v>
      </c>
      <c r="O162" s="1" t="str">
        <f t="shared" si="16"/>
        <v>Bing</v>
      </c>
      <c r="P162" s="1" t="str">
        <f t="shared" si="17"/>
        <v>FEMA</v>
      </c>
      <c r="Q162" s="1" t="str">
        <f t="shared" si="18"/>
        <v>FIRMette</v>
      </c>
      <c r="R162" s="1" t="str">
        <f t="shared" si="19"/>
        <v>Open</v>
      </c>
      <c r="AA162" s="1" t="str">
        <f t="shared" si="20"/>
        <v/>
      </c>
    </row>
    <row r="163" spans="4:27" x14ac:dyDescent="0.45">
      <c r="D163" t="s">
        <v>249</v>
      </c>
      <c r="F163">
        <v>44.674891000000002</v>
      </c>
      <c r="G163">
        <v>-85.630711000000005</v>
      </c>
      <c r="H163" s="1" t="s">
        <v>64</v>
      </c>
      <c r="I163" t="s">
        <v>250</v>
      </c>
      <c r="M163" s="1" t="str">
        <f t="shared" si="14"/>
        <v>Map</v>
      </c>
      <c r="N163" s="1" t="str">
        <f t="shared" si="15"/>
        <v>Street</v>
      </c>
      <c r="O163" s="1" t="str">
        <f t="shared" si="16"/>
        <v>Bing</v>
      </c>
      <c r="P163" s="1" t="str">
        <f t="shared" si="17"/>
        <v>FEMA</v>
      </c>
      <c r="Q163" s="1" t="str">
        <f t="shared" si="18"/>
        <v>FIRMette</v>
      </c>
      <c r="R163" s="1" t="str">
        <f t="shared" si="19"/>
        <v>Open</v>
      </c>
      <c r="AA163" s="1" t="str">
        <f t="shared" si="20"/>
        <v/>
      </c>
    </row>
    <row r="164" spans="4:27" x14ac:dyDescent="0.45">
      <c r="D164" t="s">
        <v>249</v>
      </c>
      <c r="F164">
        <v>44.675181000000002</v>
      </c>
      <c r="G164">
        <v>-85.630312000000004</v>
      </c>
      <c r="H164" s="1" t="s">
        <v>64</v>
      </c>
      <c r="I164" t="s">
        <v>158</v>
      </c>
      <c r="M164" s="1" t="str">
        <f t="shared" si="14"/>
        <v>Map</v>
      </c>
      <c r="N164" s="1" t="str">
        <f t="shared" si="15"/>
        <v>Street</v>
      </c>
      <c r="O164" s="1" t="str">
        <f t="shared" si="16"/>
        <v>Bing</v>
      </c>
      <c r="P164" s="1" t="str">
        <f t="shared" si="17"/>
        <v>FEMA</v>
      </c>
      <c r="Q164" s="1" t="str">
        <f t="shared" si="18"/>
        <v>FIRMette</v>
      </c>
      <c r="R164" s="1" t="str">
        <f t="shared" si="19"/>
        <v>Open</v>
      </c>
      <c r="AA164" s="1" t="str">
        <f t="shared" si="20"/>
        <v/>
      </c>
    </row>
    <row r="165" spans="4:27" x14ac:dyDescent="0.45">
      <c r="D165" t="s">
        <v>246</v>
      </c>
      <c r="F165">
        <v>44.647269000000001</v>
      </c>
      <c r="G165">
        <v>-85.551392000000007</v>
      </c>
      <c r="H165" s="1" t="s">
        <v>64</v>
      </c>
      <c r="I165" t="s">
        <v>251</v>
      </c>
      <c r="M165" s="1" t="str">
        <f t="shared" si="14"/>
        <v>Map</v>
      </c>
      <c r="N165" s="1" t="str">
        <f t="shared" si="15"/>
        <v>Street</v>
      </c>
      <c r="O165" s="1" t="str">
        <f t="shared" si="16"/>
        <v>Bing</v>
      </c>
      <c r="P165" s="1" t="str">
        <f t="shared" si="17"/>
        <v>FEMA</v>
      </c>
      <c r="Q165" s="1" t="str">
        <f t="shared" si="18"/>
        <v>FIRMette</v>
      </c>
      <c r="R165" s="1" t="str">
        <f t="shared" si="19"/>
        <v>Open</v>
      </c>
      <c r="AA165" s="1" t="str">
        <f t="shared" si="20"/>
        <v/>
      </c>
    </row>
    <row r="166" spans="4:27" x14ac:dyDescent="0.45">
      <c r="D166" t="s">
        <v>249</v>
      </c>
      <c r="F166">
        <v>44.676358999999998</v>
      </c>
      <c r="G166">
        <v>-85.628664999999998</v>
      </c>
      <c r="H166" s="1" t="s">
        <v>64</v>
      </c>
      <c r="I166" t="s">
        <v>81</v>
      </c>
      <c r="M166" s="1" t="str">
        <f t="shared" si="14"/>
        <v>Map</v>
      </c>
      <c r="N166" s="1" t="str">
        <f t="shared" si="15"/>
        <v>Street</v>
      </c>
      <c r="O166" s="1" t="str">
        <f t="shared" si="16"/>
        <v>Bing</v>
      </c>
      <c r="P166" s="1" t="str">
        <f t="shared" si="17"/>
        <v>FEMA</v>
      </c>
      <c r="Q166" s="1" t="str">
        <f t="shared" si="18"/>
        <v>FIRMette</v>
      </c>
      <c r="R166" s="1" t="str">
        <f t="shared" si="19"/>
        <v>Open</v>
      </c>
      <c r="AA166" s="1" t="str">
        <f t="shared" si="20"/>
        <v/>
      </c>
    </row>
    <row r="167" spans="4:27" x14ac:dyDescent="0.45">
      <c r="D167" t="s">
        <v>111</v>
      </c>
      <c r="F167">
        <v>44.574142999999999</v>
      </c>
      <c r="G167">
        <v>-85.768217000000007</v>
      </c>
      <c r="H167" s="1" t="s">
        <v>64</v>
      </c>
      <c r="I167" t="s">
        <v>184</v>
      </c>
      <c r="M167" s="1" t="str">
        <f t="shared" si="14"/>
        <v>Map</v>
      </c>
      <c r="N167" s="1" t="str">
        <f t="shared" si="15"/>
        <v>Street</v>
      </c>
      <c r="O167" s="1" t="str">
        <f t="shared" si="16"/>
        <v>Bing</v>
      </c>
      <c r="P167" s="1" t="str">
        <f t="shared" si="17"/>
        <v>FEMA</v>
      </c>
      <c r="Q167" s="1" t="str">
        <f t="shared" si="18"/>
        <v>FIRMette</v>
      </c>
      <c r="R167" s="1" t="str">
        <f t="shared" si="19"/>
        <v>Open</v>
      </c>
      <c r="AA167" s="1" t="str">
        <f t="shared" si="20"/>
        <v/>
      </c>
    </row>
    <row r="168" spans="4:27" x14ac:dyDescent="0.45">
      <c r="D168" t="s">
        <v>245</v>
      </c>
      <c r="F168">
        <v>44.920340000000003</v>
      </c>
      <c r="G168">
        <v>-85.504705999999999</v>
      </c>
      <c r="H168" s="1" t="s">
        <v>64</v>
      </c>
      <c r="I168" t="s">
        <v>215</v>
      </c>
      <c r="M168" s="1" t="str">
        <f t="shared" si="14"/>
        <v>Map</v>
      </c>
      <c r="N168" s="1" t="str">
        <f t="shared" si="15"/>
        <v>Street</v>
      </c>
      <c r="O168" s="1" t="str">
        <f t="shared" si="16"/>
        <v>Bing</v>
      </c>
      <c r="P168" s="1" t="str">
        <f t="shared" si="17"/>
        <v>FEMA</v>
      </c>
      <c r="Q168" s="1" t="str">
        <f t="shared" si="18"/>
        <v>FIRMette</v>
      </c>
      <c r="R168" s="1" t="str">
        <f t="shared" si="19"/>
        <v>Open</v>
      </c>
      <c r="AA168" s="1" t="str">
        <f t="shared" si="20"/>
        <v/>
      </c>
    </row>
    <row r="169" spans="4:27" x14ac:dyDescent="0.45">
      <c r="D169" t="s">
        <v>220</v>
      </c>
      <c r="F169">
        <v>44.656826000000002</v>
      </c>
      <c r="G169">
        <v>-85.438115999999994</v>
      </c>
      <c r="H169" s="1" t="s">
        <v>64</v>
      </c>
      <c r="I169" t="s">
        <v>252</v>
      </c>
      <c r="M169" s="1" t="str">
        <f t="shared" si="14"/>
        <v>Map</v>
      </c>
      <c r="N169" s="1" t="str">
        <f t="shared" si="15"/>
        <v>Street</v>
      </c>
      <c r="O169" s="1" t="str">
        <f t="shared" si="16"/>
        <v>Bing</v>
      </c>
      <c r="P169" s="1" t="str">
        <f t="shared" si="17"/>
        <v>FEMA</v>
      </c>
      <c r="Q169" s="1" t="str">
        <f t="shared" si="18"/>
        <v>FIRMette</v>
      </c>
      <c r="R169" s="1" t="str">
        <f t="shared" si="19"/>
        <v>Open</v>
      </c>
      <c r="AA169" s="1" t="str">
        <f t="shared" si="20"/>
        <v/>
      </c>
    </row>
    <row r="170" spans="4:27" x14ac:dyDescent="0.45">
      <c r="D170" t="s">
        <v>203</v>
      </c>
      <c r="F170">
        <v>44.716639999999998</v>
      </c>
      <c r="G170">
        <v>-85.536220999999998</v>
      </c>
      <c r="H170" s="1" t="s">
        <v>64</v>
      </c>
      <c r="I170" t="s">
        <v>65</v>
      </c>
      <c r="M170" s="1" t="str">
        <f t="shared" si="14"/>
        <v>Map</v>
      </c>
      <c r="N170" s="1" t="str">
        <f t="shared" si="15"/>
        <v>Street</v>
      </c>
      <c r="O170" s="1" t="str">
        <f t="shared" si="16"/>
        <v>Bing</v>
      </c>
      <c r="P170" s="1" t="str">
        <f t="shared" si="17"/>
        <v>FEMA</v>
      </c>
      <c r="Q170" s="1" t="str">
        <f t="shared" si="18"/>
        <v>FIRMette</v>
      </c>
      <c r="R170" s="1" t="str">
        <f t="shared" si="19"/>
        <v>Open</v>
      </c>
      <c r="AA170" s="1" t="str">
        <f t="shared" si="20"/>
        <v/>
      </c>
    </row>
    <row r="171" spans="4:27" x14ac:dyDescent="0.45">
      <c r="D171" t="s">
        <v>253</v>
      </c>
      <c r="F171">
        <v>44.710603999999996</v>
      </c>
      <c r="G171">
        <v>-85.556538000000003</v>
      </c>
      <c r="H171" s="1" t="s">
        <v>64</v>
      </c>
      <c r="I171" t="s">
        <v>254</v>
      </c>
      <c r="M171" s="1" t="str">
        <f t="shared" si="14"/>
        <v>Map</v>
      </c>
      <c r="N171" s="1" t="str">
        <f t="shared" si="15"/>
        <v>Street</v>
      </c>
      <c r="O171" s="1" t="str">
        <f t="shared" si="16"/>
        <v>Bing</v>
      </c>
      <c r="P171" s="1" t="str">
        <f t="shared" si="17"/>
        <v>FEMA</v>
      </c>
      <c r="Q171" s="1" t="str">
        <f t="shared" si="18"/>
        <v>FIRMette</v>
      </c>
      <c r="R171" s="1" t="str">
        <f t="shared" si="19"/>
        <v>Open</v>
      </c>
      <c r="AA171" s="1" t="str">
        <f t="shared" si="20"/>
        <v/>
      </c>
    </row>
    <row r="172" spans="4:27" x14ac:dyDescent="0.45">
      <c r="D172" t="s">
        <v>246</v>
      </c>
      <c r="F172">
        <v>44.643098999999999</v>
      </c>
      <c r="G172">
        <v>-85.532658999999995</v>
      </c>
      <c r="H172" s="1" t="s">
        <v>64</v>
      </c>
      <c r="I172" t="s">
        <v>255</v>
      </c>
      <c r="M172" s="1" t="str">
        <f t="shared" si="14"/>
        <v>Map</v>
      </c>
      <c r="N172" s="1" t="str">
        <f t="shared" si="15"/>
        <v>Street</v>
      </c>
      <c r="O172" s="1" t="str">
        <f t="shared" si="16"/>
        <v>Bing</v>
      </c>
      <c r="P172" s="1" t="str">
        <f t="shared" si="17"/>
        <v>FEMA</v>
      </c>
      <c r="Q172" s="1" t="str">
        <f t="shared" si="18"/>
        <v>FIRMette</v>
      </c>
      <c r="R172" s="1" t="str">
        <f t="shared" si="19"/>
        <v>Open</v>
      </c>
      <c r="AA172" s="1" t="str">
        <f t="shared" si="20"/>
        <v/>
      </c>
    </row>
    <row r="173" spans="4:27" x14ac:dyDescent="0.45">
      <c r="D173" t="s">
        <v>246</v>
      </c>
      <c r="F173">
        <v>44.645062000000003</v>
      </c>
      <c r="G173">
        <v>-85.535891000000007</v>
      </c>
      <c r="H173" s="1" t="s">
        <v>64</v>
      </c>
      <c r="I173" t="s">
        <v>256</v>
      </c>
      <c r="M173" s="1" t="str">
        <f t="shared" si="14"/>
        <v>Map</v>
      </c>
      <c r="N173" s="1" t="str">
        <f t="shared" si="15"/>
        <v>Street</v>
      </c>
      <c r="O173" s="1" t="str">
        <f t="shared" si="16"/>
        <v>Bing</v>
      </c>
      <c r="P173" s="1" t="str">
        <f t="shared" si="17"/>
        <v>FEMA</v>
      </c>
      <c r="Q173" s="1" t="str">
        <f t="shared" si="18"/>
        <v>FIRMette</v>
      </c>
      <c r="R173" s="1" t="str">
        <f t="shared" si="19"/>
        <v>Open</v>
      </c>
      <c r="AA173" s="1" t="str">
        <f t="shared" si="20"/>
        <v/>
      </c>
    </row>
    <row r="174" spans="4:27" x14ac:dyDescent="0.45">
      <c r="D174" t="s">
        <v>246</v>
      </c>
      <c r="F174">
        <v>44.645578999999998</v>
      </c>
      <c r="G174">
        <v>-85.538183000000004</v>
      </c>
      <c r="H174" s="1" t="s">
        <v>64</v>
      </c>
      <c r="I174" t="s">
        <v>215</v>
      </c>
      <c r="M174" s="1" t="str">
        <f t="shared" si="14"/>
        <v>Map</v>
      </c>
      <c r="N174" s="1" t="str">
        <f t="shared" si="15"/>
        <v>Street</v>
      </c>
      <c r="O174" s="1" t="str">
        <f t="shared" si="16"/>
        <v>Bing</v>
      </c>
      <c r="P174" s="1" t="str">
        <f t="shared" si="17"/>
        <v>FEMA</v>
      </c>
      <c r="Q174" s="1" t="str">
        <f t="shared" si="18"/>
        <v>FIRMette</v>
      </c>
      <c r="R174" s="1" t="str">
        <f t="shared" si="19"/>
        <v>Open</v>
      </c>
      <c r="AA174" s="1" t="str">
        <f t="shared" si="20"/>
        <v/>
      </c>
    </row>
    <row r="175" spans="4:27" x14ac:dyDescent="0.45">
      <c r="D175" t="s">
        <v>257</v>
      </c>
      <c r="F175">
        <v>44.599609999999998</v>
      </c>
      <c r="G175">
        <v>-85.727579000000006</v>
      </c>
      <c r="H175" s="1" t="s">
        <v>64</v>
      </c>
      <c r="I175" t="s">
        <v>258</v>
      </c>
      <c r="M175" s="1" t="str">
        <f t="shared" si="14"/>
        <v>Map</v>
      </c>
      <c r="N175" s="1" t="str">
        <f t="shared" si="15"/>
        <v>Street</v>
      </c>
      <c r="O175" s="1" t="str">
        <f t="shared" si="16"/>
        <v>Bing</v>
      </c>
      <c r="P175" s="1" t="str">
        <f t="shared" si="17"/>
        <v>FEMA</v>
      </c>
      <c r="Q175" s="1" t="str">
        <f t="shared" si="18"/>
        <v>FIRMette</v>
      </c>
      <c r="R175" s="1" t="str">
        <f t="shared" si="19"/>
        <v>Open</v>
      </c>
      <c r="AA175" s="1" t="str">
        <f t="shared" si="20"/>
        <v/>
      </c>
    </row>
    <row r="176" spans="4:27" x14ac:dyDescent="0.45">
      <c r="D176" t="s">
        <v>259</v>
      </c>
      <c r="F176">
        <v>44.647261999999998</v>
      </c>
      <c r="G176">
        <v>-85.529882999999998</v>
      </c>
      <c r="H176" s="1" t="s">
        <v>64</v>
      </c>
      <c r="I176" t="s">
        <v>260</v>
      </c>
      <c r="M176" s="1" t="str">
        <f t="shared" si="14"/>
        <v>Map</v>
      </c>
      <c r="N176" s="1" t="str">
        <f t="shared" si="15"/>
        <v>Street</v>
      </c>
      <c r="O176" s="1" t="str">
        <f t="shared" si="16"/>
        <v>Bing</v>
      </c>
      <c r="P176" s="1" t="str">
        <f t="shared" si="17"/>
        <v>FEMA</v>
      </c>
      <c r="Q176" s="1" t="str">
        <f t="shared" si="18"/>
        <v>FIRMette</v>
      </c>
      <c r="R176" s="1" t="str">
        <f t="shared" si="19"/>
        <v>Open</v>
      </c>
      <c r="AA176" s="1" t="str">
        <f t="shared" si="20"/>
        <v/>
      </c>
    </row>
    <row r="177" spans="4:27" x14ac:dyDescent="0.45">
      <c r="D177" t="s">
        <v>259</v>
      </c>
      <c r="F177">
        <v>44.648400000000002</v>
      </c>
      <c r="G177">
        <v>-85.530565999999993</v>
      </c>
      <c r="H177" s="1" t="s">
        <v>64</v>
      </c>
      <c r="I177" t="s">
        <v>195</v>
      </c>
      <c r="M177" s="1" t="str">
        <f t="shared" si="14"/>
        <v>Map</v>
      </c>
      <c r="N177" s="1" t="str">
        <f t="shared" si="15"/>
        <v>Street</v>
      </c>
      <c r="O177" s="1" t="str">
        <f t="shared" si="16"/>
        <v>Bing</v>
      </c>
      <c r="P177" s="1" t="str">
        <f t="shared" si="17"/>
        <v>FEMA</v>
      </c>
      <c r="Q177" s="1" t="str">
        <f t="shared" si="18"/>
        <v>FIRMette</v>
      </c>
      <c r="R177" s="1" t="str">
        <f t="shared" si="19"/>
        <v>Open</v>
      </c>
      <c r="AA177" s="1" t="str">
        <f t="shared" si="20"/>
        <v/>
      </c>
    </row>
    <row r="178" spans="4:27" x14ac:dyDescent="0.45">
      <c r="D178" t="s">
        <v>259</v>
      </c>
      <c r="F178">
        <v>44.672766000000003</v>
      </c>
      <c r="G178">
        <v>-85.565105000000003</v>
      </c>
      <c r="H178" s="1" t="s">
        <v>64</v>
      </c>
      <c r="I178" t="s">
        <v>261</v>
      </c>
      <c r="M178" s="1" t="str">
        <f t="shared" si="14"/>
        <v>Map</v>
      </c>
      <c r="N178" s="1" t="str">
        <f t="shared" si="15"/>
        <v>Street</v>
      </c>
      <c r="O178" s="1" t="str">
        <f t="shared" si="16"/>
        <v>Bing</v>
      </c>
      <c r="P178" s="1" t="str">
        <f t="shared" si="17"/>
        <v>FEMA</v>
      </c>
      <c r="Q178" s="1" t="str">
        <f t="shared" si="18"/>
        <v>FIRMette</v>
      </c>
      <c r="R178" s="1" t="str">
        <f t="shared" si="19"/>
        <v>Open</v>
      </c>
      <c r="AA178" s="1" t="str">
        <f t="shared" si="20"/>
        <v/>
      </c>
    </row>
    <row r="179" spans="4:27" x14ac:dyDescent="0.45">
      <c r="D179" t="s">
        <v>259</v>
      </c>
      <c r="F179">
        <v>44.647947000000002</v>
      </c>
      <c r="G179">
        <v>-85.530465000000007</v>
      </c>
      <c r="H179" s="1" t="s">
        <v>64</v>
      </c>
      <c r="I179" t="s">
        <v>262</v>
      </c>
      <c r="M179" s="1" t="str">
        <f t="shared" si="14"/>
        <v>Map</v>
      </c>
      <c r="N179" s="1" t="str">
        <f t="shared" si="15"/>
        <v>Street</v>
      </c>
      <c r="O179" s="1" t="str">
        <f t="shared" si="16"/>
        <v>Bing</v>
      </c>
      <c r="P179" s="1" t="str">
        <f t="shared" si="17"/>
        <v>FEMA</v>
      </c>
      <c r="Q179" s="1" t="str">
        <f t="shared" si="18"/>
        <v>FIRMette</v>
      </c>
      <c r="R179" s="1" t="str">
        <f t="shared" si="19"/>
        <v>Open</v>
      </c>
      <c r="AA179" s="1" t="str">
        <f t="shared" si="20"/>
        <v/>
      </c>
    </row>
    <row r="180" spans="4:27" x14ac:dyDescent="0.45">
      <c r="D180" t="s">
        <v>263</v>
      </c>
      <c r="F180">
        <v>44.671349999999997</v>
      </c>
      <c r="G180">
        <v>-85.616547999999995</v>
      </c>
      <c r="H180" s="1" t="s">
        <v>64</v>
      </c>
      <c r="I180" t="s">
        <v>264</v>
      </c>
      <c r="M180" s="1" t="str">
        <f t="shared" si="14"/>
        <v>Map</v>
      </c>
      <c r="N180" s="1" t="str">
        <f t="shared" si="15"/>
        <v>Street</v>
      </c>
      <c r="O180" s="1" t="str">
        <f t="shared" si="16"/>
        <v>Bing</v>
      </c>
      <c r="P180" s="1" t="str">
        <f t="shared" si="17"/>
        <v>FEMA</v>
      </c>
      <c r="Q180" s="1" t="str">
        <f t="shared" si="18"/>
        <v>FIRMette</v>
      </c>
      <c r="R180" s="1" t="str">
        <f t="shared" si="19"/>
        <v>Open</v>
      </c>
      <c r="AA180" s="1" t="str">
        <f t="shared" si="20"/>
        <v/>
      </c>
    </row>
    <row r="181" spans="4:27" x14ac:dyDescent="0.45">
      <c r="D181" t="s">
        <v>263</v>
      </c>
      <c r="F181">
        <v>44.673126000000003</v>
      </c>
      <c r="G181">
        <v>-85.620699999999999</v>
      </c>
      <c r="H181" s="1" t="s">
        <v>64</v>
      </c>
      <c r="I181" t="s">
        <v>261</v>
      </c>
      <c r="M181" s="1" t="str">
        <f t="shared" si="14"/>
        <v>Map</v>
      </c>
      <c r="N181" s="1" t="str">
        <f t="shared" si="15"/>
        <v>Street</v>
      </c>
      <c r="O181" s="1" t="str">
        <f t="shared" si="16"/>
        <v>Bing</v>
      </c>
      <c r="P181" s="1" t="str">
        <f t="shared" si="17"/>
        <v>FEMA</v>
      </c>
      <c r="Q181" s="1" t="str">
        <f t="shared" si="18"/>
        <v>FIRMette</v>
      </c>
      <c r="R181" s="1" t="str">
        <f t="shared" si="19"/>
        <v>Open</v>
      </c>
      <c r="AA181" s="1" t="str">
        <f t="shared" si="20"/>
        <v/>
      </c>
    </row>
    <row r="182" spans="4:27" x14ac:dyDescent="0.45">
      <c r="D182" t="s">
        <v>259</v>
      </c>
      <c r="F182">
        <v>44.670935</v>
      </c>
      <c r="G182">
        <v>-85.561948000000001</v>
      </c>
      <c r="H182" s="1" t="s">
        <v>64</v>
      </c>
      <c r="I182" t="s">
        <v>265</v>
      </c>
      <c r="M182" s="1" t="str">
        <f t="shared" si="14"/>
        <v>Map</v>
      </c>
      <c r="N182" s="1" t="str">
        <f t="shared" si="15"/>
        <v>Street</v>
      </c>
      <c r="O182" s="1" t="str">
        <f t="shared" si="16"/>
        <v>Bing</v>
      </c>
      <c r="P182" s="1" t="str">
        <f t="shared" si="17"/>
        <v>FEMA</v>
      </c>
      <c r="Q182" s="1" t="str">
        <f t="shared" si="18"/>
        <v>FIRMette</v>
      </c>
      <c r="R182" s="1" t="str">
        <f t="shared" si="19"/>
        <v>Open</v>
      </c>
      <c r="AA182" s="1" t="str">
        <f t="shared" si="20"/>
        <v/>
      </c>
    </row>
    <row r="183" spans="4:27" x14ac:dyDescent="0.45">
      <c r="D183" t="s">
        <v>259</v>
      </c>
      <c r="F183">
        <v>44.669441999999997</v>
      </c>
      <c r="G183">
        <v>-85.559240000000003</v>
      </c>
      <c r="H183" s="1" t="s">
        <v>64</v>
      </c>
      <c r="I183" t="s">
        <v>266</v>
      </c>
      <c r="M183" s="1" t="str">
        <f t="shared" si="14"/>
        <v>Map</v>
      </c>
      <c r="N183" s="1" t="str">
        <f t="shared" si="15"/>
        <v>Street</v>
      </c>
      <c r="O183" s="1" t="str">
        <f t="shared" si="16"/>
        <v>Bing</v>
      </c>
      <c r="P183" s="1" t="str">
        <f t="shared" si="17"/>
        <v>FEMA</v>
      </c>
      <c r="Q183" s="1" t="str">
        <f t="shared" si="18"/>
        <v>FIRMette</v>
      </c>
      <c r="R183" s="1" t="str">
        <f t="shared" si="19"/>
        <v>Open</v>
      </c>
      <c r="AA183" s="1" t="str">
        <f t="shared" si="20"/>
        <v/>
      </c>
    </row>
    <row r="184" spans="4:27" x14ac:dyDescent="0.45">
      <c r="D184" t="s">
        <v>231</v>
      </c>
      <c r="F184">
        <v>44.725180000000002</v>
      </c>
      <c r="G184">
        <v>-85.516653000000005</v>
      </c>
      <c r="H184" s="1" t="s">
        <v>64</v>
      </c>
      <c r="I184" t="s">
        <v>121</v>
      </c>
      <c r="M184" s="1" t="str">
        <f t="shared" si="14"/>
        <v>Map</v>
      </c>
      <c r="N184" s="1" t="str">
        <f t="shared" si="15"/>
        <v>Street</v>
      </c>
      <c r="O184" s="1" t="str">
        <f t="shared" si="16"/>
        <v>Bing</v>
      </c>
      <c r="P184" s="1" t="str">
        <f t="shared" si="17"/>
        <v>FEMA</v>
      </c>
      <c r="Q184" s="1" t="str">
        <f t="shared" si="18"/>
        <v>FIRMette</v>
      </c>
      <c r="R184" s="1" t="str">
        <f t="shared" si="19"/>
        <v>Open</v>
      </c>
      <c r="AA184" s="1" t="str">
        <f t="shared" si="20"/>
        <v/>
      </c>
    </row>
    <row r="185" spans="4:27" x14ac:dyDescent="0.45">
      <c r="D185" t="s">
        <v>259</v>
      </c>
      <c r="F185">
        <v>44.670704000000001</v>
      </c>
      <c r="G185">
        <v>-85.561538999999996</v>
      </c>
      <c r="H185" s="1" t="s">
        <v>64</v>
      </c>
      <c r="I185" t="s">
        <v>65</v>
      </c>
      <c r="M185" s="1" t="str">
        <f t="shared" si="14"/>
        <v>Map</v>
      </c>
      <c r="N185" s="1" t="str">
        <f t="shared" si="15"/>
        <v>Street</v>
      </c>
      <c r="O185" s="1" t="str">
        <f t="shared" si="16"/>
        <v>Bing</v>
      </c>
      <c r="P185" s="1" t="str">
        <f t="shared" si="17"/>
        <v>FEMA</v>
      </c>
      <c r="Q185" s="1" t="str">
        <f t="shared" si="18"/>
        <v>FIRMette</v>
      </c>
      <c r="R185" s="1" t="str">
        <f t="shared" si="19"/>
        <v>Open</v>
      </c>
      <c r="AA185" s="1" t="str">
        <f t="shared" si="20"/>
        <v/>
      </c>
    </row>
    <row r="186" spans="4:27" x14ac:dyDescent="0.45">
      <c r="D186" t="s">
        <v>259</v>
      </c>
      <c r="F186">
        <v>44.604937999999997</v>
      </c>
      <c r="G186">
        <v>-85.531391999999997</v>
      </c>
      <c r="H186" s="1" t="s">
        <v>64</v>
      </c>
      <c r="I186" t="s">
        <v>130</v>
      </c>
      <c r="M186" s="1" t="str">
        <f t="shared" si="14"/>
        <v>Map</v>
      </c>
      <c r="N186" s="1" t="str">
        <f t="shared" si="15"/>
        <v>Street</v>
      </c>
      <c r="O186" s="1" t="str">
        <f t="shared" si="16"/>
        <v>Bing</v>
      </c>
      <c r="P186" s="1" t="str">
        <f t="shared" si="17"/>
        <v>FEMA</v>
      </c>
      <c r="Q186" s="1" t="str">
        <f t="shared" si="18"/>
        <v>FIRMette</v>
      </c>
      <c r="R186" s="1" t="str">
        <f t="shared" si="19"/>
        <v>Open</v>
      </c>
      <c r="AA186" s="1" t="str">
        <f t="shared" si="20"/>
        <v/>
      </c>
    </row>
    <row r="187" spans="4:27" x14ac:dyDescent="0.45">
      <c r="D187" t="s">
        <v>267</v>
      </c>
      <c r="F187">
        <v>44.698677000000004</v>
      </c>
      <c r="G187">
        <v>-85.623317999999998</v>
      </c>
      <c r="H187" s="1" t="s">
        <v>64</v>
      </c>
      <c r="I187" t="s">
        <v>268</v>
      </c>
      <c r="M187" s="1" t="str">
        <f t="shared" si="14"/>
        <v>Map</v>
      </c>
      <c r="N187" s="1" t="str">
        <f t="shared" si="15"/>
        <v>Street</v>
      </c>
      <c r="O187" s="1" t="str">
        <f t="shared" si="16"/>
        <v>Bing</v>
      </c>
      <c r="P187" s="1" t="str">
        <f t="shared" si="17"/>
        <v>FEMA</v>
      </c>
      <c r="Q187" s="1" t="str">
        <f t="shared" si="18"/>
        <v>FIRMette</v>
      </c>
      <c r="R187" s="1" t="str">
        <f t="shared" si="19"/>
        <v>Open</v>
      </c>
      <c r="AA187" s="1" t="str">
        <f t="shared" si="20"/>
        <v/>
      </c>
    </row>
    <row r="188" spans="4:27" x14ac:dyDescent="0.45">
      <c r="M188" s="1" t="str">
        <f t="shared" si="14"/>
        <v/>
      </c>
      <c r="N188" s="1" t="str">
        <f t="shared" si="15"/>
        <v/>
      </c>
      <c r="O188" s="1" t="str">
        <f t="shared" si="16"/>
        <v/>
      </c>
      <c r="P188" s="1" t="str">
        <f t="shared" si="17"/>
        <v/>
      </c>
      <c r="Q188" s="1" t="str">
        <f t="shared" si="18"/>
        <v/>
      </c>
      <c r="R188" s="1" t="str">
        <f t="shared" si="19"/>
        <v/>
      </c>
      <c r="AA188" s="1" t="str">
        <f t="shared" si="20"/>
        <v/>
      </c>
    </row>
    <row r="189" spans="4:27" x14ac:dyDescent="0.45">
      <c r="M189" s="1" t="str">
        <f t="shared" si="14"/>
        <v/>
      </c>
      <c r="N189" s="1" t="str">
        <f t="shared" si="15"/>
        <v/>
      </c>
      <c r="O189" s="1" t="str">
        <f t="shared" si="16"/>
        <v/>
      </c>
      <c r="P189" s="1" t="str">
        <f t="shared" si="17"/>
        <v/>
      </c>
      <c r="Q189" s="1" t="str">
        <f t="shared" si="18"/>
        <v/>
      </c>
      <c r="R189" s="1" t="str">
        <f t="shared" si="19"/>
        <v/>
      </c>
      <c r="AA189" s="1" t="str">
        <f t="shared" si="20"/>
        <v/>
      </c>
    </row>
    <row r="190" spans="4:27" x14ac:dyDescent="0.45">
      <c r="M190" s="1" t="str">
        <f t="shared" si="14"/>
        <v/>
      </c>
      <c r="N190" s="1" t="str">
        <f t="shared" si="15"/>
        <v/>
      </c>
      <c r="O190" s="1" t="str">
        <f t="shared" si="16"/>
        <v/>
      </c>
      <c r="P190" s="1" t="str">
        <f t="shared" si="17"/>
        <v/>
      </c>
      <c r="Q190" s="1" t="str">
        <f t="shared" si="18"/>
        <v/>
      </c>
      <c r="R190" s="1" t="str">
        <f t="shared" si="19"/>
        <v/>
      </c>
      <c r="AA190" s="1" t="str">
        <f t="shared" si="20"/>
        <v/>
      </c>
    </row>
    <row r="191" spans="4:27" x14ac:dyDescent="0.45">
      <c r="M191" s="1" t="str">
        <f t="shared" si="14"/>
        <v/>
      </c>
      <c r="N191" s="1" t="str">
        <f t="shared" si="15"/>
        <v/>
      </c>
      <c r="O191" s="1" t="str">
        <f t="shared" si="16"/>
        <v/>
      </c>
      <c r="P191" s="1" t="str">
        <f t="shared" si="17"/>
        <v/>
      </c>
      <c r="Q191" s="1" t="str">
        <f t="shared" si="18"/>
        <v/>
      </c>
      <c r="R191" s="1" t="str">
        <f t="shared" si="19"/>
        <v/>
      </c>
      <c r="AA191" s="1" t="str">
        <f t="shared" si="20"/>
        <v/>
      </c>
    </row>
    <row r="192" spans="4:27" x14ac:dyDescent="0.45">
      <c r="M192" s="1" t="str">
        <f t="shared" si="14"/>
        <v/>
      </c>
      <c r="N192" s="1" t="str">
        <f t="shared" si="15"/>
        <v/>
      </c>
      <c r="O192" s="1" t="str">
        <f t="shared" si="16"/>
        <v/>
      </c>
      <c r="P192" s="1" t="str">
        <f t="shared" si="17"/>
        <v/>
      </c>
      <c r="Q192" s="1" t="str">
        <f t="shared" si="18"/>
        <v/>
      </c>
      <c r="R192" s="1" t="str">
        <f t="shared" si="19"/>
        <v/>
      </c>
      <c r="AA192" s="1" t="str">
        <f t="shared" si="20"/>
        <v/>
      </c>
    </row>
    <row r="193" spans="13:27" x14ac:dyDescent="0.45">
      <c r="M193" s="1" t="str">
        <f t="shared" si="14"/>
        <v/>
      </c>
      <c r="N193" s="1" t="str">
        <f t="shared" si="15"/>
        <v/>
      </c>
      <c r="O193" s="1" t="str">
        <f t="shared" si="16"/>
        <v/>
      </c>
      <c r="P193" s="1" t="str">
        <f t="shared" si="17"/>
        <v/>
      </c>
      <c r="Q193" s="1" t="str">
        <f t="shared" si="18"/>
        <v/>
      </c>
      <c r="R193" s="1" t="str">
        <f t="shared" si="19"/>
        <v/>
      </c>
      <c r="AA193" s="1" t="str">
        <f t="shared" si="20"/>
        <v/>
      </c>
    </row>
    <row r="194" spans="13:27" x14ac:dyDescent="0.45">
      <c r="M194" s="1" t="str">
        <f t="shared" ref="M194:M257" si="21">IF(OR($F194="",$G194=""),"",HYPERLINK("https://www.google.com/maps?q="&amp;$F194&amp;","&amp;$G194&amp;"","Map"))</f>
        <v/>
      </c>
      <c r="N194" s="1" t="str">
        <f t="shared" ref="N194:N257" si="22">IF(OR($F194="",$G194=""),"",HYPERLINK("https://www.google.com/maps?q&amp;layer=c&amp;cbll="&amp;$F194&amp;","&amp;$G194&amp;"","Street"))</f>
        <v/>
      </c>
      <c r="O194" s="1" t="str">
        <f t="shared" ref="O194:O257" si="23">IF(OR($F194="",$G194=""),"",HYPERLINK("https://www.bing.com/maps?cp="&amp;$F194&amp;"~"&amp;$G194&amp;"&amp;lvl=18&amp;style=h","Bing"))</f>
        <v/>
      </c>
      <c r="P194" s="1" t="str">
        <f t="shared" ref="P194:P257" si="24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5">IF(OR($F194="",$G194=""),"",HYPERLINK("https://msc.fema.gov/portal/firmette?latitude="&amp;$F194&amp;"&amp;longitude="&amp;$G194&amp;"","FIRMette"))</f>
        <v/>
      </c>
      <c r="R194" s="1" t="str">
        <f t="shared" ref="R194:R257" si="26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AA194" s="1" t="str">
        <f t="shared" ref="AA194:AA257" si="27">IF(OR(_xlfn.SINGLE(JobAgolMap)="", $F194="", $G194=""),"",HYPERLINK(_xlfn.SINGLE(JobAgolMap)&amp;IF(ISNUMBER(FIND("?",_xlfn.SINGLE(JobAgolMap))),"&amp;","?")&amp;"center="&amp;$G194&amp;","&amp;$F194&amp;"&amp;level=16&amp;marker="&amp;$G194&amp;","&amp;$F194,"Open"))</f>
        <v/>
      </c>
    </row>
    <row r="195" spans="13:27" x14ac:dyDescent="0.45">
      <c r="M195" s="1" t="str">
        <f t="shared" si="21"/>
        <v/>
      </c>
      <c r="N195" s="1" t="str">
        <f t="shared" si="22"/>
        <v/>
      </c>
      <c r="O195" s="1" t="str">
        <f t="shared" si="23"/>
        <v/>
      </c>
      <c r="P195" s="1" t="str">
        <f t="shared" si="24"/>
        <v/>
      </c>
      <c r="Q195" s="1" t="str">
        <f t="shared" si="25"/>
        <v/>
      </c>
      <c r="R195" s="1" t="str">
        <f t="shared" si="26"/>
        <v/>
      </c>
      <c r="AA195" s="1" t="str">
        <f t="shared" si="27"/>
        <v/>
      </c>
    </row>
    <row r="196" spans="13:27" x14ac:dyDescent="0.45">
      <c r="M196" s="1" t="str">
        <f t="shared" si="21"/>
        <v/>
      </c>
      <c r="N196" s="1" t="str">
        <f t="shared" si="22"/>
        <v/>
      </c>
      <c r="O196" s="1" t="str">
        <f t="shared" si="23"/>
        <v/>
      </c>
      <c r="P196" s="1" t="str">
        <f t="shared" si="24"/>
        <v/>
      </c>
      <c r="Q196" s="1" t="str">
        <f t="shared" si="25"/>
        <v/>
      </c>
      <c r="R196" s="1" t="str">
        <f t="shared" si="26"/>
        <v/>
      </c>
      <c r="AA196" s="1" t="str">
        <f t="shared" si="27"/>
        <v/>
      </c>
    </row>
    <row r="197" spans="13:27" x14ac:dyDescent="0.45">
      <c r="M197" s="1" t="str">
        <f t="shared" si="21"/>
        <v/>
      </c>
      <c r="N197" s="1" t="str">
        <f t="shared" si="22"/>
        <v/>
      </c>
      <c r="O197" s="1" t="str">
        <f t="shared" si="23"/>
        <v/>
      </c>
      <c r="P197" s="1" t="str">
        <f t="shared" si="24"/>
        <v/>
      </c>
      <c r="Q197" s="1" t="str">
        <f t="shared" si="25"/>
        <v/>
      </c>
      <c r="R197" s="1" t="str">
        <f t="shared" si="26"/>
        <v/>
      </c>
      <c r="AA197" s="1" t="str">
        <f t="shared" si="27"/>
        <v/>
      </c>
    </row>
    <row r="198" spans="13:27" x14ac:dyDescent="0.45">
      <c r="M198" s="1" t="str">
        <f t="shared" si="21"/>
        <v/>
      </c>
      <c r="N198" s="1" t="str">
        <f t="shared" si="22"/>
        <v/>
      </c>
      <c r="O198" s="1" t="str">
        <f t="shared" si="23"/>
        <v/>
      </c>
      <c r="P198" s="1" t="str">
        <f t="shared" si="24"/>
        <v/>
      </c>
      <c r="Q198" s="1" t="str">
        <f t="shared" si="25"/>
        <v/>
      </c>
      <c r="R198" s="1" t="str">
        <f t="shared" si="26"/>
        <v/>
      </c>
      <c r="AA198" s="1" t="str">
        <f t="shared" si="27"/>
        <v/>
      </c>
    </row>
    <row r="199" spans="13:27" x14ac:dyDescent="0.45">
      <c r="M199" s="1" t="str">
        <f t="shared" si="21"/>
        <v/>
      </c>
      <c r="N199" s="1" t="str">
        <f t="shared" si="22"/>
        <v/>
      </c>
      <c r="O199" s="1" t="str">
        <f t="shared" si="23"/>
        <v/>
      </c>
      <c r="P199" s="1" t="str">
        <f t="shared" si="24"/>
        <v/>
      </c>
      <c r="Q199" s="1" t="str">
        <f t="shared" si="25"/>
        <v/>
      </c>
      <c r="R199" s="1" t="str">
        <f t="shared" si="26"/>
        <v/>
      </c>
      <c r="AA199" s="1" t="str">
        <f t="shared" si="27"/>
        <v/>
      </c>
    </row>
    <row r="200" spans="13:27" x14ac:dyDescent="0.45">
      <c r="M200" s="1" t="str">
        <f t="shared" si="21"/>
        <v/>
      </c>
      <c r="N200" s="1" t="str">
        <f t="shared" si="22"/>
        <v/>
      </c>
      <c r="O200" s="1" t="str">
        <f t="shared" si="23"/>
        <v/>
      </c>
      <c r="P200" s="1" t="str">
        <f t="shared" si="24"/>
        <v/>
      </c>
      <c r="Q200" s="1" t="str">
        <f t="shared" si="25"/>
        <v/>
      </c>
      <c r="R200" s="1" t="str">
        <f t="shared" si="26"/>
        <v/>
      </c>
      <c r="AA200" s="1" t="str">
        <f t="shared" si="27"/>
        <v/>
      </c>
    </row>
    <row r="201" spans="13:27" x14ac:dyDescent="0.45">
      <c r="M201" s="1" t="str">
        <f t="shared" si="21"/>
        <v/>
      </c>
      <c r="N201" s="1" t="str">
        <f t="shared" si="22"/>
        <v/>
      </c>
      <c r="O201" s="1" t="str">
        <f t="shared" si="23"/>
        <v/>
      </c>
      <c r="P201" s="1" t="str">
        <f t="shared" si="24"/>
        <v/>
      </c>
      <c r="Q201" s="1" t="str">
        <f t="shared" si="25"/>
        <v/>
      </c>
      <c r="R201" s="1" t="str">
        <f t="shared" si="26"/>
        <v/>
      </c>
      <c r="AA201" s="1" t="str">
        <f t="shared" si="27"/>
        <v/>
      </c>
    </row>
    <row r="202" spans="13:27" x14ac:dyDescent="0.45">
      <c r="M202" s="1" t="str">
        <f t="shared" si="21"/>
        <v/>
      </c>
      <c r="N202" s="1" t="str">
        <f t="shared" si="22"/>
        <v/>
      </c>
      <c r="O202" s="1" t="str">
        <f t="shared" si="23"/>
        <v/>
      </c>
      <c r="P202" s="1" t="str">
        <f t="shared" si="24"/>
        <v/>
      </c>
      <c r="Q202" s="1" t="str">
        <f t="shared" si="25"/>
        <v/>
      </c>
      <c r="R202" s="1" t="str">
        <f t="shared" si="26"/>
        <v/>
      </c>
      <c r="AA202" s="1" t="str">
        <f t="shared" si="27"/>
        <v/>
      </c>
    </row>
    <row r="203" spans="13:27" x14ac:dyDescent="0.45">
      <c r="M203" s="1" t="str">
        <f t="shared" si="21"/>
        <v/>
      </c>
      <c r="N203" s="1" t="str">
        <f t="shared" si="22"/>
        <v/>
      </c>
      <c r="O203" s="1" t="str">
        <f t="shared" si="23"/>
        <v/>
      </c>
      <c r="P203" s="1" t="str">
        <f t="shared" si="24"/>
        <v/>
      </c>
      <c r="Q203" s="1" t="str">
        <f t="shared" si="25"/>
        <v/>
      </c>
      <c r="R203" s="1" t="str">
        <f t="shared" si="26"/>
        <v/>
      </c>
      <c r="AA203" s="1" t="str">
        <f t="shared" si="27"/>
        <v/>
      </c>
    </row>
    <row r="204" spans="13:27" x14ac:dyDescent="0.45">
      <c r="M204" s="1" t="str">
        <f t="shared" si="21"/>
        <v/>
      </c>
      <c r="N204" s="1" t="str">
        <f t="shared" si="22"/>
        <v/>
      </c>
      <c r="O204" s="1" t="str">
        <f t="shared" si="23"/>
        <v/>
      </c>
      <c r="P204" s="1" t="str">
        <f t="shared" si="24"/>
        <v/>
      </c>
      <c r="Q204" s="1" t="str">
        <f t="shared" si="25"/>
        <v/>
      </c>
      <c r="R204" s="1" t="str">
        <f t="shared" si="26"/>
        <v/>
      </c>
      <c r="AA204" s="1" t="str">
        <f t="shared" si="27"/>
        <v/>
      </c>
    </row>
    <row r="205" spans="13:27" x14ac:dyDescent="0.45">
      <c r="M205" s="1" t="str">
        <f t="shared" si="21"/>
        <v/>
      </c>
      <c r="N205" s="1" t="str">
        <f t="shared" si="22"/>
        <v/>
      </c>
      <c r="O205" s="1" t="str">
        <f t="shared" si="23"/>
        <v/>
      </c>
      <c r="P205" s="1" t="str">
        <f t="shared" si="24"/>
        <v/>
      </c>
      <c r="Q205" s="1" t="str">
        <f t="shared" si="25"/>
        <v/>
      </c>
      <c r="R205" s="1" t="str">
        <f t="shared" si="26"/>
        <v/>
      </c>
      <c r="AA205" s="1" t="str">
        <f t="shared" si="27"/>
        <v/>
      </c>
    </row>
    <row r="206" spans="13:27" x14ac:dyDescent="0.45">
      <c r="M206" s="1" t="str">
        <f t="shared" si="21"/>
        <v/>
      </c>
      <c r="N206" s="1" t="str">
        <f t="shared" si="22"/>
        <v/>
      </c>
      <c r="O206" s="1" t="str">
        <f t="shared" si="23"/>
        <v/>
      </c>
      <c r="P206" s="1" t="str">
        <f t="shared" si="24"/>
        <v/>
      </c>
      <c r="Q206" s="1" t="str">
        <f t="shared" si="25"/>
        <v/>
      </c>
      <c r="R206" s="1" t="str">
        <f t="shared" si="26"/>
        <v/>
      </c>
      <c r="AA206" s="1" t="str">
        <f t="shared" si="27"/>
        <v/>
      </c>
    </row>
    <row r="207" spans="13:27" x14ac:dyDescent="0.45">
      <c r="M207" s="1" t="str">
        <f t="shared" si="21"/>
        <v/>
      </c>
      <c r="N207" s="1" t="str">
        <f t="shared" si="22"/>
        <v/>
      </c>
      <c r="O207" s="1" t="str">
        <f t="shared" si="23"/>
        <v/>
      </c>
      <c r="P207" s="1" t="str">
        <f t="shared" si="24"/>
        <v/>
      </c>
      <c r="Q207" s="1" t="str">
        <f t="shared" si="25"/>
        <v/>
      </c>
      <c r="R207" s="1" t="str">
        <f t="shared" si="26"/>
        <v/>
      </c>
      <c r="AA207" s="1" t="str">
        <f t="shared" si="27"/>
        <v/>
      </c>
    </row>
    <row r="208" spans="13:27" x14ac:dyDescent="0.45">
      <c r="M208" s="1" t="str">
        <f t="shared" si="21"/>
        <v/>
      </c>
      <c r="N208" s="1" t="str">
        <f t="shared" si="22"/>
        <v/>
      </c>
      <c r="O208" s="1" t="str">
        <f t="shared" si="23"/>
        <v/>
      </c>
      <c r="P208" s="1" t="str">
        <f t="shared" si="24"/>
        <v/>
      </c>
      <c r="Q208" s="1" t="str">
        <f t="shared" si="25"/>
        <v/>
      </c>
      <c r="R208" s="1" t="str">
        <f t="shared" si="26"/>
        <v/>
      </c>
      <c r="AA208" s="1" t="str">
        <f t="shared" si="27"/>
        <v/>
      </c>
    </row>
    <row r="209" spans="13:27" x14ac:dyDescent="0.45">
      <c r="M209" s="1" t="str">
        <f t="shared" si="21"/>
        <v/>
      </c>
      <c r="N209" s="1" t="str">
        <f t="shared" si="22"/>
        <v/>
      </c>
      <c r="O209" s="1" t="str">
        <f t="shared" si="23"/>
        <v/>
      </c>
      <c r="P209" s="1" t="str">
        <f t="shared" si="24"/>
        <v/>
      </c>
      <c r="Q209" s="1" t="str">
        <f t="shared" si="25"/>
        <v/>
      </c>
      <c r="R209" s="1" t="str">
        <f t="shared" si="26"/>
        <v/>
      </c>
      <c r="AA209" s="1" t="str">
        <f t="shared" si="27"/>
        <v/>
      </c>
    </row>
    <row r="210" spans="13:27" x14ac:dyDescent="0.45">
      <c r="M210" s="1" t="str">
        <f t="shared" si="21"/>
        <v/>
      </c>
      <c r="N210" s="1" t="str">
        <f t="shared" si="22"/>
        <v/>
      </c>
      <c r="O210" s="1" t="str">
        <f t="shared" si="23"/>
        <v/>
      </c>
      <c r="P210" s="1" t="str">
        <f t="shared" si="24"/>
        <v/>
      </c>
      <c r="Q210" s="1" t="str">
        <f t="shared" si="25"/>
        <v/>
      </c>
      <c r="R210" s="1" t="str">
        <f t="shared" si="26"/>
        <v/>
      </c>
      <c r="AA210" s="1" t="str">
        <f t="shared" si="27"/>
        <v/>
      </c>
    </row>
    <row r="211" spans="13:27" x14ac:dyDescent="0.45">
      <c r="M211" s="1" t="str">
        <f t="shared" si="21"/>
        <v/>
      </c>
      <c r="N211" s="1" t="str">
        <f t="shared" si="22"/>
        <v/>
      </c>
      <c r="O211" s="1" t="str">
        <f t="shared" si="23"/>
        <v/>
      </c>
      <c r="P211" s="1" t="str">
        <f t="shared" si="24"/>
        <v/>
      </c>
      <c r="Q211" s="1" t="str">
        <f t="shared" si="25"/>
        <v/>
      </c>
      <c r="R211" s="1" t="str">
        <f t="shared" si="26"/>
        <v/>
      </c>
      <c r="AA211" s="1" t="str">
        <f t="shared" si="27"/>
        <v/>
      </c>
    </row>
    <row r="212" spans="13:27" x14ac:dyDescent="0.45">
      <c r="M212" s="1" t="str">
        <f t="shared" si="21"/>
        <v/>
      </c>
      <c r="N212" s="1" t="str">
        <f t="shared" si="22"/>
        <v/>
      </c>
      <c r="O212" s="1" t="str">
        <f t="shared" si="23"/>
        <v/>
      </c>
      <c r="P212" s="1" t="str">
        <f t="shared" si="24"/>
        <v/>
      </c>
      <c r="Q212" s="1" t="str">
        <f t="shared" si="25"/>
        <v/>
      </c>
      <c r="R212" s="1" t="str">
        <f t="shared" si="26"/>
        <v/>
      </c>
      <c r="AA212" s="1" t="str">
        <f t="shared" si="27"/>
        <v/>
      </c>
    </row>
    <row r="213" spans="13:27" x14ac:dyDescent="0.45">
      <c r="M213" s="1" t="str">
        <f t="shared" si="21"/>
        <v/>
      </c>
      <c r="N213" s="1" t="str">
        <f t="shared" si="22"/>
        <v/>
      </c>
      <c r="O213" s="1" t="str">
        <f t="shared" si="23"/>
        <v/>
      </c>
      <c r="P213" s="1" t="str">
        <f t="shared" si="24"/>
        <v/>
      </c>
      <c r="Q213" s="1" t="str">
        <f t="shared" si="25"/>
        <v/>
      </c>
      <c r="R213" s="1" t="str">
        <f t="shared" si="26"/>
        <v/>
      </c>
      <c r="AA213" s="1" t="str">
        <f t="shared" si="27"/>
        <v/>
      </c>
    </row>
    <row r="214" spans="13:27" x14ac:dyDescent="0.45">
      <c r="M214" s="1" t="str">
        <f t="shared" si="21"/>
        <v/>
      </c>
      <c r="N214" s="1" t="str">
        <f t="shared" si="22"/>
        <v/>
      </c>
      <c r="O214" s="1" t="str">
        <f t="shared" si="23"/>
        <v/>
      </c>
      <c r="P214" s="1" t="str">
        <f t="shared" si="24"/>
        <v/>
      </c>
      <c r="Q214" s="1" t="str">
        <f t="shared" si="25"/>
        <v/>
      </c>
      <c r="R214" s="1" t="str">
        <f t="shared" si="26"/>
        <v/>
      </c>
      <c r="AA214" s="1" t="str">
        <f t="shared" si="27"/>
        <v/>
      </c>
    </row>
    <row r="215" spans="13:27" x14ac:dyDescent="0.45">
      <c r="M215" s="1" t="str">
        <f t="shared" si="21"/>
        <v/>
      </c>
      <c r="N215" s="1" t="str">
        <f t="shared" si="22"/>
        <v/>
      </c>
      <c r="O215" s="1" t="str">
        <f t="shared" si="23"/>
        <v/>
      </c>
      <c r="P215" s="1" t="str">
        <f t="shared" si="24"/>
        <v/>
      </c>
      <c r="Q215" s="1" t="str">
        <f t="shared" si="25"/>
        <v/>
      </c>
      <c r="R215" s="1" t="str">
        <f t="shared" si="26"/>
        <v/>
      </c>
      <c r="AA215" s="1" t="str">
        <f t="shared" si="27"/>
        <v/>
      </c>
    </row>
    <row r="216" spans="13:27" x14ac:dyDescent="0.45">
      <c r="M216" s="1" t="str">
        <f t="shared" si="21"/>
        <v/>
      </c>
      <c r="N216" s="1" t="str">
        <f t="shared" si="22"/>
        <v/>
      </c>
      <c r="O216" s="1" t="str">
        <f t="shared" si="23"/>
        <v/>
      </c>
      <c r="P216" s="1" t="str">
        <f t="shared" si="24"/>
        <v/>
      </c>
      <c r="Q216" s="1" t="str">
        <f t="shared" si="25"/>
        <v/>
      </c>
      <c r="R216" s="1" t="str">
        <f t="shared" si="26"/>
        <v/>
      </c>
      <c r="AA216" s="1" t="str">
        <f t="shared" si="27"/>
        <v/>
      </c>
    </row>
    <row r="217" spans="13:27" x14ac:dyDescent="0.45">
      <c r="M217" s="1" t="str">
        <f t="shared" si="21"/>
        <v/>
      </c>
      <c r="N217" s="1" t="str">
        <f t="shared" si="22"/>
        <v/>
      </c>
      <c r="O217" s="1" t="str">
        <f t="shared" si="23"/>
        <v/>
      </c>
      <c r="P217" s="1" t="str">
        <f t="shared" si="24"/>
        <v/>
      </c>
      <c r="Q217" s="1" t="str">
        <f t="shared" si="25"/>
        <v/>
      </c>
      <c r="R217" s="1" t="str">
        <f t="shared" si="26"/>
        <v/>
      </c>
      <c r="AA217" s="1" t="str">
        <f t="shared" si="27"/>
        <v/>
      </c>
    </row>
    <row r="218" spans="13:27" x14ac:dyDescent="0.45">
      <c r="M218" s="1" t="str">
        <f t="shared" si="21"/>
        <v/>
      </c>
      <c r="N218" s="1" t="str">
        <f t="shared" si="22"/>
        <v/>
      </c>
      <c r="O218" s="1" t="str">
        <f t="shared" si="23"/>
        <v/>
      </c>
      <c r="P218" s="1" t="str">
        <f t="shared" si="24"/>
        <v/>
      </c>
      <c r="Q218" s="1" t="str">
        <f t="shared" si="25"/>
        <v/>
      </c>
      <c r="R218" s="1" t="str">
        <f t="shared" si="26"/>
        <v/>
      </c>
      <c r="AA218" s="1" t="str">
        <f t="shared" si="27"/>
        <v/>
      </c>
    </row>
    <row r="219" spans="13:27" x14ac:dyDescent="0.45">
      <c r="M219" s="1" t="str">
        <f t="shared" si="21"/>
        <v/>
      </c>
      <c r="N219" s="1" t="str">
        <f t="shared" si="22"/>
        <v/>
      </c>
      <c r="O219" s="1" t="str">
        <f t="shared" si="23"/>
        <v/>
      </c>
      <c r="P219" s="1" t="str">
        <f t="shared" si="24"/>
        <v/>
      </c>
      <c r="Q219" s="1" t="str">
        <f t="shared" si="25"/>
        <v/>
      </c>
      <c r="R219" s="1" t="str">
        <f t="shared" si="26"/>
        <v/>
      </c>
      <c r="AA219" s="1" t="str">
        <f t="shared" si="27"/>
        <v/>
      </c>
    </row>
    <row r="220" spans="13:27" x14ac:dyDescent="0.45">
      <c r="M220" s="1" t="str">
        <f t="shared" si="21"/>
        <v/>
      </c>
      <c r="N220" s="1" t="str">
        <f t="shared" si="22"/>
        <v/>
      </c>
      <c r="O220" s="1" t="str">
        <f t="shared" si="23"/>
        <v/>
      </c>
      <c r="P220" s="1" t="str">
        <f t="shared" si="24"/>
        <v/>
      </c>
      <c r="Q220" s="1" t="str">
        <f t="shared" si="25"/>
        <v/>
      </c>
      <c r="R220" s="1" t="str">
        <f t="shared" si="26"/>
        <v/>
      </c>
      <c r="AA220" s="1" t="str">
        <f t="shared" si="27"/>
        <v/>
      </c>
    </row>
    <row r="221" spans="13:27" x14ac:dyDescent="0.45">
      <c r="M221" s="1" t="str">
        <f t="shared" si="21"/>
        <v/>
      </c>
      <c r="N221" s="1" t="str">
        <f t="shared" si="22"/>
        <v/>
      </c>
      <c r="O221" s="1" t="str">
        <f t="shared" si="23"/>
        <v/>
      </c>
      <c r="P221" s="1" t="str">
        <f t="shared" si="24"/>
        <v/>
      </c>
      <c r="Q221" s="1" t="str">
        <f t="shared" si="25"/>
        <v/>
      </c>
      <c r="R221" s="1" t="str">
        <f t="shared" si="26"/>
        <v/>
      </c>
      <c r="AA221" s="1" t="str">
        <f t="shared" si="27"/>
        <v/>
      </c>
    </row>
    <row r="222" spans="13:27" x14ac:dyDescent="0.45">
      <c r="M222" s="1" t="str">
        <f t="shared" si="21"/>
        <v/>
      </c>
      <c r="N222" s="1" t="str">
        <f t="shared" si="22"/>
        <v/>
      </c>
      <c r="O222" s="1" t="str">
        <f t="shared" si="23"/>
        <v/>
      </c>
      <c r="P222" s="1" t="str">
        <f t="shared" si="24"/>
        <v/>
      </c>
      <c r="Q222" s="1" t="str">
        <f t="shared" si="25"/>
        <v/>
      </c>
      <c r="R222" s="1" t="str">
        <f t="shared" si="26"/>
        <v/>
      </c>
      <c r="AA222" s="1" t="str">
        <f t="shared" si="27"/>
        <v/>
      </c>
    </row>
    <row r="223" spans="13:27" x14ac:dyDescent="0.45">
      <c r="M223" s="1" t="str">
        <f t="shared" si="21"/>
        <v/>
      </c>
      <c r="N223" s="1" t="str">
        <f t="shared" si="22"/>
        <v/>
      </c>
      <c r="O223" s="1" t="str">
        <f t="shared" si="23"/>
        <v/>
      </c>
      <c r="P223" s="1" t="str">
        <f t="shared" si="24"/>
        <v/>
      </c>
      <c r="Q223" s="1" t="str">
        <f t="shared" si="25"/>
        <v/>
      </c>
      <c r="R223" s="1" t="str">
        <f t="shared" si="26"/>
        <v/>
      </c>
      <c r="AA223" s="1" t="str">
        <f t="shared" si="27"/>
        <v/>
      </c>
    </row>
    <row r="224" spans="13:27" x14ac:dyDescent="0.45">
      <c r="M224" s="1" t="str">
        <f t="shared" si="21"/>
        <v/>
      </c>
      <c r="N224" s="1" t="str">
        <f t="shared" si="22"/>
        <v/>
      </c>
      <c r="O224" s="1" t="str">
        <f t="shared" si="23"/>
        <v/>
      </c>
      <c r="P224" s="1" t="str">
        <f t="shared" si="24"/>
        <v/>
      </c>
      <c r="Q224" s="1" t="str">
        <f t="shared" si="25"/>
        <v/>
      </c>
      <c r="R224" s="1" t="str">
        <f t="shared" si="26"/>
        <v/>
      </c>
      <c r="AA224" s="1" t="str">
        <f t="shared" si="27"/>
        <v/>
      </c>
    </row>
    <row r="225" spans="13:27" x14ac:dyDescent="0.45">
      <c r="M225" s="1" t="str">
        <f t="shared" si="21"/>
        <v/>
      </c>
      <c r="N225" s="1" t="str">
        <f t="shared" si="22"/>
        <v/>
      </c>
      <c r="O225" s="1" t="str">
        <f t="shared" si="23"/>
        <v/>
      </c>
      <c r="P225" s="1" t="str">
        <f t="shared" si="24"/>
        <v/>
      </c>
      <c r="Q225" s="1" t="str">
        <f t="shared" si="25"/>
        <v/>
      </c>
      <c r="R225" s="1" t="str">
        <f t="shared" si="26"/>
        <v/>
      </c>
      <c r="AA225" s="1" t="str">
        <f t="shared" si="27"/>
        <v/>
      </c>
    </row>
    <row r="226" spans="13:27" x14ac:dyDescent="0.45">
      <c r="M226" s="1" t="str">
        <f t="shared" si="21"/>
        <v/>
      </c>
      <c r="N226" s="1" t="str">
        <f t="shared" si="22"/>
        <v/>
      </c>
      <c r="O226" s="1" t="str">
        <f t="shared" si="23"/>
        <v/>
      </c>
      <c r="P226" s="1" t="str">
        <f t="shared" si="24"/>
        <v/>
      </c>
      <c r="Q226" s="1" t="str">
        <f t="shared" si="25"/>
        <v/>
      </c>
      <c r="R226" s="1" t="str">
        <f t="shared" si="26"/>
        <v/>
      </c>
      <c r="AA226" s="1" t="str">
        <f t="shared" si="27"/>
        <v/>
      </c>
    </row>
    <row r="227" spans="13:27" x14ac:dyDescent="0.45">
      <c r="M227" s="1" t="str">
        <f t="shared" si="21"/>
        <v/>
      </c>
      <c r="N227" s="1" t="str">
        <f t="shared" si="22"/>
        <v/>
      </c>
      <c r="O227" s="1" t="str">
        <f t="shared" si="23"/>
        <v/>
      </c>
      <c r="P227" s="1" t="str">
        <f t="shared" si="24"/>
        <v/>
      </c>
      <c r="Q227" s="1" t="str">
        <f t="shared" si="25"/>
        <v/>
      </c>
      <c r="R227" s="1" t="str">
        <f t="shared" si="26"/>
        <v/>
      </c>
      <c r="AA227" s="1" t="str">
        <f t="shared" si="27"/>
        <v/>
      </c>
    </row>
    <row r="228" spans="13:27" x14ac:dyDescent="0.45">
      <c r="M228" s="1" t="str">
        <f t="shared" si="21"/>
        <v/>
      </c>
      <c r="N228" s="1" t="str">
        <f t="shared" si="22"/>
        <v/>
      </c>
      <c r="O228" s="1" t="str">
        <f t="shared" si="23"/>
        <v/>
      </c>
      <c r="P228" s="1" t="str">
        <f t="shared" si="24"/>
        <v/>
      </c>
      <c r="Q228" s="1" t="str">
        <f t="shared" si="25"/>
        <v/>
      </c>
      <c r="R228" s="1" t="str">
        <f t="shared" si="26"/>
        <v/>
      </c>
      <c r="AA228" s="1" t="str">
        <f t="shared" si="27"/>
        <v/>
      </c>
    </row>
    <row r="229" spans="13:27" x14ac:dyDescent="0.45">
      <c r="M229" s="1" t="str">
        <f t="shared" si="21"/>
        <v/>
      </c>
      <c r="N229" s="1" t="str">
        <f t="shared" si="22"/>
        <v/>
      </c>
      <c r="O229" s="1" t="str">
        <f t="shared" si="23"/>
        <v/>
      </c>
      <c r="P229" s="1" t="str">
        <f t="shared" si="24"/>
        <v/>
      </c>
      <c r="Q229" s="1" t="str">
        <f t="shared" si="25"/>
        <v/>
      </c>
      <c r="R229" s="1" t="str">
        <f t="shared" si="26"/>
        <v/>
      </c>
      <c r="AA229" s="1" t="str">
        <f t="shared" si="27"/>
        <v/>
      </c>
    </row>
    <row r="230" spans="13:27" x14ac:dyDescent="0.45">
      <c r="M230" s="1" t="str">
        <f t="shared" si="21"/>
        <v/>
      </c>
      <c r="N230" s="1" t="str">
        <f t="shared" si="22"/>
        <v/>
      </c>
      <c r="O230" s="1" t="str">
        <f t="shared" si="23"/>
        <v/>
      </c>
      <c r="P230" s="1" t="str">
        <f t="shared" si="24"/>
        <v/>
      </c>
      <c r="Q230" s="1" t="str">
        <f t="shared" si="25"/>
        <v/>
      </c>
      <c r="R230" s="1" t="str">
        <f t="shared" si="26"/>
        <v/>
      </c>
      <c r="AA230" s="1" t="str">
        <f t="shared" si="27"/>
        <v/>
      </c>
    </row>
    <row r="231" spans="13:27" x14ac:dyDescent="0.45">
      <c r="M231" s="1" t="str">
        <f t="shared" si="21"/>
        <v/>
      </c>
      <c r="N231" s="1" t="str">
        <f t="shared" si="22"/>
        <v/>
      </c>
      <c r="O231" s="1" t="str">
        <f t="shared" si="23"/>
        <v/>
      </c>
      <c r="P231" s="1" t="str">
        <f t="shared" si="24"/>
        <v/>
      </c>
      <c r="Q231" s="1" t="str">
        <f t="shared" si="25"/>
        <v/>
      </c>
      <c r="R231" s="1" t="str">
        <f t="shared" si="26"/>
        <v/>
      </c>
      <c r="AA231" s="1" t="str">
        <f t="shared" si="27"/>
        <v/>
      </c>
    </row>
    <row r="232" spans="13:27" x14ac:dyDescent="0.45">
      <c r="M232" s="1" t="str">
        <f t="shared" si="21"/>
        <v/>
      </c>
      <c r="N232" s="1" t="str">
        <f t="shared" si="22"/>
        <v/>
      </c>
      <c r="O232" s="1" t="str">
        <f t="shared" si="23"/>
        <v/>
      </c>
      <c r="P232" s="1" t="str">
        <f t="shared" si="24"/>
        <v/>
      </c>
      <c r="Q232" s="1" t="str">
        <f t="shared" si="25"/>
        <v/>
      </c>
      <c r="R232" s="1" t="str">
        <f t="shared" si="26"/>
        <v/>
      </c>
      <c r="AA232" s="1" t="str">
        <f t="shared" si="27"/>
        <v/>
      </c>
    </row>
    <row r="233" spans="13:27" x14ac:dyDescent="0.45">
      <c r="M233" s="1" t="str">
        <f t="shared" si="21"/>
        <v/>
      </c>
      <c r="N233" s="1" t="str">
        <f t="shared" si="22"/>
        <v/>
      </c>
      <c r="O233" s="1" t="str">
        <f t="shared" si="23"/>
        <v/>
      </c>
      <c r="P233" s="1" t="str">
        <f t="shared" si="24"/>
        <v/>
      </c>
      <c r="Q233" s="1" t="str">
        <f t="shared" si="25"/>
        <v/>
      </c>
      <c r="R233" s="1" t="str">
        <f t="shared" si="26"/>
        <v/>
      </c>
      <c r="AA233" s="1" t="str">
        <f t="shared" si="27"/>
        <v/>
      </c>
    </row>
    <row r="234" spans="13:27" x14ac:dyDescent="0.45">
      <c r="M234" s="1" t="str">
        <f t="shared" si="21"/>
        <v/>
      </c>
      <c r="N234" s="1" t="str">
        <f t="shared" si="22"/>
        <v/>
      </c>
      <c r="O234" s="1" t="str">
        <f t="shared" si="23"/>
        <v/>
      </c>
      <c r="P234" s="1" t="str">
        <f t="shared" si="24"/>
        <v/>
      </c>
      <c r="Q234" s="1" t="str">
        <f t="shared" si="25"/>
        <v/>
      </c>
      <c r="R234" s="1" t="str">
        <f t="shared" si="26"/>
        <v/>
      </c>
      <c r="AA234" s="1" t="str">
        <f t="shared" si="27"/>
        <v/>
      </c>
    </row>
    <row r="235" spans="13:27" x14ac:dyDescent="0.45">
      <c r="M235" s="1" t="str">
        <f t="shared" si="21"/>
        <v/>
      </c>
      <c r="N235" s="1" t="str">
        <f t="shared" si="22"/>
        <v/>
      </c>
      <c r="O235" s="1" t="str">
        <f t="shared" si="23"/>
        <v/>
      </c>
      <c r="P235" s="1" t="str">
        <f t="shared" si="24"/>
        <v/>
      </c>
      <c r="Q235" s="1" t="str">
        <f t="shared" si="25"/>
        <v/>
      </c>
      <c r="R235" s="1" t="str">
        <f t="shared" si="26"/>
        <v/>
      </c>
      <c r="AA235" s="1" t="str">
        <f t="shared" si="27"/>
        <v/>
      </c>
    </row>
    <row r="236" spans="13:27" x14ac:dyDescent="0.45">
      <c r="M236" s="1" t="str">
        <f t="shared" si="21"/>
        <v/>
      </c>
      <c r="N236" s="1" t="str">
        <f t="shared" si="22"/>
        <v/>
      </c>
      <c r="O236" s="1" t="str">
        <f t="shared" si="23"/>
        <v/>
      </c>
      <c r="P236" s="1" t="str">
        <f t="shared" si="24"/>
        <v/>
      </c>
      <c r="Q236" s="1" t="str">
        <f t="shared" si="25"/>
        <v/>
      </c>
      <c r="R236" s="1" t="str">
        <f t="shared" si="26"/>
        <v/>
      </c>
      <c r="AA236" s="1" t="str">
        <f t="shared" si="27"/>
        <v/>
      </c>
    </row>
    <row r="237" spans="13:27" x14ac:dyDescent="0.45">
      <c r="M237" s="1" t="str">
        <f t="shared" si="21"/>
        <v/>
      </c>
      <c r="N237" s="1" t="str">
        <f t="shared" si="22"/>
        <v/>
      </c>
      <c r="O237" s="1" t="str">
        <f t="shared" si="23"/>
        <v/>
      </c>
      <c r="P237" s="1" t="str">
        <f t="shared" si="24"/>
        <v/>
      </c>
      <c r="Q237" s="1" t="str">
        <f t="shared" si="25"/>
        <v/>
      </c>
      <c r="R237" s="1" t="str">
        <f t="shared" si="26"/>
        <v/>
      </c>
      <c r="AA237" s="1" t="str">
        <f t="shared" si="27"/>
        <v/>
      </c>
    </row>
    <row r="238" spans="13:27" x14ac:dyDescent="0.45">
      <c r="M238" s="1" t="str">
        <f t="shared" si="21"/>
        <v/>
      </c>
      <c r="N238" s="1" t="str">
        <f t="shared" si="22"/>
        <v/>
      </c>
      <c r="O238" s="1" t="str">
        <f t="shared" si="23"/>
        <v/>
      </c>
      <c r="P238" s="1" t="str">
        <f t="shared" si="24"/>
        <v/>
      </c>
      <c r="Q238" s="1" t="str">
        <f t="shared" si="25"/>
        <v/>
      </c>
      <c r="R238" s="1" t="str">
        <f t="shared" si="26"/>
        <v/>
      </c>
      <c r="AA238" s="1" t="str">
        <f t="shared" si="27"/>
        <v/>
      </c>
    </row>
    <row r="239" spans="13:27" x14ac:dyDescent="0.45">
      <c r="M239" s="1" t="str">
        <f t="shared" si="21"/>
        <v/>
      </c>
      <c r="N239" s="1" t="str">
        <f t="shared" si="22"/>
        <v/>
      </c>
      <c r="O239" s="1" t="str">
        <f t="shared" si="23"/>
        <v/>
      </c>
      <c r="P239" s="1" t="str">
        <f t="shared" si="24"/>
        <v/>
      </c>
      <c r="Q239" s="1" t="str">
        <f t="shared" si="25"/>
        <v/>
      </c>
      <c r="R239" s="1" t="str">
        <f t="shared" si="26"/>
        <v/>
      </c>
      <c r="AA239" s="1" t="str">
        <f t="shared" si="27"/>
        <v/>
      </c>
    </row>
    <row r="240" spans="13:27" x14ac:dyDescent="0.45">
      <c r="M240" s="1" t="str">
        <f t="shared" si="21"/>
        <v/>
      </c>
      <c r="N240" s="1" t="str">
        <f t="shared" si="22"/>
        <v/>
      </c>
      <c r="O240" s="1" t="str">
        <f t="shared" si="23"/>
        <v/>
      </c>
      <c r="P240" s="1" t="str">
        <f t="shared" si="24"/>
        <v/>
      </c>
      <c r="Q240" s="1" t="str">
        <f t="shared" si="25"/>
        <v/>
      </c>
      <c r="R240" s="1" t="str">
        <f t="shared" si="26"/>
        <v/>
      </c>
      <c r="AA240" s="1" t="str">
        <f t="shared" si="27"/>
        <v/>
      </c>
    </row>
    <row r="241" spans="13:27" x14ac:dyDescent="0.45">
      <c r="M241" s="1" t="str">
        <f t="shared" si="21"/>
        <v/>
      </c>
      <c r="N241" s="1" t="str">
        <f t="shared" si="22"/>
        <v/>
      </c>
      <c r="O241" s="1" t="str">
        <f t="shared" si="23"/>
        <v/>
      </c>
      <c r="P241" s="1" t="str">
        <f t="shared" si="24"/>
        <v/>
      </c>
      <c r="Q241" s="1" t="str">
        <f t="shared" si="25"/>
        <v/>
      </c>
      <c r="R241" s="1" t="str">
        <f t="shared" si="26"/>
        <v/>
      </c>
      <c r="AA241" s="1" t="str">
        <f t="shared" si="27"/>
        <v/>
      </c>
    </row>
    <row r="242" spans="13:27" x14ac:dyDescent="0.45">
      <c r="M242" s="1" t="str">
        <f t="shared" si="21"/>
        <v/>
      </c>
      <c r="N242" s="1" t="str">
        <f t="shared" si="22"/>
        <v/>
      </c>
      <c r="O242" s="1" t="str">
        <f t="shared" si="23"/>
        <v/>
      </c>
      <c r="P242" s="1" t="str">
        <f t="shared" si="24"/>
        <v/>
      </c>
      <c r="Q242" s="1" t="str">
        <f t="shared" si="25"/>
        <v/>
      </c>
      <c r="R242" s="1" t="str">
        <f t="shared" si="26"/>
        <v/>
      </c>
      <c r="AA242" s="1" t="str">
        <f t="shared" si="27"/>
        <v/>
      </c>
    </row>
    <row r="243" spans="13:27" x14ac:dyDescent="0.45">
      <c r="M243" s="1" t="str">
        <f t="shared" si="21"/>
        <v/>
      </c>
      <c r="N243" s="1" t="str">
        <f t="shared" si="22"/>
        <v/>
      </c>
      <c r="O243" s="1" t="str">
        <f t="shared" si="23"/>
        <v/>
      </c>
      <c r="P243" s="1" t="str">
        <f t="shared" si="24"/>
        <v/>
      </c>
      <c r="Q243" s="1" t="str">
        <f t="shared" si="25"/>
        <v/>
      </c>
      <c r="R243" s="1" t="str">
        <f t="shared" si="26"/>
        <v/>
      </c>
      <c r="AA243" s="1" t="str">
        <f t="shared" si="27"/>
        <v/>
      </c>
    </row>
    <row r="244" spans="13:27" x14ac:dyDescent="0.45">
      <c r="M244" s="1" t="str">
        <f t="shared" si="21"/>
        <v/>
      </c>
      <c r="N244" s="1" t="str">
        <f t="shared" si="22"/>
        <v/>
      </c>
      <c r="O244" s="1" t="str">
        <f t="shared" si="23"/>
        <v/>
      </c>
      <c r="P244" s="1" t="str">
        <f t="shared" si="24"/>
        <v/>
      </c>
      <c r="Q244" s="1" t="str">
        <f t="shared" si="25"/>
        <v/>
      </c>
      <c r="R244" s="1" t="str">
        <f t="shared" si="26"/>
        <v/>
      </c>
      <c r="AA244" s="1" t="str">
        <f t="shared" si="27"/>
        <v/>
      </c>
    </row>
    <row r="245" spans="13:27" x14ac:dyDescent="0.45">
      <c r="M245" s="1" t="str">
        <f t="shared" si="21"/>
        <v/>
      </c>
      <c r="N245" s="1" t="str">
        <f t="shared" si="22"/>
        <v/>
      </c>
      <c r="O245" s="1" t="str">
        <f t="shared" si="23"/>
        <v/>
      </c>
      <c r="P245" s="1" t="str">
        <f t="shared" si="24"/>
        <v/>
      </c>
      <c r="Q245" s="1" t="str">
        <f t="shared" si="25"/>
        <v/>
      </c>
      <c r="R245" s="1" t="str">
        <f t="shared" si="26"/>
        <v/>
      </c>
      <c r="AA245" s="1" t="str">
        <f t="shared" si="27"/>
        <v/>
      </c>
    </row>
    <row r="246" spans="13:27" x14ac:dyDescent="0.45">
      <c r="M246" s="1" t="str">
        <f t="shared" si="21"/>
        <v/>
      </c>
      <c r="N246" s="1" t="str">
        <f t="shared" si="22"/>
        <v/>
      </c>
      <c r="O246" s="1" t="str">
        <f t="shared" si="23"/>
        <v/>
      </c>
      <c r="P246" s="1" t="str">
        <f t="shared" si="24"/>
        <v/>
      </c>
      <c r="Q246" s="1" t="str">
        <f t="shared" si="25"/>
        <v/>
      </c>
      <c r="R246" s="1" t="str">
        <f t="shared" si="26"/>
        <v/>
      </c>
      <c r="AA246" s="1" t="str">
        <f t="shared" si="27"/>
        <v/>
      </c>
    </row>
    <row r="247" spans="13:27" x14ac:dyDescent="0.45">
      <c r="M247" s="1" t="str">
        <f t="shared" si="21"/>
        <v/>
      </c>
      <c r="N247" s="1" t="str">
        <f t="shared" si="22"/>
        <v/>
      </c>
      <c r="O247" s="1" t="str">
        <f t="shared" si="23"/>
        <v/>
      </c>
      <c r="P247" s="1" t="str">
        <f t="shared" si="24"/>
        <v/>
      </c>
      <c r="Q247" s="1" t="str">
        <f t="shared" si="25"/>
        <v/>
      </c>
      <c r="R247" s="1" t="str">
        <f t="shared" si="26"/>
        <v/>
      </c>
      <c r="AA247" s="1" t="str">
        <f t="shared" si="27"/>
        <v/>
      </c>
    </row>
    <row r="248" spans="13:27" x14ac:dyDescent="0.45">
      <c r="M248" s="1" t="str">
        <f t="shared" si="21"/>
        <v/>
      </c>
      <c r="N248" s="1" t="str">
        <f t="shared" si="22"/>
        <v/>
      </c>
      <c r="O248" s="1" t="str">
        <f t="shared" si="23"/>
        <v/>
      </c>
      <c r="P248" s="1" t="str">
        <f t="shared" si="24"/>
        <v/>
      </c>
      <c r="Q248" s="1" t="str">
        <f t="shared" si="25"/>
        <v/>
      </c>
      <c r="R248" s="1" t="str">
        <f t="shared" si="26"/>
        <v/>
      </c>
      <c r="AA248" s="1" t="str">
        <f t="shared" si="27"/>
        <v/>
      </c>
    </row>
    <row r="249" spans="13:27" x14ac:dyDescent="0.45">
      <c r="M249" s="1" t="str">
        <f t="shared" si="21"/>
        <v/>
      </c>
      <c r="N249" s="1" t="str">
        <f t="shared" si="22"/>
        <v/>
      </c>
      <c r="O249" s="1" t="str">
        <f t="shared" si="23"/>
        <v/>
      </c>
      <c r="P249" s="1" t="str">
        <f t="shared" si="24"/>
        <v/>
      </c>
      <c r="Q249" s="1" t="str">
        <f t="shared" si="25"/>
        <v/>
      </c>
      <c r="R249" s="1" t="str">
        <f t="shared" si="26"/>
        <v/>
      </c>
      <c r="AA249" s="1" t="str">
        <f t="shared" si="27"/>
        <v/>
      </c>
    </row>
    <row r="250" spans="13:27" x14ac:dyDescent="0.45">
      <c r="M250" s="1" t="str">
        <f t="shared" si="21"/>
        <v/>
      </c>
      <c r="N250" s="1" t="str">
        <f t="shared" si="22"/>
        <v/>
      </c>
      <c r="O250" s="1" t="str">
        <f t="shared" si="23"/>
        <v/>
      </c>
      <c r="P250" s="1" t="str">
        <f t="shared" si="24"/>
        <v/>
      </c>
      <c r="Q250" s="1" t="str">
        <f t="shared" si="25"/>
        <v/>
      </c>
      <c r="R250" s="1" t="str">
        <f t="shared" si="26"/>
        <v/>
      </c>
      <c r="AA250" s="1" t="str">
        <f t="shared" si="27"/>
        <v/>
      </c>
    </row>
    <row r="251" spans="13:27" x14ac:dyDescent="0.45">
      <c r="M251" s="1" t="str">
        <f t="shared" si="21"/>
        <v/>
      </c>
      <c r="N251" s="1" t="str">
        <f t="shared" si="22"/>
        <v/>
      </c>
      <c r="O251" s="1" t="str">
        <f t="shared" si="23"/>
        <v/>
      </c>
      <c r="P251" s="1" t="str">
        <f t="shared" si="24"/>
        <v/>
      </c>
      <c r="Q251" s="1" t="str">
        <f t="shared" si="25"/>
        <v/>
      </c>
      <c r="R251" s="1" t="str">
        <f t="shared" si="26"/>
        <v/>
      </c>
      <c r="AA251" s="1" t="str">
        <f t="shared" si="27"/>
        <v/>
      </c>
    </row>
    <row r="252" spans="13:27" x14ac:dyDescent="0.45">
      <c r="M252" s="1" t="str">
        <f t="shared" si="21"/>
        <v/>
      </c>
      <c r="N252" s="1" t="str">
        <f t="shared" si="22"/>
        <v/>
      </c>
      <c r="O252" s="1" t="str">
        <f t="shared" si="23"/>
        <v/>
      </c>
      <c r="P252" s="1" t="str">
        <f t="shared" si="24"/>
        <v/>
      </c>
      <c r="Q252" s="1" t="str">
        <f t="shared" si="25"/>
        <v/>
      </c>
      <c r="R252" s="1" t="str">
        <f t="shared" si="26"/>
        <v/>
      </c>
      <c r="AA252" s="1" t="str">
        <f t="shared" si="27"/>
        <v/>
      </c>
    </row>
    <row r="253" spans="13:27" x14ac:dyDescent="0.45">
      <c r="M253" s="1" t="str">
        <f t="shared" si="21"/>
        <v/>
      </c>
      <c r="N253" s="1" t="str">
        <f t="shared" si="22"/>
        <v/>
      </c>
      <c r="O253" s="1" t="str">
        <f t="shared" si="23"/>
        <v/>
      </c>
      <c r="P253" s="1" t="str">
        <f t="shared" si="24"/>
        <v/>
      </c>
      <c r="Q253" s="1" t="str">
        <f t="shared" si="25"/>
        <v/>
      </c>
      <c r="R253" s="1" t="str">
        <f t="shared" si="26"/>
        <v/>
      </c>
      <c r="AA253" s="1" t="str">
        <f t="shared" si="27"/>
        <v/>
      </c>
    </row>
    <row r="254" spans="13:27" x14ac:dyDescent="0.45">
      <c r="M254" s="1" t="str">
        <f t="shared" si="21"/>
        <v/>
      </c>
      <c r="N254" s="1" t="str">
        <f t="shared" si="22"/>
        <v/>
      </c>
      <c r="O254" s="1" t="str">
        <f t="shared" si="23"/>
        <v/>
      </c>
      <c r="P254" s="1" t="str">
        <f t="shared" si="24"/>
        <v/>
      </c>
      <c r="Q254" s="1" t="str">
        <f t="shared" si="25"/>
        <v/>
      </c>
      <c r="R254" s="1" t="str">
        <f t="shared" si="26"/>
        <v/>
      </c>
      <c r="AA254" s="1" t="str">
        <f t="shared" si="27"/>
        <v/>
      </c>
    </row>
    <row r="255" spans="13:27" x14ac:dyDescent="0.45">
      <c r="M255" s="1" t="str">
        <f t="shared" si="21"/>
        <v/>
      </c>
      <c r="N255" s="1" t="str">
        <f t="shared" si="22"/>
        <v/>
      </c>
      <c r="O255" s="1" t="str">
        <f t="shared" si="23"/>
        <v/>
      </c>
      <c r="P255" s="1" t="str">
        <f t="shared" si="24"/>
        <v/>
      </c>
      <c r="Q255" s="1" t="str">
        <f t="shared" si="25"/>
        <v/>
      </c>
      <c r="R255" s="1" t="str">
        <f t="shared" si="26"/>
        <v/>
      </c>
      <c r="AA255" s="1" t="str">
        <f t="shared" si="27"/>
        <v/>
      </c>
    </row>
    <row r="256" spans="13:27" x14ac:dyDescent="0.45">
      <c r="M256" s="1" t="str">
        <f t="shared" si="21"/>
        <v/>
      </c>
      <c r="N256" s="1" t="str">
        <f t="shared" si="22"/>
        <v/>
      </c>
      <c r="O256" s="1" t="str">
        <f t="shared" si="23"/>
        <v/>
      </c>
      <c r="P256" s="1" t="str">
        <f t="shared" si="24"/>
        <v/>
      </c>
      <c r="Q256" s="1" t="str">
        <f t="shared" si="25"/>
        <v/>
      </c>
      <c r="R256" s="1" t="str">
        <f t="shared" si="26"/>
        <v/>
      </c>
      <c r="AA256" s="1" t="str">
        <f t="shared" si="27"/>
        <v/>
      </c>
    </row>
    <row r="257" spans="13:27" x14ac:dyDescent="0.45">
      <c r="M257" s="1" t="str">
        <f t="shared" si="21"/>
        <v/>
      </c>
      <c r="N257" s="1" t="str">
        <f t="shared" si="22"/>
        <v/>
      </c>
      <c r="O257" s="1" t="str">
        <f t="shared" si="23"/>
        <v/>
      </c>
      <c r="P257" s="1" t="str">
        <f t="shared" si="24"/>
        <v/>
      </c>
      <c r="Q257" s="1" t="str">
        <f t="shared" si="25"/>
        <v/>
      </c>
      <c r="R257" s="1" t="str">
        <f t="shared" si="26"/>
        <v/>
      </c>
      <c r="AA257" s="1" t="str">
        <f t="shared" si="27"/>
        <v/>
      </c>
    </row>
    <row r="258" spans="13:27" x14ac:dyDescent="0.45">
      <c r="M258" s="1" t="str">
        <f t="shared" ref="M258:M321" si="28">IF(OR($F258="",$G258=""),"",HYPERLINK("https://www.google.com/maps?q="&amp;$F258&amp;","&amp;$G258&amp;"","Map"))</f>
        <v/>
      </c>
      <c r="N258" s="1" t="str">
        <f t="shared" ref="N258:N321" si="29">IF(OR($F258="",$G258=""),"",HYPERLINK("https://www.google.com/maps?q&amp;layer=c&amp;cbll="&amp;$F258&amp;","&amp;$G258&amp;"","Street"))</f>
        <v/>
      </c>
      <c r="O258" s="1" t="str">
        <f t="shared" ref="O258:O321" si="30">IF(OR($F258="",$G258=""),"",HYPERLINK("https://www.bing.com/maps?cp="&amp;$F258&amp;"~"&amp;$G258&amp;"&amp;lvl=18&amp;style=h","Bing"))</f>
        <v/>
      </c>
      <c r="P258" s="1" t="str">
        <f t="shared" ref="P258:P321" si="31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32">IF(OR($F258="",$G258=""),"",HYPERLINK("https://msc.fema.gov/portal/firmette?latitude="&amp;$F258&amp;"&amp;longitude="&amp;$G258&amp;"","FIRMette"))</f>
        <v/>
      </c>
      <c r="R258" s="1" t="str">
        <f t="shared" ref="R258:R321" si="33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AA258" s="1" t="str">
        <f t="shared" ref="AA258:AA321" si="34">IF(OR(_xlfn.SINGLE(JobAgolMap)="", $F258="", $G258=""),"",HYPERLINK(_xlfn.SINGLE(JobAgolMap)&amp;IF(ISNUMBER(FIND("?",_xlfn.SINGLE(JobAgolMap))),"&amp;","?")&amp;"center="&amp;$G258&amp;","&amp;$F258&amp;"&amp;level=16&amp;marker="&amp;$G258&amp;","&amp;$F258,"Open"))</f>
        <v/>
      </c>
    </row>
    <row r="259" spans="13:27" x14ac:dyDescent="0.45">
      <c r="M259" s="1" t="str">
        <f t="shared" si="28"/>
        <v/>
      </c>
      <c r="N259" s="1" t="str">
        <f t="shared" si="29"/>
        <v/>
      </c>
      <c r="O259" s="1" t="str">
        <f t="shared" si="30"/>
        <v/>
      </c>
      <c r="P259" s="1" t="str">
        <f t="shared" si="31"/>
        <v/>
      </c>
      <c r="Q259" s="1" t="str">
        <f t="shared" si="32"/>
        <v/>
      </c>
      <c r="R259" s="1" t="str">
        <f t="shared" si="33"/>
        <v/>
      </c>
      <c r="AA259" s="1" t="str">
        <f t="shared" si="34"/>
        <v/>
      </c>
    </row>
    <row r="260" spans="13:27" x14ac:dyDescent="0.45">
      <c r="M260" s="1" t="str">
        <f t="shared" si="28"/>
        <v/>
      </c>
      <c r="N260" s="1" t="str">
        <f t="shared" si="29"/>
        <v/>
      </c>
      <c r="O260" s="1" t="str">
        <f t="shared" si="30"/>
        <v/>
      </c>
      <c r="P260" s="1" t="str">
        <f t="shared" si="31"/>
        <v/>
      </c>
      <c r="Q260" s="1" t="str">
        <f t="shared" si="32"/>
        <v/>
      </c>
      <c r="R260" s="1" t="str">
        <f t="shared" si="33"/>
        <v/>
      </c>
      <c r="AA260" s="1" t="str">
        <f t="shared" si="34"/>
        <v/>
      </c>
    </row>
    <row r="261" spans="13:27" x14ac:dyDescent="0.45">
      <c r="M261" s="1" t="str">
        <f t="shared" si="28"/>
        <v/>
      </c>
      <c r="N261" s="1" t="str">
        <f t="shared" si="29"/>
        <v/>
      </c>
      <c r="O261" s="1" t="str">
        <f t="shared" si="30"/>
        <v/>
      </c>
      <c r="P261" s="1" t="str">
        <f t="shared" si="31"/>
        <v/>
      </c>
      <c r="Q261" s="1" t="str">
        <f t="shared" si="32"/>
        <v/>
      </c>
      <c r="R261" s="1" t="str">
        <f t="shared" si="33"/>
        <v/>
      </c>
      <c r="AA261" s="1" t="str">
        <f t="shared" si="34"/>
        <v/>
      </c>
    </row>
    <row r="262" spans="13:27" x14ac:dyDescent="0.45">
      <c r="M262" s="1" t="str">
        <f t="shared" si="28"/>
        <v/>
      </c>
      <c r="N262" s="1" t="str">
        <f t="shared" si="29"/>
        <v/>
      </c>
      <c r="O262" s="1" t="str">
        <f t="shared" si="30"/>
        <v/>
      </c>
      <c r="P262" s="1" t="str">
        <f t="shared" si="31"/>
        <v/>
      </c>
      <c r="Q262" s="1" t="str">
        <f t="shared" si="32"/>
        <v/>
      </c>
      <c r="R262" s="1" t="str">
        <f t="shared" si="33"/>
        <v/>
      </c>
      <c r="AA262" s="1" t="str">
        <f t="shared" si="34"/>
        <v/>
      </c>
    </row>
    <row r="263" spans="13:27" x14ac:dyDescent="0.45">
      <c r="M263" s="1" t="str">
        <f t="shared" si="28"/>
        <v/>
      </c>
      <c r="N263" s="1" t="str">
        <f t="shared" si="29"/>
        <v/>
      </c>
      <c r="O263" s="1" t="str">
        <f t="shared" si="30"/>
        <v/>
      </c>
      <c r="P263" s="1" t="str">
        <f t="shared" si="31"/>
        <v/>
      </c>
      <c r="Q263" s="1" t="str">
        <f t="shared" si="32"/>
        <v/>
      </c>
      <c r="R263" s="1" t="str">
        <f t="shared" si="33"/>
        <v/>
      </c>
      <c r="AA263" s="1" t="str">
        <f t="shared" si="34"/>
        <v/>
      </c>
    </row>
    <row r="264" spans="13:27" x14ac:dyDescent="0.45">
      <c r="M264" s="1" t="str">
        <f t="shared" si="28"/>
        <v/>
      </c>
      <c r="N264" s="1" t="str">
        <f t="shared" si="29"/>
        <v/>
      </c>
      <c r="O264" s="1" t="str">
        <f t="shared" si="30"/>
        <v/>
      </c>
      <c r="P264" s="1" t="str">
        <f t="shared" si="31"/>
        <v/>
      </c>
      <c r="Q264" s="1" t="str">
        <f t="shared" si="32"/>
        <v/>
      </c>
      <c r="R264" s="1" t="str">
        <f t="shared" si="33"/>
        <v/>
      </c>
      <c r="AA264" s="1" t="str">
        <f t="shared" si="34"/>
        <v/>
      </c>
    </row>
    <row r="265" spans="13:27" x14ac:dyDescent="0.45">
      <c r="M265" s="1" t="str">
        <f t="shared" si="28"/>
        <v/>
      </c>
      <c r="N265" s="1" t="str">
        <f t="shared" si="29"/>
        <v/>
      </c>
      <c r="O265" s="1" t="str">
        <f t="shared" si="30"/>
        <v/>
      </c>
      <c r="P265" s="1" t="str">
        <f t="shared" si="31"/>
        <v/>
      </c>
      <c r="Q265" s="1" t="str">
        <f t="shared" si="32"/>
        <v/>
      </c>
      <c r="R265" s="1" t="str">
        <f t="shared" si="33"/>
        <v/>
      </c>
      <c r="AA265" s="1" t="str">
        <f t="shared" si="34"/>
        <v/>
      </c>
    </row>
    <row r="266" spans="13:27" x14ac:dyDescent="0.45">
      <c r="M266" s="1" t="str">
        <f t="shared" si="28"/>
        <v/>
      </c>
      <c r="N266" s="1" t="str">
        <f t="shared" si="29"/>
        <v/>
      </c>
      <c r="O266" s="1" t="str">
        <f t="shared" si="30"/>
        <v/>
      </c>
      <c r="P266" s="1" t="str">
        <f t="shared" si="31"/>
        <v/>
      </c>
      <c r="Q266" s="1" t="str">
        <f t="shared" si="32"/>
        <v/>
      </c>
      <c r="R266" s="1" t="str">
        <f t="shared" si="33"/>
        <v/>
      </c>
      <c r="AA266" s="1" t="str">
        <f t="shared" si="34"/>
        <v/>
      </c>
    </row>
    <row r="267" spans="13:27" x14ac:dyDescent="0.45">
      <c r="M267" s="1" t="str">
        <f t="shared" si="28"/>
        <v/>
      </c>
      <c r="N267" s="1" t="str">
        <f t="shared" si="29"/>
        <v/>
      </c>
      <c r="O267" s="1" t="str">
        <f t="shared" si="30"/>
        <v/>
      </c>
      <c r="P267" s="1" t="str">
        <f t="shared" si="31"/>
        <v/>
      </c>
      <c r="Q267" s="1" t="str">
        <f t="shared" si="32"/>
        <v/>
      </c>
      <c r="R267" s="1" t="str">
        <f t="shared" si="33"/>
        <v/>
      </c>
      <c r="AA267" s="1" t="str">
        <f t="shared" si="34"/>
        <v/>
      </c>
    </row>
    <row r="268" spans="13:27" x14ac:dyDescent="0.45">
      <c r="M268" s="1" t="str">
        <f t="shared" si="28"/>
        <v/>
      </c>
      <c r="N268" s="1" t="str">
        <f t="shared" si="29"/>
        <v/>
      </c>
      <c r="O268" s="1" t="str">
        <f t="shared" si="30"/>
        <v/>
      </c>
      <c r="P268" s="1" t="str">
        <f t="shared" si="31"/>
        <v/>
      </c>
      <c r="Q268" s="1" t="str">
        <f t="shared" si="32"/>
        <v/>
      </c>
      <c r="R268" s="1" t="str">
        <f t="shared" si="33"/>
        <v/>
      </c>
      <c r="AA268" s="1" t="str">
        <f t="shared" si="34"/>
        <v/>
      </c>
    </row>
    <row r="269" spans="13:27" x14ac:dyDescent="0.45">
      <c r="M269" s="1" t="str">
        <f t="shared" si="28"/>
        <v/>
      </c>
      <c r="N269" s="1" t="str">
        <f t="shared" si="29"/>
        <v/>
      </c>
      <c r="O269" s="1" t="str">
        <f t="shared" si="30"/>
        <v/>
      </c>
      <c r="P269" s="1" t="str">
        <f t="shared" si="31"/>
        <v/>
      </c>
      <c r="Q269" s="1" t="str">
        <f t="shared" si="32"/>
        <v/>
      </c>
      <c r="R269" s="1" t="str">
        <f t="shared" si="33"/>
        <v/>
      </c>
      <c r="AA269" s="1" t="str">
        <f t="shared" si="34"/>
        <v/>
      </c>
    </row>
    <row r="270" spans="13:27" x14ac:dyDescent="0.45">
      <c r="M270" s="1" t="str">
        <f t="shared" si="28"/>
        <v/>
      </c>
      <c r="N270" s="1" t="str">
        <f t="shared" si="29"/>
        <v/>
      </c>
      <c r="O270" s="1" t="str">
        <f t="shared" si="30"/>
        <v/>
      </c>
      <c r="P270" s="1" t="str">
        <f t="shared" si="31"/>
        <v/>
      </c>
      <c r="Q270" s="1" t="str">
        <f t="shared" si="32"/>
        <v/>
      </c>
      <c r="R270" s="1" t="str">
        <f t="shared" si="33"/>
        <v/>
      </c>
      <c r="AA270" s="1" t="str">
        <f t="shared" si="34"/>
        <v/>
      </c>
    </row>
    <row r="271" spans="13:27" x14ac:dyDescent="0.45">
      <c r="M271" s="1" t="str">
        <f t="shared" si="28"/>
        <v/>
      </c>
      <c r="N271" s="1" t="str">
        <f t="shared" si="29"/>
        <v/>
      </c>
      <c r="O271" s="1" t="str">
        <f t="shared" si="30"/>
        <v/>
      </c>
      <c r="P271" s="1" t="str">
        <f t="shared" si="31"/>
        <v/>
      </c>
      <c r="Q271" s="1" t="str">
        <f t="shared" si="32"/>
        <v/>
      </c>
      <c r="R271" s="1" t="str">
        <f t="shared" si="33"/>
        <v/>
      </c>
      <c r="AA271" s="1" t="str">
        <f t="shared" si="34"/>
        <v/>
      </c>
    </row>
    <row r="272" spans="13:27" x14ac:dyDescent="0.45">
      <c r="M272" s="1" t="str">
        <f t="shared" si="28"/>
        <v/>
      </c>
      <c r="N272" s="1" t="str">
        <f t="shared" si="29"/>
        <v/>
      </c>
      <c r="O272" s="1" t="str">
        <f t="shared" si="30"/>
        <v/>
      </c>
      <c r="P272" s="1" t="str">
        <f t="shared" si="31"/>
        <v/>
      </c>
      <c r="Q272" s="1" t="str">
        <f t="shared" si="32"/>
        <v/>
      </c>
      <c r="R272" s="1" t="str">
        <f t="shared" si="33"/>
        <v/>
      </c>
      <c r="AA272" s="1" t="str">
        <f t="shared" si="34"/>
        <v/>
      </c>
    </row>
    <row r="273" spans="13:27" x14ac:dyDescent="0.45">
      <c r="M273" s="1" t="str">
        <f t="shared" si="28"/>
        <v/>
      </c>
      <c r="N273" s="1" t="str">
        <f t="shared" si="29"/>
        <v/>
      </c>
      <c r="O273" s="1" t="str">
        <f t="shared" si="30"/>
        <v/>
      </c>
      <c r="P273" s="1" t="str">
        <f t="shared" si="31"/>
        <v/>
      </c>
      <c r="Q273" s="1" t="str">
        <f t="shared" si="32"/>
        <v/>
      </c>
      <c r="R273" s="1" t="str">
        <f t="shared" si="33"/>
        <v/>
      </c>
      <c r="AA273" s="1" t="str">
        <f t="shared" si="34"/>
        <v/>
      </c>
    </row>
    <row r="274" spans="13:27" x14ac:dyDescent="0.45">
      <c r="M274" s="1" t="str">
        <f t="shared" si="28"/>
        <v/>
      </c>
      <c r="N274" s="1" t="str">
        <f t="shared" si="29"/>
        <v/>
      </c>
      <c r="O274" s="1" t="str">
        <f t="shared" si="30"/>
        <v/>
      </c>
      <c r="P274" s="1" t="str">
        <f t="shared" si="31"/>
        <v/>
      </c>
      <c r="Q274" s="1" t="str">
        <f t="shared" si="32"/>
        <v/>
      </c>
      <c r="R274" s="1" t="str">
        <f t="shared" si="33"/>
        <v/>
      </c>
      <c r="AA274" s="1" t="str">
        <f t="shared" si="34"/>
        <v/>
      </c>
    </row>
    <row r="275" spans="13:27" x14ac:dyDescent="0.45">
      <c r="M275" s="1" t="str">
        <f t="shared" si="28"/>
        <v/>
      </c>
      <c r="N275" s="1" t="str">
        <f t="shared" si="29"/>
        <v/>
      </c>
      <c r="O275" s="1" t="str">
        <f t="shared" si="30"/>
        <v/>
      </c>
      <c r="P275" s="1" t="str">
        <f t="shared" si="31"/>
        <v/>
      </c>
      <c r="Q275" s="1" t="str">
        <f t="shared" si="32"/>
        <v/>
      </c>
      <c r="R275" s="1" t="str">
        <f t="shared" si="33"/>
        <v/>
      </c>
      <c r="AA275" s="1" t="str">
        <f t="shared" si="34"/>
        <v/>
      </c>
    </row>
    <row r="276" spans="13:27" x14ac:dyDescent="0.45">
      <c r="M276" s="1" t="str">
        <f t="shared" si="28"/>
        <v/>
      </c>
      <c r="N276" s="1" t="str">
        <f t="shared" si="29"/>
        <v/>
      </c>
      <c r="O276" s="1" t="str">
        <f t="shared" si="30"/>
        <v/>
      </c>
      <c r="P276" s="1" t="str">
        <f t="shared" si="31"/>
        <v/>
      </c>
      <c r="Q276" s="1" t="str">
        <f t="shared" si="32"/>
        <v/>
      </c>
      <c r="R276" s="1" t="str">
        <f t="shared" si="33"/>
        <v/>
      </c>
      <c r="AA276" s="1" t="str">
        <f t="shared" si="34"/>
        <v/>
      </c>
    </row>
    <row r="277" spans="13:27" x14ac:dyDescent="0.45">
      <c r="M277" s="1" t="str">
        <f t="shared" si="28"/>
        <v/>
      </c>
      <c r="N277" s="1" t="str">
        <f t="shared" si="29"/>
        <v/>
      </c>
      <c r="O277" s="1" t="str">
        <f t="shared" si="30"/>
        <v/>
      </c>
      <c r="P277" s="1" t="str">
        <f t="shared" si="31"/>
        <v/>
      </c>
      <c r="Q277" s="1" t="str">
        <f t="shared" si="32"/>
        <v/>
      </c>
      <c r="R277" s="1" t="str">
        <f t="shared" si="33"/>
        <v/>
      </c>
      <c r="AA277" s="1" t="str">
        <f t="shared" si="34"/>
        <v/>
      </c>
    </row>
    <row r="278" spans="13:27" x14ac:dyDescent="0.45">
      <c r="M278" s="1" t="str">
        <f t="shared" si="28"/>
        <v/>
      </c>
      <c r="N278" s="1" t="str">
        <f t="shared" si="29"/>
        <v/>
      </c>
      <c r="O278" s="1" t="str">
        <f t="shared" si="30"/>
        <v/>
      </c>
      <c r="P278" s="1" t="str">
        <f t="shared" si="31"/>
        <v/>
      </c>
      <c r="Q278" s="1" t="str">
        <f t="shared" si="32"/>
        <v/>
      </c>
      <c r="R278" s="1" t="str">
        <f t="shared" si="33"/>
        <v/>
      </c>
      <c r="AA278" s="1" t="str">
        <f t="shared" si="34"/>
        <v/>
      </c>
    </row>
    <row r="279" spans="13:27" x14ac:dyDescent="0.45">
      <c r="M279" s="1" t="str">
        <f t="shared" si="28"/>
        <v/>
      </c>
      <c r="N279" s="1" t="str">
        <f t="shared" si="29"/>
        <v/>
      </c>
      <c r="O279" s="1" t="str">
        <f t="shared" si="30"/>
        <v/>
      </c>
      <c r="P279" s="1" t="str">
        <f t="shared" si="31"/>
        <v/>
      </c>
      <c r="Q279" s="1" t="str">
        <f t="shared" si="32"/>
        <v/>
      </c>
      <c r="R279" s="1" t="str">
        <f t="shared" si="33"/>
        <v/>
      </c>
      <c r="AA279" s="1" t="str">
        <f t="shared" si="34"/>
        <v/>
      </c>
    </row>
    <row r="280" spans="13:27" x14ac:dyDescent="0.45">
      <c r="M280" s="1" t="str">
        <f t="shared" si="28"/>
        <v/>
      </c>
      <c r="N280" s="1" t="str">
        <f t="shared" si="29"/>
        <v/>
      </c>
      <c r="O280" s="1" t="str">
        <f t="shared" si="30"/>
        <v/>
      </c>
      <c r="P280" s="1" t="str">
        <f t="shared" si="31"/>
        <v/>
      </c>
      <c r="Q280" s="1" t="str">
        <f t="shared" si="32"/>
        <v/>
      </c>
      <c r="R280" s="1" t="str">
        <f t="shared" si="33"/>
        <v/>
      </c>
      <c r="AA280" s="1" t="str">
        <f t="shared" si="34"/>
        <v/>
      </c>
    </row>
    <row r="281" spans="13:27" x14ac:dyDescent="0.45">
      <c r="M281" s="1" t="str">
        <f t="shared" si="28"/>
        <v/>
      </c>
      <c r="N281" s="1" t="str">
        <f t="shared" si="29"/>
        <v/>
      </c>
      <c r="O281" s="1" t="str">
        <f t="shared" si="30"/>
        <v/>
      </c>
      <c r="P281" s="1" t="str">
        <f t="shared" si="31"/>
        <v/>
      </c>
      <c r="Q281" s="1" t="str">
        <f t="shared" si="32"/>
        <v/>
      </c>
      <c r="R281" s="1" t="str">
        <f t="shared" si="33"/>
        <v/>
      </c>
      <c r="AA281" s="1" t="str">
        <f t="shared" si="34"/>
        <v/>
      </c>
    </row>
    <row r="282" spans="13:27" x14ac:dyDescent="0.45">
      <c r="M282" s="1" t="str">
        <f t="shared" si="28"/>
        <v/>
      </c>
      <c r="N282" s="1" t="str">
        <f t="shared" si="29"/>
        <v/>
      </c>
      <c r="O282" s="1" t="str">
        <f t="shared" si="30"/>
        <v/>
      </c>
      <c r="P282" s="1" t="str">
        <f t="shared" si="31"/>
        <v/>
      </c>
      <c r="Q282" s="1" t="str">
        <f t="shared" si="32"/>
        <v/>
      </c>
      <c r="R282" s="1" t="str">
        <f t="shared" si="33"/>
        <v/>
      </c>
      <c r="AA282" s="1" t="str">
        <f t="shared" si="34"/>
        <v/>
      </c>
    </row>
    <row r="283" spans="13:27" x14ac:dyDescent="0.45">
      <c r="M283" s="1" t="str">
        <f t="shared" si="28"/>
        <v/>
      </c>
      <c r="N283" s="1" t="str">
        <f t="shared" si="29"/>
        <v/>
      </c>
      <c r="O283" s="1" t="str">
        <f t="shared" si="30"/>
        <v/>
      </c>
      <c r="P283" s="1" t="str">
        <f t="shared" si="31"/>
        <v/>
      </c>
      <c r="Q283" s="1" t="str">
        <f t="shared" si="32"/>
        <v/>
      </c>
      <c r="R283" s="1" t="str">
        <f t="shared" si="33"/>
        <v/>
      </c>
      <c r="AA283" s="1" t="str">
        <f t="shared" si="34"/>
        <v/>
      </c>
    </row>
    <row r="284" spans="13:27" x14ac:dyDescent="0.45">
      <c r="M284" s="1" t="str">
        <f t="shared" si="28"/>
        <v/>
      </c>
      <c r="N284" s="1" t="str">
        <f t="shared" si="29"/>
        <v/>
      </c>
      <c r="O284" s="1" t="str">
        <f t="shared" si="30"/>
        <v/>
      </c>
      <c r="P284" s="1" t="str">
        <f t="shared" si="31"/>
        <v/>
      </c>
      <c r="Q284" s="1" t="str">
        <f t="shared" si="32"/>
        <v/>
      </c>
      <c r="R284" s="1" t="str">
        <f t="shared" si="33"/>
        <v/>
      </c>
      <c r="AA284" s="1" t="str">
        <f t="shared" si="34"/>
        <v/>
      </c>
    </row>
    <row r="285" spans="13:27" x14ac:dyDescent="0.45">
      <c r="M285" s="1" t="str">
        <f t="shared" si="28"/>
        <v/>
      </c>
      <c r="N285" s="1" t="str">
        <f t="shared" si="29"/>
        <v/>
      </c>
      <c r="O285" s="1" t="str">
        <f t="shared" si="30"/>
        <v/>
      </c>
      <c r="P285" s="1" t="str">
        <f t="shared" si="31"/>
        <v/>
      </c>
      <c r="Q285" s="1" t="str">
        <f t="shared" si="32"/>
        <v/>
      </c>
      <c r="R285" s="1" t="str">
        <f t="shared" si="33"/>
        <v/>
      </c>
      <c r="AA285" s="1" t="str">
        <f t="shared" si="34"/>
        <v/>
      </c>
    </row>
    <row r="286" spans="13:27" x14ac:dyDescent="0.45">
      <c r="M286" s="1" t="str">
        <f t="shared" si="28"/>
        <v/>
      </c>
      <c r="N286" s="1" t="str">
        <f t="shared" si="29"/>
        <v/>
      </c>
      <c r="O286" s="1" t="str">
        <f t="shared" si="30"/>
        <v/>
      </c>
      <c r="P286" s="1" t="str">
        <f t="shared" si="31"/>
        <v/>
      </c>
      <c r="Q286" s="1" t="str">
        <f t="shared" si="32"/>
        <v/>
      </c>
      <c r="R286" s="1" t="str">
        <f t="shared" si="33"/>
        <v/>
      </c>
      <c r="AA286" s="1" t="str">
        <f t="shared" si="34"/>
        <v/>
      </c>
    </row>
    <row r="287" spans="13:27" x14ac:dyDescent="0.45">
      <c r="M287" s="1" t="str">
        <f t="shared" si="28"/>
        <v/>
      </c>
      <c r="N287" s="1" t="str">
        <f t="shared" si="29"/>
        <v/>
      </c>
      <c r="O287" s="1" t="str">
        <f t="shared" si="30"/>
        <v/>
      </c>
      <c r="P287" s="1" t="str">
        <f t="shared" si="31"/>
        <v/>
      </c>
      <c r="Q287" s="1" t="str">
        <f t="shared" si="32"/>
        <v/>
      </c>
      <c r="R287" s="1" t="str">
        <f t="shared" si="33"/>
        <v/>
      </c>
      <c r="AA287" s="1" t="str">
        <f t="shared" si="34"/>
        <v/>
      </c>
    </row>
    <row r="288" spans="13:27" x14ac:dyDescent="0.45">
      <c r="M288" s="1" t="str">
        <f t="shared" si="28"/>
        <v/>
      </c>
      <c r="N288" s="1" t="str">
        <f t="shared" si="29"/>
        <v/>
      </c>
      <c r="O288" s="1" t="str">
        <f t="shared" si="30"/>
        <v/>
      </c>
      <c r="P288" s="1" t="str">
        <f t="shared" si="31"/>
        <v/>
      </c>
      <c r="Q288" s="1" t="str">
        <f t="shared" si="32"/>
        <v/>
      </c>
      <c r="R288" s="1" t="str">
        <f t="shared" si="33"/>
        <v/>
      </c>
      <c r="AA288" s="1" t="str">
        <f t="shared" si="34"/>
        <v/>
      </c>
    </row>
    <row r="289" spans="13:27" x14ac:dyDescent="0.45">
      <c r="M289" s="1" t="str">
        <f t="shared" si="28"/>
        <v/>
      </c>
      <c r="N289" s="1" t="str">
        <f t="shared" si="29"/>
        <v/>
      </c>
      <c r="O289" s="1" t="str">
        <f t="shared" si="30"/>
        <v/>
      </c>
      <c r="P289" s="1" t="str">
        <f t="shared" si="31"/>
        <v/>
      </c>
      <c r="Q289" s="1" t="str">
        <f t="shared" si="32"/>
        <v/>
      </c>
      <c r="R289" s="1" t="str">
        <f t="shared" si="33"/>
        <v/>
      </c>
      <c r="AA289" s="1" t="str">
        <f t="shared" si="34"/>
        <v/>
      </c>
    </row>
    <row r="290" spans="13:27" x14ac:dyDescent="0.45">
      <c r="M290" s="1" t="str">
        <f t="shared" si="28"/>
        <v/>
      </c>
      <c r="N290" s="1" t="str">
        <f t="shared" si="29"/>
        <v/>
      </c>
      <c r="O290" s="1" t="str">
        <f t="shared" si="30"/>
        <v/>
      </c>
      <c r="P290" s="1" t="str">
        <f t="shared" si="31"/>
        <v/>
      </c>
      <c r="Q290" s="1" t="str">
        <f t="shared" si="32"/>
        <v/>
      </c>
      <c r="R290" s="1" t="str">
        <f t="shared" si="33"/>
        <v/>
      </c>
      <c r="AA290" s="1" t="str">
        <f t="shared" si="34"/>
        <v/>
      </c>
    </row>
    <row r="291" spans="13:27" x14ac:dyDescent="0.45">
      <c r="M291" s="1" t="str">
        <f t="shared" si="28"/>
        <v/>
      </c>
      <c r="N291" s="1" t="str">
        <f t="shared" si="29"/>
        <v/>
      </c>
      <c r="O291" s="1" t="str">
        <f t="shared" si="30"/>
        <v/>
      </c>
      <c r="P291" s="1" t="str">
        <f t="shared" si="31"/>
        <v/>
      </c>
      <c r="Q291" s="1" t="str">
        <f t="shared" si="32"/>
        <v/>
      </c>
      <c r="R291" s="1" t="str">
        <f t="shared" si="33"/>
        <v/>
      </c>
      <c r="AA291" s="1" t="str">
        <f t="shared" si="34"/>
        <v/>
      </c>
    </row>
    <row r="292" spans="13:27" x14ac:dyDescent="0.45">
      <c r="M292" s="1" t="str">
        <f t="shared" si="28"/>
        <v/>
      </c>
      <c r="N292" s="1" t="str">
        <f t="shared" si="29"/>
        <v/>
      </c>
      <c r="O292" s="1" t="str">
        <f t="shared" si="30"/>
        <v/>
      </c>
      <c r="P292" s="1" t="str">
        <f t="shared" si="31"/>
        <v/>
      </c>
      <c r="Q292" s="1" t="str">
        <f t="shared" si="32"/>
        <v/>
      </c>
      <c r="R292" s="1" t="str">
        <f t="shared" si="33"/>
        <v/>
      </c>
      <c r="AA292" s="1" t="str">
        <f t="shared" si="34"/>
        <v/>
      </c>
    </row>
    <row r="293" spans="13:27" x14ac:dyDescent="0.45">
      <c r="M293" s="1" t="str">
        <f t="shared" si="28"/>
        <v/>
      </c>
      <c r="N293" s="1" t="str">
        <f t="shared" si="29"/>
        <v/>
      </c>
      <c r="O293" s="1" t="str">
        <f t="shared" si="30"/>
        <v/>
      </c>
      <c r="P293" s="1" t="str">
        <f t="shared" si="31"/>
        <v/>
      </c>
      <c r="Q293" s="1" t="str">
        <f t="shared" si="32"/>
        <v/>
      </c>
      <c r="R293" s="1" t="str">
        <f t="shared" si="33"/>
        <v/>
      </c>
      <c r="AA293" s="1" t="str">
        <f t="shared" si="34"/>
        <v/>
      </c>
    </row>
    <row r="294" spans="13:27" x14ac:dyDescent="0.45">
      <c r="M294" s="1" t="str">
        <f t="shared" si="28"/>
        <v/>
      </c>
      <c r="N294" s="1" t="str">
        <f t="shared" si="29"/>
        <v/>
      </c>
      <c r="O294" s="1" t="str">
        <f t="shared" si="30"/>
        <v/>
      </c>
      <c r="P294" s="1" t="str">
        <f t="shared" si="31"/>
        <v/>
      </c>
      <c r="Q294" s="1" t="str">
        <f t="shared" si="32"/>
        <v/>
      </c>
      <c r="R294" s="1" t="str">
        <f t="shared" si="33"/>
        <v/>
      </c>
      <c r="AA294" s="1" t="str">
        <f t="shared" si="34"/>
        <v/>
      </c>
    </row>
    <row r="295" spans="13:27" x14ac:dyDescent="0.45">
      <c r="M295" s="1" t="str">
        <f t="shared" si="28"/>
        <v/>
      </c>
      <c r="N295" s="1" t="str">
        <f t="shared" si="29"/>
        <v/>
      </c>
      <c r="O295" s="1" t="str">
        <f t="shared" si="30"/>
        <v/>
      </c>
      <c r="P295" s="1" t="str">
        <f t="shared" si="31"/>
        <v/>
      </c>
      <c r="Q295" s="1" t="str">
        <f t="shared" si="32"/>
        <v/>
      </c>
      <c r="R295" s="1" t="str">
        <f t="shared" si="33"/>
        <v/>
      </c>
      <c r="AA295" s="1" t="str">
        <f t="shared" si="34"/>
        <v/>
      </c>
    </row>
    <row r="296" spans="13:27" x14ac:dyDescent="0.45">
      <c r="M296" s="1" t="str">
        <f t="shared" si="28"/>
        <v/>
      </c>
      <c r="N296" s="1" t="str">
        <f t="shared" si="29"/>
        <v/>
      </c>
      <c r="O296" s="1" t="str">
        <f t="shared" si="30"/>
        <v/>
      </c>
      <c r="P296" s="1" t="str">
        <f t="shared" si="31"/>
        <v/>
      </c>
      <c r="Q296" s="1" t="str">
        <f t="shared" si="32"/>
        <v/>
      </c>
      <c r="R296" s="1" t="str">
        <f t="shared" si="33"/>
        <v/>
      </c>
      <c r="AA296" s="1" t="str">
        <f t="shared" si="34"/>
        <v/>
      </c>
    </row>
    <row r="297" spans="13:27" x14ac:dyDescent="0.45">
      <c r="M297" s="1" t="str">
        <f t="shared" si="28"/>
        <v/>
      </c>
      <c r="N297" s="1" t="str">
        <f t="shared" si="29"/>
        <v/>
      </c>
      <c r="O297" s="1" t="str">
        <f t="shared" si="30"/>
        <v/>
      </c>
      <c r="P297" s="1" t="str">
        <f t="shared" si="31"/>
        <v/>
      </c>
      <c r="Q297" s="1" t="str">
        <f t="shared" si="32"/>
        <v/>
      </c>
      <c r="R297" s="1" t="str">
        <f t="shared" si="33"/>
        <v/>
      </c>
      <c r="AA297" s="1" t="str">
        <f t="shared" si="34"/>
        <v/>
      </c>
    </row>
    <row r="298" spans="13:27" x14ac:dyDescent="0.45">
      <c r="M298" s="1" t="str">
        <f t="shared" si="28"/>
        <v/>
      </c>
      <c r="N298" s="1" t="str">
        <f t="shared" si="29"/>
        <v/>
      </c>
      <c r="O298" s="1" t="str">
        <f t="shared" si="30"/>
        <v/>
      </c>
      <c r="P298" s="1" t="str">
        <f t="shared" si="31"/>
        <v/>
      </c>
      <c r="Q298" s="1" t="str">
        <f t="shared" si="32"/>
        <v/>
      </c>
      <c r="R298" s="1" t="str">
        <f t="shared" si="33"/>
        <v/>
      </c>
      <c r="AA298" s="1" t="str">
        <f t="shared" si="34"/>
        <v/>
      </c>
    </row>
    <row r="299" spans="13:27" x14ac:dyDescent="0.45">
      <c r="M299" s="1" t="str">
        <f t="shared" si="28"/>
        <v/>
      </c>
      <c r="N299" s="1" t="str">
        <f t="shared" si="29"/>
        <v/>
      </c>
      <c r="O299" s="1" t="str">
        <f t="shared" si="30"/>
        <v/>
      </c>
      <c r="P299" s="1" t="str">
        <f t="shared" si="31"/>
        <v/>
      </c>
      <c r="Q299" s="1" t="str">
        <f t="shared" si="32"/>
        <v/>
      </c>
      <c r="R299" s="1" t="str">
        <f t="shared" si="33"/>
        <v/>
      </c>
      <c r="AA299" s="1" t="str">
        <f t="shared" si="34"/>
        <v/>
      </c>
    </row>
    <row r="300" spans="13:27" x14ac:dyDescent="0.45">
      <c r="M300" s="1" t="str">
        <f t="shared" si="28"/>
        <v/>
      </c>
      <c r="N300" s="1" t="str">
        <f t="shared" si="29"/>
        <v/>
      </c>
      <c r="O300" s="1" t="str">
        <f t="shared" si="30"/>
        <v/>
      </c>
      <c r="P300" s="1" t="str">
        <f t="shared" si="31"/>
        <v/>
      </c>
      <c r="Q300" s="1" t="str">
        <f t="shared" si="32"/>
        <v/>
      </c>
      <c r="R300" s="1" t="str">
        <f t="shared" si="33"/>
        <v/>
      </c>
      <c r="AA300" s="1" t="str">
        <f t="shared" si="34"/>
        <v/>
      </c>
    </row>
    <row r="301" spans="13:27" x14ac:dyDescent="0.45">
      <c r="M301" s="1" t="str">
        <f t="shared" si="28"/>
        <v/>
      </c>
      <c r="N301" s="1" t="str">
        <f t="shared" si="29"/>
        <v/>
      </c>
      <c r="O301" s="1" t="str">
        <f t="shared" si="30"/>
        <v/>
      </c>
      <c r="P301" s="1" t="str">
        <f t="shared" si="31"/>
        <v/>
      </c>
      <c r="Q301" s="1" t="str">
        <f t="shared" si="32"/>
        <v/>
      </c>
      <c r="R301" s="1" t="str">
        <f t="shared" si="33"/>
        <v/>
      </c>
      <c r="AA301" s="1" t="str">
        <f t="shared" si="34"/>
        <v/>
      </c>
    </row>
    <row r="302" spans="13:27" x14ac:dyDescent="0.45">
      <c r="M302" s="1" t="str">
        <f t="shared" si="28"/>
        <v/>
      </c>
      <c r="N302" s="1" t="str">
        <f t="shared" si="29"/>
        <v/>
      </c>
      <c r="O302" s="1" t="str">
        <f t="shared" si="30"/>
        <v/>
      </c>
      <c r="P302" s="1" t="str">
        <f t="shared" si="31"/>
        <v/>
      </c>
      <c r="Q302" s="1" t="str">
        <f t="shared" si="32"/>
        <v/>
      </c>
      <c r="R302" s="1" t="str">
        <f t="shared" si="33"/>
        <v/>
      </c>
      <c r="AA302" s="1" t="str">
        <f t="shared" si="34"/>
        <v/>
      </c>
    </row>
    <row r="303" spans="13:27" x14ac:dyDescent="0.45">
      <c r="M303" s="1" t="str">
        <f t="shared" si="28"/>
        <v/>
      </c>
      <c r="N303" s="1" t="str">
        <f t="shared" si="29"/>
        <v/>
      </c>
      <c r="O303" s="1" t="str">
        <f t="shared" si="30"/>
        <v/>
      </c>
      <c r="P303" s="1" t="str">
        <f t="shared" si="31"/>
        <v/>
      </c>
      <c r="Q303" s="1" t="str">
        <f t="shared" si="32"/>
        <v/>
      </c>
      <c r="R303" s="1" t="str">
        <f t="shared" si="33"/>
        <v/>
      </c>
      <c r="AA303" s="1" t="str">
        <f t="shared" si="34"/>
        <v/>
      </c>
    </row>
    <row r="304" spans="13:27" x14ac:dyDescent="0.45">
      <c r="M304" s="1" t="str">
        <f t="shared" si="28"/>
        <v/>
      </c>
      <c r="N304" s="1" t="str">
        <f t="shared" si="29"/>
        <v/>
      </c>
      <c r="O304" s="1" t="str">
        <f t="shared" si="30"/>
        <v/>
      </c>
      <c r="P304" s="1" t="str">
        <f t="shared" si="31"/>
        <v/>
      </c>
      <c r="Q304" s="1" t="str">
        <f t="shared" si="32"/>
        <v/>
      </c>
      <c r="R304" s="1" t="str">
        <f t="shared" si="33"/>
        <v/>
      </c>
      <c r="AA304" s="1" t="str">
        <f t="shared" si="34"/>
        <v/>
      </c>
    </row>
    <row r="305" spans="13:27" x14ac:dyDescent="0.45">
      <c r="M305" s="1" t="str">
        <f t="shared" si="28"/>
        <v/>
      </c>
      <c r="N305" s="1" t="str">
        <f t="shared" si="29"/>
        <v/>
      </c>
      <c r="O305" s="1" t="str">
        <f t="shared" si="30"/>
        <v/>
      </c>
      <c r="P305" s="1" t="str">
        <f t="shared" si="31"/>
        <v/>
      </c>
      <c r="Q305" s="1" t="str">
        <f t="shared" si="32"/>
        <v/>
      </c>
      <c r="R305" s="1" t="str">
        <f t="shared" si="33"/>
        <v/>
      </c>
      <c r="AA305" s="1" t="str">
        <f t="shared" si="34"/>
        <v/>
      </c>
    </row>
    <row r="306" spans="13:27" x14ac:dyDescent="0.45">
      <c r="M306" s="1" t="str">
        <f t="shared" si="28"/>
        <v/>
      </c>
      <c r="N306" s="1" t="str">
        <f t="shared" si="29"/>
        <v/>
      </c>
      <c r="O306" s="1" t="str">
        <f t="shared" si="30"/>
        <v/>
      </c>
      <c r="P306" s="1" t="str">
        <f t="shared" si="31"/>
        <v/>
      </c>
      <c r="Q306" s="1" t="str">
        <f t="shared" si="32"/>
        <v/>
      </c>
      <c r="R306" s="1" t="str">
        <f t="shared" si="33"/>
        <v/>
      </c>
      <c r="AA306" s="1" t="str">
        <f t="shared" si="34"/>
        <v/>
      </c>
    </row>
    <row r="307" spans="13:27" x14ac:dyDescent="0.45">
      <c r="M307" s="1" t="str">
        <f t="shared" si="28"/>
        <v/>
      </c>
      <c r="N307" s="1" t="str">
        <f t="shared" si="29"/>
        <v/>
      </c>
      <c r="O307" s="1" t="str">
        <f t="shared" si="30"/>
        <v/>
      </c>
      <c r="P307" s="1" t="str">
        <f t="shared" si="31"/>
        <v/>
      </c>
      <c r="Q307" s="1" t="str">
        <f t="shared" si="32"/>
        <v/>
      </c>
      <c r="R307" s="1" t="str">
        <f t="shared" si="33"/>
        <v/>
      </c>
      <c r="AA307" s="1" t="str">
        <f t="shared" si="34"/>
        <v/>
      </c>
    </row>
    <row r="308" spans="13:27" x14ac:dyDescent="0.45">
      <c r="M308" s="1" t="str">
        <f t="shared" si="28"/>
        <v/>
      </c>
      <c r="N308" s="1" t="str">
        <f t="shared" si="29"/>
        <v/>
      </c>
      <c r="O308" s="1" t="str">
        <f t="shared" si="30"/>
        <v/>
      </c>
      <c r="P308" s="1" t="str">
        <f t="shared" si="31"/>
        <v/>
      </c>
      <c r="Q308" s="1" t="str">
        <f t="shared" si="32"/>
        <v/>
      </c>
      <c r="R308" s="1" t="str">
        <f t="shared" si="33"/>
        <v/>
      </c>
      <c r="AA308" s="1" t="str">
        <f t="shared" si="34"/>
        <v/>
      </c>
    </row>
    <row r="309" spans="13:27" x14ac:dyDescent="0.45">
      <c r="M309" s="1" t="str">
        <f t="shared" si="28"/>
        <v/>
      </c>
      <c r="N309" s="1" t="str">
        <f t="shared" si="29"/>
        <v/>
      </c>
      <c r="O309" s="1" t="str">
        <f t="shared" si="30"/>
        <v/>
      </c>
      <c r="P309" s="1" t="str">
        <f t="shared" si="31"/>
        <v/>
      </c>
      <c r="Q309" s="1" t="str">
        <f t="shared" si="32"/>
        <v/>
      </c>
      <c r="R309" s="1" t="str">
        <f t="shared" si="33"/>
        <v/>
      </c>
      <c r="AA309" s="1" t="str">
        <f t="shared" si="34"/>
        <v/>
      </c>
    </row>
    <row r="310" spans="13:27" x14ac:dyDescent="0.45">
      <c r="M310" s="1" t="str">
        <f t="shared" si="28"/>
        <v/>
      </c>
      <c r="N310" s="1" t="str">
        <f t="shared" si="29"/>
        <v/>
      </c>
      <c r="O310" s="1" t="str">
        <f t="shared" si="30"/>
        <v/>
      </c>
      <c r="P310" s="1" t="str">
        <f t="shared" si="31"/>
        <v/>
      </c>
      <c r="Q310" s="1" t="str">
        <f t="shared" si="32"/>
        <v/>
      </c>
      <c r="R310" s="1" t="str">
        <f t="shared" si="33"/>
        <v/>
      </c>
      <c r="AA310" s="1" t="str">
        <f t="shared" si="34"/>
        <v/>
      </c>
    </row>
    <row r="311" spans="13:27" x14ac:dyDescent="0.45">
      <c r="M311" s="1" t="str">
        <f t="shared" si="28"/>
        <v/>
      </c>
      <c r="N311" s="1" t="str">
        <f t="shared" si="29"/>
        <v/>
      </c>
      <c r="O311" s="1" t="str">
        <f t="shared" si="30"/>
        <v/>
      </c>
      <c r="P311" s="1" t="str">
        <f t="shared" si="31"/>
        <v/>
      </c>
      <c r="Q311" s="1" t="str">
        <f t="shared" si="32"/>
        <v/>
      </c>
      <c r="R311" s="1" t="str">
        <f t="shared" si="33"/>
        <v/>
      </c>
      <c r="AA311" s="1" t="str">
        <f t="shared" si="34"/>
        <v/>
      </c>
    </row>
    <row r="312" spans="13:27" x14ac:dyDescent="0.45">
      <c r="M312" s="1" t="str">
        <f t="shared" si="28"/>
        <v/>
      </c>
      <c r="N312" s="1" t="str">
        <f t="shared" si="29"/>
        <v/>
      </c>
      <c r="O312" s="1" t="str">
        <f t="shared" si="30"/>
        <v/>
      </c>
      <c r="P312" s="1" t="str">
        <f t="shared" si="31"/>
        <v/>
      </c>
      <c r="Q312" s="1" t="str">
        <f t="shared" si="32"/>
        <v/>
      </c>
      <c r="R312" s="1" t="str">
        <f t="shared" si="33"/>
        <v/>
      </c>
      <c r="AA312" s="1" t="str">
        <f t="shared" si="34"/>
        <v/>
      </c>
    </row>
    <row r="313" spans="13:27" x14ac:dyDescent="0.45">
      <c r="M313" s="1" t="str">
        <f t="shared" si="28"/>
        <v/>
      </c>
      <c r="N313" s="1" t="str">
        <f t="shared" si="29"/>
        <v/>
      </c>
      <c r="O313" s="1" t="str">
        <f t="shared" si="30"/>
        <v/>
      </c>
      <c r="P313" s="1" t="str">
        <f t="shared" si="31"/>
        <v/>
      </c>
      <c r="Q313" s="1" t="str">
        <f t="shared" si="32"/>
        <v/>
      </c>
      <c r="R313" s="1" t="str">
        <f t="shared" si="33"/>
        <v/>
      </c>
      <c r="AA313" s="1" t="str">
        <f t="shared" si="34"/>
        <v/>
      </c>
    </row>
    <row r="314" spans="13:27" x14ac:dyDescent="0.45">
      <c r="M314" s="1" t="str">
        <f t="shared" si="28"/>
        <v/>
      </c>
      <c r="N314" s="1" t="str">
        <f t="shared" si="29"/>
        <v/>
      </c>
      <c r="O314" s="1" t="str">
        <f t="shared" si="30"/>
        <v/>
      </c>
      <c r="P314" s="1" t="str">
        <f t="shared" si="31"/>
        <v/>
      </c>
      <c r="Q314" s="1" t="str">
        <f t="shared" si="32"/>
        <v/>
      </c>
      <c r="R314" s="1" t="str">
        <f t="shared" si="33"/>
        <v/>
      </c>
      <c r="AA314" s="1" t="str">
        <f t="shared" si="34"/>
        <v/>
      </c>
    </row>
    <row r="315" spans="13:27" x14ac:dyDescent="0.45">
      <c r="M315" s="1" t="str">
        <f t="shared" si="28"/>
        <v/>
      </c>
      <c r="N315" s="1" t="str">
        <f t="shared" si="29"/>
        <v/>
      </c>
      <c r="O315" s="1" t="str">
        <f t="shared" si="30"/>
        <v/>
      </c>
      <c r="P315" s="1" t="str">
        <f t="shared" si="31"/>
        <v/>
      </c>
      <c r="Q315" s="1" t="str">
        <f t="shared" si="32"/>
        <v/>
      </c>
      <c r="R315" s="1" t="str">
        <f t="shared" si="33"/>
        <v/>
      </c>
      <c r="AA315" s="1" t="str">
        <f t="shared" si="34"/>
        <v/>
      </c>
    </row>
    <row r="316" spans="13:27" x14ac:dyDescent="0.45">
      <c r="M316" s="1" t="str">
        <f t="shared" si="28"/>
        <v/>
      </c>
      <c r="N316" s="1" t="str">
        <f t="shared" si="29"/>
        <v/>
      </c>
      <c r="O316" s="1" t="str">
        <f t="shared" si="30"/>
        <v/>
      </c>
      <c r="P316" s="1" t="str">
        <f t="shared" si="31"/>
        <v/>
      </c>
      <c r="Q316" s="1" t="str">
        <f t="shared" si="32"/>
        <v/>
      </c>
      <c r="R316" s="1" t="str">
        <f t="shared" si="33"/>
        <v/>
      </c>
      <c r="AA316" s="1" t="str">
        <f t="shared" si="34"/>
        <v/>
      </c>
    </row>
    <row r="317" spans="13:27" x14ac:dyDescent="0.45">
      <c r="M317" s="1" t="str">
        <f t="shared" si="28"/>
        <v/>
      </c>
      <c r="N317" s="1" t="str">
        <f t="shared" si="29"/>
        <v/>
      </c>
      <c r="O317" s="1" t="str">
        <f t="shared" si="30"/>
        <v/>
      </c>
      <c r="P317" s="1" t="str">
        <f t="shared" si="31"/>
        <v/>
      </c>
      <c r="Q317" s="1" t="str">
        <f t="shared" si="32"/>
        <v/>
      </c>
      <c r="R317" s="1" t="str">
        <f t="shared" si="33"/>
        <v/>
      </c>
      <c r="AA317" s="1" t="str">
        <f t="shared" si="34"/>
        <v/>
      </c>
    </row>
    <row r="318" spans="13:27" x14ac:dyDescent="0.45">
      <c r="M318" s="1" t="str">
        <f t="shared" si="28"/>
        <v/>
      </c>
      <c r="N318" s="1" t="str">
        <f t="shared" si="29"/>
        <v/>
      </c>
      <c r="O318" s="1" t="str">
        <f t="shared" si="30"/>
        <v/>
      </c>
      <c r="P318" s="1" t="str">
        <f t="shared" si="31"/>
        <v/>
      </c>
      <c r="Q318" s="1" t="str">
        <f t="shared" si="32"/>
        <v/>
      </c>
      <c r="R318" s="1" t="str">
        <f t="shared" si="33"/>
        <v/>
      </c>
      <c r="AA318" s="1" t="str">
        <f t="shared" si="34"/>
        <v/>
      </c>
    </row>
    <row r="319" spans="13:27" x14ac:dyDescent="0.45">
      <c r="M319" s="1" t="str">
        <f t="shared" si="28"/>
        <v/>
      </c>
      <c r="N319" s="1" t="str">
        <f t="shared" si="29"/>
        <v/>
      </c>
      <c r="O319" s="1" t="str">
        <f t="shared" si="30"/>
        <v/>
      </c>
      <c r="P319" s="1" t="str">
        <f t="shared" si="31"/>
        <v/>
      </c>
      <c r="Q319" s="1" t="str">
        <f t="shared" si="32"/>
        <v/>
      </c>
      <c r="R319" s="1" t="str">
        <f t="shared" si="33"/>
        <v/>
      </c>
      <c r="AA319" s="1" t="str">
        <f t="shared" si="34"/>
        <v/>
      </c>
    </row>
    <row r="320" spans="13:27" x14ac:dyDescent="0.45">
      <c r="M320" s="1" t="str">
        <f t="shared" si="28"/>
        <v/>
      </c>
      <c r="N320" s="1" t="str">
        <f t="shared" si="29"/>
        <v/>
      </c>
      <c r="O320" s="1" t="str">
        <f t="shared" si="30"/>
        <v/>
      </c>
      <c r="P320" s="1" t="str">
        <f t="shared" si="31"/>
        <v/>
      </c>
      <c r="Q320" s="1" t="str">
        <f t="shared" si="32"/>
        <v/>
      </c>
      <c r="R320" s="1" t="str">
        <f t="shared" si="33"/>
        <v/>
      </c>
      <c r="AA320" s="1" t="str">
        <f t="shared" si="34"/>
        <v/>
      </c>
    </row>
    <row r="321" spans="13:27" x14ac:dyDescent="0.45">
      <c r="M321" s="1" t="str">
        <f t="shared" si="28"/>
        <v/>
      </c>
      <c r="N321" s="1" t="str">
        <f t="shared" si="29"/>
        <v/>
      </c>
      <c r="O321" s="1" t="str">
        <f t="shared" si="30"/>
        <v/>
      </c>
      <c r="P321" s="1" t="str">
        <f t="shared" si="31"/>
        <v/>
      </c>
      <c r="Q321" s="1" t="str">
        <f t="shared" si="32"/>
        <v/>
      </c>
      <c r="R321" s="1" t="str">
        <f t="shared" si="33"/>
        <v/>
      </c>
      <c r="AA321" s="1" t="str">
        <f t="shared" si="34"/>
        <v/>
      </c>
    </row>
    <row r="322" spans="13:27" x14ac:dyDescent="0.45">
      <c r="M322" s="1" t="str">
        <f t="shared" ref="M322:M385" si="35">IF(OR($F322="",$G322=""),"",HYPERLINK("https://www.google.com/maps?q="&amp;$F322&amp;","&amp;$G322&amp;"","Map"))</f>
        <v/>
      </c>
      <c r="N322" s="1" t="str">
        <f t="shared" ref="N322:N385" si="36">IF(OR($F322="",$G322=""),"",HYPERLINK("https://www.google.com/maps?q&amp;layer=c&amp;cbll="&amp;$F322&amp;","&amp;$G322&amp;"","Street"))</f>
        <v/>
      </c>
      <c r="O322" s="1" t="str">
        <f t="shared" ref="O322:O385" si="37">IF(OR($F322="",$G322=""),"",HYPERLINK("https://www.bing.com/maps?cp="&amp;$F322&amp;"~"&amp;$G322&amp;"&amp;lvl=18&amp;style=h","Bing"))</f>
        <v/>
      </c>
      <c r="P322" s="1" t="str">
        <f t="shared" ref="P322:P385" si="38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9">IF(OR($F322="",$G322=""),"",HYPERLINK("https://msc.fema.gov/portal/firmette?latitude="&amp;$F322&amp;"&amp;longitude="&amp;$G322&amp;"","FIRMette"))</f>
        <v/>
      </c>
      <c r="R322" s="1" t="str">
        <f t="shared" ref="R322:R385" si="40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AA322" s="1" t="str">
        <f t="shared" ref="AA322:AA385" si="41">IF(OR(_xlfn.SINGLE(JobAgolMap)="", $F322="", $G322=""),"",HYPERLINK(_xlfn.SINGLE(JobAgolMap)&amp;IF(ISNUMBER(FIND("?",_xlfn.SINGLE(JobAgolMap))),"&amp;","?")&amp;"center="&amp;$G322&amp;","&amp;$F322&amp;"&amp;level=16&amp;marker="&amp;$G322&amp;","&amp;$F322,"Open"))</f>
        <v/>
      </c>
    </row>
    <row r="323" spans="13:27" x14ac:dyDescent="0.45">
      <c r="M323" s="1" t="str">
        <f t="shared" si="35"/>
        <v/>
      </c>
      <c r="N323" s="1" t="str">
        <f t="shared" si="36"/>
        <v/>
      </c>
      <c r="O323" s="1" t="str">
        <f t="shared" si="37"/>
        <v/>
      </c>
      <c r="P323" s="1" t="str">
        <f t="shared" si="38"/>
        <v/>
      </c>
      <c r="Q323" s="1" t="str">
        <f t="shared" si="39"/>
        <v/>
      </c>
      <c r="R323" s="1" t="str">
        <f t="shared" si="40"/>
        <v/>
      </c>
      <c r="AA323" s="1" t="str">
        <f t="shared" si="41"/>
        <v/>
      </c>
    </row>
    <row r="324" spans="13:27" x14ac:dyDescent="0.45">
      <c r="M324" s="1" t="str">
        <f t="shared" si="35"/>
        <v/>
      </c>
      <c r="N324" s="1" t="str">
        <f t="shared" si="36"/>
        <v/>
      </c>
      <c r="O324" s="1" t="str">
        <f t="shared" si="37"/>
        <v/>
      </c>
      <c r="P324" s="1" t="str">
        <f t="shared" si="38"/>
        <v/>
      </c>
      <c r="Q324" s="1" t="str">
        <f t="shared" si="39"/>
        <v/>
      </c>
      <c r="R324" s="1" t="str">
        <f t="shared" si="40"/>
        <v/>
      </c>
      <c r="AA324" s="1" t="str">
        <f t="shared" si="41"/>
        <v/>
      </c>
    </row>
    <row r="325" spans="13:27" x14ac:dyDescent="0.45">
      <c r="M325" s="1" t="str">
        <f t="shared" si="35"/>
        <v/>
      </c>
      <c r="N325" s="1" t="str">
        <f t="shared" si="36"/>
        <v/>
      </c>
      <c r="O325" s="1" t="str">
        <f t="shared" si="37"/>
        <v/>
      </c>
      <c r="P325" s="1" t="str">
        <f t="shared" si="38"/>
        <v/>
      </c>
      <c r="Q325" s="1" t="str">
        <f t="shared" si="39"/>
        <v/>
      </c>
      <c r="R325" s="1" t="str">
        <f t="shared" si="40"/>
        <v/>
      </c>
      <c r="AA325" s="1" t="str">
        <f t="shared" si="41"/>
        <v/>
      </c>
    </row>
    <row r="326" spans="13:27" x14ac:dyDescent="0.45">
      <c r="M326" s="1" t="str">
        <f t="shared" si="35"/>
        <v/>
      </c>
      <c r="N326" s="1" t="str">
        <f t="shared" si="36"/>
        <v/>
      </c>
      <c r="O326" s="1" t="str">
        <f t="shared" si="37"/>
        <v/>
      </c>
      <c r="P326" s="1" t="str">
        <f t="shared" si="38"/>
        <v/>
      </c>
      <c r="Q326" s="1" t="str">
        <f t="shared" si="39"/>
        <v/>
      </c>
      <c r="R326" s="1" t="str">
        <f t="shared" si="40"/>
        <v/>
      </c>
      <c r="AA326" s="1" t="str">
        <f t="shared" si="41"/>
        <v/>
      </c>
    </row>
    <row r="327" spans="13:27" x14ac:dyDescent="0.45">
      <c r="M327" s="1" t="str">
        <f t="shared" si="35"/>
        <v/>
      </c>
      <c r="N327" s="1" t="str">
        <f t="shared" si="36"/>
        <v/>
      </c>
      <c r="O327" s="1" t="str">
        <f t="shared" si="37"/>
        <v/>
      </c>
      <c r="P327" s="1" t="str">
        <f t="shared" si="38"/>
        <v/>
      </c>
      <c r="Q327" s="1" t="str">
        <f t="shared" si="39"/>
        <v/>
      </c>
      <c r="R327" s="1" t="str">
        <f t="shared" si="40"/>
        <v/>
      </c>
      <c r="AA327" s="1" t="str">
        <f t="shared" si="41"/>
        <v/>
      </c>
    </row>
    <row r="328" spans="13:27" x14ac:dyDescent="0.45">
      <c r="M328" s="1" t="str">
        <f t="shared" si="35"/>
        <v/>
      </c>
      <c r="N328" s="1" t="str">
        <f t="shared" si="36"/>
        <v/>
      </c>
      <c r="O328" s="1" t="str">
        <f t="shared" si="37"/>
        <v/>
      </c>
      <c r="P328" s="1" t="str">
        <f t="shared" si="38"/>
        <v/>
      </c>
      <c r="Q328" s="1" t="str">
        <f t="shared" si="39"/>
        <v/>
      </c>
      <c r="R328" s="1" t="str">
        <f t="shared" si="40"/>
        <v/>
      </c>
      <c r="AA328" s="1" t="str">
        <f t="shared" si="41"/>
        <v/>
      </c>
    </row>
    <row r="329" spans="13:27" x14ac:dyDescent="0.45">
      <c r="M329" s="1" t="str">
        <f t="shared" si="35"/>
        <v/>
      </c>
      <c r="N329" s="1" t="str">
        <f t="shared" si="36"/>
        <v/>
      </c>
      <c r="O329" s="1" t="str">
        <f t="shared" si="37"/>
        <v/>
      </c>
      <c r="P329" s="1" t="str">
        <f t="shared" si="38"/>
        <v/>
      </c>
      <c r="Q329" s="1" t="str">
        <f t="shared" si="39"/>
        <v/>
      </c>
      <c r="R329" s="1" t="str">
        <f t="shared" si="40"/>
        <v/>
      </c>
      <c r="AA329" s="1" t="str">
        <f t="shared" si="41"/>
        <v/>
      </c>
    </row>
    <row r="330" spans="13:27" x14ac:dyDescent="0.45">
      <c r="M330" s="1" t="str">
        <f t="shared" si="35"/>
        <v/>
      </c>
      <c r="N330" s="1" t="str">
        <f t="shared" si="36"/>
        <v/>
      </c>
      <c r="O330" s="1" t="str">
        <f t="shared" si="37"/>
        <v/>
      </c>
      <c r="P330" s="1" t="str">
        <f t="shared" si="38"/>
        <v/>
      </c>
      <c r="Q330" s="1" t="str">
        <f t="shared" si="39"/>
        <v/>
      </c>
      <c r="R330" s="1" t="str">
        <f t="shared" si="40"/>
        <v/>
      </c>
      <c r="AA330" s="1" t="str">
        <f t="shared" si="41"/>
        <v/>
      </c>
    </row>
    <row r="331" spans="13:27" x14ac:dyDescent="0.45">
      <c r="M331" s="1" t="str">
        <f t="shared" si="35"/>
        <v/>
      </c>
      <c r="N331" s="1" t="str">
        <f t="shared" si="36"/>
        <v/>
      </c>
      <c r="O331" s="1" t="str">
        <f t="shared" si="37"/>
        <v/>
      </c>
      <c r="P331" s="1" t="str">
        <f t="shared" si="38"/>
        <v/>
      </c>
      <c r="Q331" s="1" t="str">
        <f t="shared" si="39"/>
        <v/>
      </c>
      <c r="R331" s="1" t="str">
        <f t="shared" si="40"/>
        <v/>
      </c>
      <c r="AA331" s="1" t="str">
        <f t="shared" si="41"/>
        <v/>
      </c>
    </row>
    <row r="332" spans="13:27" x14ac:dyDescent="0.45">
      <c r="M332" s="1" t="str">
        <f t="shared" si="35"/>
        <v/>
      </c>
      <c r="N332" s="1" t="str">
        <f t="shared" si="36"/>
        <v/>
      </c>
      <c r="O332" s="1" t="str">
        <f t="shared" si="37"/>
        <v/>
      </c>
      <c r="P332" s="1" t="str">
        <f t="shared" si="38"/>
        <v/>
      </c>
      <c r="Q332" s="1" t="str">
        <f t="shared" si="39"/>
        <v/>
      </c>
      <c r="R332" s="1" t="str">
        <f t="shared" si="40"/>
        <v/>
      </c>
      <c r="AA332" s="1" t="str">
        <f t="shared" si="41"/>
        <v/>
      </c>
    </row>
    <row r="333" spans="13:27" x14ac:dyDescent="0.45">
      <c r="M333" s="1" t="str">
        <f t="shared" si="35"/>
        <v/>
      </c>
      <c r="N333" s="1" t="str">
        <f t="shared" si="36"/>
        <v/>
      </c>
      <c r="O333" s="1" t="str">
        <f t="shared" si="37"/>
        <v/>
      </c>
      <c r="P333" s="1" t="str">
        <f t="shared" si="38"/>
        <v/>
      </c>
      <c r="Q333" s="1" t="str">
        <f t="shared" si="39"/>
        <v/>
      </c>
      <c r="R333" s="1" t="str">
        <f t="shared" si="40"/>
        <v/>
      </c>
      <c r="AA333" s="1" t="str">
        <f t="shared" si="41"/>
        <v/>
      </c>
    </row>
    <row r="334" spans="13:27" x14ac:dyDescent="0.45">
      <c r="M334" s="1" t="str">
        <f t="shared" si="35"/>
        <v/>
      </c>
      <c r="N334" s="1" t="str">
        <f t="shared" si="36"/>
        <v/>
      </c>
      <c r="O334" s="1" t="str">
        <f t="shared" si="37"/>
        <v/>
      </c>
      <c r="P334" s="1" t="str">
        <f t="shared" si="38"/>
        <v/>
      </c>
      <c r="Q334" s="1" t="str">
        <f t="shared" si="39"/>
        <v/>
      </c>
      <c r="R334" s="1" t="str">
        <f t="shared" si="40"/>
        <v/>
      </c>
      <c r="AA334" s="1" t="str">
        <f t="shared" si="41"/>
        <v/>
      </c>
    </row>
    <row r="335" spans="13:27" x14ac:dyDescent="0.45">
      <c r="M335" s="1" t="str">
        <f t="shared" si="35"/>
        <v/>
      </c>
      <c r="N335" s="1" t="str">
        <f t="shared" si="36"/>
        <v/>
      </c>
      <c r="O335" s="1" t="str">
        <f t="shared" si="37"/>
        <v/>
      </c>
      <c r="P335" s="1" t="str">
        <f t="shared" si="38"/>
        <v/>
      </c>
      <c r="Q335" s="1" t="str">
        <f t="shared" si="39"/>
        <v/>
      </c>
      <c r="R335" s="1" t="str">
        <f t="shared" si="40"/>
        <v/>
      </c>
      <c r="AA335" s="1" t="str">
        <f t="shared" si="41"/>
        <v/>
      </c>
    </row>
    <row r="336" spans="13:27" x14ac:dyDescent="0.45">
      <c r="M336" s="1" t="str">
        <f t="shared" si="35"/>
        <v/>
      </c>
      <c r="N336" s="1" t="str">
        <f t="shared" si="36"/>
        <v/>
      </c>
      <c r="O336" s="1" t="str">
        <f t="shared" si="37"/>
        <v/>
      </c>
      <c r="P336" s="1" t="str">
        <f t="shared" si="38"/>
        <v/>
      </c>
      <c r="Q336" s="1" t="str">
        <f t="shared" si="39"/>
        <v/>
      </c>
      <c r="R336" s="1" t="str">
        <f t="shared" si="40"/>
        <v/>
      </c>
      <c r="AA336" s="1" t="str">
        <f t="shared" si="41"/>
        <v/>
      </c>
    </row>
    <row r="337" spans="13:27" x14ac:dyDescent="0.45">
      <c r="M337" s="1" t="str">
        <f t="shared" si="35"/>
        <v/>
      </c>
      <c r="N337" s="1" t="str">
        <f t="shared" si="36"/>
        <v/>
      </c>
      <c r="O337" s="1" t="str">
        <f t="shared" si="37"/>
        <v/>
      </c>
      <c r="P337" s="1" t="str">
        <f t="shared" si="38"/>
        <v/>
      </c>
      <c r="Q337" s="1" t="str">
        <f t="shared" si="39"/>
        <v/>
      </c>
      <c r="R337" s="1" t="str">
        <f t="shared" si="40"/>
        <v/>
      </c>
      <c r="AA337" s="1" t="str">
        <f t="shared" si="41"/>
        <v/>
      </c>
    </row>
    <row r="338" spans="13:27" x14ac:dyDescent="0.45">
      <c r="M338" s="1" t="str">
        <f t="shared" si="35"/>
        <v/>
      </c>
      <c r="N338" s="1" t="str">
        <f t="shared" si="36"/>
        <v/>
      </c>
      <c r="O338" s="1" t="str">
        <f t="shared" si="37"/>
        <v/>
      </c>
      <c r="P338" s="1" t="str">
        <f t="shared" si="38"/>
        <v/>
      </c>
      <c r="Q338" s="1" t="str">
        <f t="shared" si="39"/>
        <v/>
      </c>
      <c r="R338" s="1" t="str">
        <f t="shared" si="40"/>
        <v/>
      </c>
      <c r="AA338" s="1" t="str">
        <f t="shared" si="41"/>
        <v/>
      </c>
    </row>
    <row r="339" spans="13:27" x14ac:dyDescent="0.45">
      <c r="M339" s="1" t="str">
        <f t="shared" si="35"/>
        <v/>
      </c>
      <c r="N339" s="1" t="str">
        <f t="shared" si="36"/>
        <v/>
      </c>
      <c r="O339" s="1" t="str">
        <f t="shared" si="37"/>
        <v/>
      </c>
      <c r="P339" s="1" t="str">
        <f t="shared" si="38"/>
        <v/>
      </c>
      <c r="Q339" s="1" t="str">
        <f t="shared" si="39"/>
        <v/>
      </c>
      <c r="R339" s="1" t="str">
        <f t="shared" si="40"/>
        <v/>
      </c>
      <c r="AA339" s="1" t="str">
        <f t="shared" si="41"/>
        <v/>
      </c>
    </row>
    <row r="340" spans="13:27" x14ac:dyDescent="0.45">
      <c r="M340" s="1" t="str">
        <f t="shared" si="35"/>
        <v/>
      </c>
      <c r="N340" s="1" t="str">
        <f t="shared" si="36"/>
        <v/>
      </c>
      <c r="O340" s="1" t="str">
        <f t="shared" si="37"/>
        <v/>
      </c>
      <c r="P340" s="1" t="str">
        <f t="shared" si="38"/>
        <v/>
      </c>
      <c r="Q340" s="1" t="str">
        <f t="shared" si="39"/>
        <v/>
      </c>
      <c r="R340" s="1" t="str">
        <f t="shared" si="40"/>
        <v/>
      </c>
      <c r="AA340" s="1" t="str">
        <f t="shared" si="41"/>
        <v/>
      </c>
    </row>
    <row r="341" spans="13:27" x14ac:dyDescent="0.45">
      <c r="M341" s="1" t="str">
        <f t="shared" si="35"/>
        <v/>
      </c>
      <c r="N341" s="1" t="str">
        <f t="shared" si="36"/>
        <v/>
      </c>
      <c r="O341" s="1" t="str">
        <f t="shared" si="37"/>
        <v/>
      </c>
      <c r="P341" s="1" t="str">
        <f t="shared" si="38"/>
        <v/>
      </c>
      <c r="Q341" s="1" t="str">
        <f t="shared" si="39"/>
        <v/>
      </c>
      <c r="R341" s="1" t="str">
        <f t="shared" si="40"/>
        <v/>
      </c>
      <c r="AA341" s="1" t="str">
        <f t="shared" si="41"/>
        <v/>
      </c>
    </row>
    <row r="342" spans="13:27" x14ac:dyDescent="0.45">
      <c r="M342" s="1" t="str">
        <f t="shared" si="35"/>
        <v/>
      </c>
      <c r="N342" s="1" t="str">
        <f t="shared" si="36"/>
        <v/>
      </c>
      <c r="O342" s="1" t="str">
        <f t="shared" si="37"/>
        <v/>
      </c>
      <c r="P342" s="1" t="str">
        <f t="shared" si="38"/>
        <v/>
      </c>
      <c r="Q342" s="1" t="str">
        <f t="shared" si="39"/>
        <v/>
      </c>
      <c r="R342" s="1" t="str">
        <f t="shared" si="40"/>
        <v/>
      </c>
      <c r="AA342" s="1" t="str">
        <f t="shared" si="41"/>
        <v/>
      </c>
    </row>
    <row r="343" spans="13:27" x14ac:dyDescent="0.45">
      <c r="M343" s="1" t="str">
        <f t="shared" si="35"/>
        <v/>
      </c>
      <c r="N343" s="1" t="str">
        <f t="shared" si="36"/>
        <v/>
      </c>
      <c r="O343" s="1" t="str">
        <f t="shared" si="37"/>
        <v/>
      </c>
      <c r="P343" s="1" t="str">
        <f t="shared" si="38"/>
        <v/>
      </c>
      <c r="Q343" s="1" t="str">
        <f t="shared" si="39"/>
        <v/>
      </c>
      <c r="R343" s="1" t="str">
        <f t="shared" si="40"/>
        <v/>
      </c>
      <c r="AA343" s="1" t="str">
        <f t="shared" si="41"/>
        <v/>
      </c>
    </row>
    <row r="344" spans="13:27" x14ac:dyDescent="0.45">
      <c r="M344" s="1" t="str">
        <f t="shared" si="35"/>
        <v/>
      </c>
      <c r="N344" s="1" t="str">
        <f t="shared" si="36"/>
        <v/>
      </c>
      <c r="O344" s="1" t="str">
        <f t="shared" si="37"/>
        <v/>
      </c>
      <c r="P344" s="1" t="str">
        <f t="shared" si="38"/>
        <v/>
      </c>
      <c r="Q344" s="1" t="str">
        <f t="shared" si="39"/>
        <v/>
      </c>
      <c r="R344" s="1" t="str">
        <f t="shared" si="40"/>
        <v/>
      </c>
      <c r="AA344" s="1" t="str">
        <f t="shared" si="41"/>
        <v/>
      </c>
    </row>
    <row r="345" spans="13:27" x14ac:dyDescent="0.45">
      <c r="M345" s="1" t="str">
        <f t="shared" si="35"/>
        <v/>
      </c>
      <c r="N345" s="1" t="str">
        <f t="shared" si="36"/>
        <v/>
      </c>
      <c r="O345" s="1" t="str">
        <f t="shared" si="37"/>
        <v/>
      </c>
      <c r="P345" s="1" t="str">
        <f t="shared" si="38"/>
        <v/>
      </c>
      <c r="Q345" s="1" t="str">
        <f t="shared" si="39"/>
        <v/>
      </c>
      <c r="R345" s="1" t="str">
        <f t="shared" si="40"/>
        <v/>
      </c>
      <c r="AA345" s="1" t="str">
        <f t="shared" si="41"/>
        <v/>
      </c>
    </row>
    <row r="346" spans="13:27" x14ac:dyDescent="0.45">
      <c r="M346" s="1" t="str">
        <f t="shared" si="35"/>
        <v/>
      </c>
      <c r="N346" s="1" t="str">
        <f t="shared" si="36"/>
        <v/>
      </c>
      <c r="O346" s="1" t="str">
        <f t="shared" si="37"/>
        <v/>
      </c>
      <c r="P346" s="1" t="str">
        <f t="shared" si="38"/>
        <v/>
      </c>
      <c r="Q346" s="1" t="str">
        <f t="shared" si="39"/>
        <v/>
      </c>
      <c r="R346" s="1" t="str">
        <f t="shared" si="40"/>
        <v/>
      </c>
      <c r="AA346" s="1" t="str">
        <f t="shared" si="41"/>
        <v/>
      </c>
    </row>
    <row r="347" spans="13:27" x14ac:dyDescent="0.45">
      <c r="M347" s="1" t="str">
        <f t="shared" si="35"/>
        <v/>
      </c>
      <c r="N347" s="1" t="str">
        <f t="shared" si="36"/>
        <v/>
      </c>
      <c r="O347" s="1" t="str">
        <f t="shared" si="37"/>
        <v/>
      </c>
      <c r="P347" s="1" t="str">
        <f t="shared" si="38"/>
        <v/>
      </c>
      <c r="Q347" s="1" t="str">
        <f t="shared" si="39"/>
        <v/>
      </c>
      <c r="R347" s="1" t="str">
        <f t="shared" si="40"/>
        <v/>
      </c>
      <c r="AA347" s="1" t="str">
        <f t="shared" si="41"/>
        <v/>
      </c>
    </row>
    <row r="348" spans="13:27" x14ac:dyDescent="0.45">
      <c r="M348" s="1" t="str">
        <f t="shared" si="35"/>
        <v/>
      </c>
      <c r="N348" s="1" t="str">
        <f t="shared" si="36"/>
        <v/>
      </c>
      <c r="O348" s="1" t="str">
        <f t="shared" si="37"/>
        <v/>
      </c>
      <c r="P348" s="1" t="str">
        <f t="shared" si="38"/>
        <v/>
      </c>
      <c r="Q348" s="1" t="str">
        <f t="shared" si="39"/>
        <v/>
      </c>
      <c r="R348" s="1" t="str">
        <f t="shared" si="40"/>
        <v/>
      </c>
      <c r="AA348" s="1" t="str">
        <f t="shared" si="41"/>
        <v/>
      </c>
    </row>
    <row r="349" spans="13:27" x14ac:dyDescent="0.45">
      <c r="M349" s="1" t="str">
        <f t="shared" si="35"/>
        <v/>
      </c>
      <c r="N349" s="1" t="str">
        <f t="shared" si="36"/>
        <v/>
      </c>
      <c r="O349" s="1" t="str">
        <f t="shared" si="37"/>
        <v/>
      </c>
      <c r="P349" s="1" t="str">
        <f t="shared" si="38"/>
        <v/>
      </c>
      <c r="Q349" s="1" t="str">
        <f t="shared" si="39"/>
        <v/>
      </c>
      <c r="R349" s="1" t="str">
        <f t="shared" si="40"/>
        <v/>
      </c>
      <c r="AA349" s="1" t="str">
        <f t="shared" si="41"/>
        <v/>
      </c>
    </row>
    <row r="350" spans="13:27" x14ac:dyDescent="0.45">
      <c r="M350" s="1" t="str">
        <f t="shared" si="35"/>
        <v/>
      </c>
      <c r="N350" s="1" t="str">
        <f t="shared" si="36"/>
        <v/>
      </c>
      <c r="O350" s="1" t="str">
        <f t="shared" si="37"/>
        <v/>
      </c>
      <c r="P350" s="1" t="str">
        <f t="shared" si="38"/>
        <v/>
      </c>
      <c r="Q350" s="1" t="str">
        <f t="shared" si="39"/>
        <v/>
      </c>
      <c r="R350" s="1" t="str">
        <f t="shared" si="40"/>
        <v/>
      </c>
      <c r="AA350" s="1" t="str">
        <f t="shared" si="41"/>
        <v/>
      </c>
    </row>
    <row r="351" spans="13:27" x14ac:dyDescent="0.45">
      <c r="M351" s="1" t="str">
        <f t="shared" si="35"/>
        <v/>
      </c>
      <c r="N351" s="1" t="str">
        <f t="shared" si="36"/>
        <v/>
      </c>
      <c r="O351" s="1" t="str">
        <f t="shared" si="37"/>
        <v/>
      </c>
      <c r="P351" s="1" t="str">
        <f t="shared" si="38"/>
        <v/>
      </c>
      <c r="Q351" s="1" t="str">
        <f t="shared" si="39"/>
        <v/>
      </c>
      <c r="R351" s="1" t="str">
        <f t="shared" si="40"/>
        <v/>
      </c>
      <c r="AA351" s="1" t="str">
        <f t="shared" si="41"/>
        <v/>
      </c>
    </row>
    <row r="352" spans="13:27" x14ac:dyDescent="0.45">
      <c r="M352" s="1" t="str">
        <f t="shared" si="35"/>
        <v/>
      </c>
      <c r="N352" s="1" t="str">
        <f t="shared" si="36"/>
        <v/>
      </c>
      <c r="O352" s="1" t="str">
        <f t="shared" si="37"/>
        <v/>
      </c>
      <c r="P352" s="1" t="str">
        <f t="shared" si="38"/>
        <v/>
      </c>
      <c r="Q352" s="1" t="str">
        <f t="shared" si="39"/>
        <v/>
      </c>
      <c r="R352" s="1" t="str">
        <f t="shared" si="40"/>
        <v/>
      </c>
      <c r="AA352" s="1" t="str">
        <f t="shared" si="41"/>
        <v/>
      </c>
    </row>
    <row r="353" spans="13:27" x14ac:dyDescent="0.45">
      <c r="M353" s="1" t="str">
        <f t="shared" si="35"/>
        <v/>
      </c>
      <c r="N353" s="1" t="str">
        <f t="shared" si="36"/>
        <v/>
      </c>
      <c r="O353" s="1" t="str">
        <f t="shared" si="37"/>
        <v/>
      </c>
      <c r="P353" s="1" t="str">
        <f t="shared" si="38"/>
        <v/>
      </c>
      <c r="Q353" s="1" t="str">
        <f t="shared" si="39"/>
        <v/>
      </c>
      <c r="R353" s="1" t="str">
        <f t="shared" si="40"/>
        <v/>
      </c>
      <c r="AA353" s="1" t="str">
        <f t="shared" si="41"/>
        <v/>
      </c>
    </row>
    <row r="354" spans="13:27" x14ac:dyDescent="0.45">
      <c r="M354" s="1" t="str">
        <f t="shared" si="35"/>
        <v/>
      </c>
      <c r="N354" s="1" t="str">
        <f t="shared" si="36"/>
        <v/>
      </c>
      <c r="O354" s="1" t="str">
        <f t="shared" si="37"/>
        <v/>
      </c>
      <c r="P354" s="1" t="str">
        <f t="shared" si="38"/>
        <v/>
      </c>
      <c r="Q354" s="1" t="str">
        <f t="shared" si="39"/>
        <v/>
      </c>
      <c r="R354" s="1" t="str">
        <f t="shared" si="40"/>
        <v/>
      </c>
      <c r="AA354" s="1" t="str">
        <f t="shared" si="41"/>
        <v/>
      </c>
    </row>
    <row r="355" spans="13:27" x14ac:dyDescent="0.45">
      <c r="M355" s="1" t="str">
        <f t="shared" si="35"/>
        <v/>
      </c>
      <c r="N355" s="1" t="str">
        <f t="shared" si="36"/>
        <v/>
      </c>
      <c r="O355" s="1" t="str">
        <f t="shared" si="37"/>
        <v/>
      </c>
      <c r="P355" s="1" t="str">
        <f t="shared" si="38"/>
        <v/>
      </c>
      <c r="Q355" s="1" t="str">
        <f t="shared" si="39"/>
        <v/>
      </c>
      <c r="R355" s="1" t="str">
        <f t="shared" si="40"/>
        <v/>
      </c>
      <c r="AA355" s="1" t="str">
        <f t="shared" si="41"/>
        <v/>
      </c>
    </row>
    <row r="356" spans="13:27" x14ac:dyDescent="0.45">
      <c r="M356" s="1" t="str">
        <f t="shared" si="35"/>
        <v/>
      </c>
      <c r="N356" s="1" t="str">
        <f t="shared" si="36"/>
        <v/>
      </c>
      <c r="O356" s="1" t="str">
        <f t="shared" si="37"/>
        <v/>
      </c>
      <c r="P356" s="1" t="str">
        <f t="shared" si="38"/>
        <v/>
      </c>
      <c r="Q356" s="1" t="str">
        <f t="shared" si="39"/>
        <v/>
      </c>
      <c r="R356" s="1" t="str">
        <f t="shared" si="40"/>
        <v/>
      </c>
      <c r="AA356" s="1" t="str">
        <f t="shared" si="41"/>
        <v/>
      </c>
    </row>
    <row r="357" spans="13:27" x14ac:dyDescent="0.45">
      <c r="M357" s="1" t="str">
        <f t="shared" si="35"/>
        <v/>
      </c>
      <c r="N357" s="1" t="str">
        <f t="shared" si="36"/>
        <v/>
      </c>
      <c r="O357" s="1" t="str">
        <f t="shared" si="37"/>
        <v/>
      </c>
      <c r="P357" s="1" t="str">
        <f t="shared" si="38"/>
        <v/>
      </c>
      <c r="Q357" s="1" t="str">
        <f t="shared" si="39"/>
        <v/>
      </c>
      <c r="R357" s="1" t="str">
        <f t="shared" si="40"/>
        <v/>
      </c>
      <c r="AA357" s="1" t="str">
        <f t="shared" si="41"/>
        <v/>
      </c>
    </row>
    <row r="358" spans="13:27" x14ac:dyDescent="0.45">
      <c r="M358" s="1" t="str">
        <f t="shared" si="35"/>
        <v/>
      </c>
      <c r="N358" s="1" t="str">
        <f t="shared" si="36"/>
        <v/>
      </c>
      <c r="O358" s="1" t="str">
        <f t="shared" si="37"/>
        <v/>
      </c>
      <c r="P358" s="1" t="str">
        <f t="shared" si="38"/>
        <v/>
      </c>
      <c r="Q358" s="1" t="str">
        <f t="shared" si="39"/>
        <v/>
      </c>
      <c r="R358" s="1" t="str">
        <f t="shared" si="40"/>
        <v/>
      </c>
      <c r="AA358" s="1" t="str">
        <f t="shared" si="41"/>
        <v/>
      </c>
    </row>
    <row r="359" spans="13:27" x14ac:dyDescent="0.45">
      <c r="M359" s="1" t="str">
        <f t="shared" si="35"/>
        <v/>
      </c>
      <c r="N359" s="1" t="str">
        <f t="shared" si="36"/>
        <v/>
      </c>
      <c r="O359" s="1" t="str">
        <f t="shared" si="37"/>
        <v/>
      </c>
      <c r="P359" s="1" t="str">
        <f t="shared" si="38"/>
        <v/>
      </c>
      <c r="Q359" s="1" t="str">
        <f t="shared" si="39"/>
        <v/>
      </c>
      <c r="R359" s="1" t="str">
        <f t="shared" si="40"/>
        <v/>
      </c>
      <c r="AA359" s="1" t="str">
        <f t="shared" si="41"/>
        <v/>
      </c>
    </row>
    <row r="360" spans="13:27" x14ac:dyDescent="0.45">
      <c r="M360" s="1" t="str">
        <f t="shared" si="35"/>
        <v/>
      </c>
      <c r="N360" s="1" t="str">
        <f t="shared" si="36"/>
        <v/>
      </c>
      <c r="O360" s="1" t="str">
        <f t="shared" si="37"/>
        <v/>
      </c>
      <c r="P360" s="1" t="str">
        <f t="shared" si="38"/>
        <v/>
      </c>
      <c r="Q360" s="1" t="str">
        <f t="shared" si="39"/>
        <v/>
      </c>
      <c r="R360" s="1" t="str">
        <f t="shared" si="40"/>
        <v/>
      </c>
      <c r="AA360" s="1" t="str">
        <f t="shared" si="41"/>
        <v/>
      </c>
    </row>
    <row r="361" spans="13:27" x14ac:dyDescent="0.45">
      <c r="M361" s="1" t="str">
        <f t="shared" si="35"/>
        <v/>
      </c>
      <c r="N361" s="1" t="str">
        <f t="shared" si="36"/>
        <v/>
      </c>
      <c r="O361" s="1" t="str">
        <f t="shared" si="37"/>
        <v/>
      </c>
      <c r="P361" s="1" t="str">
        <f t="shared" si="38"/>
        <v/>
      </c>
      <c r="Q361" s="1" t="str">
        <f t="shared" si="39"/>
        <v/>
      </c>
      <c r="R361" s="1" t="str">
        <f t="shared" si="40"/>
        <v/>
      </c>
      <c r="AA361" s="1" t="str">
        <f t="shared" si="41"/>
        <v/>
      </c>
    </row>
    <row r="362" spans="13:27" x14ac:dyDescent="0.45">
      <c r="M362" s="1" t="str">
        <f t="shared" si="35"/>
        <v/>
      </c>
      <c r="N362" s="1" t="str">
        <f t="shared" si="36"/>
        <v/>
      </c>
      <c r="O362" s="1" t="str">
        <f t="shared" si="37"/>
        <v/>
      </c>
      <c r="P362" s="1" t="str">
        <f t="shared" si="38"/>
        <v/>
      </c>
      <c r="Q362" s="1" t="str">
        <f t="shared" si="39"/>
        <v/>
      </c>
      <c r="R362" s="1" t="str">
        <f t="shared" si="40"/>
        <v/>
      </c>
      <c r="AA362" s="1" t="str">
        <f t="shared" si="41"/>
        <v/>
      </c>
    </row>
    <row r="363" spans="13:27" x14ac:dyDescent="0.45">
      <c r="M363" s="1" t="str">
        <f t="shared" si="35"/>
        <v/>
      </c>
      <c r="N363" s="1" t="str">
        <f t="shared" si="36"/>
        <v/>
      </c>
      <c r="O363" s="1" t="str">
        <f t="shared" si="37"/>
        <v/>
      </c>
      <c r="P363" s="1" t="str">
        <f t="shared" si="38"/>
        <v/>
      </c>
      <c r="Q363" s="1" t="str">
        <f t="shared" si="39"/>
        <v/>
      </c>
      <c r="R363" s="1" t="str">
        <f t="shared" si="40"/>
        <v/>
      </c>
      <c r="AA363" s="1" t="str">
        <f t="shared" si="41"/>
        <v/>
      </c>
    </row>
    <row r="364" spans="13:27" x14ac:dyDescent="0.45">
      <c r="M364" s="1" t="str">
        <f t="shared" si="35"/>
        <v/>
      </c>
      <c r="N364" s="1" t="str">
        <f t="shared" si="36"/>
        <v/>
      </c>
      <c r="O364" s="1" t="str">
        <f t="shared" si="37"/>
        <v/>
      </c>
      <c r="P364" s="1" t="str">
        <f t="shared" si="38"/>
        <v/>
      </c>
      <c r="Q364" s="1" t="str">
        <f t="shared" si="39"/>
        <v/>
      </c>
      <c r="R364" s="1" t="str">
        <f t="shared" si="40"/>
        <v/>
      </c>
      <c r="AA364" s="1" t="str">
        <f t="shared" si="41"/>
        <v/>
      </c>
    </row>
    <row r="365" spans="13:27" x14ac:dyDescent="0.45">
      <c r="M365" s="1" t="str">
        <f t="shared" si="35"/>
        <v/>
      </c>
      <c r="N365" s="1" t="str">
        <f t="shared" si="36"/>
        <v/>
      </c>
      <c r="O365" s="1" t="str">
        <f t="shared" si="37"/>
        <v/>
      </c>
      <c r="P365" s="1" t="str">
        <f t="shared" si="38"/>
        <v/>
      </c>
      <c r="Q365" s="1" t="str">
        <f t="shared" si="39"/>
        <v/>
      </c>
      <c r="R365" s="1" t="str">
        <f t="shared" si="40"/>
        <v/>
      </c>
      <c r="AA365" s="1" t="str">
        <f t="shared" si="41"/>
        <v/>
      </c>
    </row>
    <row r="366" spans="13:27" x14ac:dyDescent="0.45">
      <c r="M366" s="1" t="str">
        <f t="shared" si="35"/>
        <v/>
      </c>
      <c r="N366" s="1" t="str">
        <f t="shared" si="36"/>
        <v/>
      </c>
      <c r="O366" s="1" t="str">
        <f t="shared" si="37"/>
        <v/>
      </c>
      <c r="P366" s="1" t="str">
        <f t="shared" si="38"/>
        <v/>
      </c>
      <c r="Q366" s="1" t="str">
        <f t="shared" si="39"/>
        <v/>
      </c>
      <c r="R366" s="1" t="str">
        <f t="shared" si="40"/>
        <v/>
      </c>
      <c r="AA366" s="1" t="str">
        <f t="shared" si="41"/>
        <v/>
      </c>
    </row>
    <row r="367" spans="13:27" x14ac:dyDescent="0.45">
      <c r="M367" s="1" t="str">
        <f t="shared" si="35"/>
        <v/>
      </c>
      <c r="N367" s="1" t="str">
        <f t="shared" si="36"/>
        <v/>
      </c>
      <c r="O367" s="1" t="str">
        <f t="shared" si="37"/>
        <v/>
      </c>
      <c r="P367" s="1" t="str">
        <f t="shared" si="38"/>
        <v/>
      </c>
      <c r="Q367" s="1" t="str">
        <f t="shared" si="39"/>
        <v/>
      </c>
      <c r="R367" s="1" t="str">
        <f t="shared" si="40"/>
        <v/>
      </c>
      <c r="AA367" s="1" t="str">
        <f t="shared" si="41"/>
        <v/>
      </c>
    </row>
    <row r="368" spans="13:27" x14ac:dyDescent="0.45">
      <c r="M368" s="1" t="str">
        <f t="shared" si="35"/>
        <v/>
      </c>
      <c r="N368" s="1" t="str">
        <f t="shared" si="36"/>
        <v/>
      </c>
      <c r="O368" s="1" t="str">
        <f t="shared" si="37"/>
        <v/>
      </c>
      <c r="P368" s="1" t="str">
        <f t="shared" si="38"/>
        <v/>
      </c>
      <c r="Q368" s="1" t="str">
        <f t="shared" si="39"/>
        <v/>
      </c>
      <c r="R368" s="1" t="str">
        <f t="shared" si="40"/>
        <v/>
      </c>
      <c r="AA368" s="1" t="str">
        <f t="shared" si="41"/>
        <v/>
      </c>
    </row>
    <row r="369" spans="13:27" x14ac:dyDescent="0.45">
      <c r="M369" s="1" t="str">
        <f t="shared" si="35"/>
        <v/>
      </c>
      <c r="N369" s="1" t="str">
        <f t="shared" si="36"/>
        <v/>
      </c>
      <c r="O369" s="1" t="str">
        <f t="shared" si="37"/>
        <v/>
      </c>
      <c r="P369" s="1" t="str">
        <f t="shared" si="38"/>
        <v/>
      </c>
      <c r="Q369" s="1" t="str">
        <f t="shared" si="39"/>
        <v/>
      </c>
      <c r="R369" s="1" t="str">
        <f t="shared" si="40"/>
        <v/>
      </c>
      <c r="AA369" s="1" t="str">
        <f t="shared" si="41"/>
        <v/>
      </c>
    </row>
    <row r="370" spans="13:27" x14ac:dyDescent="0.45">
      <c r="M370" s="1" t="str">
        <f t="shared" si="35"/>
        <v/>
      </c>
      <c r="N370" s="1" t="str">
        <f t="shared" si="36"/>
        <v/>
      </c>
      <c r="O370" s="1" t="str">
        <f t="shared" si="37"/>
        <v/>
      </c>
      <c r="P370" s="1" t="str">
        <f t="shared" si="38"/>
        <v/>
      </c>
      <c r="Q370" s="1" t="str">
        <f t="shared" si="39"/>
        <v/>
      </c>
      <c r="R370" s="1" t="str">
        <f t="shared" si="40"/>
        <v/>
      </c>
      <c r="AA370" s="1" t="str">
        <f t="shared" si="41"/>
        <v/>
      </c>
    </row>
    <row r="371" spans="13:27" x14ac:dyDescent="0.45">
      <c r="M371" s="1" t="str">
        <f t="shared" si="35"/>
        <v/>
      </c>
      <c r="N371" s="1" t="str">
        <f t="shared" si="36"/>
        <v/>
      </c>
      <c r="O371" s="1" t="str">
        <f t="shared" si="37"/>
        <v/>
      </c>
      <c r="P371" s="1" t="str">
        <f t="shared" si="38"/>
        <v/>
      </c>
      <c r="Q371" s="1" t="str">
        <f t="shared" si="39"/>
        <v/>
      </c>
      <c r="R371" s="1" t="str">
        <f t="shared" si="40"/>
        <v/>
      </c>
      <c r="AA371" s="1" t="str">
        <f t="shared" si="41"/>
        <v/>
      </c>
    </row>
    <row r="372" spans="13:27" x14ac:dyDescent="0.45">
      <c r="M372" s="1" t="str">
        <f t="shared" si="35"/>
        <v/>
      </c>
      <c r="N372" s="1" t="str">
        <f t="shared" si="36"/>
        <v/>
      </c>
      <c r="O372" s="1" t="str">
        <f t="shared" si="37"/>
        <v/>
      </c>
      <c r="P372" s="1" t="str">
        <f t="shared" si="38"/>
        <v/>
      </c>
      <c r="Q372" s="1" t="str">
        <f t="shared" si="39"/>
        <v/>
      </c>
      <c r="R372" s="1" t="str">
        <f t="shared" si="40"/>
        <v/>
      </c>
      <c r="AA372" s="1" t="str">
        <f t="shared" si="41"/>
        <v/>
      </c>
    </row>
    <row r="373" spans="13:27" x14ac:dyDescent="0.45">
      <c r="M373" s="1" t="str">
        <f t="shared" si="35"/>
        <v/>
      </c>
      <c r="N373" s="1" t="str">
        <f t="shared" si="36"/>
        <v/>
      </c>
      <c r="O373" s="1" t="str">
        <f t="shared" si="37"/>
        <v/>
      </c>
      <c r="P373" s="1" t="str">
        <f t="shared" si="38"/>
        <v/>
      </c>
      <c r="Q373" s="1" t="str">
        <f t="shared" si="39"/>
        <v/>
      </c>
      <c r="R373" s="1" t="str">
        <f t="shared" si="40"/>
        <v/>
      </c>
      <c r="AA373" s="1" t="str">
        <f t="shared" si="41"/>
        <v/>
      </c>
    </row>
    <row r="374" spans="13:27" x14ac:dyDescent="0.45">
      <c r="M374" s="1" t="str">
        <f t="shared" si="35"/>
        <v/>
      </c>
      <c r="N374" s="1" t="str">
        <f t="shared" si="36"/>
        <v/>
      </c>
      <c r="O374" s="1" t="str">
        <f t="shared" si="37"/>
        <v/>
      </c>
      <c r="P374" s="1" t="str">
        <f t="shared" si="38"/>
        <v/>
      </c>
      <c r="Q374" s="1" t="str">
        <f t="shared" si="39"/>
        <v/>
      </c>
      <c r="R374" s="1" t="str">
        <f t="shared" si="40"/>
        <v/>
      </c>
      <c r="AA374" s="1" t="str">
        <f t="shared" si="41"/>
        <v/>
      </c>
    </row>
    <row r="375" spans="13:27" x14ac:dyDescent="0.45">
      <c r="M375" s="1" t="str">
        <f t="shared" si="35"/>
        <v/>
      </c>
      <c r="N375" s="1" t="str">
        <f t="shared" si="36"/>
        <v/>
      </c>
      <c r="O375" s="1" t="str">
        <f t="shared" si="37"/>
        <v/>
      </c>
      <c r="P375" s="1" t="str">
        <f t="shared" si="38"/>
        <v/>
      </c>
      <c r="Q375" s="1" t="str">
        <f t="shared" si="39"/>
        <v/>
      </c>
      <c r="R375" s="1" t="str">
        <f t="shared" si="40"/>
        <v/>
      </c>
      <c r="AA375" s="1" t="str">
        <f t="shared" si="41"/>
        <v/>
      </c>
    </row>
    <row r="376" spans="13:27" x14ac:dyDescent="0.45">
      <c r="M376" s="1" t="str">
        <f t="shared" si="35"/>
        <v/>
      </c>
      <c r="N376" s="1" t="str">
        <f t="shared" si="36"/>
        <v/>
      </c>
      <c r="O376" s="1" t="str">
        <f t="shared" si="37"/>
        <v/>
      </c>
      <c r="P376" s="1" t="str">
        <f t="shared" si="38"/>
        <v/>
      </c>
      <c r="Q376" s="1" t="str">
        <f t="shared" si="39"/>
        <v/>
      </c>
      <c r="R376" s="1" t="str">
        <f t="shared" si="40"/>
        <v/>
      </c>
      <c r="AA376" s="1" t="str">
        <f t="shared" si="41"/>
        <v/>
      </c>
    </row>
    <row r="377" spans="13:27" x14ac:dyDescent="0.45">
      <c r="M377" s="1" t="str">
        <f t="shared" si="35"/>
        <v/>
      </c>
      <c r="N377" s="1" t="str">
        <f t="shared" si="36"/>
        <v/>
      </c>
      <c r="O377" s="1" t="str">
        <f t="shared" si="37"/>
        <v/>
      </c>
      <c r="P377" s="1" t="str">
        <f t="shared" si="38"/>
        <v/>
      </c>
      <c r="Q377" s="1" t="str">
        <f t="shared" si="39"/>
        <v/>
      </c>
      <c r="R377" s="1" t="str">
        <f t="shared" si="40"/>
        <v/>
      </c>
      <c r="AA377" s="1" t="str">
        <f t="shared" si="41"/>
        <v/>
      </c>
    </row>
    <row r="378" spans="13:27" x14ac:dyDescent="0.45">
      <c r="M378" s="1" t="str">
        <f t="shared" si="35"/>
        <v/>
      </c>
      <c r="N378" s="1" t="str">
        <f t="shared" si="36"/>
        <v/>
      </c>
      <c r="O378" s="1" t="str">
        <f t="shared" si="37"/>
        <v/>
      </c>
      <c r="P378" s="1" t="str">
        <f t="shared" si="38"/>
        <v/>
      </c>
      <c r="Q378" s="1" t="str">
        <f t="shared" si="39"/>
        <v/>
      </c>
      <c r="R378" s="1" t="str">
        <f t="shared" si="40"/>
        <v/>
      </c>
      <c r="AA378" s="1" t="str">
        <f t="shared" si="41"/>
        <v/>
      </c>
    </row>
    <row r="379" spans="13:27" x14ac:dyDescent="0.45">
      <c r="M379" s="1" t="str">
        <f t="shared" si="35"/>
        <v/>
      </c>
      <c r="N379" s="1" t="str">
        <f t="shared" si="36"/>
        <v/>
      </c>
      <c r="O379" s="1" t="str">
        <f t="shared" si="37"/>
        <v/>
      </c>
      <c r="P379" s="1" t="str">
        <f t="shared" si="38"/>
        <v/>
      </c>
      <c r="Q379" s="1" t="str">
        <f t="shared" si="39"/>
        <v/>
      </c>
      <c r="R379" s="1" t="str">
        <f t="shared" si="40"/>
        <v/>
      </c>
      <c r="AA379" s="1" t="str">
        <f t="shared" si="41"/>
        <v/>
      </c>
    </row>
    <row r="380" spans="13:27" x14ac:dyDescent="0.45">
      <c r="M380" s="1" t="str">
        <f t="shared" si="35"/>
        <v/>
      </c>
      <c r="N380" s="1" t="str">
        <f t="shared" si="36"/>
        <v/>
      </c>
      <c r="O380" s="1" t="str">
        <f t="shared" si="37"/>
        <v/>
      </c>
      <c r="P380" s="1" t="str">
        <f t="shared" si="38"/>
        <v/>
      </c>
      <c r="Q380" s="1" t="str">
        <f t="shared" si="39"/>
        <v/>
      </c>
      <c r="R380" s="1" t="str">
        <f t="shared" si="40"/>
        <v/>
      </c>
      <c r="AA380" s="1" t="str">
        <f t="shared" si="41"/>
        <v/>
      </c>
    </row>
    <row r="381" spans="13:27" x14ac:dyDescent="0.45">
      <c r="M381" s="1" t="str">
        <f t="shared" si="35"/>
        <v/>
      </c>
      <c r="N381" s="1" t="str">
        <f t="shared" si="36"/>
        <v/>
      </c>
      <c r="O381" s="1" t="str">
        <f t="shared" si="37"/>
        <v/>
      </c>
      <c r="P381" s="1" t="str">
        <f t="shared" si="38"/>
        <v/>
      </c>
      <c r="Q381" s="1" t="str">
        <f t="shared" si="39"/>
        <v/>
      </c>
      <c r="R381" s="1" t="str">
        <f t="shared" si="40"/>
        <v/>
      </c>
      <c r="AA381" s="1" t="str">
        <f t="shared" si="41"/>
        <v/>
      </c>
    </row>
    <row r="382" spans="13:27" x14ac:dyDescent="0.45">
      <c r="M382" s="1" t="str">
        <f t="shared" si="35"/>
        <v/>
      </c>
      <c r="N382" s="1" t="str">
        <f t="shared" si="36"/>
        <v/>
      </c>
      <c r="O382" s="1" t="str">
        <f t="shared" si="37"/>
        <v/>
      </c>
      <c r="P382" s="1" t="str">
        <f t="shared" si="38"/>
        <v/>
      </c>
      <c r="Q382" s="1" t="str">
        <f t="shared" si="39"/>
        <v/>
      </c>
      <c r="R382" s="1" t="str">
        <f t="shared" si="40"/>
        <v/>
      </c>
      <c r="AA382" s="1" t="str">
        <f t="shared" si="41"/>
        <v/>
      </c>
    </row>
    <row r="383" spans="13:27" x14ac:dyDescent="0.45">
      <c r="M383" s="1" t="str">
        <f t="shared" si="35"/>
        <v/>
      </c>
      <c r="N383" s="1" t="str">
        <f t="shared" si="36"/>
        <v/>
      </c>
      <c r="O383" s="1" t="str">
        <f t="shared" si="37"/>
        <v/>
      </c>
      <c r="P383" s="1" t="str">
        <f t="shared" si="38"/>
        <v/>
      </c>
      <c r="Q383" s="1" t="str">
        <f t="shared" si="39"/>
        <v/>
      </c>
      <c r="R383" s="1" t="str">
        <f t="shared" si="40"/>
        <v/>
      </c>
      <c r="AA383" s="1" t="str">
        <f t="shared" si="41"/>
        <v/>
      </c>
    </row>
    <row r="384" spans="13:27" x14ac:dyDescent="0.45">
      <c r="M384" s="1" t="str">
        <f t="shared" si="35"/>
        <v/>
      </c>
      <c r="N384" s="1" t="str">
        <f t="shared" si="36"/>
        <v/>
      </c>
      <c r="O384" s="1" t="str">
        <f t="shared" si="37"/>
        <v/>
      </c>
      <c r="P384" s="1" t="str">
        <f t="shared" si="38"/>
        <v/>
      </c>
      <c r="Q384" s="1" t="str">
        <f t="shared" si="39"/>
        <v/>
      </c>
      <c r="R384" s="1" t="str">
        <f t="shared" si="40"/>
        <v/>
      </c>
      <c r="AA384" s="1" t="str">
        <f t="shared" si="41"/>
        <v/>
      </c>
    </row>
    <row r="385" spans="13:27" x14ac:dyDescent="0.45">
      <c r="M385" s="1" t="str">
        <f t="shared" si="35"/>
        <v/>
      </c>
      <c r="N385" s="1" t="str">
        <f t="shared" si="36"/>
        <v/>
      </c>
      <c r="O385" s="1" t="str">
        <f t="shared" si="37"/>
        <v/>
      </c>
      <c r="P385" s="1" t="str">
        <f t="shared" si="38"/>
        <v/>
      </c>
      <c r="Q385" s="1" t="str">
        <f t="shared" si="39"/>
        <v/>
      </c>
      <c r="R385" s="1" t="str">
        <f t="shared" si="40"/>
        <v/>
      </c>
      <c r="AA385" s="1" t="str">
        <f t="shared" si="41"/>
        <v/>
      </c>
    </row>
    <row r="386" spans="13:27" x14ac:dyDescent="0.45">
      <c r="M386" s="1" t="str">
        <f t="shared" ref="M386:M449" si="42">IF(OR($F386="",$G386=""),"",HYPERLINK("https://www.google.com/maps?q="&amp;$F386&amp;","&amp;$G386&amp;"","Map"))</f>
        <v/>
      </c>
      <c r="N386" s="1" t="str">
        <f t="shared" ref="N386:N449" si="43">IF(OR($F386="",$G386=""),"",HYPERLINK("https://www.google.com/maps?q&amp;layer=c&amp;cbll="&amp;$F386&amp;","&amp;$G386&amp;"","Street"))</f>
        <v/>
      </c>
      <c r="O386" s="1" t="str">
        <f t="shared" ref="O386:O449" si="44">IF(OR($F386="",$G386=""),"",HYPERLINK("https://www.bing.com/maps?cp="&amp;$F386&amp;"~"&amp;$G386&amp;"&amp;lvl=18&amp;style=h","Bing"))</f>
        <v/>
      </c>
      <c r="P386" s="1" t="str">
        <f t="shared" ref="P386:P449" si="45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6">IF(OR($F386="",$G386=""),"",HYPERLINK("https://msc.fema.gov/portal/firmette?latitude="&amp;$F386&amp;"&amp;longitude="&amp;$G386&amp;"","FIRMette"))</f>
        <v/>
      </c>
      <c r="R386" s="1" t="str">
        <f t="shared" ref="R386:R449" si="47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AA386" s="1" t="str">
        <f t="shared" ref="AA386:AA449" si="48">IF(OR(_xlfn.SINGLE(JobAgolMap)="", $F386="", $G386=""),"",HYPERLINK(_xlfn.SINGLE(JobAgolMap)&amp;IF(ISNUMBER(FIND("?",_xlfn.SINGLE(JobAgolMap))),"&amp;","?")&amp;"center="&amp;$G386&amp;","&amp;$F386&amp;"&amp;level=16&amp;marker="&amp;$G386&amp;","&amp;$F386,"Open"))</f>
        <v/>
      </c>
    </row>
    <row r="387" spans="13:27" x14ac:dyDescent="0.45">
      <c r="M387" s="1" t="str">
        <f t="shared" si="42"/>
        <v/>
      </c>
      <c r="N387" s="1" t="str">
        <f t="shared" si="43"/>
        <v/>
      </c>
      <c r="O387" s="1" t="str">
        <f t="shared" si="44"/>
        <v/>
      </c>
      <c r="P387" s="1" t="str">
        <f t="shared" si="45"/>
        <v/>
      </c>
      <c r="Q387" s="1" t="str">
        <f t="shared" si="46"/>
        <v/>
      </c>
      <c r="R387" s="1" t="str">
        <f t="shared" si="47"/>
        <v/>
      </c>
      <c r="AA387" s="1" t="str">
        <f t="shared" si="48"/>
        <v/>
      </c>
    </row>
    <row r="388" spans="13:27" x14ac:dyDescent="0.45">
      <c r="M388" s="1" t="str">
        <f t="shared" si="42"/>
        <v/>
      </c>
      <c r="N388" s="1" t="str">
        <f t="shared" si="43"/>
        <v/>
      </c>
      <c r="O388" s="1" t="str">
        <f t="shared" si="44"/>
        <v/>
      </c>
      <c r="P388" s="1" t="str">
        <f t="shared" si="45"/>
        <v/>
      </c>
      <c r="Q388" s="1" t="str">
        <f t="shared" si="46"/>
        <v/>
      </c>
      <c r="R388" s="1" t="str">
        <f t="shared" si="47"/>
        <v/>
      </c>
      <c r="AA388" s="1" t="str">
        <f t="shared" si="48"/>
        <v/>
      </c>
    </row>
    <row r="389" spans="13:27" x14ac:dyDescent="0.45">
      <c r="M389" s="1" t="str">
        <f t="shared" si="42"/>
        <v/>
      </c>
      <c r="N389" s="1" t="str">
        <f t="shared" si="43"/>
        <v/>
      </c>
      <c r="O389" s="1" t="str">
        <f t="shared" si="44"/>
        <v/>
      </c>
      <c r="P389" s="1" t="str">
        <f t="shared" si="45"/>
        <v/>
      </c>
      <c r="Q389" s="1" t="str">
        <f t="shared" si="46"/>
        <v/>
      </c>
      <c r="R389" s="1" t="str">
        <f t="shared" si="47"/>
        <v/>
      </c>
      <c r="AA389" s="1" t="str">
        <f t="shared" si="48"/>
        <v/>
      </c>
    </row>
    <row r="390" spans="13:27" x14ac:dyDescent="0.45">
      <c r="M390" s="1" t="str">
        <f t="shared" si="42"/>
        <v/>
      </c>
      <c r="N390" s="1" t="str">
        <f t="shared" si="43"/>
        <v/>
      </c>
      <c r="O390" s="1" t="str">
        <f t="shared" si="44"/>
        <v/>
      </c>
      <c r="P390" s="1" t="str">
        <f t="shared" si="45"/>
        <v/>
      </c>
      <c r="Q390" s="1" t="str">
        <f t="shared" si="46"/>
        <v/>
      </c>
      <c r="R390" s="1" t="str">
        <f t="shared" si="47"/>
        <v/>
      </c>
      <c r="AA390" s="1" t="str">
        <f t="shared" si="48"/>
        <v/>
      </c>
    </row>
    <row r="391" spans="13:27" x14ac:dyDescent="0.45">
      <c r="M391" s="1" t="str">
        <f t="shared" si="42"/>
        <v/>
      </c>
      <c r="N391" s="1" t="str">
        <f t="shared" si="43"/>
        <v/>
      </c>
      <c r="O391" s="1" t="str">
        <f t="shared" si="44"/>
        <v/>
      </c>
      <c r="P391" s="1" t="str">
        <f t="shared" si="45"/>
        <v/>
      </c>
      <c r="Q391" s="1" t="str">
        <f t="shared" si="46"/>
        <v/>
      </c>
      <c r="R391" s="1" t="str">
        <f t="shared" si="47"/>
        <v/>
      </c>
      <c r="AA391" s="1" t="str">
        <f t="shared" si="48"/>
        <v/>
      </c>
    </row>
    <row r="392" spans="13:27" x14ac:dyDescent="0.45">
      <c r="M392" s="1" t="str">
        <f t="shared" si="42"/>
        <v/>
      </c>
      <c r="N392" s="1" t="str">
        <f t="shared" si="43"/>
        <v/>
      </c>
      <c r="O392" s="1" t="str">
        <f t="shared" si="44"/>
        <v/>
      </c>
      <c r="P392" s="1" t="str">
        <f t="shared" si="45"/>
        <v/>
      </c>
      <c r="Q392" s="1" t="str">
        <f t="shared" si="46"/>
        <v/>
      </c>
      <c r="R392" s="1" t="str">
        <f t="shared" si="47"/>
        <v/>
      </c>
      <c r="AA392" s="1" t="str">
        <f t="shared" si="48"/>
        <v/>
      </c>
    </row>
    <row r="393" spans="13:27" x14ac:dyDescent="0.45">
      <c r="M393" s="1" t="str">
        <f t="shared" si="42"/>
        <v/>
      </c>
      <c r="N393" s="1" t="str">
        <f t="shared" si="43"/>
        <v/>
      </c>
      <c r="O393" s="1" t="str">
        <f t="shared" si="44"/>
        <v/>
      </c>
      <c r="P393" s="1" t="str">
        <f t="shared" si="45"/>
        <v/>
      </c>
      <c r="Q393" s="1" t="str">
        <f t="shared" si="46"/>
        <v/>
      </c>
      <c r="R393" s="1" t="str">
        <f t="shared" si="47"/>
        <v/>
      </c>
      <c r="AA393" s="1" t="str">
        <f t="shared" si="48"/>
        <v/>
      </c>
    </row>
    <row r="394" spans="13:27" x14ac:dyDescent="0.45">
      <c r="M394" s="1" t="str">
        <f t="shared" si="42"/>
        <v/>
      </c>
      <c r="N394" s="1" t="str">
        <f t="shared" si="43"/>
        <v/>
      </c>
      <c r="O394" s="1" t="str">
        <f t="shared" si="44"/>
        <v/>
      </c>
      <c r="P394" s="1" t="str">
        <f t="shared" si="45"/>
        <v/>
      </c>
      <c r="Q394" s="1" t="str">
        <f t="shared" si="46"/>
        <v/>
      </c>
      <c r="R394" s="1" t="str">
        <f t="shared" si="47"/>
        <v/>
      </c>
      <c r="AA394" s="1" t="str">
        <f t="shared" si="48"/>
        <v/>
      </c>
    </row>
    <row r="395" spans="13:27" x14ac:dyDescent="0.45">
      <c r="M395" s="1" t="str">
        <f t="shared" si="42"/>
        <v/>
      </c>
      <c r="N395" s="1" t="str">
        <f t="shared" si="43"/>
        <v/>
      </c>
      <c r="O395" s="1" t="str">
        <f t="shared" si="44"/>
        <v/>
      </c>
      <c r="P395" s="1" t="str">
        <f t="shared" si="45"/>
        <v/>
      </c>
      <c r="Q395" s="1" t="str">
        <f t="shared" si="46"/>
        <v/>
      </c>
      <c r="R395" s="1" t="str">
        <f t="shared" si="47"/>
        <v/>
      </c>
      <c r="AA395" s="1" t="str">
        <f t="shared" si="48"/>
        <v/>
      </c>
    </row>
    <row r="396" spans="13:27" x14ac:dyDescent="0.45">
      <c r="M396" s="1" t="str">
        <f t="shared" si="42"/>
        <v/>
      </c>
      <c r="N396" s="1" t="str">
        <f t="shared" si="43"/>
        <v/>
      </c>
      <c r="O396" s="1" t="str">
        <f t="shared" si="44"/>
        <v/>
      </c>
      <c r="P396" s="1" t="str">
        <f t="shared" si="45"/>
        <v/>
      </c>
      <c r="Q396" s="1" t="str">
        <f t="shared" si="46"/>
        <v/>
      </c>
      <c r="R396" s="1" t="str">
        <f t="shared" si="47"/>
        <v/>
      </c>
      <c r="AA396" s="1" t="str">
        <f t="shared" si="48"/>
        <v/>
      </c>
    </row>
    <row r="397" spans="13:27" x14ac:dyDescent="0.45">
      <c r="M397" s="1" t="str">
        <f t="shared" si="42"/>
        <v/>
      </c>
      <c r="N397" s="1" t="str">
        <f t="shared" si="43"/>
        <v/>
      </c>
      <c r="O397" s="1" t="str">
        <f t="shared" si="44"/>
        <v/>
      </c>
      <c r="P397" s="1" t="str">
        <f t="shared" si="45"/>
        <v/>
      </c>
      <c r="Q397" s="1" t="str">
        <f t="shared" si="46"/>
        <v/>
      </c>
      <c r="R397" s="1" t="str">
        <f t="shared" si="47"/>
        <v/>
      </c>
      <c r="AA397" s="1" t="str">
        <f t="shared" si="48"/>
        <v/>
      </c>
    </row>
    <row r="398" spans="13:27" x14ac:dyDescent="0.45">
      <c r="M398" s="1" t="str">
        <f t="shared" si="42"/>
        <v/>
      </c>
      <c r="N398" s="1" t="str">
        <f t="shared" si="43"/>
        <v/>
      </c>
      <c r="O398" s="1" t="str">
        <f t="shared" si="44"/>
        <v/>
      </c>
      <c r="P398" s="1" t="str">
        <f t="shared" si="45"/>
        <v/>
      </c>
      <c r="Q398" s="1" t="str">
        <f t="shared" si="46"/>
        <v/>
      </c>
      <c r="R398" s="1" t="str">
        <f t="shared" si="47"/>
        <v/>
      </c>
      <c r="AA398" s="1" t="str">
        <f t="shared" si="48"/>
        <v/>
      </c>
    </row>
    <row r="399" spans="13:27" x14ac:dyDescent="0.45">
      <c r="M399" s="1" t="str">
        <f t="shared" si="42"/>
        <v/>
      </c>
      <c r="N399" s="1" t="str">
        <f t="shared" si="43"/>
        <v/>
      </c>
      <c r="O399" s="1" t="str">
        <f t="shared" si="44"/>
        <v/>
      </c>
      <c r="P399" s="1" t="str">
        <f t="shared" si="45"/>
        <v/>
      </c>
      <c r="Q399" s="1" t="str">
        <f t="shared" si="46"/>
        <v/>
      </c>
      <c r="R399" s="1" t="str">
        <f t="shared" si="47"/>
        <v/>
      </c>
      <c r="AA399" s="1" t="str">
        <f t="shared" si="48"/>
        <v/>
      </c>
    </row>
    <row r="400" spans="13:27" x14ac:dyDescent="0.45">
      <c r="M400" s="1" t="str">
        <f t="shared" si="42"/>
        <v/>
      </c>
      <c r="N400" s="1" t="str">
        <f t="shared" si="43"/>
        <v/>
      </c>
      <c r="O400" s="1" t="str">
        <f t="shared" si="44"/>
        <v/>
      </c>
      <c r="P400" s="1" t="str">
        <f t="shared" si="45"/>
        <v/>
      </c>
      <c r="Q400" s="1" t="str">
        <f t="shared" si="46"/>
        <v/>
      </c>
      <c r="R400" s="1" t="str">
        <f t="shared" si="47"/>
        <v/>
      </c>
      <c r="AA400" s="1" t="str">
        <f t="shared" si="48"/>
        <v/>
      </c>
    </row>
    <row r="401" spans="13:27" x14ac:dyDescent="0.45">
      <c r="M401" s="1" t="str">
        <f t="shared" si="42"/>
        <v/>
      </c>
      <c r="N401" s="1" t="str">
        <f t="shared" si="43"/>
        <v/>
      </c>
      <c r="O401" s="1" t="str">
        <f t="shared" si="44"/>
        <v/>
      </c>
      <c r="P401" s="1" t="str">
        <f t="shared" si="45"/>
        <v/>
      </c>
      <c r="Q401" s="1" t="str">
        <f t="shared" si="46"/>
        <v/>
      </c>
      <c r="R401" s="1" t="str">
        <f t="shared" si="47"/>
        <v/>
      </c>
      <c r="AA401" s="1" t="str">
        <f t="shared" si="48"/>
        <v/>
      </c>
    </row>
    <row r="402" spans="13:27" x14ac:dyDescent="0.45">
      <c r="M402" s="1" t="str">
        <f t="shared" si="42"/>
        <v/>
      </c>
      <c r="N402" s="1" t="str">
        <f t="shared" si="43"/>
        <v/>
      </c>
      <c r="O402" s="1" t="str">
        <f t="shared" si="44"/>
        <v/>
      </c>
      <c r="P402" s="1" t="str">
        <f t="shared" si="45"/>
        <v/>
      </c>
      <c r="Q402" s="1" t="str">
        <f t="shared" si="46"/>
        <v/>
      </c>
      <c r="R402" s="1" t="str">
        <f t="shared" si="47"/>
        <v/>
      </c>
      <c r="AA402" s="1" t="str">
        <f t="shared" si="48"/>
        <v/>
      </c>
    </row>
    <row r="403" spans="13:27" x14ac:dyDescent="0.45">
      <c r="M403" s="1" t="str">
        <f t="shared" si="42"/>
        <v/>
      </c>
      <c r="N403" s="1" t="str">
        <f t="shared" si="43"/>
        <v/>
      </c>
      <c r="O403" s="1" t="str">
        <f t="shared" si="44"/>
        <v/>
      </c>
      <c r="P403" s="1" t="str">
        <f t="shared" si="45"/>
        <v/>
      </c>
      <c r="Q403" s="1" t="str">
        <f t="shared" si="46"/>
        <v/>
      </c>
      <c r="R403" s="1" t="str">
        <f t="shared" si="47"/>
        <v/>
      </c>
      <c r="AA403" s="1" t="str">
        <f t="shared" si="48"/>
        <v/>
      </c>
    </row>
    <row r="404" spans="13:27" x14ac:dyDescent="0.45">
      <c r="M404" s="1" t="str">
        <f t="shared" si="42"/>
        <v/>
      </c>
      <c r="N404" s="1" t="str">
        <f t="shared" si="43"/>
        <v/>
      </c>
      <c r="O404" s="1" t="str">
        <f t="shared" si="44"/>
        <v/>
      </c>
      <c r="P404" s="1" t="str">
        <f t="shared" si="45"/>
        <v/>
      </c>
      <c r="Q404" s="1" t="str">
        <f t="shared" si="46"/>
        <v/>
      </c>
      <c r="R404" s="1" t="str">
        <f t="shared" si="47"/>
        <v/>
      </c>
      <c r="AA404" s="1" t="str">
        <f t="shared" si="48"/>
        <v/>
      </c>
    </row>
    <row r="405" spans="13:27" x14ac:dyDescent="0.45">
      <c r="M405" s="1" t="str">
        <f t="shared" si="42"/>
        <v/>
      </c>
      <c r="N405" s="1" t="str">
        <f t="shared" si="43"/>
        <v/>
      </c>
      <c r="O405" s="1" t="str">
        <f t="shared" si="44"/>
        <v/>
      </c>
      <c r="P405" s="1" t="str">
        <f t="shared" si="45"/>
        <v/>
      </c>
      <c r="Q405" s="1" t="str">
        <f t="shared" si="46"/>
        <v/>
      </c>
      <c r="R405" s="1" t="str">
        <f t="shared" si="47"/>
        <v/>
      </c>
      <c r="AA405" s="1" t="str">
        <f t="shared" si="48"/>
        <v/>
      </c>
    </row>
    <row r="406" spans="13:27" x14ac:dyDescent="0.45">
      <c r="M406" s="1" t="str">
        <f t="shared" si="42"/>
        <v/>
      </c>
      <c r="N406" s="1" t="str">
        <f t="shared" si="43"/>
        <v/>
      </c>
      <c r="O406" s="1" t="str">
        <f t="shared" si="44"/>
        <v/>
      </c>
      <c r="P406" s="1" t="str">
        <f t="shared" si="45"/>
        <v/>
      </c>
      <c r="Q406" s="1" t="str">
        <f t="shared" si="46"/>
        <v/>
      </c>
      <c r="R406" s="1" t="str">
        <f t="shared" si="47"/>
        <v/>
      </c>
      <c r="AA406" s="1" t="str">
        <f t="shared" si="48"/>
        <v/>
      </c>
    </row>
    <row r="407" spans="13:27" x14ac:dyDescent="0.45">
      <c r="M407" s="1" t="str">
        <f t="shared" si="42"/>
        <v/>
      </c>
      <c r="N407" s="1" t="str">
        <f t="shared" si="43"/>
        <v/>
      </c>
      <c r="O407" s="1" t="str">
        <f t="shared" si="44"/>
        <v/>
      </c>
      <c r="P407" s="1" t="str">
        <f t="shared" si="45"/>
        <v/>
      </c>
      <c r="Q407" s="1" t="str">
        <f t="shared" si="46"/>
        <v/>
      </c>
      <c r="R407" s="1" t="str">
        <f t="shared" si="47"/>
        <v/>
      </c>
      <c r="AA407" s="1" t="str">
        <f t="shared" si="48"/>
        <v/>
      </c>
    </row>
    <row r="408" spans="13:27" x14ac:dyDescent="0.45">
      <c r="M408" s="1" t="str">
        <f t="shared" si="42"/>
        <v/>
      </c>
      <c r="N408" s="1" t="str">
        <f t="shared" si="43"/>
        <v/>
      </c>
      <c r="O408" s="1" t="str">
        <f t="shared" si="44"/>
        <v/>
      </c>
      <c r="P408" s="1" t="str">
        <f t="shared" si="45"/>
        <v/>
      </c>
      <c r="Q408" s="1" t="str">
        <f t="shared" si="46"/>
        <v/>
      </c>
      <c r="R408" s="1" t="str">
        <f t="shared" si="47"/>
        <v/>
      </c>
      <c r="AA408" s="1" t="str">
        <f t="shared" si="48"/>
        <v/>
      </c>
    </row>
    <row r="409" spans="13:27" x14ac:dyDescent="0.45">
      <c r="M409" s="1" t="str">
        <f t="shared" si="42"/>
        <v/>
      </c>
      <c r="N409" s="1" t="str">
        <f t="shared" si="43"/>
        <v/>
      </c>
      <c r="O409" s="1" t="str">
        <f t="shared" si="44"/>
        <v/>
      </c>
      <c r="P409" s="1" t="str">
        <f t="shared" si="45"/>
        <v/>
      </c>
      <c r="Q409" s="1" t="str">
        <f t="shared" si="46"/>
        <v/>
      </c>
      <c r="R409" s="1" t="str">
        <f t="shared" si="47"/>
        <v/>
      </c>
      <c r="AA409" s="1" t="str">
        <f t="shared" si="48"/>
        <v/>
      </c>
    </row>
    <row r="410" spans="13:27" x14ac:dyDescent="0.45">
      <c r="M410" s="1" t="str">
        <f t="shared" si="42"/>
        <v/>
      </c>
      <c r="N410" s="1" t="str">
        <f t="shared" si="43"/>
        <v/>
      </c>
      <c r="O410" s="1" t="str">
        <f t="shared" si="44"/>
        <v/>
      </c>
      <c r="P410" s="1" t="str">
        <f t="shared" si="45"/>
        <v/>
      </c>
      <c r="Q410" s="1" t="str">
        <f t="shared" si="46"/>
        <v/>
      </c>
      <c r="R410" s="1" t="str">
        <f t="shared" si="47"/>
        <v/>
      </c>
      <c r="AA410" s="1" t="str">
        <f t="shared" si="48"/>
        <v/>
      </c>
    </row>
    <row r="411" spans="13:27" x14ac:dyDescent="0.45">
      <c r="M411" s="1" t="str">
        <f t="shared" si="42"/>
        <v/>
      </c>
      <c r="N411" s="1" t="str">
        <f t="shared" si="43"/>
        <v/>
      </c>
      <c r="O411" s="1" t="str">
        <f t="shared" si="44"/>
        <v/>
      </c>
      <c r="P411" s="1" t="str">
        <f t="shared" si="45"/>
        <v/>
      </c>
      <c r="Q411" s="1" t="str">
        <f t="shared" si="46"/>
        <v/>
      </c>
      <c r="R411" s="1" t="str">
        <f t="shared" si="47"/>
        <v/>
      </c>
      <c r="AA411" s="1" t="str">
        <f t="shared" si="48"/>
        <v/>
      </c>
    </row>
    <row r="412" spans="13:27" x14ac:dyDescent="0.45">
      <c r="M412" s="1" t="str">
        <f t="shared" si="42"/>
        <v/>
      </c>
      <c r="N412" s="1" t="str">
        <f t="shared" si="43"/>
        <v/>
      </c>
      <c r="O412" s="1" t="str">
        <f t="shared" si="44"/>
        <v/>
      </c>
      <c r="P412" s="1" t="str">
        <f t="shared" si="45"/>
        <v/>
      </c>
      <c r="Q412" s="1" t="str">
        <f t="shared" si="46"/>
        <v/>
      </c>
      <c r="R412" s="1" t="str">
        <f t="shared" si="47"/>
        <v/>
      </c>
      <c r="AA412" s="1" t="str">
        <f t="shared" si="48"/>
        <v/>
      </c>
    </row>
    <row r="413" spans="13:27" x14ac:dyDescent="0.45">
      <c r="M413" s="1" t="str">
        <f t="shared" si="42"/>
        <v/>
      </c>
      <c r="N413" s="1" t="str">
        <f t="shared" si="43"/>
        <v/>
      </c>
      <c r="O413" s="1" t="str">
        <f t="shared" si="44"/>
        <v/>
      </c>
      <c r="P413" s="1" t="str">
        <f t="shared" si="45"/>
        <v/>
      </c>
      <c r="Q413" s="1" t="str">
        <f t="shared" si="46"/>
        <v/>
      </c>
      <c r="R413" s="1" t="str">
        <f t="shared" si="47"/>
        <v/>
      </c>
      <c r="AA413" s="1" t="str">
        <f t="shared" si="48"/>
        <v/>
      </c>
    </row>
    <row r="414" spans="13:27" x14ac:dyDescent="0.45">
      <c r="M414" s="1" t="str">
        <f t="shared" si="42"/>
        <v/>
      </c>
      <c r="N414" s="1" t="str">
        <f t="shared" si="43"/>
        <v/>
      </c>
      <c r="O414" s="1" t="str">
        <f t="shared" si="44"/>
        <v/>
      </c>
      <c r="P414" s="1" t="str">
        <f t="shared" si="45"/>
        <v/>
      </c>
      <c r="Q414" s="1" t="str">
        <f t="shared" si="46"/>
        <v/>
      </c>
      <c r="R414" s="1" t="str">
        <f t="shared" si="47"/>
        <v/>
      </c>
      <c r="AA414" s="1" t="str">
        <f t="shared" si="48"/>
        <v/>
      </c>
    </row>
    <row r="415" spans="13:27" x14ac:dyDescent="0.45">
      <c r="M415" s="1" t="str">
        <f t="shared" si="42"/>
        <v/>
      </c>
      <c r="N415" s="1" t="str">
        <f t="shared" si="43"/>
        <v/>
      </c>
      <c r="O415" s="1" t="str">
        <f t="shared" si="44"/>
        <v/>
      </c>
      <c r="P415" s="1" t="str">
        <f t="shared" si="45"/>
        <v/>
      </c>
      <c r="Q415" s="1" t="str">
        <f t="shared" si="46"/>
        <v/>
      </c>
      <c r="R415" s="1" t="str">
        <f t="shared" si="47"/>
        <v/>
      </c>
      <c r="AA415" s="1" t="str">
        <f t="shared" si="48"/>
        <v/>
      </c>
    </row>
    <row r="416" spans="13:27" x14ac:dyDescent="0.45">
      <c r="M416" s="1" t="str">
        <f t="shared" si="42"/>
        <v/>
      </c>
      <c r="N416" s="1" t="str">
        <f t="shared" si="43"/>
        <v/>
      </c>
      <c r="O416" s="1" t="str">
        <f t="shared" si="44"/>
        <v/>
      </c>
      <c r="P416" s="1" t="str">
        <f t="shared" si="45"/>
        <v/>
      </c>
      <c r="Q416" s="1" t="str">
        <f t="shared" si="46"/>
        <v/>
      </c>
      <c r="R416" s="1" t="str">
        <f t="shared" si="47"/>
        <v/>
      </c>
      <c r="AA416" s="1" t="str">
        <f t="shared" si="48"/>
        <v/>
      </c>
    </row>
    <row r="417" spans="13:27" x14ac:dyDescent="0.45">
      <c r="M417" s="1" t="str">
        <f t="shared" si="42"/>
        <v/>
      </c>
      <c r="N417" s="1" t="str">
        <f t="shared" si="43"/>
        <v/>
      </c>
      <c r="O417" s="1" t="str">
        <f t="shared" si="44"/>
        <v/>
      </c>
      <c r="P417" s="1" t="str">
        <f t="shared" si="45"/>
        <v/>
      </c>
      <c r="Q417" s="1" t="str">
        <f t="shared" si="46"/>
        <v/>
      </c>
      <c r="R417" s="1" t="str">
        <f t="shared" si="47"/>
        <v/>
      </c>
      <c r="AA417" s="1" t="str">
        <f t="shared" si="48"/>
        <v/>
      </c>
    </row>
    <row r="418" spans="13:27" x14ac:dyDescent="0.45">
      <c r="M418" s="1" t="str">
        <f t="shared" si="42"/>
        <v/>
      </c>
      <c r="N418" s="1" t="str">
        <f t="shared" si="43"/>
        <v/>
      </c>
      <c r="O418" s="1" t="str">
        <f t="shared" si="44"/>
        <v/>
      </c>
      <c r="P418" s="1" t="str">
        <f t="shared" si="45"/>
        <v/>
      </c>
      <c r="Q418" s="1" t="str">
        <f t="shared" si="46"/>
        <v/>
      </c>
      <c r="R418" s="1" t="str">
        <f t="shared" si="47"/>
        <v/>
      </c>
      <c r="AA418" s="1" t="str">
        <f t="shared" si="48"/>
        <v/>
      </c>
    </row>
    <row r="419" spans="13:27" x14ac:dyDescent="0.45">
      <c r="M419" s="1" t="str">
        <f t="shared" si="42"/>
        <v/>
      </c>
      <c r="N419" s="1" t="str">
        <f t="shared" si="43"/>
        <v/>
      </c>
      <c r="O419" s="1" t="str">
        <f t="shared" si="44"/>
        <v/>
      </c>
      <c r="P419" s="1" t="str">
        <f t="shared" si="45"/>
        <v/>
      </c>
      <c r="Q419" s="1" t="str">
        <f t="shared" si="46"/>
        <v/>
      </c>
      <c r="R419" s="1" t="str">
        <f t="shared" si="47"/>
        <v/>
      </c>
      <c r="AA419" s="1" t="str">
        <f t="shared" si="48"/>
        <v/>
      </c>
    </row>
    <row r="420" spans="13:27" x14ac:dyDescent="0.45">
      <c r="M420" s="1" t="str">
        <f t="shared" si="42"/>
        <v/>
      </c>
      <c r="N420" s="1" t="str">
        <f t="shared" si="43"/>
        <v/>
      </c>
      <c r="O420" s="1" t="str">
        <f t="shared" si="44"/>
        <v/>
      </c>
      <c r="P420" s="1" t="str">
        <f t="shared" si="45"/>
        <v/>
      </c>
      <c r="Q420" s="1" t="str">
        <f t="shared" si="46"/>
        <v/>
      </c>
      <c r="R420" s="1" t="str">
        <f t="shared" si="47"/>
        <v/>
      </c>
      <c r="AA420" s="1" t="str">
        <f t="shared" si="48"/>
        <v/>
      </c>
    </row>
    <row r="421" spans="13:27" x14ac:dyDescent="0.45">
      <c r="M421" s="1" t="str">
        <f t="shared" si="42"/>
        <v/>
      </c>
      <c r="N421" s="1" t="str">
        <f t="shared" si="43"/>
        <v/>
      </c>
      <c r="O421" s="1" t="str">
        <f t="shared" si="44"/>
        <v/>
      </c>
      <c r="P421" s="1" t="str">
        <f t="shared" si="45"/>
        <v/>
      </c>
      <c r="Q421" s="1" t="str">
        <f t="shared" si="46"/>
        <v/>
      </c>
      <c r="R421" s="1" t="str">
        <f t="shared" si="47"/>
        <v/>
      </c>
      <c r="AA421" s="1" t="str">
        <f t="shared" si="48"/>
        <v/>
      </c>
    </row>
    <row r="422" spans="13:27" x14ac:dyDescent="0.45">
      <c r="M422" s="1" t="str">
        <f t="shared" si="42"/>
        <v/>
      </c>
      <c r="N422" s="1" t="str">
        <f t="shared" si="43"/>
        <v/>
      </c>
      <c r="O422" s="1" t="str">
        <f t="shared" si="44"/>
        <v/>
      </c>
      <c r="P422" s="1" t="str">
        <f t="shared" si="45"/>
        <v/>
      </c>
      <c r="Q422" s="1" t="str">
        <f t="shared" si="46"/>
        <v/>
      </c>
      <c r="R422" s="1" t="str">
        <f t="shared" si="47"/>
        <v/>
      </c>
      <c r="AA422" s="1" t="str">
        <f t="shared" si="48"/>
        <v/>
      </c>
    </row>
    <row r="423" spans="13:27" x14ac:dyDescent="0.45">
      <c r="M423" s="1" t="str">
        <f t="shared" si="42"/>
        <v/>
      </c>
      <c r="N423" s="1" t="str">
        <f t="shared" si="43"/>
        <v/>
      </c>
      <c r="O423" s="1" t="str">
        <f t="shared" si="44"/>
        <v/>
      </c>
      <c r="P423" s="1" t="str">
        <f t="shared" si="45"/>
        <v/>
      </c>
      <c r="Q423" s="1" t="str">
        <f t="shared" si="46"/>
        <v/>
      </c>
      <c r="R423" s="1" t="str">
        <f t="shared" si="47"/>
        <v/>
      </c>
      <c r="AA423" s="1" t="str">
        <f t="shared" si="48"/>
        <v/>
      </c>
    </row>
    <row r="424" spans="13:27" x14ac:dyDescent="0.45">
      <c r="M424" s="1" t="str">
        <f t="shared" si="42"/>
        <v/>
      </c>
      <c r="N424" s="1" t="str">
        <f t="shared" si="43"/>
        <v/>
      </c>
      <c r="O424" s="1" t="str">
        <f t="shared" si="44"/>
        <v/>
      </c>
      <c r="P424" s="1" t="str">
        <f t="shared" si="45"/>
        <v/>
      </c>
      <c r="Q424" s="1" t="str">
        <f t="shared" si="46"/>
        <v/>
      </c>
      <c r="R424" s="1" t="str">
        <f t="shared" si="47"/>
        <v/>
      </c>
      <c r="AA424" s="1" t="str">
        <f t="shared" si="48"/>
        <v/>
      </c>
    </row>
    <row r="425" spans="13:27" x14ac:dyDescent="0.45">
      <c r="M425" s="1" t="str">
        <f t="shared" si="42"/>
        <v/>
      </c>
      <c r="N425" s="1" t="str">
        <f t="shared" si="43"/>
        <v/>
      </c>
      <c r="O425" s="1" t="str">
        <f t="shared" si="44"/>
        <v/>
      </c>
      <c r="P425" s="1" t="str">
        <f t="shared" si="45"/>
        <v/>
      </c>
      <c r="Q425" s="1" t="str">
        <f t="shared" si="46"/>
        <v/>
      </c>
      <c r="R425" s="1" t="str">
        <f t="shared" si="47"/>
        <v/>
      </c>
      <c r="AA425" s="1" t="str">
        <f t="shared" si="48"/>
        <v/>
      </c>
    </row>
    <row r="426" spans="13:27" x14ac:dyDescent="0.45">
      <c r="M426" s="1" t="str">
        <f t="shared" si="42"/>
        <v/>
      </c>
      <c r="N426" s="1" t="str">
        <f t="shared" si="43"/>
        <v/>
      </c>
      <c r="O426" s="1" t="str">
        <f t="shared" si="44"/>
        <v/>
      </c>
      <c r="P426" s="1" t="str">
        <f t="shared" si="45"/>
        <v/>
      </c>
      <c r="Q426" s="1" t="str">
        <f t="shared" si="46"/>
        <v/>
      </c>
      <c r="R426" s="1" t="str">
        <f t="shared" si="47"/>
        <v/>
      </c>
      <c r="AA426" s="1" t="str">
        <f t="shared" si="48"/>
        <v/>
      </c>
    </row>
    <row r="427" spans="13:27" x14ac:dyDescent="0.45">
      <c r="M427" s="1" t="str">
        <f t="shared" si="42"/>
        <v/>
      </c>
      <c r="N427" s="1" t="str">
        <f t="shared" si="43"/>
        <v/>
      </c>
      <c r="O427" s="1" t="str">
        <f t="shared" si="44"/>
        <v/>
      </c>
      <c r="P427" s="1" t="str">
        <f t="shared" si="45"/>
        <v/>
      </c>
      <c r="Q427" s="1" t="str">
        <f t="shared" si="46"/>
        <v/>
      </c>
      <c r="R427" s="1" t="str">
        <f t="shared" si="47"/>
        <v/>
      </c>
      <c r="AA427" s="1" t="str">
        <f t="shared" si="48"/>
        <v/>
      </c>
    </row>
    <row r="428" spans="13:27" x14ac:dyDescent="0.45">
      <c r="M428" s="1" t="str">
        <f t="shared" si="42"/>
        <v/>
      </c>
      <c r="N428" s="1" t="str">
        <f t="shared" si="43"/>
        <v/>
      </c>
      <c r="O428" s="1" t="str">
        <f t="shared" si="44"/>
        <v/>
      </c>
      <c r="P428" s="1" t="str">
        <f t="shared" si="45"/>
        <v/>
      </c>
      <c r="Q428" s="1" t="str">
        <f t="shared" si="46"/>
        <v/>
      </c>
      <c r="R428" s="1" t="str">
        <f t="shared" si="47"/>
        <v/>
      </c>
      <c r="AA428" s="1" t="str">
        <f t="shared" si="48"/>
        <v/>
      </c>
    </row>
    <row r="429" spans="13:27" x14ac:dyDescent="0.45">
      <c r="M429" s="1" t="str">
        <f t="shared" si="42"/>
        <v/>
      </c>
      <c r="N429" s="1" t="str">
        <f t="shared" si="43"/>
        <v/>
      </c>
      <c r="O429" s="1" t="str">
        <f t="shared" si="44"/>
        <v/>
      </c>
      <c r="P429" s="1" t="str">
        <f t="shared" si="45"/>
        <v/>
      </c>
      <c r="Q429" s="1" t="str">
        <f t="shared" si="46"/>
        <v/>
      </c>
      <c r="R429" s="1" t="str">
        <f t="shared" si="47"/>
        <v/>
      </c>
      <c r="AA429" s="1" t="str">
        <f t="shared" si="48"/>
        <v/>
      </c>
    </row>
    <row r="430" spans="13:27" x14ac:dyDescent="0.45">
      <c r="M430" s="1" t="str">
        <f t="shared" si="42"/>
        <v/>
      </c>
      <c r="N430" s="1" t="str">
        <f t="shared" si="43"/>
        <v/>
      </c>
      <c r="O430" s="1" t="str">
        <f t="shared" si="44"/>
        <v/>
      </c>
      <c r="P430" s="1" t="str">
        <f t="shared" si="45"/>
        <v/>
      </c>
      <c r="Q430" s="1" t="str">
        <f t="shared" si="46"/>
        <v/>
      </c>
      <c r="R430" s="1" t="str">
        <f t="shared" si="47"/>
        <v/>
      </c>
      <c r="AA430" s="1" t="str">
        <f t="shared" si="48"/>
        <v/>
      </c>
    </row>
    <row r="431" spans="13:27" x14ac:dyDescent="0.45">
      <c r="M431" s="1" t="str">
        <f t="shared" si="42"/>
        <v/>
      </c>
      <c r="N431" s="1" t="str">
        <f t="shared" si="43"/>
        <v/>
      </c>
      <c r="O431" s="1" t="str">
        <f t="shared" si="44"/>
        <v/>
      </c>
      <c r="P431" s="1" t="str">
        <f t="shared" si="45"/>
        <v/>
      </c>
      <c r="Q431" s="1" t="str">
        <f t="shared" si="46"/>
        <v/>
      </c>
      <c r="R431" s="1" t="str">
        <f t="shared" si="47"/>
        <v/>
      </c>
      <c r="AA431" s="1" t="str">
        <f t="shared" si="48"/>
        <v/>
      </c>
    </row>
    <row r="432" spans="13:27" x14ac:dyDescent="0.45">
      <c r="M432" s="1" t="str">
        <f t="shared" si="42"/>
        <v/>
      </c>
      <c r="N432" s="1" t="str">
        <f t="shared" si="43"/>
        <v/>
      </c>
      <c r="O432" s="1" t="str">
        <f t="shared" si="44"/>
        <v/>
      </c>
      <c r="P432" s="1" t="str">
        <f t="shared" si="45"/>
        <v/>
      </c>
      <c r="Q432" s="1" t="str">
        <f t="shared" si="46"/>
        <v/>
      </c>
      <c r="R432" s="1" t="str">
        <f t="shared" si="47"/>
        <v/>
      </c>
      <c r="AA432" s="1" t="str">
        <f t="shared" si="48"/>
        <v/>
      </c>
    </row>
    <row r="433" spans="13:27" x14ac:dyDescent="0.45">
      <c r="M433" s="1" t="str">
        <f t="shared" si="42"/>
        <v/>
      </c>
      <c r="N433" s="1" t="str">
        <f t="shared" si="43"/>
        <v/>
      </c>
      <c r="O433" s="1" t="str">
        <f t="shared" si="44"/>
        <v/>
      </c>
      <c r="P433" s="1" t="str">
        <f t="shared" si="45"/>
        <v/>
      </c>
      <c r="Q433" s="1" t="str">
        <f t="shared" si="46"/>
        <v/>
      </c>
      <c r="R433" s="1" t="str">
        <f t="shared" si="47"/>
        <v/>
      </c>
      <c r="AA433" s="1" t="str">
        <f t="shared" si="48"/>
        <v/>
      </c>
    </row>
    <row r="434" spans="13:27" x14ac:dyDescent="0.45">
      <c r="M434" s="1" t="str">
        <f t="shared" si="42"/>
        <v/>
      </c>
      <c r="N434" s="1" t="str">
        <f t="shared" si="43"/>
        <v/>
      </c>
      <c r="O434" s="1" t="str">
        <f t="shared" si="44"/>
        <v/>
      </c>
      <c r="P434" s="1" t="str">
        <f t="shared" si="45"/>
        <v/>
      </c>
      <c r="Q434" s="1" t="str">
        <f t="shared" si="46"/>
        <v/>
      </c>
      <c r="R434" s="1" t="str">
        <f t="shared" si="47"/>
        <v/>
      </c>
      <c r="AA434" s="1" t="str">
        <f t="shared" si="48"/>
        <v/>
      </c>
    </row>
    <row r="435" spans="13:27" x14ac:dyDescent="0.45">
      <c r="M435" s="1" t="str">
        <f t="shared" si="42"/>
        <v/>
      </c>
      <c r="N435" s="1" t="str">
        <f t="shared" si="43"/>
        <v/>
      </c>
      <c r="O435" s="1" t="str">
        <f t="shared" si="44"/>
        <v/>
      </c>
      <c r="P435" s="1" t="str">
        <f t="shared" si="45"/>
        <v/>
      </c>
      <c r="Q435" s="1" t="str">
        <f t="shared" si="46"/>
        <v/>
      </c>
      <c r="R435" s="1" t="str">
        <f t="shared" si="47"/>
        <v/>
      </c>
      <c r="AA435" s="1" t="str">
        <f t="shared" si="48"/>
        <v/>
      </c>
    </row>
    <row r="436" spans="13:27" x14ac:dyDescent="0.45">
      <c r="M436" s="1" t="str">
        <f t="shared" si="42"/>
        <v/>
      </c>
      <c r="N436" s="1" t="str">
        <f t="shared" si="43"/>
        <v/>
      </c>
      <c r="O436" s="1" t="str">
        <f t="shared" si="44"/>
        <v/>
      </c>
      <c r="P436" s="1" t="str">
        <f t="shared" si="45"/>
        <v/>
      </c>
      <c r="Q436" s="1" t="str">
        <f t="shared" si="46"/>
        <v/>
      </c>
      <c r="R436" s="1" t="str">
        <f t="shared" si="47"/>
        <v/>
      </c>
      <c r="AA436" s="1" t="str">
        <f t="shared" si="48"/>
        <v/>
      </c>
    </row>
    <row r="437" spans="13:27" x14ac:dyDescent="0.45">
      <c r="M437" s="1" t="str">
        <f t="shared" si="42"/>
        <v/>
      </c>
      <c r="N437" s="1" t="str">
        <f t="shared" si="43"/>
        <v/>
      </c>
      <c r="O437" s="1" t="str">
        <f t="shared" si="44"/>
        <v/>
      </c>
      <c r="P437" s="1" t="str">
        <f t="shared" si="45"/>
        <v/>
      </c>
      <c r="Q437" s="1" t="str">
        <f t="shared" si="46"/>
        <v/>
      </c>
      <c r="R437" s="1" t="str">
        <f t="shared" si="47"/>
        <v/>
      </c>
      <c r="AA437" s="1" t="str">
        <f t="shared" si="48"/>
        <v/>
      </c>
    </row>
    <row r="438" spans="13:27" x14ac:dyDescent="0.45">
      <c r="M438" s="1" t="str">
        <f t="shared" si="42"/>
        <v/>
      </c>
      <c r="N438" s="1" t="str">
        <f t="shared" si="43"/>
        <v/>
      </c>
      <c r="O438" s="1" t="str">
        <f t="shared" si="44"/>
        <v/>
      </c>
      <c r="P438" s="1" t="str">
        <f t="shared" si="45"/>
        <v/>
      </c>
      <c r="Q438" s="1" t="str">
        <f t="shared" si="46"/>
        <v/>
      </c>
      <c r="R438" s="1" t="str">
        <f t="shared" si="47"/>
        <v/>
      </c>
      <c r="AA438" s="1" t="str">
        <f t="shared" si="48"/>
        <v/>
      </c>
    </row>
    <row r="439" spans="13:27" x14ac:dyDescent="0.45">
      <c r="M439" s="1" t="str">
        <f t="shared" si="42"/>
        <v/>
      </c>
      <c r="N439" s="1" t="str">
        <f t="shared" si="43"/>
        <v/>
      </c>
      <c r="O439" s="1" t="str">
        <f t="shared" si="44"/>
        <v/>
      </c>
      <c r="P439" s="1" t="str">
        <f t="shared" si="45"/>
        <v/>
      </c>
      <c r="Q439" s="1" t="str">
        <f t="shared" si="46"/>
        <v/>
      </c>
      <c r="R439" s="1" t="str">
        <f t="shared" si="47"/>
        <v/>
      </c>
      <c r="AA439" s="1" t="str">
        <f t="shared" si="48"/>
        <v/>
      </c>
    </row>
    <row r="440" spans="13:27" x14ac:dyDescent="0.45">
      <c r="M440" s="1" t="str">
        <f t="shared" si="42"/>
        <v/>
      </c>
      <c r="N440" s="1" t="str">
        <f t="shared" si="43"/>
        <v/>
      </c>
      <c r="O440" s="1" t="str">
        <f t="shared" si="44"/>
        <v/>
      </c>
      <c r="P440" s="1" t="str">
        <f t="shared" si="45"/>
        <v/>
      </c>
      <c r="Q440" s="1" t="str">
        <f t="shared" si="46"/>
        <v/>
      </c>
      <c r="R440" s="1" t="str">
        <f t="shared" si="47"/>
        <v/>
      </c>
      <c r="AA440" s="1" t="str">
        <f t="shared" si="48"/>
        <v/>
      </c>
    </row>
    <row r="441" spans="13:27" x14ac:dyDescent="0.45">
      <c r="M441" s="1" t="str">
        <f t="shared" si="42"/>
        <v/>
      </c>
      <c r="N441" s="1" t="str">
        <f t="shared" si="43"/>
        <v/>
      </c>
      <c r="O441" s="1" t="str">
        <f t="shared" si="44"/>
        <v/>
      </c>
      <c r="P441" s="1" t="str">
        <f t="shared" si="45"/>
        <v/>
      </c>
      <c r="Q441" s="1" t="str">
        <f t="shared" si="46"/>
        <v/>
      </c>
      <c r="R441" s="1" t="str">
        <f t="shared" si="47"/>
        <v/>
      </c>
      <c r="AA441" s="1" t="str">
        <f t="shared" si="48"/>
        <v/>
      </c>
    </row>
    <row r="442" spans="13:27" x14ac:dyDescent="0.45">
      <c r="M442" s="1" t="str">
        <f t="shared" si="42"/>
        <v/>
      </c>
      <c r="N442" s="1" t="str">
        <f t="shared" si="43"/>
        <v/>
      </c>
      <c r="O442" s="1" t="str">
        <f t="shared" si="44"/>
        <v/>
      </c>
      <c r="P442" s="1" t="str">
        <f t="shared" si="45"/>
        <v/>
      </c>
      <c r="Q442" s="1" t="str">
        <f t="shared" si="46"/>
        <v/>
      </c>
      <c r="R442" s="1" t="str">
        <f t="shared" si="47"/>
        <v/>
      </c>
      <c r="AA442" s="1" t="str">
        <f t="shared" si="48"/>
        <v/>
      </c>
    </row>
    <row r="443" spans="13:27" x14ac:dyDescent="0.45">
      <c r="M443" s="1" t="str">
        <f t="shared" si="42"/>
        <v/>
      </c>
      <c r="N443" s="1" t="str">
        <f t="shared" si="43"/>
        <v/>
      </c>
      <c r="O443" s="1" t="str">
        <f t="shared" si="44"/>
        <v/>
      </c>
      <c r="P443" s="1" t="str">
        <f t="shared" si="45"/>
        <v/>
      </c>
      <c r="Q443" s="1" t="str">
        <f t="shared" si="46"/>
        <v/>
      </c>
      <c r="R443" s="1" t="str">
        <f t="shared" si="47"/>
        <v/>
      </c>
      <c r="AA443" s="1" t="str">
        <f t="shared" si="48"/>
        <v/>
      </c>
    </row>
    <row r="444" spans="13:27" x14ac:dyDescent="0.45">
      <c r="M444" s="1" t="str">
        <f t="shared" si="42"/>
        <v/>
      </c>
      <c r="N444" s="1" t="str">
        <f t="shared" si="43"/>
        <v/>
      </c>
      <c r="O444" s="1" t="str">
        <f t="shared" si="44"/>
        <v/>
      </c>
      <c r="P444" s="1" t="str">
        <f t="shared" si="45"/>
        <v/>
      </c>
      <c r="Q444" s="1" t="str">
        <f t="shared" si="46"/>
        <v/>
      </c>
      <c r="R444" s="1" t="str">
        <f t="shared" si="47"/>
        <v/>
      </c>
      <c r="AA444" s="1" t="str">
        <f t="shared" si="48"/>
        <v/>
      </c>
    </row>
    <row r="445" spans="13:27" x14ac:dyDescent="0.45">
      <c r="M445" s="1" t="str">
        <f t="shared" si="42"/>
        <v/>
      </c>
      <c r="N445" s="1" t="str">
        <f t="shared" si="43"/>
        <v/>
      </c>
      <c r="O445" s="1" t="str">
        <f t="shared" si="44"/>
        <v/>
      </c>
      <c r="P445" s="1" t="str">
        <f t="shared" si="45"/>
        <v/>
      </c>
      <c r="Q445" s="1" t="str">
        <f t="shared" si="46"/>
        <v/>
      </c>
      <c r="R445" s="1" t="str">
        <f t="shared" si="47"/>
        <v/>
      </c>
      <c r="AA445" s="1" t="str">
        <f t="shared" si="48"/>
        <v/>
      </c>
    </row>
    <row r="446" spans="13:27" x14ac:dyDescent="0.45">
      <c r="M446" s="1" t="str">
        <f t="shared" si="42"/>
        <v/>
      </c>
      <c r="N446" s="1" t="str">
        <f t="shared" si="43"/>
        <v/>
      </c>
      <c r="O446" s="1" t="str">
        <f t="shared" si="44"/>
        <v/>
      </c>
      <c r="P446" s="1" t="str">
        <f t="shared" si="45"/>
        <v/>
      </c>
      <c r="Q446" s="1" t="str">
        <f t="shared" si="46"/>
        <v/>
      </c>
      <c r="R446" s="1" t="str">
        <f t="shared" si="47"/>
        <v/>
      </c>
      <c r="AA446" s="1" t="str">
        <f t="shared" si="48"/>
        <v/>
      </c>
    </row>
    <row r="447" spans="13:27" x14ac:dyDescent="0.45">
      <c r="M447" s="1" t="str">
        <f t="shared" si="42"/>
        <v/>
      </c>
      <c r="N447" s="1" t="str">
        <f t="shared" si="43"/>
        <v/>
      </c>
      <c r="O447" s="1" t="str">
        <f t="shared" si="44"/>
        <v/>
      </c>
      <c r="P447" s="1" t="str">
        <f t="shared" si="45"/>
        <v/>
      </c>
      <c r="Q447" s="1" t="str">
        <f t="shared" si="46"/>
        <v/>
      </c>
      <c r="R447" s="1" t="str">
        <f t="shared" si="47"/>
        <v/>
      </c>
      <c r="AA447" s="1" t="str">
        <f t="shared" si="48"/>
        <v/>
      </c>
    </row>
    <row r="448" spans="13:27" x14ac:dyDescent="0.45">
      <c r="M448" s="1" t="str">
        <f t="shared" si="42"/>
        <v/>
      </c>
      <c r="N448" s="1" t="str">
        <f t="shared" si="43"/>
        <v/>
      </c>
      <c r="O448" s="1" t="str">
        <f t="shared" si="44"/>
        <v/>
      </c>
      <c r="P448" s="1" t="str">
        <f t="shared" si="45"/>
        <v/>
      </c>
      <c r="Q448" s="1" t="str">
        <f t="shared" si="46"/>
        <v/>
      </c>
      <c r="R448" s="1" t="str">
        <f t="shared" si="47"/>
        <v/>
      </c>
      <c r="AA448" s="1" t="str">
        <f t="shared" si="48"/>
        <v/>
      </c>
    </row>
    <row r="449" spans="13:27" x14ac:dyDescent="0.45">
      <c r="M449" s="1" t="str">
        <f t="shared" si="42"/>
        <v/>
      </c>
      <c r="N449" s="1" t="str">
        <f t="shared" si="43"/>
        <v/>
      </c>
      <c r="O449" s="1" t="str">
        <f t="shared" si="44"/>
        <v/>
      </c>
      <c r="P449" s="1" t="str">
        <f t="shared" si="45"/>
        <v/>
      </c>
      <c r="Q449" s="1" t="str">
        <f t="shared" si="46"/>
        <v/>
      </c>
      <c r="R449" s="1" t="str">
        <f t="shared" si="47"/>
        <v/>
      </c>
      <c r="AA449" s="1" t="str">
        <f t="shared" si="48"/>
        <v/>
      </c>
    </row>
    <row r="450" spans="13:27" x14ac:dyDescent="0.45">
      <c r="M450" s="1" t="str">
        <f t="shared" ref="M450:M501" si="49">IF(OR($F450="",$G450=""),"",HYPERLINK("https://www.google.com/maps?q="&amp;$F450&amp;","&amp;$G450&amp;"","Map"))</f>
        <v/>
      </c>
      <c r="N450" s="1" t="str">
        <f t="shared" ref="N450:N501" si="50">IF(OR($F450="",$G450=""),"",HYPERLINK("https://www.google.com/maps?q&amp;layer=c&amp;cbll="&amp;$F450&amp;","&amp;$G450&amp;"","Street"))</f>
        <v/>
      </c>
      <c r="O450" s="1" t="str">
        <f t="shared" ref="O450:O501" si="51">IF(OR($F450="",$G450=""),"",HYPERLINK("https://www.bing.com/maps?cp="&amp;$F450&amp;"~"&amp;$G450&amp;"&amp;lvl=18&amp;style=h","Bing"))</f>
        <v/>
      </c>
      <c r="P450" s="1" t="str">
        <f t="shared" ref="P450:P501" si="52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53">IF(OR($F450="",$G450=""),"",HYPERLINK("https://msc.fema.gov/portal/firmette?latitude="&amp;$F450&amp;"&amp;longitude="&amp;$G450&amp;"","FIRMette"))</f>
        <v/>
      </c>
      <c r="R450" s="1" t="str">
        <f t="shared" ref="R450:R501" si="54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AA450" s="1" t="str">
        <f t="shared" ref="AA450:AA501" si="55">IF(OR(_xlfn.SINGLE(JobAgolMap)="", $F450="", $G450=""),"",HYPERLINK(_xlfn.SINGLE(JobAgolMap)&amp;IF(ISNUMBER(FIND("?",_xlfn.SINGLE(JobAgolMap))),"&amp;","?")&amp;"center="&amp;$G450&amp;","&amp;$F450&amp;"&amp;level=16&amp;marker="&amp;$G450&amp;","&amp;$F450,"Open"))</f>
        <v/>
      </c>
    </row>
    <row r="451" spans="13:27" x14ac:dyDescent="0.45">
      <c r="M451" s="1" t="str">
        <f t="shared" si="49"/>
        <v/>
      </c>
      <c r="N451" s="1" t="str">
        <f t="shared" si="50"/>
        <v/>
      </c>
      <c r="O451" s="1" t="str">
        <f t="shared" si="51"/>
        <v/>
      </c>
      <c r="P451" s="1" t="str">
        <f t="shared" si="52"/>
        <v/>
      </c>
      <c r="Q451" s="1" t="str">
        <f t="shared" si="53"/>
        <v/>
      </c>
      <c r="R451" s="1" t="str">
        <f t="shared" si="54"/>
        <v/>
      </c>
      <c r="AA451" s="1" t="str">
        <f t="shared" si="55"/>
        <v/>
      </c>
    </row>
    <row r="452" spans="13:27" x14ac:dyDescent="0.45">
      <c r="M452" s="1" t="str">
        <f t="shared" si="49"/>
        <v/>
      </c>
      <c r="N452" s="1" t="str">
        <f t="shared" si="50"/>
        <v/>
      </c>
      <c r="O452" s="1" t="str">
        <f t="shared" si="51"/>
        <v/>
      </c>
      <c r="P452" s="1" t="str">
        <f t="shared" si="52"/>
        <v/>
      </c>
      <c r="Q452" s="1" t="str">
        <f t="shared" si="53"/>
        <v/>
      </c>
      <c r="R452" s="1" t="str">
        <f t="shared" si="54"/>
        <v/>
      </c>
      <c r="AA452" s="1" t="str">
        <f t="shared" si="55"/>
        <v/>
      </c>
    </row>
    <row r="453" spans="13:27" x14ac:dyDescent="0.45">
      <c r="M453" s="1" t="str">
        <f t="shared" si="49"/>
        <v/>
      </c>
      <c r="N453" s="1" t="str">
        <f t="shared" si="50"/>
        <v/>
      </c>
      <c r="O453" s="1" t="str">
        <f t="shared" si="51"/>
        <v/>
      </c>
      <c r="P453" s="1" t="str">
        <f t="shared" si="52"/>
        <v/>
      </c>
      <c r="Q453" s="1" t="str">
        <f t="shared" si="53"/>
        <v/>
      </c>
      <c r="R453" s="1" t="str">
        <f t="shared" si="54"/>
        <v/>
      </c>
      <c r="AA453" s="1" t="str">
        <f t="shared" si="55"/>
        <v/>
      </c>
    </row>
    <row r="454" spans="13:27" x14ac:dyDescent="0.45">
      <c r="M454" s="1" t="str">
        <f t="shared" si="49"/>
        <v/>
      </c>
      <c r="N454" s="1" t="str">
        <f t="shared" si="50"/>
        <v/>
      </c>
      <c r="O454" s="1" t="str">
        <f t="shared" si="51"/>
        <v/>
      </c>
      <c r="P454" s="1" t="str">
        <f t="shared" si="52"/>
        <v/>
      </c>
      <c r="Q454" s="1" t="str">
        <f t="shared" si="53"/>
        <v/>
      </c>
      <c r="R454" s="1" t="str">
        <f t="shared" si="54"/>
        <v/>
      </c>
      <c r="AA454" s="1" t="str">
        <f t="shared" si="55"/>
        <v/>
      </c>
    </row>
    <row r="455" spans="13:27" x14ac:dyDescent="0.45">
      <c r="M455" s="1" t="str">
        <f t="shared" si="49"/>
        <v/>
      </c>
      <c r="N455" s="1" t="str">
        <f t="shared" si="50"/>
        <v/>
      </c>
      <c r="O455" s="1" t="str">
        <f t="shared" si="51"/>
        <v/>
      </c>
      <c r="P455" s="1" t="str">
        <f t="shared" si="52"/>
        <v/>
      </c>
      <c r="Q455" s="1" t="str">
        <f t="shared" si="53"/>
        <v/>
      </c>
      <c r="R455" s="1" t="str">
        <f t="shared" si="54"/>
        <v/>
      </c>
      <c r="AA455" s="1" t="str">
        <f t="shared" si="55"/>
        <v/>
      </c>
    </row>
    <row r="456" spans="13:27" x14ac:dyDescent="0.45">
      <c r="M456" s="1" t="str">
        <f t="shared" si="49"/>
        <v/>
      </c>
      <c r="N456" s="1" t="str">
        <f t="shared" si="50"/>
        <v/>
      </c>
      <c r="O456" s="1" t="str">
        <f t="shared" si="51"/>
        <v/>
      </c>
      <c r="P456" s="1" t="str">
        <f t="shared" si="52"/>
        <v/>
      </c>
      <c r="Q456" s="1" t="str">
        <f t="shared" si="53"/>
        <v/>
      </c>
      <c r="R456" s="1" t="str">
        <f t="shared" si="54"/>
        <v/>
      </c>
      <c r="AA456" s="1" t="str">
        <f t="shared" si="55"/>
        <v/>
      </c>
    </row>
    <row r="457" spans="13:27" x14ac:dyDescent="0.45">
      <c r="M457" s="1" t="str">
        <f t="shared" si="49"/>
        <v/>
      </c>
      <c r="N457" s="1" t="str">
        <f t="shared" si="50"/>
        <v/>
      </c>
      <c r="O457" s="1" t="str">
        <f t="shared" si="51"/>
        <v/>
      </c>
      <c r="P457" s="1" t="str">
        <f t="shared" si="52"/>
        <v/>
      </c>
      <c r="Q457" s="1" t="str">
        <f t="shared" si="53"/>
        <v/>
      </c>
      <c r="R457" s="1" t="str">
        <f t="shared" si="54"/>
        <v/>
      </c>
      <c r="AA457" s="1" t="str">
        <f t="shared" si="55"/>
        <v/>
      </c>
    </row>
    <row r="458" spans="13:27" x14ac:dyDescent="0.45">
      <c r="M458" s="1" t="str">
        <f t="shared" si="49"/>
        <v/>
      </c>
      <c r="N458" s="1" t="str">
        <f t="shared" si="50"/>
        <v/>
      </c>
      <c r="O458" s="1" t="str">
        <f t="shared" si="51"/>
        <v/>
      </c>
      <c r="P458" s="1" t="str">
        <f t="shared" si="52"/>
        <v/>
      </c>
      <c r="Q458" s="1" t="str">
        <f t="shared" si="53"/>
        <v/>
      </c>
      <c r="R458" s="1" t="str">
        <f t="shared" si="54"/>
        <v/>
      </c>
      <c r="AA458" s="1" t="str">
        <f t="shared" si="55"/>
        <v/>
      </c>
    </row>
    <row r="459" spans="13:27" x14ac:dyDescent="0.45">
      <c r="M459" s="1" t="str">
        <f t="shared" si="49"/>
        <v/>
      </c>
      <c r="N459" s="1" t="str">
        <f t="shared" si="50"/>
        <v/>
      </c>
      <c r="O459" s="1" t="str">
        <f t="shared" si="51"/>
        <v/>
      </c>
      <c r="P459" s="1" t="str">
        <f t="shared" si="52"/>
        <v/>
      </c>
      <c r="Q459" s="1" t="str">
        <f t="shared" si="53"/>
        <v/>
      </c>
      <c r="R459" s="1" t="str">
        <f t="shared" si="54"/>
        <v/>
      </c>
      <c r="AA459" s="1" t="str">
        <f t="shared" si="55"/>
        <v/>
      </c>
    </row>
    <row r="460" spans="13:27" x14ac:dyDescent="0.45">
      <c r="M460" s="1" t="str">
        <f t="shared" si="49"/>
        <v/>
      </c>
      <c r="N460" s="1" t="str">
        <f t="shared" si="50"/>
        <v/>
      </c>
      <c r="O460" s="1" t="str">
        <f t="shared" si="51"/>
        <v/>
      </c>
      <c r="P460" s="1" t="str">
        <f t="shared" si="52"/>
        <v/>
      </c>
      <c r="Q460" s="1" t="str">
        <f t="shared" si="53"/>
        <v/>
      </c>
      <c r="R460" s="1" t="str">
        <f t="shared" si="54"/>
        <v/>
      </c>
      <c r="AA460" s="1" t="str">
        <f t="shared" si="55"/>
        <v/>
      </c>
    </row>
    <row r="461" spans="13:27" x14ac:dyDescent="0.45">
      <c r="M461" s="1" t="str">
        <f t="shared" si="49"/>
        <v/>
      </c>
      <c r="N461" s="1" t="str">
        <f t="shared" si="50"/>
        <v/>
      </c>
      <c r="O461" s="1" t="str">
        <f t="shared" si="51"/>
        <v/>
      </c>
      <c r="P461" s="1" t="str">
        <f t="shared" si="52"/>
        <v/>
      </c>
      <c r="Q461" s="1" t="str">
        <f t="shared" si="53"/>
        <v/>
      </c>
      <c r="R461" s="1" t="str">
        <f t="shared" si="54"/>
        <v/>
      </c>
      <c r="AA461" s="1" t="str">
        <f t="shared" si="55"/>
        <v/>
      </c>
    </row>
    <row r="462" spans="13:27" x14ac:dyDescent="0.45">
      <c r="M462" s="1" t="str">
        <f t="shared" si="49"/>
        <v/>
      </c>
      <c r="N462" s="1" t="str">
        <f t="shared" si="50"/>
        <v/>
      </c>
      <c r="O462" s="1" t="str">
        <f t="shared" si="51"/>
        <v/>
      </c>
      <c r="P462" s="1" t="str">
        <f t="shared" si="52"/>
        <v/>
      </c>
      <c r="Q462" s="1" t="str">
        <f t="shared" si="53"/>
        <v/>
      </c>
      <c r="R462" s="1" t="str">
        <f t="shared" si="54"/>
        <v/>
      </c>
      <c r="AA462" s="1" t="str">
        <f t="shared" si="55"/>
        <v/>
      </c>
    </row>
    <row r="463" spans="13:27" x14ac:dyDescent="0.45">
      <c r="M463" s="1" t="str">
        <f t="shared" si="49"/>
        <v/>
      </c>
      <c r="N463" s="1" t="str">
        <f t="shared" si="50"/>
        <v/>
      </c>
      <c r="O463" s="1" t="str">
        <f t="shared" si="51"/>
        <v/>
      </c>
      <c r="P463" s="1" t="str">
        <f t="shared" si="52"/>
        <v/>
      </c>
      <c r="Q463" s="1" t="str">
        <f t="shared" si="53"/>
        <v/>
      </c>
      <c r="R463" s="1" t="str">
        <f t="shared" si="54"/>
        <v/>
      </c>
      <c r="AA463" s="1" t="str">
        <f t="shared" si="55"/>
        <v/>
      </c>
    </row>
    <row r="464" spans="13:27" x14ac:dyDescent="0.45">
      <c r="M464" s="1" t="str">
        <f t="shared" si="49"/>
        <v/>
      </c>
      <c r="N464" s="1" t="str">
        <f t="shared" si="50"/>
        <v/>
      </c>
      <c r="O464" s="1" t="str">
        <f t="shared" si="51"/>
        <v/>
      </c>
      <c r="P464" s="1" t="str">
        <f t="shared" si="52"/>
        <v/>
      </c>
      <c r="Q464" s="1" t="str">
        <f t="shared" si="53"/>
        <v/>
      </c>
      <c r="R464" s="1" t="str">
        <f t="shared" si="54"/>
        <v/>
      </c>
      <c r="AA464" s="1" t="str">
        <f t="shared" si="55"/>
        <v/>
      </c>
    </row>
    <row r="465" spans="13:27" x14ac:dyDescent="0.45">
      <c r="M465" s="1" t="str">
        <f t="shared" si="49"/>
        <v/>
      </c>
      <c r="N465" s="1" t="str">
        <f t="shared" si="50"/>
        <v/>
      </c>
      <c r="O465" s="1" t="str">
        <f t="shared" si="51"/>
        <v/>
      </c>
      <c r="P465" s="1" t="str">
        <f t="shared" si="52"/>
        <v/>
      </c>
      <c r="Q465" s="1" t="str">
        <f t="shared" si="53"/>
        <v/>
      </c>
      <c r="R465" s="1" t="str">
        <f t="shared" si="54"/>
        <v/>
      </c>
      <c r="AA465" s="1" t="str">
        <f t="shared" si="55"/>
        <v/>
      </c>
    </row>
    <row r="466" spans="13:27" x14ac:dyDescent="0.45">
      <c r="M466" s="1" t="str">
        <f t="shared" si="49"/>
        <v/>
      </c>
      <c r="N466" s="1" t="str">
        <f t="shared" si="50"/>
        <v/>
      </c>
      <c r="O466" s="1" t="str">
        <f t="shared" si="51"/>
        <v/>
      </c>
      <c r="P466" s="1" t="str">
        <f t="shared" si="52"/>
        <v/>
      </c>
      <c r="Q466" s="1" t="str">
        <f t="shared" si="53"/>
        <v/>
      </c>
      <c r="R466" s="1" t="str">
        <f t="shared" si="54"/>
        <v/>
      </c>
      <c r="AA466" s="1" t="str">
        <f t="shared" si="55"/>
        <v/>
      </c>
    </row>
    <row r="467" spans="13:27" x14ac:dyDescent="0.45">
      <c r="M467" s="1" t="str">
        <f t="shared" si="49"/>
        <v/>
      </c>
      <c r="N467" s="1" t="str">
        <f t="shared" si="50"/>
        <v/>
      </c>
      <c r="O467" s="1" t="str">
        <f t="shared" si="51"/>
        <v/>
      </c>
      <c r="P467" s="1" t="str">
        <f t="shared" si="52"/>
        <v/>
      </c>
      <c r="Q467" s="1" t="str">
        <f t="shared" si="53"/>
        <v/>
      </c>
      <c r="R467" s="1" t="str">
        <f t="shared" si="54"/>
        <v/>
      </c>
      <c r="AA467" s="1" t="str">
        <f t="shared" si="55"/>
        <v/>
      </c>
    </row>
    <row r="468" spans="13:27" x14ac:dyDescent="0.45">
      <c r="M468" s="1" t="str">
        <f t="shared" si="49"/>
        <v/>
      </c>
      <c r="N468" s="1" t="str">
        <f t="shared" si="50"/>
        <v/>
      </c>
      <c r="O468" s="1" t="str">
        <f t="shared" si="51"/>
        <v/>
      </c>
      <c r="P468" s="1" t="str">
        <f t="shared" si="52"/>
        <v/>
      </c>
      <c r="Q468" s="1" t="str">
        <f t="shared" si="53"/>
        <v/>
      </c>
      <c r="R468" s="1" t="str">
        <f t="shared" si="54"/>
        <v/>
      </c>
      <c r="AA468" s="1" t="str">
        <f t="shared" si="55"/>
        <v/>
      </c>
    </row>
    <row r="469" spans="13:27" x14ac:dyDescent="0.45">
      <c r="M469" s="1" t="str">
        <f t="shared" si="49"/>
        <v/>
      </c>
      <c r="N469" s="1" t="str">
        <f t="shared" si="50"/>
        <v/>
      </c>
      <c r="O469" s="1" t="str">
        <f t="shared" si="51"/>
        <v/>
      </c>
      <c r="P469" s="1" t="str">
        <f t="shared" si="52"/>
        <v/>
      </c>
      <c r="Q469" s="1" t="str">
        <f t="shared" si="53"/>
        <v/>
      </c>
      <c r="R469" s="1" t="str">
        <f t="shared" si="54"/>
        <v/>
      </c>
      <c r="AA469" s="1" t="str">
        <f t="shared" si="55"/>
        <v/>
      </c>
    </row>
    <row r="470" spans="13:27" x14ac:dyDescent="0.45">
      <c r="M470" s="1" t="str">
        <f t="shared" si="49"/>
        <v/>
      </c>
      <c r="N470" s="1" t="str">
        <f t="shared" si="50"/>
        <v/>
      </c>
      <c r="O470" s="1" t="str">
        <f t="shared" si="51"/>
        <v/>
      </c>
      <c r="P470" s="1" t="str">
        <f t="shared" si="52"/>
        <v/>
      </c>
      <c r="Q470" s="1" t="str">
        <f t="shared" si="53"/>
        <v/>
      </c>
      <c r="R470" s="1" t="str">
        <f t="shared" si="54"/>
        <v/>
      </c>
      <c r="AA470" s="1" t="str">
        <f t="shared" si="55"/>
        <v/>
      </c>
    </row>
    <row r="471" spans="13:27" x14ac:dyDescent="0.45">
      <c r="M471" s="1" t="str">
        <f t="shared" si="49"/>
        <v/>
      </c>
      <c r="N471" s="1" t="str">
        <f t="shared" si="50"/>
        <v/>
      </c>
      <c r="O471" s="1" t="str">
        <f t="shared" si="51"/>
        <v/>
      </c>
      <c r="P471" s="1" t="str">
        <f t="shared" si="52"/>
        <v/>
      </c>
      <c r="Q471" s="1" t="str">
        <f t="shared" si="53"/>
        <v/>
      </c>
      <c r="R471" s="1" t="str">
        <f t="shared" si="54"/>
        <v/>
      </c>
      <c r="AA471" s="1" t="str">
        <f t="shared" si="55"/>
        <v/>
      </c>
    </row>
    <row r="472" spans="13:27" x14ac:dyDescent="0.45">
      <c r="M472" s="1" t="str">
        <f t="shared" si="49"/>
        <v/>
      </c>
      <c r="N472" s="1" t="str">
        <f t="shared" si="50"/>
        <v/>
      </c>
      <c r="O472" s="1" t="str">
        <f t="shared" si="51"/>
        <v/>
      </c>
      <c r="P472" s="1" t="str">
        <f t="shared" si="52"/>
        <v/>
      </c>
      <c r="Q472" s="1" t="str">
        <f t="shared" si="53"/>
        <v/>
      </c>
      <c r="R472" s="1" t="str">
        <f t="shared" si="54"/>
        <v/>
      </c>
      <c r="AA472" s="1" t="str">
        <f t="shared" si="55"/>
        <v/>
      </c>
    </row>
    <row r="473" spans="13:27" x14ac:dyDescent="0.45">
      <c r="M473" s="1" t="str">
        <f t="shared" si="49"/>
        <v/>
      </c>
      <c r="N473" s="1" t="str">
        <f t="shared" si="50"/>
        <v/>
      </c>
      <c r="O473" s="1" t="str">
        <f t="shared" si="51"/>
        <v/>
      </c>
      <c r="P473" s="1" t="str">
        <f t="shared" si="52"/>
        <v/>
      </c>
      <c r="Q473" s="1" t="str">
        <f t="shared" si="53"/>
        <v/>
      </c>
      <c r="R473" s="1" t="str">
        <f t="shared" si="54"/>
        <v/>
      </c>
      <c r="AA473" s="1" t="str">
        <f t="shared" si="55"/>
        <v/>
      </c>
    </row>
    <row r="474" spans="13:27" x14ac:dyDescent="0.45">
      <c r="M474" s="1" t="str">
        <f t="shared" si="49"/>
        <v/>
      </c>
      <c r="N474" s="1" t="str">
        <f t="shared" si="50"/>
        <v/>
      </c>
      <c r="O474" s="1" t="str">
        <f t="shared" si="51"/>
        <v/>
      </c>
      <c r="P474" s="1" t="str">
        <f t="shared" si="52"/>
        <v/>
      </c>
      <c r="Q474" s="1" t="str">
        <f t="shared" si="53"/>
        <v/>
      </c>
      <c r="R474" s="1" t="str">
        <f t="shared" si="54"/>
        <v/>
      </c>
      <c r="AA474" s="1" t="str">
        <f t="shared" si="55"/>
        <v/>
      </c>
    </row>
    <row r="475" spans="13:27" x14ac:dyDescent="0.45">
      <c r="M475" s="1" t="str">
        <f t="shared" si="49"/>
        <v/>
      </c>
      <c r="N475" s="1" t="str">
        <f t="shared" si="50"/>
        <v/>
      </c>
      <c r="O475" s="1" t="str">
        <f t="shared" si="51"/>
        <v/>
      </c>
      <c r="P475" s="1" t="str">
        <f t="shared" si="52"/>
        <v/>
      </c>
      <c r="Q475" s="1" t="str">
        <f t="shared" si="53"/>
        <v/>
      </c>
      <c r="R475" s="1" t="str">
        <f t="shared" si="54"/>
        <v/>
      </c>
      <c r="AA475" s="1" t="str">
        <f t="shared" si="55"/>
        <v/>
      </c>
    </row>
    <row r="476" spans="13:27" x14ac:dyDescent="0.45">
      <c r="M476" s="1" t="str">
        <f t="shared" si="49"/>
        <v/>
      </c>
      <c r="N476" s="1" t="str">
        <f t="shared" si="50"/>
        <v/>
      </c>
      <c r="O476" s="1" t="str">
        <f t="shared" si="51"/>
        <v/>
      </c>
      <c r="P476" s="1" t="str">
        <f t="shared" si="52"/>
        <v/>
      </c>
      <c r="Q476" s="1" t="str">
        <f t="shared" si="53"/>
        <v/>
      </c>
      <c r="R476" s="1" t="str">
        <f t="shared" si="54"/>
        <v/>
      </c>
      <c r="AA476" s="1" t="str">
        <f t="shared" si="55"/>
        <v/>
      </c>
    </row>
    <row r="477" spans="13:27" x14ac:dyDescent="0.45">
      <c r="M477" s="1" t="str">
        <f t="shared" si="49"/>
        <v/>
      </c>
      <c r="N477" s="1" t="str">
        <f t="shared" si="50"/>
        <v/>
      </c>
      <c r="O477" s="1" t="str">
        <f t="shared" si="51"/>
        <v/>
      </c>
      <c r="P477" s="1" t="str">
        <f t="shared" si="52"/>
        <v/>
      </c>
      <c r="Q477" s="1" t="str">
        <f t="shared" si="53"/>
        <v/>
      </c>
      <c r="R477" s="1" t="str">
        <f t="shared" si="54"/>
        <v/>
      </c>
      <c r="AA477" s="1" t="str">
        <f t="shared" si="55"/>
        <v/>
      </c>
    </row>
    <row r="478" spans="13:27" x14ac:dyDescent="0.45">
      <c r="M478" s="1" t="str">
        <f t="shared" si="49"/>
        <v/>
      </c>
      <c r="N478" s="1" t="str">
        <f t="shared" si="50"/>
        <v/>
      </c>
      <c r="O478" s="1" t="str">
        <f t="shared" si="51"/>
        <v/>
      </c>
      <c r="P478" s="1" t="str">
        <f t="shared" si="52"/>
        <v/>
      </c>
      <c r="Q478" s="1" t="str">
        <f t="shared" si="53"/>
        <v/>
      </c>
      <c r="R478" s="1" t="str">
        <f t="shared" si="54"/>
        <v/>
      </c>
      <c r="AA478" s="1" t="str">
        <f t="shared" si="55"/>
        <v/>
      </c>
    </row>
    <row r="479" spans="13:27" x14ac:dyDescent="0.45">
      <c r="M479" s="1" t="str">
        <f t="shared" si="49"/>
        <v/>
      </c>
      <c r="N479" s="1" t="str">
        <f t="shared" si="50"/>
        <v/>
      </c>
      <c r="O479" s="1" t="str">
        <f t="shared" si="51"/>
        <v/>
      </c>
      <c r="P479" s="1" t="str">
        <f t="shared" si="52"/>
        <v/>
      </c>
      <c r="Q479" s="1" t="str">
        <f t="shared" si="53"/>
        <v/>
      </c>
      <c r="R479" s="1" t="str">
        <f t="shared" si="54"/>
        <v/>
      </c>
      <c r="AA479" s="1" t="str">
        <f t="shared" si="55"/>
        <v/>
      </c>
    </row>
    <row r="480" spans="13:27" x14ac:dyDescent="0.45">
      <c r="M480" s="1" t="str">
        <f t="shared" si="49"/>
        <v/>
      </c>
      <c r="N480" s="1" t="str">
        <f t="shared" si="50"/>
        <v/>
      </c>
      <c r="O480" s="1" t="str">
        <f t="shared" si="51"/>
        <v/>
      </c>
      <c r="P480" s="1" t="str">
        <f t="shared" si="52"/>
        <v/>
      </c>
      <c r="Q480" s="1" t="str">
        <f t="shared" si="53"/>
        <v/>
      </c>
      <c r="R480" s="1" t="str">
        <f t="shared" si="54"/>
        <v/>
      </c>
      <c r="AA480" s="1" t="str">
        <f t="shared" si="55"/>
        <v/>
      </c>
    </row>
    <row r="481" spans="13:27" x14ac:dyDescent="0.45">
      <c r="M481" s="1" t="str">
        <f t="shared" si="49"/>
        <v/>
      </c>
      <c r="N481" s="1" t="str">
        <f t="shared" si="50"/>
        <v/>
      </c>
      <c r="O481" s="1" t="str">
        <f t="shared" si="51"/>
        <v/>
      </c>
      <c r="P481" s="1" t="str">
        <f t="shared" si="52"/>
        <v/>
      </c>
      <c r="Q481" s="1" t="str">
        <f t="shared" si="53"/>
        <v/>
      </c>
      <c r="R481" s="1" t="str">
        <f t="shared" si="54"/>
        <v/>
      </c>
      <c r="AA481" s="1" t="str">
        <f t="shared" si="55"/>
        <v/>
      </c>
    </row>
    <row r="482" spans="13:27" x14ac:dyDescent="0.45">
      <c r="M482" s="1" t="str">
        <f t="shared" si="49"/>
        <v/>
      </c>
      <c r="N482" s="1" t="str">
        <f t="shared" si="50"/>
        <v/>
      </c>
      <c r="O482" s="1" t="str">
        <f t="shared" si="51"/>
        <v/>
      </c>
      <c r="P482" s="1" t="str">
        <f t="shared" si="52"/>
        <v/>
      </c>
      <c r="Q482" s="1" t="str">
        <f t="shared" si="53"/>
        <v/>
      </c>
      <c r="R482" s="1" t="str">
        <f t="shared" si="54"/>
        <v/>
      </c>
      <c r="AA482" s="1" t="str">
        <f t="shared" si="55"/>
        <v/>
      </c>
    </row>
    <row r="483" spans="13:27" x14ac:dyDescent="0.45">
      <c r="M483" s="1" t="str">
        <f t="shared" si="49"/>
        <v/>
      </c>
      <c r="N483" s="1" t="str">
        <f t="shared" si="50"/>
        <v/>
      </c>
      <c r="O483" s="1" t="str">
        <f t="shared" si="51"/>
        <v/>
      </c>
      <c r="P483" s="1" t="str">
        <f t="shared" si="52"/>
        <v/>
      </c>
      <c r="Q483" s="1" t="str">
        <f t="shared" si="53"/>
        <v/>
      </c>
      <c r="R483" s="1" t="str">
        <f t="shared" si="54"/>
        <v/>
      </c>
      <c r="AA483" s="1" t="str">
        <f t="shared" si="55"/>
        <v/>
      </c>
    </row>
    <row r="484" spans="13:27" x14ac:dyDescent="0.45">
      <c r="M484" s="1" t="str">
        <f t="shared" si="49"/>
        <v/>
      </c>
      <c r="N484" s="1" t="str">
        <f t="shared" si="50"/>
        <v/>
      </c>
      <c r="O484" s="1" t="str">
        <f t="shared" si="51"/>
        <v/>
      </c>
      <c r="P484" s="1" t="str">
        <f t="shared" si="52"/>
        <v/>
      </c>
      <c r="Q484" s="1" t="str">
        <f t="shared" si="53"/>
        <v/>
      </c>
      <c r="R484" s="1" t="str">
        <f t="shared" si="54"/>
        <v/>
      </c>
      <c r="AA484" s="1" t="str">
        <f t="shared" si="55"/>
        <v/>
      </c>
    </row>
    <row r="485" spans="13:27" x14ac:dyDescent="0.45">
      <c r="M485" s="1" t="str">
        <f t="shared" si="49"/>
        <v/>
      </c>
      <c r="N485" s="1" t="str">
        <f t="shared" si="50"/>
        <v/>
      </c>
      <c r="O485" s="1" t="str">
        <f t="shared" si="51"/>
        <v/>
      </c>
      <c r="P485" s="1" t="str">
        <f t="shared" si="52"/>
        <v/>
      </c>
      <c r="Q485" s="1" t="str">
        <f t="shared" si="53"/>
        <v/>
      </c>
      <c r="R485" s="1" t="str">
        <f t="shared" si="54"/>
        <v/>
      </c>
      <c r="AA485" s="1" t="str">
        <f t="shared" si="55"/>
        <v/>
      </c>
    </row>
    <row r="486" spans="13:27" x14ac:dyDescent="0.45">
      <c r="M486" s="1" t="str">
        <f t="shared" si="49"/>
        <v/>
      </c>
      <c r="N486" s="1" t="str">
        <f t="shared" si="50"/>
        <v/>
      </c>
      <c r="O486" s="1" t="str">
        <f t="shared" si="51"/>
        <v/>
      </c>
      <c r="P486" s="1" t="str">
        <f t="shared" si="52"/>
        <v/>
      </c>
      <c r="Q486" s="1" t="str">
        <f t="shared" si="53"/>
        <v/>
      </c>
      <c r="R486" s="1" t="str">
        <f t="shared" si="54"/>
        <v/>
      </c>
      <c r="AA486" s="1" t="str">
        <f t="shared" si="55"/>
        <v/>
      </c>
    </row>
    <row r="487" spans="13:27" x14ac:dyDescent="0.45">
      <c r="M487" s="1" t="str">
        <f t="shared" si="49"/>
        <v/>
      </c>
      <c r="N487" s="1" t="str">
        <f t="shared" si="50"/>
        <v/>
      </c>
      <c r="O487" s="1" t="str">
        <f t="shared" si="51"/>
        <v/>
      </c>
      <c r="P487" s="1" t="str">
        <f t="shared" si="52"/>
        <v/>
      </c>
      <c r="Q487" s="1" t="str">
        <f t="shared" si="53"/>
        <v/>
      </c>
      <c r="R487" s="1" t="str">
        <f t="shared" si="54"/>
        <v/>
      </c>
      <c r="AA487" s="1" t="str">
        <f t="shared" si="55"/>
        <v/>
      </c>
    </row>
    <row r="488" spans="13:27" x14ac:dyDescent="0.45">
      <c r="M488" s="1" t="str">
        <f t="shared" si="49"/>
        <v/>
      </c>
      <c r="N488" s="1" t="str">
        <f t="shared" si="50"/>
        <v/>
      </c>
      <c r="O488" s="1" t="str">
        <f t="shared" si="51"/>
        <v/>
      </c>
      <c r="P488" s="1" t="str">
        <f t="shared" si="52"/>
        <v/>
      </c>
      <c r="Q488" s="1" t="str">
        <f t="shared" si="53"/>
        <v/>
      </c>
      <c r="R488" s="1" t="str">
        <f t="shared" si="54"/>
        <v/>
      </c>
      <c r="AA488" s="1" t="str">
        <f t="shared" si="55"/>
        <v/>
      </c>
    </row>
    <row r="489" spans="13:27" x14ac:dyDescent="0.45">
      <c r="M489" s="1" t="str">
        <f t="shared" si="49"/>
        <v/>
      </c>
      <c r="N489" s="1" t="str">
        <f t="shared" si="50"/>
        <v/>
      </c>
      <c r="O489" s="1" t="str">
        <f t="shared" si="51"/>
        <v/>
      </c>
      <c r="P489" s="1" t="str">
        <f t="shared" si="52"/>
        <v/>
      </c>
      <c r="Q489" s="1" t="str">
        <f t="shared" si="53"/>
        <v/>
      </c>
      <c r="R489" s="1" t="str">
        <f t="shared" si="54"/>
        <v/>
      </c>
      <c r="AA489" s="1" t="str">
        <f t="shared" si="55"/>
        <v/>
      </c>
    </row>
    <row r="490" spans="13:27" x14ac:dyDescent="0.45">
      <c r="M490" s="1" t="str">
        <f t="shared" si="49"/>
        <v/>
      </c>
      <c r="N490" s="1" t="str">
        <f t="shared" si="50"/>
        <v/>
      </c>
      <c r="O490" s="1" t="str">
        <f t="shared" si="51"/>
        <v/>
      </c>
      <c r="P490" s="1" t="str">
        <f t="shared" si="52"/>
        <v/>
      </c>
      <c r="Q490" s="1" t="str">
        <f t="shared" si="53"/>
        <v/>
      </c>
      <c r="R490" s="1" t="str">
        <f t="shared" si="54"/>
        <v/>
      </c>
      <c r="AA490" s="1" t="str">
        <f t="shared" si="55"/>
        <v/>
      </c>
    </row>
    <row r="491" spans="13:27" x14ac:dyDescent="0.45">
      <c r="M491" s="1" t="str">
        <f t="shared" si="49"/>
        <v/>
      </c>
      <c r="N491" s="1" t="str">
        <f t="shared" si="50"/>
        <v/>
      </c>
      <c r="O491" s="1" t="str">
        <f t="shared" si="51"/>
        <v/>
      </c>
      <c r="P491" s="1" t="str">
        <f t="shared" si="52"/>
        <v/>
      </c>
      <c r="Q491" s="1" t="str">
        <f t="shared" si="53"/>
        <v/>
      </c>
      <c r="R491" s="1" t="str">
        <f t="shared" si="54"/>
        <v/>
      </c>
      <c r="AA491" s="1" t="str">
        <f t="shared" si="55"/>
        <v/>
      </c>
    </row>
    <row r="492" spans="13:27" x14ac:dyDescent="0.45">
      <c r="M492" s="1" t="str">
        <f t="shared" si="49"/>
        <v/>
      </c>
      <c r="N492" s="1" t="str">
        <f t="shared" si="50"/>
        <v/>
      </c>
      <c r="O492" s="1" t="str">
        <f t="shared" si="51"/>
        <v/>
      </c>
      <c r="P492" s="1" t="str">
        <f t="shared" si="52"/>
        <v/>
      </c>
      <c r="Q492" s="1" t="str">
        <f t="shared" si="53"/>
        <v/>
      </c>
      <c r="R492" s="1" t="str">
        <f t="shared" si="54"/>
        <v/>
      </c>
      <c r="AA492" s="1" t="str">
        <f t="shared" si="55"/>
        <v/>
      </c>
    </row>
    <row r="493" spans="13:27" x14ac:dyDescent="0.45">
      <c r="M493" s="1" t="str">
        <f t="shared" si="49"/>
        <v/>
      </c>
      <c r="N493" s="1" t="str">
        <f t="shared" si="50"/>
        <v/>
      </c>
      <c r="O493" s="1" t="str">
        <f t="shared" si="51"/>
        <v/>
      </c>
      <c r="P493" s="1" t="str">
        <f t="shared" si="52"/>
        <v/>
      </c>
      <c r="Q493" s="1" t="str">
        <f t="shared" si="53"/>
        <v/>
      </c>
      <c r="R493" s="1" t="str">
        <f t="shared" si="54"/>
        <v/>
      </c>
      <c r="AA493" s="1" t="str">
        <f t="shared" si="55"/>
        <v/>
      </c>
    </row>
    <row r="494" spans="13:27" x14ac:dyDescent="0.45">
      <c r="M494" s="1" t="str">
        <f t="shared" si="49"/>
        <v/>
      </c>
      <c r="N494" s="1" t="str">
        <f t="shared" si="50"/>
        <v/>
      </c>
      <c r="O494" s="1" t="str">
        <f t="shared" si="51"/>
        <v/>
      </c>
      <c r="P494" s="1" t="str">
        <f t="shared" si="52"/>
        <v/>
      </c>
      <c r="Q494" s="1" t="str">
        <f t="shared" si="53"/>
        <v/>
      </c>
      <c r="R494" s="1" t="str">
        <f t="shared" si="54"/>
        <v/>
      </c>
      <c r="AA494" s="1" t="str">
        <f t="shared" si="55"/>
        <v/>
      </c>
    </row>
    <row r="495" spans="13:27" x14ac:dyDescent="0.45">
      <c r="M495" s="1" t="str">
        <f t="shared" si="49"/>
        <v/>
      </c>
      <c r="N495" s="1" t="str">
        <f t="shared" si="50"/>
        <v/>
      </c>
      <c r="O495" s="1" t="str">
        <f t="shared" si="51"/>
        <v/>
      </c>
      <c r="P495" s="1" t="str">
        <f t="shared" si="52"/>
        <v/>
      </c>
      <c r="Q495" s="1" t="str">
        <f t="shared" si="53"/>
        <v/>
      </c>
      <c r="R495" s="1" t="str">
        <f t="shared" si="54"/>
        <v/>
      </c>
      <c r="AA495" s="1" t="str">
        <f t="shared" si="55"/>
        <v/>
      </c>
    </row>
    <row r="496" spans="13:27" x14ac:dyDescent="0.45">
      <c r="M496" s="1" t="str">
        <f t="shared" si="49"/>
        <v/>
      </c>
      <c r="N496" s="1" t="str">
        <f t="shared" si="50"/>
        <v/>
      </c>
      <c r="O496" s="1" t="str">
        <f t="shared" si="51"/>
        <v/>
      </c>
      <c r="P496" s="1" t="str">
        <f t="shared" si="52"/>
        <v/>
      </c>
      <c r="Q496" s="1" t="str">
        <f t="shared" si="53"/>
        <v/>
      </c>
      <c r="R496" s="1" t="str">
        <f t="shared" si="54"/>
        <v/>
      </c>
      <c r="AA496" s="1" t="str">
        <f t="shared" si="55"/>
        <v/>
      </c>
    </row>
    <row r="497" spans="13:27" x14ac:dyDescent="0.45">
      <c r="M497" s="1" t="str">
        <f t="shared" si="49"/>
        <v/>
      </c>
      <c r="N497" s="1" t="str">
        <f t="shared" si="50"/>
        <v/>
      </c>
      <c r="O497" s="1" t="str">
        <f t="shared" si="51"/>
        <v/>
      </c>
      <c r="P497" s="1" t="str">
        <f t="shared" si="52"/>
        <v/>
      </c>
      <c r="Q497" s="1" t="str">
        <f t="shared" si="53"/>
        <v/>
      </c>
      <c r="R497" s="1" t="str">
        <f t="shared" si="54"/>
        <v/>
      </c>
      <c r="AA497" s="1" t="str">
        <f t="shared" si="55"/>
        <v/>
      </c>
    </row>
    <row r="498" spans="13:27" x14ac:dyDescent="0.45">
      <c r="M498" s="1" t="str">
        <f t="shared" si="49"/>
        <v/>
      </c>
      <c r="N498" s="1" t="str">
        <f t="shared" si="50"/>
        <v/>
      </c>
      <c r="O498" s="1" t="str">
        <f t="shared" si="51"/>
        <v/>
      </c>
      <c r="P498" s="1" t="str">
        <f t="shared" si="52"/>
        <v/>
      </c>
      <c r="Q498" s="1" t="str">
        <f t="shared" si="53"/>
        <v/>
      </c>
      <c r="R498" s="1" t="str">
        <f t="shared" si="54"/>
        <v/>
      </c>
      <c r="AA498" s="1" t="str">
        <f t="shared" si="55"/>
        <v/>
      </c>
    </row>
    <row r="499" spans="13:27" x14ac:dyDescent="0.45">
      <c r="M499" s="1" t="str">
        <f t="shared" si="49"/>
        <v/>
      </c>
      <c r="N499" s="1" t="str">
        <f t="shared" si="50"/>
        <v/>
      </c>
      <c r="O499" s="1" t="str">
        <f t="shared" si="51"/>
        <v/>
      </c>
      <c r="P499" s="1" t="str">
        <f t="shared" si="52"/>
        <v/>
      </c>
      <c r="Q499" s="1" t="str">
        <f t="shared" si="53"/>
        <v/>
      </c>
      <c r="R499" s="1" t="str">
        <f t="shared" si="54"/>
        <v/>
      </c>
      <c r="AA499" s="1" t="str">
        <f t="shared" si="55"/>
        <v/>
      </c>
    </row>
    <row r="500" spans="13:27" x14ac:dyDescent="0.45">
      <c r="M500" s="1" t="str">
        <f t="shared" si="49"/>
        <v/>
      </c>
      <c r="N500" s="1" t="str">
        <f t="shared" si="50"/>
        <v/>
      </c>
      <c r="O500" s="1" t="str">
        <f t="shared" si="51"/>
        <v/>
      </c>
      <c r="P500" s="1" t="str">
        <f t="shared" si="52"/>
        <v/>
      </c>
      <c r="Q500" s="1" t="str">
        <f t="shared" si="53"/>
        <v/>
      </c>
      <c r="R500" s="1" t="str">
        <f t="shared" si="54"/>
        <v/>
      </c>
      <c r="AA500" s="1" t="str">
        <f t="shared" si="55"/>
        <v/>
      </c>
    </row>
    <row r="501" spans="13:27" x14ac:dyDescent="0.45">
      <c r="M501" s="1" t="str">
        <f t="shared" si="49"/>
        <v/>
      </c>
      <c r="N501" s="1" t="str">
        <f t="shared" si="50"/>
        <v/>
      </c>
      <c r="O501" s="1" t="str">
        <f t="shared" si="51"/>
        <v/>
      </c>
      <c r="P501" s="1" t="str">
        <f t="shared" si="52"/>
        <v/>
      </c>
      <c r="Q501" s="1" t="str">
        <f t="shared" si="53"/>
        <v/>
      </c>
      <c r="R501" s="1" t="str">
        <f t="shared" si="54"/>
        <v/>
      </c>
      <c r="AA501" s="1" t="str">
        <f t="shared" si="55"/>
        <v/>
      </c>
    </row>
  </sheetData>
  <autoFilter ref="A1:AA1" xr:uid="{A04859CC-3EFA-4102-9DEA-7BA0AB20F773}"/>
  <conditionalFormatting sqref="S2:X501">
    <cfRule type="expression" dxfId="2" priority="1" stopIfTrue="1">
      <formula>LEFT($X2,15)="Non-federal aid"</formula>
    </cfRule>
    <cfRule type="expression" dxfId="1" priority="2" stopIfTrue="1">
      <formula>LEFT($X2,11)="Federal aid"</formula>
    </cfRule>
    <cfRule type="expression" dxfId="0" priority="3" stopIfTrue="1">
      <formula>LEFT($X2,6)="Review"</formula>
    </cfRule>
  </conditionalFormatting>
  <dataValidations count="2">
    <dataValidation type="decimal" allowBlank="1" showInputMessage="1" showErrorMessage="1" error="Latitude must be between -90 and 90." sqref="F2:F501" xr:uid="{7A42A592-088B-4250-AC51-3C654DE56041}">
      <formula1>-90</formula1>
      <formula2>90</formula2>
    </dataValidation>
    <dataValidation type="decimal" allowBlank="1" showInputMessage="1" showErrorMessage="1" error="Longitude must be between -180 and 180." sqref="G2:G501" xr:uid="{8F785C3D-00F6-4725-B5A4-899F8FF09F34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4434-A998-4EF4-9DCE-1B3291232072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41</v>
      </c>
    </row>
    <row r="3" spans="2:2" x14ac:dyDescent="0.45">
      <c r="B3" s="4" t="s">
        <v>42</v>
      </c>
    </row>
    <row r="5" spans="2:2" x14ac:dyDescent="0.45">
      <c r="B5" s="7" t="s">
        <v>43</v>
      </c>
    </row>
    <row r="6" spans="2:2" x14ac:dyDescent="0.45">
      <c r="B6" s="7" t="s">
        <v>44</v>
      </c>
    </row>
    <row r="7" spans="2:2" x14ac:dyDescent="0.45">
      <c r="B7" s="7" t="s">
        <v>45</v>
      </c>
    </row>
    <row r="8" spans="2:2" x14ac:dyDescent="0.45">
      <c r="B8" s="7" t="s">
        <v>46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50FD0-E9E7-45ED-81A1-8F0D357304E9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F7A4F-EBA4-4B6C-8298-08B74E6480FB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52</v>
      </c>
    </row>
    <row r="3" spans="2:2" x14ac:dyDescent="0.45">
      <c r="B3" s="4" t="s">
        <v>53</v>
      </c>
    </row>
    <row r="5" spans="2:2" x14ac:dyDescent="0.45">
      <c r="B5" s="7" t="s">
        <v>54</v>
      </c>
    </row>
    <row r="6" spans="2:2" x14ac:dyDescent="0.45">
      <c r="B6" s="7" t="s">
        <v>55</v>
      </c>
    </row>
    <row r="7" spans="2:2" x14ac:dyDescent="0.45">
      <c r="B7" s="7" t="s">
        <v>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2026-05-22T21:30:01Z</dcterms:created>
  <dcterms:modified xsi:type="dcterms:W3CDTF">2026-05-22T21:35:52Z</dcterms:modified>
</cp:coreProperties>
</file>