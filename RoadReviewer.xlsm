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721E77E5-0E58-4722-8D97-D5538410F4AB}" xr6:coauthVersionLast="47" xr6:coauthVersionMax="47" xr10:uidLastSave="{00000000-0000-0000-0000-000000000000}"/>
  <bookViews>
    <workbookView xWindow="-98" yWindow="-98" windowWidth="21795" windowHeight="12975" xr2:uid="{1891FEB4-B7D9-4C70-B882-6BDA54432FD4}"/>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Pages'!$C$17</definedName>
    <definedName name="JobBufferFeet">'Start Here'!$C$20</definedName>
    <definedName name="JobDI">'Map Pages'!$C$15</definedName>
    <definedName name="JobDisaster">'Map Pages'!$C$16</definedName>
    <definedName name="JobImagerySvc">'Map Pages'!$C$19</definedName>
    <definedName name="JobOutputFolder">'Start Here'!$C$29</definedName>
    <definedName name="JobState">'Start Here'!$C$18</definedName>
    <definedName name="JobWO">'Map Pages'!$C$14</definedName>
    <definedName name="_xlnm.Print_Area" localSheetId="2">'Map Pages'!$A$23:$M$23</definedName>
    <definedName name="_xlnm.Print_Area" localSheetId="0">'Start Here'!$A$1:$D$40</definedName>
    <definedName name="RR_Product" hidden="1">"Standard"</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8" i="3" s="1"/>
  <c r="I14" i="3"/>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<sst xmlns="http://schemas.openxmlformats.org/spreadsheetml/2006/main" count="117" uniqueCount="117">
  <si>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</si>
  <si>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</si>
  <si>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</si>
  <si>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</si>
  <si>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</si>
  <si>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</si>
  <si>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</si>
  <si>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</si>
  <si>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</si>
  <si>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</si>
  <si>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</si>
  <si>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</si>
  <si>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</si>
  <si>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</si>
  <si>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</si>
  <si>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</si>
  <si>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</si>
  <si>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</si>
  <si>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</si>
  <si>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</si>
  <si>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</si>
  <si>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</si>
  <si>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</si>
  <si>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</si>
  <si>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</si>
  <si>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</si>
  <si>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</si>
  <si>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</si>
  <si>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</si>
  <si>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</si>
  <si>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</si>
  <si>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</si>
  <si>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</si>
  <si>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</si>
  <si>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</si>
  <si>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</si>
  <si>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</si>
  <si>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</si>
  <si>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</si>
  <si>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</si>
  <si>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</si>
  <si>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</si>
  <si>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</si>
  <si>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</si>
  <si>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</si>
  <si>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</si>
  <si>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</si>
  <si>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</si>
  <si>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</si>
  <si>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</si>
  <si>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</si>
  <si>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</si>
  <si>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</si>
  <si>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</si>
  <si>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</si>
  <si>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</si>
  <si>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</si>
  <si>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</si>
  <si>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</si>
  <si>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</si>
  <si>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</si>
  <si>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</si>
  <si>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</si>
  <si>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</si>
  <si>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</si>
  <si>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</si>
  <si>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</si>
  <si>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</si>
  <si>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</si>
  <si>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</si>
  <si>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</si>
  <si>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</si>
  <si>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</si>
  <si>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</si>
  <si>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</si>
  <si>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</si>
  <si>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</si>
  <si>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</si>
  <si>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</si>
  <si>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</si>
  <si>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</si>
  <si>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</si>
  <si>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</si>
  <si>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</si>
  <si>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</si>
  <si>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</si>
  <si>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</si>
  <si>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</si>
  <si>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</si>
  <si>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</si>
  <si>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</si>
  <si>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</si>
  <si>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</si>
  <si>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</si>
  <si>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</si>
  <si>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</si>
  <si>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</si>
  <si>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</si>
  <si>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#37.</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</si>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</sst>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8">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
      <patternFill patternType="solid">
        <fgColor rgb="FFFFEEEE"/>
        <bgColor indexed="64"/>
      </patternFill>
    </fill>
  </fills>
  <borders count="8">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4" fillId="0" borderId="0" applyNumberFormat="0" applyFill="0" applyBorder="0" applyAlignment="0" applyProtection="0"/>
  </cellStyleXfs>
  <cellXfs count="3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xf numFmtId="0" fontId="8" fillId="6" borderId="3" xfId="0" applyFont="1" applyFill="1" applyBorder="1" applyAlignment="1">
      <alignment horizontal="left" vertical="top" wrapText="1" indent="1"/>
    </xf>
    <xf numFmtId="0" fontId="9" fillId="5" borderId="4" xfId="0" applyFont="1" applyFill="1" applyBorder="1" applyAlignment="1">
      <alignment horizontal="left"/>
    </xf>
    <xf numFmtId="0" fontId="10" fillId="5" borderId="0" xfId="0" applyFont="1" applyFill="1" applyAlignment="1">
      <alignment horizontal="left" vertical="top" wrapText="1"/>
    </xf>
    <xf numFmtId="0" fontId="1" fillId="0" borderId="0" xfId="0" applyFont="1"/>
    <xf numFmtId="0" fontId="11" fillId="0" borderId="0" xfId="0" applyFont="1"/>
    <xf numFmtId="0" fontId="12" fillId="0" borderId="0" xfId="0" applyFont="1" applyAlignment="1">
      <alignment vertical="top" wrapText="1"/>
    </xf>
    <xf numFmtId="0" fontId="13" fillId="0" borderId="0" xfId="0" applyFont="1"/>
    <xf numFmtId="0" fontId="15" fillId="0" borderId="0" xfId="1" applyFont="1" applyAlignment="1">
      <alignment vertical="top" wrapText="1"/>
    </xf>
    <xf numFmtId="0" fontId="16" fillId="0" borderId="0" xfId="0" applyFont="1" applyAlignment="1">
      <alignment vertical="top" wrapText="1"/>
    </xf>
    <xf numFmtId="0" fontId="0" fillId="3" borderId="5" xfId="0" applyFill="1" applyBorder="1" applyAlignment="1">
      <alignment vertical="top" wrapText="1"/>
    </xf>
    <xf numFmtId="0" fontId="17" fillId="0" borderId="0" xfId="1" applyFont="1"/>
    <xf numFmtId="0" fontId="18" fillId="5" borderId="0" xfId="0" applyFont="1" applyFill="1"/>
    <xf numFmtId="0" fontId="6" fillId="5" borderId="0" xfId="0" applyFont="1" applyFill="1"/>
    <xf numFmtId="0" fontId="19" fillId="7" borderId="6" xfId="0" applyFont="1" applyFill="1" applyBorder="1" applyAlignment="1">
      <alignment horizontal="left" vertical="top" wrapText="1"/>
    </xf>
    <xf numFmtId="0" fontId="20" fillId="7" borderId="6" xfId="0" applyFont="1" applyFill="1" applyBorder="1" applyAlignment="1">
      <alignment horizontal="left" vertical="top" wrapText="1"/>
    </xf>
    <xf numFmtId="0" fontId="21" fillId="5" borderId="7" xfId="0" applyFont="1" applyFill="1" applyBorder="1" applyAlignment="1"/>
    <xf numFmtId="0" fontId="0" fillId="5" borderId="7" xfId="0" applyFill="1" applyBorder="1"/>
    <xf numFmtId="0" fontId="22"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10"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68B2E8C0-0B43-B62B-0D06-154812365E7F}"/>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EF90213E-0FE6-507E-6A50-0B5E2902F0C4}"/>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76EC47D1-087D-5F77-7F9F-A2D8949B1055}"/>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98012846-09B0-0AF7-3B87-E8F010EA087B}"/>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471C2EEA-508E-C115-0B1B-7E79B8E2D884}"/>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89876445-66F3-85A6-2040-901705DDC0B9}"/>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E4A48D06-CBBC-0449-0254-129D7B82C3F2}"/>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46FBA814-2133-3CDE-D276-E03DEA72071F}"/>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0945E380-1486-4D86-ADE3-B91E641E907E}"/>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9C25AF5A-A879-8DDF-A67E-013F413FE4B2}"/>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D9D40560-EE0E-33C1-0843-6A7C750C5B59}"/>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01279E84-D885-ED43-B78F-AC77A33DAF7A}"/>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E320EA47-3533-A377-3DA6-7A42ABBC7AA3}"/>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2B0EBDDB-1F2D-4BB0-2BCE-CF74C578020D}"/>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222AFFB8-18EA-F3F9-3D14-D9310666FB6B}"/>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DB67464B-E42C-C9AE-02A8-A473D59A0294}"/>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5B38BF8A-28DA-F51A-F9CF-151B4C7385B3}"/>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67E6F1C4-433B-AB16-EB0D-F8D147A0F4DC}"/>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CAB7DD62-F372-936F-0991-27441CF31D9D}"/>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4" name="MapCtrl_Adv_ManualLabel" hidden="1">
          <a:extLst>
            <a:ext uri="{FF2B5EF4-FFF2-40B4-BE49-F238E27FC236}">
              <a16:creationId xmlns:a16="http://schemas.microsoft.com/office/drawing/2014/main" id="{B90902D4-1539-CF06-6C12-1961A23940FC}"/>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5" name="MapCtrl_Adv_KML" hidden="1">
          <a:extLst>
            <a:ext uri="{FF2B5EF4-FFF2-40B4-BE49-F238E27FC236}">
              <a16:creationId xmlns:a16="http://schemas.microsoft.com/office/drawing/2014/main" id="{E77978AD-7AB8-1E1F-DFA6-5B89B0947D09}"/>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6" name="MapCtrl_Adv_Insert" hidden="1">
          <a:extLst>
            <a:ext uri="{FF2B5EF4-FFF2-40B4-BE49-F238E27FC236}">
              <a16:creationId xmlns:a16="http://schemas.microsoft.com/office/drawing/2014/main" id="{5AA564A9-942F-EA25-A256-83CA8ADC45D3}"/>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7" name="MapCtrl_Adv_ManualNote" hidden="1">
          <a:extLst>
            <a:ext uri="{FF2B5EF4-FFF2-40B4-BE49-F238E27FC236}">
              <a16:creationId xmlns:a16="http://schemas.microsoft.com/office/drawing/2014/main" id="{66D1A380-47F5-C8F3-D8D5-9C6A8E478BF0}"/>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0</xdr:rowOff>
    </xdr:from>
    <xdr:to>
      <xdr:col>7</xdr:col>
      <xdr:colOff>666750</xdr:colOff>
      <xdr:row>19</xdr:row>
      <xdr:rowOff>166687</xdr:rowOff>
    </xdr:to>
    <xdr:sp macro="" textlink="">
      <xdr:nvSpPr>
        <xdr:cNvPr id="18" name="MapCtrl_ImgSvcNote">
          <a:extLst>
            <a:ext uri="{FF2B5EF4-FFF2-40B4-BE49-F238E27FC236}">
              <a16:creationId xmlns:a16="http://schemas.microsoft.com/office/drawing/2014/main" id="{1A8E4000-4AA0-B933-42EC-8F0F95AFEF43}"/>
            </a:ext>
          </a:extLst>
        </xdr:cNvPr>
        <xdr:cNvSpPr txBox="1"/>
      </xdr:nvSpPr>
      <xdr:spPr>
        <a:xfrm>
          <a:off x="4533900" y="3857625"/>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2E772-8674-40DD-98A9-9A70BD2E2715}">
  <sheetPr>
    <tabColor rgb="FF2F4F4F"/>
  </sheetPr>
  <dimension ref="A1:D40"/>
  <sheetViews>
    <sheetView showGridLines="0" tabSelected="1" workbookViewId="0"/>
  </sheetViews>
  <sheetFormatPr defaultRowHeight="14.25" x14ac:dyDescent="0.45"/>
  <cols>
    <col min="1" max="1" width="2.59765625" style="38" customWidth="1"/>
    <col min="2" max="2" width="32.59765625" style="38" customWidth="1"/>
    <col min="3" max="3" width="52.59765625" style="38" customWidth="1"/>
    <col min="4" max="4" width="2.59765625" style="38" customWidth="1"/>
    <col min="5" max="16384" width="9.06640625" style="38"/>
  </cols>
  <sheetData>
    <row r="1" spans="1:4" x14ac:dyDescent="0.45">
      <c r="A1" s="7"/>
      <c r="B1" s="7"/>
      <c r="C1" s="7"/>
      <c r="D1" s="7"/>
    </row>
    <row r="2" spans="1:4" ht="26.65" x14ac:dyDescent="0.85">
      <c r="A2" s="7"/>
      <c r="B2" s="26" t="s">
        <v>100</v>
      </c>
      <c r="C2" s="7"/>
      <c r="D2" s="7"/>
    </row>
    <row r="3" spans="1:4" x14ac:dyDescent="0.45">
      <c r="A3" s="7"/>
      <c r="B3" s="27" t="s">
        <v>101</v>
      </c>
      <c r="C3" s="7"/>
      <c r="D3" s="7"/>
    </row>
    <row r="4" spans="1:4" ht="14.65" thickBot="1" x14ac:dyDescent="0.5">
      <c r="A4" s="7"/>
      <c r="B4" s="7"/>
      <c r="C4" s="7"/>
      <c r="D4" s="7"/>
    </row>
    <row r="5" spans="1:4" ht="21" customHeight="1" thickBot="1" x14ac:dyDescent="0.5">
      <c r="A5" s="7"/>
      <c r="B5" s="29" t="s">
        <v>102</v>
      </c>
      <c r="C5" s="28"/>
      <c r="D5" s="7"/>
    </row>
    <row r="6" spans="1:4" ht="21" customHeight="1" thickBot="1" x14ac:dyDescent="0.5">
      <c r="A6" s="7"/>
      <c r="B6" s="28"/>
      <c r="C6" s="28"/>
      <c r="D6" s="7"/>
    </row>
    <row r="7" spans="1:4" ht="21" customHeight="1" thickBot="1" x14ac:dyDescent="0.5">
      <c r="A7" s="7"/>
      <c r="B7" s="28"/>
      <c r="C7" s="28"/>
      <c r="D7" s="7"/>
    </row>
    <row r="8" spans="1:4" ht="21" customHeight="1" thickBot="1" x14ac:dyDescent="0.5">
      <c r="A8" s="7"/>
      <c r="B8" s="28"/>
      <c r="C8" s="28"/>
      <c r="D8" s="7"/>
    </row>
    <row r="9" spans="1:4" x14ac:dyDescent="0.45">
      <c r="A9" s="7"/>
      <c r="B9" s="7"/>
      <c r="C9" s="7"/>
      <c r="D9" s="7"/>
    </row>
    <row r="10" spans="1:4" ht="22.05" customHeight="1" x14ac:dyDescent="0.55000000000000004">
      <c r="A10" s="7"/>
      <c r="B10" s="30" t="s">
        <v>103</v>
      </c>
      <c r="C10" s="31"/>
      <c r="D10" s="7"/>
    </row>
    <row r="11" spans="1:4" x14ac:dyDescent="0.45">
      <c r="A11" s="7"/>
      <c r="B11" s="7"/>
      <c r="C11" s="7"/>
      <c r="D11" s="7"/>
    </row>
    <row r="12" spans="1:4" ht="17" customHeight="1" x14ac:dyDescent="0.45">
      <c r="A12" s="7"/>
      <c r="B12" s="32" t="s">
        <v>104</v>
      </c>
      <c r="C12" s="33"/>
      <c r="D12" s="7"/>
    </row>
    <row r="13" spans="1:4" ht="17" customHeight="1" x14ac:dyDescent="0.45">
      <c r="A13" s="7"/>
      <c r="B13" s="32" t="s">
        <v>105</v>
      </c>
      <c r="C13" s="33"/>
      <c r="D13" s="7"/>
    </row>
    <row r="14" spans="1:4" ht="32" customHeight="1" x14ac:dyDescent="0.45">
      <c r="A14" s="7"/>
      <c r="B14" s="32" t="s">
        <v>106</v>
      </c>
      <c r="C14" s="33"/>
      <c r="D14" s="7"/>
    </row>
    <row r="15" spans="1:4" x14ac:dyDescent="0.45">
      <c r="A15" s="7"/>
      <c r="B15" s="7"/>
      <c r="C15" s="7"/>
      <c r="D15" s="7"/>
    </row>
    <row r="16" spans="1:4" ht="22.05" customHeight="1" x14ac:dyDescent="0.55000000000000004">
      <c r="A16" s="7"/>
      <c r="B16" s="30" t="s">
        <v>107</v>
      </c>
      <c r="C16" s="31"/>
      <c r="D16" s="7"/>
    </row>
    <row r="17" spans="1:4" x14ac:dyDescent="0.45">
      <c r="A17" s="7"/>
      <c r="B17" s="7"/>
      <c r="C17" s="7"/>
      <c r="D17" s="7"/>
    </row>
    <row r="18" spans="1:4" x14ac:dyDescent="0.45">
      <c r="A18" s="7"/>
      <c r="B18" s="8" t="s">
        <v>108</v>
      </c>
      <c r="C18" s="34"/>
      <c r="D18" s="7"/>
    </row>
    <row r="19" spans="1:4" x14ac:dyDescent="0.45">
      <c r="A19" s="7"/>
      <c r="B19" s="8" t="s">
        <v>109</v>
      </c>
      <c r="C19" s="34"/>
      <c r="D19" s="7"/>
    </row>
    <row r="20" spans="1:4" x14ac:dyDescent="0.45">
      <c r="A20" s="7"/>
      <c r="B20" s="8" t="s">
        <v>110</v>
      </c>
      <c r="C20" s="34">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35" t="s">
        <v>111</v>
      </c>
      <c r="C25" s="33"/>
      <c r="D25" s="7"/>
    </row>
    <row r="26" spans="1:4" x14ac:dyDescent="0.45">
      <c r="A26" s="7"/>
      <c r="B26" s="7"/>
      <c r="C26" s="7"/>
      <c r="D26" s="7"/>
    </row>
    <row r="27" spans="1:4" ht="22.05" customHeight="1" x14ac:dyDescent="0.55000000000000004">
      <c r="A27" s="7"/>
      <c r="B27" s="30" t="s">
        <v>112</v>
      </c>
      <c r="C27" s="31"/>
      <c r="D27" s="7"/>
    </row>
    <row r="28" spans="1:4" x14ac:dyDescent="0.45">
      <c r="A28" s="7"/>
      <c r="B28" s="7"/>
      <c r="C28" s="7"/>
      <c r="D28" s="7"/>
    </row>
    <row r="29" spans="1:4" x14ac:dyDescent="0.45">
      <c r="A29" s="7"/>
      <c r="B29" s="8" t="s">
        <v>113</v>
      </c>
      <c r="C29" s="37" t="str">
        <f ca="1">IF(OR(CELL("filename",$A$1)="",LEFT(CELL("filename",$A$1),4)="http"),"",LEFT(CELL("filename",$A$1),FIND("[",CELL("filename",$A$1))-1)&amp;"RR Output\")</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36" t="s">
        <v>114</v>
      </c>
      <c r="C33" s="33"/>
      <c r="D33" s="7"/>
    </row>
    <row r="34" spans="1:4" x14ac:dyDescent="0.45">
      <c r="A34" s="7"/>
      <c r="B34" s="7"/>
      <c r="C34" s="7"/>
      <c r="D34" s="7"/>
    </row>
    <row r="35" spans="1:4" ht="22.05" customHeight="1" x14ac:dyDescent="0.55000000000000004">
      <c r="A35" s="7"/>
      <c r="B35" s="30" t="s">
        <v>115</v>
      </c>
      <c r="C35" s="3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36" t="s">
        <v>116</v>
      </c>
      <c r="C39" s="33"/>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BC80EC71-CBF8-4796-862A-F9E3AC9705C8}">
      <formula1>"WI,IN,MI,MN,IL,OH"</formula1>
    </dataValidation>
    <dataValidation type="whole" allowBlank="1" showInputMessage="1" showErrorMessage="1" error="Enter a whole number between 1 and 1000 ft." sqref="C20" xr:uid="{98C803AD-C9E5-400F-A5A3-04E5CC88F9F9}">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1ABD1-F9E4-483F-86E0-CEEA433BB057}">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C071ABD1-F9E4-483F-86E0-CEEA433BB057}"/>
  <conditionalFormatting sqref="P2:V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F35D7D6B-5B03-492D-B190-29C40CB4DF97}">
      <formula1>-90</formula1>
      <formula2>90</formula2>
    </dataValidation>
    <dataValidation type="decimal" allowBlank="1" showInputMessage="1" showErrorMessage="1" error="Longitude must be between -180 and 180." sqref="F2:F501" xr:uid="{82C2F4C8-B5FB-4917-B59D-55CFC58B18D0}">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68454-EA74-49FB-8861-99826B48C9B1}">
  <sheetPr>
    <tabColor rgb="FF3C3C3C"/>
  </sheetPr>
  <dimension ref="A1:M22"/>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4" t="s">
        <v>37</v>
      </c>
      <c r="J13" s="7"/>
      <c r="K13" s="7"/>
      <c r="L13" s="7"/>
      <c r="M13" s="7"/>
    </row>
    <row r="14" spans="1:13" ht="17" customHeight="1" x14ac:dyDescent="0.45">
      <c r="A14" s="11" t="s">
        <v>31</v>
      </c>
      <c r="B14" s="11"/>
      <c r="C14" s="12"/>
      <c r="D14" s="12"/>
      <c r="E14" s="12"/>
      <c r="F14" s="12"/>
      <c r="G14" s="7"/>
      <c r="H14" s="7"/>
      <c r="I14" s="15"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5"/>
      <c r="K14" s="15"/>
      <c r="L14" s="15"/>
      <c r="M14" s="15"/>
    </row>
    <row r="15" spans="1:13" ht="17" customHeight="1" x14ac:dyDescent="0.45">
      <c r="A15" s="11" t="s">
        <v>32</v>
      </c>
      <c r="B15" s="11"/>
      <c r="C15" s="12"/>
      <c r="D15" s="12"/>
      <c r="E15" s="12"/>
      <c r="F15" s="12"/>
      <c r="G15" s="7"/>
      <c r="H15" s="7"/>
      <c r="I15" s="15"/>
      <c r="J15" s="15"/>
      <c r="K15" s="15"/>
      <c r="L15" s="15"/>
      <c r="M15" s="15"/>
    </row>
    <row r="16" spans="1:13" ht="17" customHeight="1" x14ac:dyDescent="0.45">
      <c r="A16" s="11" t="s">
        <v>33</v>
      </c>
      <c r="B16" s="11"/>
      <c r="C16" s="12"/>
      <c r="D16" s="12"/>
      <c r="E16" s="12"/>
      <c r="F16" s="12"/>
      <c r="G16" s="7"/>
      <c r="H16" s="7"/>
      <c r="I16" s="15"/>
      <c r="J16" s="15"/>
      <c r="K16" s="15"/>
      <c r="L16" s="15"/>
      <c r="M16" s="15"/>
    </row>
    <row r="17" spans="1:13" ht="17" customHeight="1" x14ac:dyDescent="0.45">
      <c r="A17" s="11" t="s">
        <v>34</v>
      </c>
      <c r="B17" s="11"/>
      <c r="C17" s="12"/>
      <c r="D17" s="12"/>
      <c r="E17" s="12"/>
      <c r="F17" s="12"/>
      <c r="G17" s="7"/>
      <c r="H17" s="7"/>
      <c r="I17" s="15"/>
      <c r="J17" s="15"/>
      <c r="K17" s="15"/>
      <c r="L17" s="15"/>
      <c r="M17" s="15"/>
    </row>
    <row r="18" spans="1:13" ht="17" customHeight="1" x14ac:dyDescent="0.45">
      <c r="A18" s="10" t="s">
        <v>35</v>
      </c>
      <c r="B18" s="10"/>
      <c r="C18" s="13" t="str">
        <f ca="1">_xlfn.SINGLE(IF(_xlfn.SINGLE(JobOutputFolder)="","(set on Start Here)",JobOutputFolder))</f>
        <v>(set on Start Here)</v>
      </c>
      <c r="D18" s="13"/>
      <c r="E18" s="13"/>
      <c r="F18" s="13"/>
      <c r="G18" s="7"/>
      <c r="H18" s="7"/>
      <c r="I18" s="15"/>
      <c r="J18" s="15"/>
      <c r="K18" s="15"/>
      <c r="L18" s="15"/>
      <c r="M18" s="15"/>
    </row>
    <row r="19" spans="1:13" ht="17" customHeight="1" x14ac:dyDescent="0.45">
      <c r="A19" s="11" t="s">
        <v>36</v>
      </c>
      <c r="B19" s="11"/>
      <c r="C19" s="12"/>
      <c r="D19" s="12"/>
      <c r="E19" s="12"/>
      <c r="F19" s="12"/>
      <c r="G19" s="7"/>
      <c r="H19" s="7"/>
      <c r="I19" s="15"/>
      <c r="J19" s="15"/>
      <c r="K19" s="15"/>
      <c r="L19" s="15"/>
      <c r="M19" s="15"/>
    </row>
    <row r="20" spans="1:13" ht="17" customHeight="1" x14ac:dyDescent="0.45">
      <c r="A20" s="7"/>
      <c r="B20" s="7"/>
      <c r="C20" s="7"/>
      <c r="D20" s="7"/>
      <c r="E20" s="7"/>
      <c r="F20" s="7"/>
      <c r="G20" s="7"/>
      <c r="H20" s="7"/>
      <c r="I20" s="16" t="str">
        <f t="shared" ref="I20:M20" ca="1" si="0">"File name:   "&amp;FirmettePreview()</f>
        <v>File name:   2026-07-24 1008 - (site name) FIRMette.pdf</v>
      </c>
      <c r="J20" s="16"/>
      <c r="K20" s="16"/>
      <c r="L20" s="16"/>
      <c r="M20" s="16"/>
    </row>
    <row r="21" spans="1:13" ht="17" customHeight="1" x14ac:dyDescent="0.45">
      <c r="A21" s="17" t="s">
        <v>38</v>
      </c>
      <c r="B21" s="17"/>
      <c r="C21" s="17"/>
      <c r="D21" s="17"/>
      <c r="E21" s="17"/>
      <c r="F21" s="17"/>
      <c r="G21" s="17"/>
      <c r="H21" s="17"/>
      <c r="I21" s="7"/>
      <c r="J21" s="7"/>
      <c r="K21" s="7"/>
      <c r="L21" s="7"/>
      <c r="M21" s="7"/>
    </row>
    <row r="22" spans="1:13" ht="17" customHeight="1" x14ac:dyDescent="0.45">
      <c r="A22" s="17"/>
      <c r="B22" s="17"/>
      <c r="C22" s="17"/>
      <c r="D22" s="17"/>
      <c r="E22" s="17"/>
      <c r="F22" s="17"/>
      <c r="G22" s="17"/>
      <c r="H22" s="17"/>
      <c r="I22" s="7"/>
      <c r="J22" s="7"/>
      <c r="K22" s="7"/>
      <c r="L22" s="7"/>
      <c r="M22" s="7"/>
    </row>
  </sheetData>
  <mergeCells count="15">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6AC04-ED64-44A5-9897-8B94956552C5}">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9" t="s">
        <v>39</v>
      </c>
    </row>
    <row r="3" spans="2:2" ht="28.5" x14ac:dyDescent="0.45">
      <c r="B3" s="20" t="s">
        <v>40</v>
      </c>
    </row>
    <row r="5" spans="2:2" ht="15.75" x14ac:dyDescent="0.5">
      <c r="B5" s="21" t="s">
        <v>41</v>
      </c>
    </row>
    <row r="6" spans="2:2" ht="26.25" x14ac:dyDescent="0.45">
      <c r="B6" s="22" t="s">
        <v>42</v>
      </c>
    </row>
    <row r="7" spans="2:2" ht="26.25" x14ac:dyDescent="0.45">
      <c r="B7" s="22" t="s">
        <v>43</v>
      </c>
    </row>
    <row r="8" spans="2:2" ht="15.75" x14ac:dyDescent="0.5">
      <c r="B8" s="21" t="s">
        <v>44</v>
      </c>
    </row>
    <row r="9" spans="2:2" ht="26.25" x14ac:dyDescent="0.45">
      <c r="B9" s="22" t="s">
        <v>45</v>
      </c>
    </row>
    <row r="10" spans="2:2" ht="39.4" x14ac:dyDescent="0.45">
      <c r="B10" s="22" t="s">
        <v>46</v>
      </c>
    </row>
    <row r="11" spans="2:2" ht="15.75" x14ac:dyDescent="0.5">
      <c r="B11" s="21" t="s">
        <v>47</v>
      </c>
    </row>
    <row r="12" spans="2:2" ht="26.25" x14ac:dyDescent="0.45">
      <c r="B12" s="22" t="s">
        <v>48</v>
      </c>
    </row>
    <row r="13" spans="2:2" ht="26.25" x14ac:dyDescent="0.45">
      <c r="B13" s="22" t="s">
        <v>49</v>
      </c>
    </row>
    <row r="14" spans="2:2" ht="26.25" x14ac:dyDescent="0.45">
      <c r="B14" s="22" t="s">
        <v>50</v>
      </c>
    </row>
    <row r="15" spans="2:2" ht="15.75" x14ac:dyDescent="0.5">
      <c r="B15" s="21" t="s">
        <v>51</v>
      </c>
    </row>
    <row r="16" spans="2:2" ht="26.25" x14ac:dyDescent="0.45">
      <c r="B16" s="22" t="s">
        <v>52</v>
      </c>
    </row>
    <row r="17" spans="2:2" ht="26.25" x14ac:dyDescent="0.45">
      <c r="B17" s="22" t="s">
        <v>53</v>
      </c>
    </row>
    <row r="18" spans="2:2" ht="15.75" x14ac:dyDescent="0.5">
      <c r="B18" s="21" t="s">
        <v>54</v>
      </c>
    </row>
    <row r="19" spans="2:2" ht="26.25" x14ac:dyDescent="0.45">
      <c r="B19" s="22" t="s">
        <v>55</v>
      </c>
    </row>
    <row r="20" spans="2:2" ht="26.25" x14ac:dyDescent="0.45">
      <c r="B20" s="22" t="s">
        <v>56</v>
      </c>
    </row>
    <row r="21" spans="2:2" ht="15.75" x14ac:dyDescent="0.5">
      <c r="B21" s="21" t="s">
        <v>57</v>
      </c>
    </row>
    <row r="22" spans="2:2" x14ac:dyDescent="0.45">
      <c r="B22" s="22" t="s">
        <v>58</v>
      </c>
    </row>
    <row r="23" spans="2:2" ht="26.25" x14ac:dyDescent="0.45">
      <c r="B23" s="22" t="s">
        <v>59</v>
      </c>
    </row>
    <row r="24" spans="2:2" ht="15.75" x14ac:dyDescent="0.5">
      <c r="B24" s="21" t="s">
        <v>60</v>
      </c>
    </row>
    <row r="25" spans="2:2" ht="26.25" x14ac:dyDescent="0.45">
      <c r="B25" s="22" t="s">
        <v>61</v>
      </c>
    </row>
    <row r="26" spans="2:2" ht="26.25" x14ac:dyDescent="0.45">
      <c r="B26" s="22" t="s">
        <v>62</v>
      </c>
    </row>
    <row r="27" spans="2:2" ht="26.25" x14ac:dyDescent="0.45">
      <c r="B27" s="22" t="s">
        <v>63</v>
      </c>
    </row>
    <row r="28" spans="2:2" ht="26.25" x14ac:dyDescent="0.45">
      <c r="B28" s="22" t="s">
        <v>64</v>
      </c>
    </row>
    <row r="30" spans="2:2" ht="19.5" x14ac:dyDescent="0.6">
      <c r="B30" s="19" t="s">
        <v>65</v>
      </c>
    </row>
    <row r="31" spans="2:2" ht="15.75" x14ac:dyDescent="0.5">
      <c r="B31" s="21" t="s">
        <v>66</v>
      </c>
    </row>
    <row r="32" spans="2:2" ht="42.75" x14ac:dyDescent="0.45">
      <c r="B32" s="20" t="s">
        <v>67</v>
      </c>
    </row>
    <row r="33" spans="2:2" ht="15.75" x14ac:dyDescent="0.5">
      <c r="B33" s="21" t="s">
        <v>68</v>
      </c>
    </row>
    <row r="34" spans="2:2" ht="42.75" x14ac:dyDescent="0.45">
      <c r="B34" s="20" t="s">
        <v>69</v>
      </c>
    </row>
    <row r="35" spans="2:2" ht="15.75" x14ac:dyDescent="0.5">
      <c r="B35" s="21" t="s">
        <v>70</v>
      </c>
    </row>
    <row r="36" spans="2:2" ht="57" x14ac:dyDescent="0.45">
      <c r="B36" s="20" t="s">
        <v>71</v>
      </c>
    </row>
    <row r="37" spans="2:2" ht="15.75" x14ac:dyDescent="0.5">
      <c r="B37" s="21" t="s">
        <v>72</v>
      </c>
    </row>
    <row r="38" spans="2:2" ht="28.5" x14ac:dyDescent="0.45">
      <c r="B38" s="20" t="s">
        <v>73</v>
      </c>
    </row>
    <row r="39" spans="2:2" ht="15.75" x14ac:dyDescent="0.5">
      <c r="B39" s="21" t="s">
        <v>74</v>
      </c>
    </row>
    <row r="40" spans="2:2" ht="42.75" x14ac:dyDescent="0.45">
      <c r="B40" s="20" t="s">
        <v>75</v>
      </c>
    </row>
    <row r="41" spans="2:2" ht="15.75" x14ac:dyDescent="0.5">
      <c r="B41" s="21" t="s">
        <v>76</v>
      </c>
    </row>
    <row r="42" spans="2:2" ht="85.5" x14ac:dyDescent="0.45">
      <c r="B42" s="20" t="s">
        <v>77</v>
      </c>
    </row>
    <row r="43" spans="2:2" ht="15.75" x14ac:dyDescent="0.5">
      <c r="B43" s="21" t="s">
        <v>78</v>
      </c>
    </row>
    <row r="44" spans="2:2" ht="42.75" x14ac:dyDescent="0.45">
      <c r="B44" s="20" t="s">
        <v>79</v>
      </c>
    </row>
    <row r="45" spans="2:2" ht="15.75" x14ac:dyDescent="0.5">
      <c r="B45" s="21" t="s">
        <v>80</v>
      </c>
    </row>
    <row r="46" spans="2:2" ht="28.5" x14ac:dyDescent="0.45">
      <c r="B46" s="20" t="s">
        <v>81</v>
      </c>
    </row>
    <row r="48" spans="2:2" ht="19.5" x14ac:dyDescent="0.6">
      <c r="B48" s="19" t="s">
        <v>82</v>
      </c>
    </row>
    <row r="49" spans="2:3" ht="71.25" x14ac:dyDescent="0.45">
      <c r="B49" s="20" t="s">
        <v>83</v>
      </c>
    </row>
    <row r="51" spans="2:3" x14ac:dyDescent="0.45">
      <c r="B51" s="18" t="s">
        <v>84</v>
      </c>
      <c r="C51" s="18" t="s">
        <v>85</v>
      </c>
    </row>
    <row r="52" spans="2:3" ht="24" x14ac:dyDescent="0.45">
      <c r="B52" s="23" t="s">
        <v>86</v>
      </c>
      <c r="C52" s="24"/>
    </row>
    <row r="53" spans="2:3" x14ac:dyDescent="0.45">
      <c r="B53" s="23" t="s">
        <v>87</v>
      </c>
      <c r="C53" s="24"/>
    </row>
    <row r="54" spans="2:3" x14ac:dyDescent="0.45">
      <c r="B54" s="23" t="s">
        <v>88</v>
      </c>
      <c r="C54" s="24"/>
    </row>
    <row r="55" spans="2:3" x14ac:dyDescent="0.45">
      <c r="B55" s="23" t="s">
        <v>89</v>
      </c>
      <c r="C55" s="24"/>
    </row>
    <row r="56" spans="2:3" x14ac:dyDescent="0.45">
      <c r="B56" s="23" t="s">
        <v>90</v>
      </c>
      <c r="C56" s="24"/>
    </row>
    <row r="57" spans="2:3" x14ac:dyDescent="0.45">
      <c r="B57" s="23" t="s">
        <v>91</v>
      </c>
      <c r="C57" s="24"/>
    </row>
    <row r="58" spans="2:3" ht="24" x14ac:dyDescent="0.45">
      <c r="B58" s="23" t="s">
        <v>92</v>
      </c>
      <c r="C58" s="24"/>
    </row>
    <row r="59" spans="2:3" x14ac:dyDescent="0.45">
      <c r="B59" s="23" t="s">
        <v>93</v>
      </c>
      <c r="C59" s="24"/>
    </row>
    <row r="60" spans="2:3" x14ac:dyDescent="0.45">
      <c r="B60" s="23" t="s">
        <v>94</v>
      </c>
      <c r="C60" s="24"/>
    </row>
    <row r="61" spans="2:3" x14ac:dyDescent="0.45">
      <c r="B61" s="23" t="s">
        <v>95</v>
      </c>
      <c r="C61" s="24"/>
    </row>
    <row r="62" spans="2:3" x14ac:dyDescent="0.45">
      <c r="B62" s="23" t="s">
        <v>96</v>
      </c>
      <c r="C62" s="24"/>
    </row>
    <row r="63" spans="2:3" x14ac:dyDescent="0.45">
      <c r="B63" s="23" t="s">
        <v>97</v>
      </c>
      <c r="C63" s="24"/>
    </row>
    <row r="65" spans="2:2" x14ac:dyDescent="0.45">
      <c r="B65" s="20" t="s">
        <v>98</v>
      </c>
    </row>
    <row r="67" spans="2:2" x14ac:dyDescent="0.45">
      <c r="B67" s="25" t="s">
        <v>99</v>
      </c>
    </row>
  </sheetData>
  <hyperlinks>
    <hyperlink ref="B6" r:id="rId1" xr:uid="{492929BA-6E9C-4BF0-A8B5-B194A46913A4}"/>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EE78B061-06A2-416D-BD73-D8F280B4AE3F}"/>
    <hyperlink ref="B9" r:id="rId3" xr:uid="{BB49462D-F6A8-43EE-95D9-AC19A356F757}"/>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74981D9F-AE36-4969-8A2D-A8A6668C990B}"/>
    <hyperlink ref="B12" r:id="rId5" display="    Wisconsin Department of Transportation, Functional Classification (official page; static county and urban-area PDF maps - WisDOT publishes no statewide interactive map), available at: https://wisconsindot.gov/Pages/projects/data-plan/plan-res/function.aspx" xr:uid="{2B72721A-DC39-4F4F-99BB-45883CEBD45F}"/>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FB09DCD4-27AD-41B8-915E-30E55DBD9D26}"/>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E8AA0EC4-B3B3-4743-82E0-DB7E5B77CEF5}"/>
    <hyperlink ref="B16" r:id="rId8" xr:uid="{0622CF09-0D55-4208-B235-038925913DA2}"/>
    <hyperlink ref="B17" r:id="rId9" xr:uid="{FDA6F190-C1DC-4D10-BDBD-398686B5BC2D}"/>
    <hyperlink ref="B19" r:id="rId10" xr:uid="{E14AA99C-3E7F-4825-B0A9-E811106F3EFC}"/>
    <hyperlink ref="B20" r:id="rId11" xr:uid="{B3AE73E6-235E-411E-9554-660036A40048}"/>
    <hyperlink ref="B22" r:id="rId12" xr:uid="{8D58B3B1-6B00-4B4A-A87E-B776201EF36A}"/>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88C1DEFD-C822-4D77-8790-9B572335BAE8}"/>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FF53BD7C-16ED-4478-8D36-5E5542657514}"/>
    <hyperlink ref="B26" r:id="rId15" xr:uid="{A128A646-FC83-44BD-B874-6575A33B6C68}"/>
    <hyperlink ref="B27" r:id="rId16" xr:uid="{85322C5A-435A-4FD1-BA24-C36794CD257B}"/>
    <hyperlink ref="B28" r:id="rId17" xr:uid="{EA7681E2-2ED5-47C6-9ED1-57CC42FE0FB4}"/>
    <hyperlink ref="B67" r:id="rId18" xr:uid="{EE5D7261-0B75-420F-802C-AE021E10455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2026-07-24T15:08:42Z</dcterms:created>
  <dcterms:modified xsi:type="dcterms:W3CDTF">2026-07-24T15:08:54Z</dcterms:modified>
</cp:coreProperties>
</file>