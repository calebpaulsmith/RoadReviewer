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0" documentId="8_{8873FB8B-15BB-4697-BB2B-B0171AB7BEA9}" xr6:coauthVersionLast="47" xr6:coauthVersionMax="47" xr10:uidLastSave="{00000000-0000-0000-0000-000000000000}"/>
  <bookViews>
    <workbookView xWindow="-98" yWindow="-98" windowWidth="50595" windowHeight="15675" xr2:uid="{F76F8050-FF86-4FB4-A6C5-60C953DB6B5E}"/>
  </bookViews>
  <sheets>
    <sheet name="Start Here" sheetId="5" r:id="rId1"/>
    <sheet name="Sites" sheetId="2" r:id="rId2"/>
    <sheet name="Map 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 Pages'!$C$11</definedName>
    <definedName name="JobBufferFeet">'Start Here'!$C$20</definedName>
    <definedName name="JobDI">'Map Pages'!$C$9</definedName>
    <definedName name="JobDisaster">'Map Pages'!$C$10</definedName>
    <definedName name="JobOutputFolder">'Start Here'!$C$29</definedName>
    <definedName name="JobState">'Start Here'!$C$18</definedName>
    <definedName name="JobWO">'Map Pages'!$C$8</definedName>
    <definedName name="_xlnm.Print_Area" localSheetId="2">'Map Pages'!$A$19:$M$19</definedName>
    <definedName name="_xlnm.Print_Area" localSheetId="0">'Start Here'!$A$1:$D$40</definedName>
    <definedName name="RR_Product" hidden="1">"Standard"</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2" i="3" s="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A13" i="3"/>
</calcChain>
</file>

<file path=xl/sharedStrings.xml><?xml version="1.0" encoding="utf-8"?>
<sst xmlns="http://schemas.openxmlformats.org/spreadsheetml/2006/main" count="114" uniqueCount="113">
  <si>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</si>
  <si>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</si>
  <si>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</si>
  <si>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</si>
  <si>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</si>
  <si>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</si>
  <si>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</si>
  <si>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</si>
  <si>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</si>
  <si>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</si>
  <si>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</si>
  <si>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</si>
  <si>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</si>
  <si>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</si>
  <si>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</si>
  <si>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</si>
  <si>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</si>
  <si>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</si>
  <si>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</si>
  <si>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</si>
  <si>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</si>
  <si>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</si>
  <si>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</si>
  <si>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</si>
  <si>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</si>
  <si>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</si>
  <si>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</si>
  <si>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</si>
  <si>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</si>
  <si>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</si>
  <si>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</si>
  <si>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</si>
  <si>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</si>
  <si>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</si>
  <si>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Applicant</t>
  </si>
  <si>
    <t>Output Folder</t>
  </si>
  <si>
    <t>WO # and DI # here fill in blank WO #/DI # cells on the Sites tab (a value typed on the row wins).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</si>
  <si>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</si>
  <si>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</si>
  <si>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</si>
  <si>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</si>
  <si>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</si>
  <si>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</si>
  <si>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</si>
  <si>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</si>
  <si>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</si>
  <si>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</si>
  <si>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</si>
  <si>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</si>
  <si>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</si>
  <si>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</si>
  <si>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</si>
  <si>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</si>
  <si>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</si>
  <si>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</si>
  <si>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</si>
  <si>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</si>
  <si>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</si>
  <si>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</si>
  <si>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</si>
  <si>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</si>
  <si>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</si>
  <si>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</si>
  <si>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</si>
  <si>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</si>
  <si>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</si>
  <si>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</si>
  <si>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</si>
  <si>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</si>
  <si>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</si>
  <si>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</si>
  <si>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</si>
  <si>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</si>
  <si>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</si>
  <si>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</si>
  <si>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</si>
  <si>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</si>
  <si>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</si>
  <si>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</si>
  <si>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</si>
  <si>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</si>
  <si>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</si>
  <si>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</si>
  <si>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</si>
  <si>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</si>
  <si>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</si>
  <si>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</si>
  <si>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</si>
  <si>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</si>
  <si>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</si>
  <si>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</si>
  <si>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</si>
  <si>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</si>
  <si>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</si>
  <si>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</si>
  <si>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RoadReviewer - PR #34.</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</si>
  <si>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</si>
  <si>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</si>
  <si>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</si>
  <si>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</si>
  <si>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</si>
  <si>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</si>
  <si>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</si>
  <si>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</si>
  <si>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</si>
  <si>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</si>
  <si>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User-Defined AGOL Layer (optional)</t>
  </si>
  <si>
    <t>FHWA search buffer (feet)  *</t>
  </si>
  <si>
    <t>*  How far to look for a road / urban boundary when the exact point misses.</t>
  </si>
  <si>
    <t>Exports &amp; Handoff</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</si>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</sst>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2" fillId="0" borderId="0" applyNumberFormat="0" applyFill="0" applyBorder="0" applyAlignment="0" applyProtection="0"/>
  </cellStyleXfs>
  <cellXfs count="36">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0" borderId="0" xfId="0" applyFont="1"/>
    <xf numFmtId="0" fontId="9" fillId="0" borderId="0" xfId="0" applyFont="1"/>
    <xf numFmtId="0" fontId="10" fillId="0" borderId="0" xfId="0" applyFont="1" applyAlignment="1">
      <alignment vertical="top" wrapText="1"/>
    </xf>
    <xf numFmtId="0" fontId="11" fillId="0" borderId="0" xfId="0" applyFont="1"/>
    <xf numFmtId="0" fontId="13" fillId="0" borderId="0" xfId="1" applyFont="1" applyAlignment="1">
      <alignment vertical="top" wrapText="1"/>
    </xf>
    <xf numFmtId="0" fontId="14" fillId="0" borderId="0" xfId="0" applyFont="1" applyAlignment="1">
      <alignment vertical="top" wrapText="1"/>
    </xf>
    <xf numFmtId="0" fontId="0" fillId="3" borderId="3" xfId="0" applyFill="1" applyBorder="1" applyAlignment="1">
      <alignment vertical="top" wrapText="1"/>
    </xf>
    <xf numFmtId="0" fontId="15" fillId="0" borderId="0" xfId="1" applyFont="1"/>
    <xf numFmtId="0" fontId="16" fillId="5" borderId="0" xfId="0" applyFont="1" applyFill="1"/>
    <xf numFmtId="0" fontId="6" fillId="5" borderId="0" xfId="0" applyFont="1" applyFill="1"/>
    <xf numFmtId="0" fontId="19" fillId="5" borderId="5" xfId="0" applyFont="1" applyFill="1" applyBorder="1"/>
    <xf numFmtId="0" fontId="0" fillId="5" borderId="5" xfId="0" applyFill="1" applyBorder="1"/>
    <xf numFmtId="0" fontId="0" fillId="3" borderId="1" xfId="0" applyFill="1" applyBorder="1" applyAlignment="1">
      <alignment horizontal="right"/>
    </xf>
    <xf numFmtId="0" fontId="6" fillId="3" borderId="1" xfId="0" applyFont="1" applyFill="1" applyBorder="1" applyAlignment="1">
      <alignment horizontal="right"/>
    </xf>
    <xf numFmtId="0" fontId="6" fillId="5" borderId="0" xfId="0" applyFont="1" applyFill="1" applyAlignment="1">
      <alignment horizontal="left" vertical="top" wrapText="1" indent="1"/>
    </xf>
    <xf numFmtId="0" fontId="0" fillId="5" borderId="0" xfId="0" applyFill="1" applyAlignment="1">
      <alignment horizontal="left" vertical="top" wrapText="1" indent="1"/>
    </xf>
    <xf numFmtId="0" fontId="18" fillId="6" borderId="4" xfId="0" applyFont="1" applyFill="1" applyBorder="1" applyAlignment="1">
      <alignment horizontal="left" vertical="top" wrapText="1"/>
    </xf>
    <xf numFmtId="0" fontId="17" fillId="6" borderId="4" xfId="0" applyFont="1" applyFill="1" applyBorder="1" applyAlignment="1">
      <alignment horizontal="left" vertical="top" wrapText="1"/>
    </xf>
    <xf numFmtId="0" fontId="20" fillId="5" borderId="0" xfId="0" applyFont="1" applyFill="1" applyAlignment="1">
      <alignment horizontal="left" vertical="top" wrapText="1" indent="1"/>
    </xf>
    <xf numFmtId="0" fontId="8" fillId="5" borderId="0" xfId="0" applyFont="1" applyFill="1" applyAlignment="1">
      <alignment horizontal="left" vertical="top" wrapText="1" indent="1"/>
    </xf>
    <xf numFmtId="0" fontId="1" fillId="5" borderId="0" xfId="0" applyFont="1" applyFill="1" applyAlignment="1">
      <alignment horizontal="left"/>
    </xf>
    <xf numFmtId="0" fontId="0" fillId="3" borderId="1" xfId="0" applyFill="1" applyBorder="1" applyAlignment="1">
      <alignment horizontal="left"/>
    </xf>
    <xf numFmtId="0" fontId="1" fillId="5" borderId="0" xfId="0" applyFont="1" applyFill="1"/>
    <xf numFmtId="0" fontId="6" fillId="5" borderId="2" xfId="0" applyFont="1" applyFill="1" applyBorder="1"/>
    <xf numFmtId="0" fontId="7" fillId="5" borderId="0" xfId="0" applyFont="1" applyFill="1" applyAlignment="1">
      <alignment horizontal="left"/>
    </xf>
    <xf numFmtId="0" fontId="8" fillId="5" borderId="0" xfId="0" applyFont="1" applyFill="1" applyAlignment="1">
      <alignment horizontal="left"/>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1" dropStyle="combo" dx="39" noThreeD="1" sel="1" val="0">
  <itemLst>
    <item val="Sites Table (CSV)"/>
    <item val="Sites to KML"/>
    <item val="Sites to GeoJSON"/>
    <item val="Prepare Map Pages"/>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1C454872-ECD6-E116-4839-E236DD1E99DD}"/>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DD72C1C2-A5A9-1E40-1FFA-80E9AC5F024C}"/>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9BA06696-B592-9DC3-3E55-482C6BA69AAC}"/>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A2FE7DE9-EADF-23AA-1DAE-E3F367545303}"/>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6ABDF14B-E5E2-CB46-3595-F55C3A391147}"/>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16A0DE27-9BC5-A575-8CA7-6031585086C7}"/>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30162</xdr:colOff>
      <xdr:row>1</xdr:row>
      <xdr:rowOff>128587</xdr:rowOff>
    </xdr:to>
    <xdr:sp macro="" textlink="">
      <xdr:nvSpPr>
        <xdr:cNvPr id="2" name="MapCtrl_Title">
          <a:extLst>
            <a:ext uri="{FF2B5EF4-FFF2-40B4-BE49-F238E27FC236}">
              <a16:creationId xmlns:a16="http://schemas.microsoft.com/office/drawing/2014/main" id="{BB7BDAD8-7810-10B7-F892-D058F8DDF502}"/>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2</xdr:row>
      <xdr:rowOff>3175</xdr:rowOff>
    </xdr:from>
    <xdr:to>
      <xdr:col>3</xdr:col>
      <xdr:colOff>84137</xdr:colOff>
      <xdr:row>3</xdr:row>
      <xdr:rowOff>169862</xdr:rowOff>
    </xdr:to>
    <xdr:sp macro="ExportSitesToKML" textlink="">
      <xdr:nvSpPr>
        <xdr:cNvPr id="3" name="MapCtrl_KML">
          <a:extLst>
            <a:ext uri="{FF2B5EF4-FFF2-40B4-BE49-F238E27FC236}">
              <a16:creationId xmlns:a16="http://schemas.microsoft.com/office/drawing/2014/main" id="{A4A80E97-86DC-D39F-DB1E-E3D006721CDB}"/>
            </a:ext>
          </a:extLst>
        </xdr:cNvPr>
        <xdr:cNvSpPr/>
      </xdr:nvSpPr>
      <xdr:spPr>
        <a:xfrm>
          <a:off x="101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Export to KML</a:t>
          </a:r>
        </a:p>
      </xdr:txBody>
    </xdr:sp>
    <xdr:clientData/>
  </xdr:twoCellAnchor>
  <xdr:twoCellAnchor>
    <xdr:from>
      <xdr:col>0</xdr:col>
      <xdr:colOff>127000</xdr:colOff>
      <xdr:row>3</xdr:row>
      <xdr:rowOff>195262</xdr:rowOff>
    </xdr:from>
    <xdr:to>
      <xdr:col>3</xdr:col>
      <xdr:colOff>84137</xdr:colOff>
      <xdr:row>5</xdr:row>
      <xdr:rowOff>198437</xdr:rowOff>
    </xdr:to>
    <xdr:sp macro="" textlink="">
      <xdr:nvSpPr>
        <xdr:cNvPr id="4" name="MapCtrl_KML_Note">
          <a:extLst>
            <a:ext uri="{FF2B5EF4-FFF2-40B4-BE49-F238E27FC236}">
              <a16:creationId xmlns:a16="http://schemas.microsoft.com/office/drawing/2014/main" id="{8934A637-ECFD-DD12-8C51-3635EC553E39}"/>
            </a:ext>
          </a:extLst>
        </xdr:cNvPr>
        <xdr:cNvSpPr txBox="1"/>
      </xdr:nvSpPr>
      <xdr:spPr>
        <a:xfrm>
          <a:off x="127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Opens KML in Google Earth Desktop.
Zoom in and screenshot each site (Windows key + Shift + S).</a:t>
          </a:r>
        </a:p>
      </xdr:txBody>
    </xdr:sp>
    <xdr:clientData/>
  </xdr:twoCellAnchor>
  <xdr:twoCellAnchor>
    <xdr:from>
      <xdr:col>3</xdr:col>
      <xdr:colOff>185737</xdr:colOff>
      <xdr:row>2</xdr:row>
      <xdr:rowOff>3175</xdr:rowOff>
    </xdr:from>
    <xdr:to>
      <xdr:col>6</xdr:col>
      <xdr:colOff>168275</xdr:colOff>
      <xdr:row>3</xdr:row>
      <xdr:rowOff>169862</xdr:rowOff>
    </xdr:to>
    <xdr:sp macro="PrepareMapPages" textlink="">
      <xdr:nvSpPr>
        <xdr:cNvPr id="5" name="MapCtrl_Prepare">
          <a:extLst>
            <a:ext uri="{FF2B5EF4-FFF2-40B4-BE49-F238E27FC236}">
              <a16:creationId xmlns:a16="http://schemas.microsoft.com/office/drawing/2014/main" id="{C955C9F5-63B7-4597-4C57-7A83D25E9AC8}"/>
            </a:ext>
          </a:extLst>
        </xdr:cNvPr>
        <xdr:cNvSpPr/>
      </xdr:nvSpPr>
      <xdr:spPr>
        <a:xfrm>
          <a:off x="2514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Prepare Pages</a:t>
          </a:r>
        </a:p>
      </xdr:txBody>
    </xdr:sp>
    <xdr:clientData/>
  </xdr:twoCellAnchor>
  <xdr:twoCellAnchor>
    <xdr:from>
      <xdr:col>3</xdr:col>
      <xdr:colOff>211137</xdr:colOff>
      <xdr:row>3</xdr:row>
      <xdr:rowOff>195262</xdr:rowOff>
    </xdr:from>
    <xdr:to>
      <xdr:col>6</xdr:col>
      <xdr:colOff>168275</xdr:colOff>
      <xdr:row>5</xdr:row>
      <xdr:rowOff>198437</xdr:rowOff>
    </xdr:to>
    <xdr:sp macro="" textlink="">
      <xdr:nvSpPr>
        <xdr:cNvPr id="6" name="MapCtrl_Prepare_Note">
          <a:extLst>
            <a:ext uri="{FF2B5EF4-FFF2-40B4-BE49-F238E27FC236}">
              <a16:creationId xmlns:a16="http://schemas.microsoft.com/office/drawing/2014/main" id="{975DF634-2250-945D-8F6D-C876BC0642C9}"/>
            </a:ext>
          </a:extLst>
        </xdr:cNvPr>
        <xdr:cNvSpPr txBox="1"/>
      </xdr:nvSpPr>
      <xdr:spPr>
        <a:xfrm>
          <a:off x="2540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page per site. Re-run if you add sites.</a:t>
          </a:r>
        </a:p>
      </xdr:txBody>
    </xdr:sp>
    <xdr:clientData/>
  </xdr:twoCellAnchor>
  <xdr:twoCellAnchor>
    <xdr:from>
      <xdr:col>6</xdr:col>
      <xdr:colOff>269875</xdr:colOff>
      <xdr:row>2</xdr:row>
      <xdr:rowOff>3175</xdr:rowOff>
    </xdr:from>
    <xdr:to>
      <xdr:col>9</xdr:col>
      <xdr:colOff>252412</xdr:colOff>
      <xdr:row>3</xdr:row>
      <xdr:rowOff>169862</xdr:rowOff>
    </xdr:to>
    <xdr:sp macro="InsertMapImages" textlink="">
      <xdr:nvSpPr>
        <xdr:cNvPr id="7" name="MapCtrl_Insert">
          <a:extLst>
            <a:ext uri="{FF2B5EF4-FFF2-40B4-BE49-F238E27FC236}">
              <a16:creationId xmlns:a16="http://schemas.microsoft.com/office/drawing/2014/main" id="{1F5B4E58-8EB2-061C-E735-66DEE2C19D2B}"/>
            </a:ext>
          </a:extLst>
        </xdr:cNvPr>
        <xdr:cNvSpPr/>
      </xdr:nvSpPr>
      <xdr:spPr>
        <a:xfrm>
          <a:off x="4927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Insert Images</a:t>
          </a:r>
        </a:p>
      </xdr:txBody>
    </xdr:sp>
    <xdr:clientData/>
  </xdr:twoCellAnchor>
  <xdr:twoCellAnchor>
    <xdr:from>
      <xdr:col>6</xdr:col>
      <xdr:colOff>295275</xdr:colOff>
      <xdr:row>3</xdr:row>
      <xdr:rowOff>195262</xdr:rowOff>
    </xdr:from>
    <xdr:to>
      <xdr:col>9</xdr:col>
      <xdr:colOff>252412</xdr:colOff>
      <xdr:row>5</xdr:row>
      <xdr:rowOff>198437</xdr:rowOff>
    </xdr:to>
    <xdr:sp macro="" textlink="">
      <xdr:nvSpPr>
        <xdr:cNvPr id="8" name="MapCtrl_Insert_Note">
          <a:extLst>
            <a:ext uri="{FF2B5EF4-FFF2-40B4-BE49-F238E27FC236}">
              <a16:creationId xmlns:a16="http://schemas.microsoft.com/office/drawing/2014/main" id="{4FFDE575-CE9D-3EB1-ED2B-96EFC247A7E1}"/>
            </a:ext>
          </a:extLst>
        </xdr:cNvPr>
        <xdr:cNvSpPr txBox="1"/>
      </xdr:nvSpPr>
      <xdr:spPr>
        <a:xfrm>
          <a:off x="4953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Pick a folder with screenshots - auto-orders oldest to newest, or rename each to match: Site_1, Site_2...</a:t>
          </a:r>
        </a:p>
      </xdr:txBody>
    </xdr:sp>
    <xdr:clientData/>
  </xdr:twoCellAnchor>
  <xdr:twoCellAnchor>
    <xdr:from>
      <xdr:col>9</xdr:col>
      <xdr:colOff>354012</xdr:colOff>
      <xdr:row>2</xdr:row>
      <xdr:rowOff>3175</xdr:rowOff>
    </xdr:from>
    <xdr:to>
      <xdr:col>12</xdr:col>
      <xdr:colOff>336550</xdr:colOff>
      <xdr:row>3</xdr:row>
      <xdr:rowOff>169862</xdr:rowOff>
    </xdr:to>
    <xdr:sp macro="ExportCombinedMapPdf" textlink="">
      <xdr:nvSpPr>
        <xdr:cNvPr id="9" name="MapCtrl_Export">
          <a:extLst>
            <a:ext uri="{FF2B5EF4-FFF2-40B4-BE49-F238E27FC236}">
              <a16:creationId xmlns:a16="http://schemas.microsoft.com/office/drawing/2014/main" id="{B997AA48-8225-44AA-FF62-6B5BB1A6FCC9}"/>
            </a:ext>
          </a:extLst>
        </xdr:cNvPr>
        <xdr:cNvSpPr/>
      </xdr:nvSpPr>
      <xdr:spPr>
        <a:xfrm>
          <a:off x="7340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4.  Export PDF</a:t>
          </a:r>
        </a:p>
      </xdr:txBody>
    </xdr:sp>
    <xdr:clientData/>
  </xdr:twoCellAnchor>
  <xdr:twoCellAnchor>
    <xdr:from>
      <xdr:col>9</xdr:col>
      <xdr:colOff>379412</xdr:colOff>
      <xdr:row>3</xdr:row>
      <xdr:rowOff>195262</xdr:rowOff>
    </xdr:from>
    <xdr:to>
      <xdr:col>12</xdr:col>
      <xdr:colOff>336550</xdr:colOff>
      <xdr:row>5</xdr:row>
      <xdr:rowOff>198437</xdr:rowOff>
    </xdr:to>
    <xdr:sp macro="" textlink="">
      <xdr:nvSpPr>
        <xdr:cNvPr id="10" name="MapCtrl_Export_Note">
          <a:extLst>
            <a:ext uri="{FF2B5EF4-FFF2-40B4-BE49-F238E27FC236}">
              <a16:creationId xmlns:a16="http://schemas.microsoft.com/office/drawing/2014/main" id="{D9A16707-2AEC-9664-6BAF-47763C22C353}"/>
            </a:ext>
          </a:extLst>
        </xdr:cNvPr>
        <xdr:cNvSpPr txBox="1"/>
      </xdr:nvSpPr>
      <xdr:spPr>
        <a:xfrm>
          <a:off x="7366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Exports Location Maps as a single PDF.</a:t>
          </a:r>
        </a:p>
      </xdr:txBody>
    </xdr:sp>
    <xdr:clientData/>
  </xdr:twoCellAnchor>
  <xdr:twoCellAnchor>
    <xdr:from>
      <xdr:col>6</xdr:col>
      <xdr:colOff>76200</xdr:colOff>
      <xdr:row>7</xdr:row>
      <xdr:rowOff>0</xdr:rowOff>
    </xdr:from>
    <xdr:to>
      <xdr:col>8</xdr:col>
      <xdr:colOff>47625</xdr:colOff>
      <xdr:row>8</xdr:row>
      <xdr:rowOff>14288</xdr:rowOff>
    </xdr:to>
    <xdr:sp macro="UpdateMapStamps" textlink="">
      <xdr:nvSpPr>
        <xdr:cNvPr id="11" name="MapCtrl_Restamp">
          <a:extLst>
            <a:ext uri="{FF2B5EF4-FFF2-40B4-BE49-F238E27FC236}">
              <a16:creationId xmlns:a16="http://schemas.microsoft.com/office/drawing/2014/main" id="{C91FEE32-4BEC-8788-B11B-844A4A9E54E3}"/>
            </a:ext>
          </a:extLst>
        </xdr:cNvPr>
        <xdr:cNvSpPr/>
      </xdr:nvSpPr>
      <xdr:spPr>
        <a:xfrm>
          <a:off x="4733925" y="1500188"/>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8</xdr:row>
      <xdr:rowOff>39688</xdr:rowOff>
    </xdr:from>
    <xdr:to>
      <xdr:col>9</xdr:col>
      <xdr:colOff>287337</xdr:colOff>
      <xdr:row>9</xdr:row>
      <xdr:rowOff>180975</xdr:rowOff>
    </xdr:to>
    <xdr:sp macro="" textlink="">
      <xdr:nvSpPr>
        <xdr:cNvPr id="12" name="MapCtrl_RestampNote">
          <a:extLst>
            <a:ext uri="{FF2B5EF4-FFF2-40B4-BE49-F238E27FC236}">
              <a16:creationId xmlns:a16="http://schemas.microsoft.com/office/drawing/2014/main" id="{43910111-8DEF-9CF3-94D9-FC1C5023B467}"/>
            </a:ext>
          </a:extLst>
        </xdr:cNvPr>
        <xdr:cNvSpPr txBox="1"/>
      </xdr:nvSpPr>
      <xdr:spPr>
        <a:xfrm>
          <a:off x="4733925" y="1754188"/>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8</xdr:col>
      <xdr:colOff>647700</xdr:colOff>
      <xdr:row>6</xdr:row>
      <xdr:rowOff>0</xdr:rowOff>
    </xdr:from>
    <xdr:to>
      <xdr:col>12</xdr:col>
      <xdr:colOff>590550</xdr:colOff>
      <xdr:row>7</xdr:row>
      <xdr:rowOff>14287</xdr:rowOff>
    </xdr:to>
    <xdr:sp macro="" textlink="">
      <xdr:nvSpPr>
        <xdr:cNvPr id="13" name="MapCtrl_FirmLabel">
          <a:extLst>
            <a:ext uri="{FF2B5EF4-FFF2-40B4-BE49-F238E27FC236}">
              <a16:creationId xmlns:a16="http://schemas.microsoft.com/office/drawing/2014/main" id="{735742BC-C5B1-BB3F-6325-AF68FEC03DC2}"/>
            </a:ext>
          </a:extLst>
        </xdr:cNvPr>
        <xdr:cNvSpPr txBox="1"/>
      </xdr:nvSpPr>
      <xdr:spPr>
        <a:xfrm>
          <a:off x="6858000" y="1285875"/>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8</xdr:col>
      <xdr:colOff>647700</xdr:colOff>
      <xdr:row>7</xdr:row>
      <xdr:rowOff>65087</xdr:rowOff>
    </xdr:from>
    <xdr:to>
      <xdr:col>11</xdr:col>
      <xdr:colOff>604837</xdr:colOff>
      <xdr:row>8</xdr:row>
      <xdr:rowOff>206375</xdr:rowOff>
    </xdr:to>
    <xdr:sp macro="DownloadFirmettes" textlink="">
      <xdr:nvSpPr>
        <xdr:cNvPr id="14" name="MapCtrl_Firm">
          <a:extLst>
            <a:ext uri="{FF2B5EF4-FFF2-40B4-BE49-F238E27FC236}">
              <a16:creationId xmlns:a16="http://schemas.microsoft.com/office/drawing/2014/main" id="{4FFBAE4B-7775-FFC3-5AC3-A5D935A92858}"/>
            </a:ext>
          </a:extLst>
        </xdr:cNvPr>
        <xdr:cNvSpPr/>
      </xdr:nvSpPr>
      <xdr:spPr>
        <a:xfrm>
          <a:off x="6858000" y="1565275"/>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8</xdr:col>
      <xdr:colOff>673100</xdr:colOff>
      <xdr:row>9</xdr:row>
      <xdr:rowOff>17462</xdr:rowOff>
    </xdr:from>
    <xdr:to>
      <xdr:col>11</xdr:col>
      <xdr:colOff>604837</xdr:colOff>
      <xdr:row>11</xdr:row>
      <xdr:rowOff>20637</xdr:rowOff>
    </xdr:to>
    <xdr:sp macro="" textlink="">
      <xdr:nvSpPr>
        <xdr:cNvPr id="15" name="MapCtrl_Firm_Note">
          <a:extLst>
            <a:ext uri="{FF2B5EF4-FFF2-40B4-BE49-F238E27FC236}">
              <a16:creationId xmlns:a16="http://schemas.microsoft.com/office/drawing/2014/main" id="{BC6DDF7F-57C9-EEA3-15FA-CA56F2086CC0}"/>
            </a:ext>
          </a:extLst>
        </xdr:cNvPr>
        <xdr:cNvSpPr txBox="1"/>
      </xdr:nvSpPr>
      <xdr:spPr>
        <a:xfrm>
          <a:off x="6883400" y="1946275"/>
          <a:ext cx="2260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8</xdr:col>
      <xdr:colOff>647700</xdr:colOff>
      <xdr:row>10</xdr:row>
      <xdr:rowOff>82550</xdr:rowOff>
    </xdr:from>
    <xdr:to>
      <xdr:col>11</xdr:col>
      <xdr:colOff>604837</xdr:colOff>
      <xdr:row>11</xdr:row>
      <xdr:rowOff>173037</xdr:rowOff>
    </xdr:to>
    <xdr:sp macro="ReRunFailedFirmettes" textlink="">
      <xdr:nvSpPr>
        <xdr:cNvPr id="16" name="MapCtrl_FirmRe">
          <a:extLst>
            <a:ext uri="{FF2B5EF4-FFF2-40B4-BE49-F238E27FC236}">
              <a16:creationId xmlns:a16="http://schemas.microsoft.com/office/drawing/2014/main" id="{C5AD555A-4590-69ED-EC97-571FABDAACB1}"/>
            </a:ext>
          </a:extLst>
        </xdr:cNvPr>
        <xdr:cNvSpPr/>
      </xdr:nvSpPr>
      <xdr:spPr>
        <a:xfrm>
          <a:off x="6858000" y="2225675"/>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0A8C8-9118-431E-B522-9227E7047163}">
  <sheetPr>
    <tabColor rgb="FF2F4F4F"/>
  </sheetPr>
  <dimension ref="A1:D40"/>
  <sheetViews>
    <sheetView showGridLines="0" tabSelected="1"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7"/>
      <c r="B1" s="7"/>
      <c r="C1" s="7"/>
      <c r="D1" s="7"/>
    </row>
    <row r="2" spans="1:4" ht="26.65" x14ac:dyDescent="0.85">
      <c r="A2" s="7"/>
      <c r="B2" s="18" t="s">
        <v>97</v>
      </c>
      <c r="C2" s="7"/>
      <c r="D2" s="7"/>
    </row>
    <row r="3" spans="1:4" x14ac:dyDescent="0.45">
      <c r="A3" s="7"/>
      <c r="B3" s="19" t="s">
        <v>98</v>
      </c>
      <c r="C3" s="7"/>
      <c r="D3" s="7"/>
    </row>
    <row r="4" spans="1:4" ht="14.65" thickBot="1" x14ac:dyDescent="0.5">
      <c r="A4" s="7"/>
      <c r="B4" s="7"/>
      <c r="C4" s="7"/>
      <c r="D4" s="7"/>
    </row>
    <row r="5" spans="1:4" ht="21" customHeight="1" thickBot="1" x14ac:dyDescent="0.5">
      <c r="A5" s="7"/>
      <c r="B5" s="26" t="s">
        <v>99</v>
      </c>
      <c r="C5" s="27"/>
      <c r="D5" s="7"/>
    </row>
    <row r="6" spans="1:4" ht="21" customHeight="1" thickBot="1" x14ac:dyDescent="0.5">
      <c r="A6" s="7"/>
      <c r="B6" s="27"/>
      <c r="C6" s="27"/>
      <c r="D6" s="7"/>
    </row>
    <row r="7" spans="1:4" ht="21" customHeight="1" thickBot="1" x14ac:dyDescent="0.5">
      <c r="A7" s="7"/>
      <c r="B7" s="27"/>
      <c r="C7" s="27"/>
      <c r="D7" s="7"/>
    </row>
    <row r="8" spans="1:4" ht="21" customHeight="1" thickBot="1" x14ac:dyDescent="0.5">
      <c r="A8" s="7"/>
      <c r="B8" s="27"/>
      <c r="C8" s="27"/>
      <c r="D8" s="7"/>
    </row>
    <row r="9" spans="1:4" x14ac:dyDescent="0.45">
      <c r="A9" s="7"/>
      <c r="B9" s="7"/>
      <c r="C9" s="7"/>
      <c r="D9" s="7"/>
    </row>
    <row r="10" spans="1:4" ht="22.05" customHeight="1" x14ac:dyDescent="0.55000000000000004">
      <c r="A10" s="7"/>
      <c r="B10" s="20" t="s">
        <v>100</v>
      </c>
      <c r="C10" s="21"/>
      <c r="D10" s="7"/>
    </row>
    <row r="11" spans="1:4" x14ac:dyDescent="0.45">
      <c r="A11" s="7"/>
      <c r="B11" s="7"/>
      <c r="C11" s="7"/>
      <c r="D11" s="7"/>
    </row>
    <row r="12" spans="1:4" ht="17" customHeight="1" x14ac:dyDescent="0.45">
      <c r="A12" s="7"/>
      <c r="B12" s="28" t="s">
        <v>101</v>
      </c>
      <c r="C12" s="25"/>
      <c r="D12" s="7"/>
    </row>
    <row r="13" spans="1:4" ht="17" customHeight="1" x14ac:dyDescent="0.45">
      <c r="A13" s="7"/>
      <c r="B13" s="28" t="s">
        <v>102</v>
      </c>
      <c r="C13" s="25"/>
      <c r="D13" s="7"/>
    </row>
    <row r="14" spans="1:4" ht="32" customHeight="1" x14ac:dyDescent="0.45">
      <c r="A14" s="7"/>
      <c r="B14" s="28" t="s">
        <v>103</v>
      </c>
      <c r="C14" s="25"/>
      <c r="D14" s="7"/>
    </row>
    <row r="15" spans="1:4" x14ac:dyDescent="0.45">
      <c r="A15" s="7"/>
      <c r="B15" s="7"/>
      <c r="C15" s="7"/>
      <c r="D15" s="7"/>
    </row>
    <row r="16" spans="1:4" ht="22.05" customHeight="1" x14ac:dyDescent="0.55000000000000004">
      <c r="A16" s="7"/>
      <c r="B16" s="20" t="s">
        <v>104</v>
      </c>
      <c r="C16" s="21"/>
      <c r="D16" s="7"/>
    </row>
    <row r="17" spans="1:4" x14ac:dyDescent="0.45">
      <c r="A17" s="7"/>
      <c r="B17" s="7"/>
      <c r="C17" s="7"/>
      <c r="D17" s="7"/>
    </row>
    <row r="18" spans="1:4" x14ac:dyDescent="0.45">
      <c r="A18" s="7"/>
      <c r="B18" s="8" t="s">
        <v>105</v>
      </c>
      <c r="C18" s="22"/>
      <c r="D18" s="7"/>
    </row>
    <row r="19" spans="1:4" x14ac:dyDescent="0.45">
      <c r="A19" s="7"/>
      <c r="B19" s="8" t="s">
        <v>106</v>
      </c>
      <c r="C19" s="22"/>
      <c r="D19" s="7"/>
    </row>
    <row r="20" spans="1:4" x14ac:dyDescent="0.45">
      <c r="A20" s="7"/>
      <c r="B20" s="8" t="s">
        <v>107</v>
      </c>
      <c r="C20" s="22">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29" t="s">
        <v>108</v>
      </c>
      <c r="C25" s="25"/>
      <c r="D25" s="7"/>
    </row>
    <row r="26" spans="1:4" x14ac:dyDescent="0.45">
      <c r="A26" s="7"/>
      <c r="B26" s="7"/>
      <c r="C26" s="7"/>
      <c r="D26" s="7"/>
    </row>
    <row r="27" spans="1:4" ht="22.05" customHeight="1" x14ac:dyDescent="0.55000000000000004">
      <c r="A27" s="7"/>
      <c r="B27" s="20" t="s">
        <v>109</v>
      </c>
      <c r="C27" s="21"/>
      <c r="D27" s="7"/>
    </row>
    <row r="28" spans="1:4" x14ac:dyDescent="0.45">
      <c r="A28" s="7"/>
      <c r="B28" s="7"/>
      <c r="C28" s="7"/>
      <c r="D28" s="7"/>
    </row>
    <row r="29" spans="1:4" x14ac:dyDescent="0.45">
      <c r="A29" s="7"/>
      <c r="B29" s="8" t="s">
        <v>35</v>
      </c>
      <c r="C29" s="23" t="str">
        <f ca="1">IF(OR(CELL("filename",$A$1)="",LEFT(CELL("filename",$A$1),4)="http"),"",LEFT(CELL("filename",$A$1),FIND("[",CELL("filename",$A$1))-1))</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24" t="s">
        <v>110</v>
      </c>
      <c r="C33" s="25"/>
      <c r="D33" s="7"/>
    </row>
    <row r="34" spans="1:4" x14ac:dyDescent="0.45">
      <c r="A34" s="7"/>
      <c r="B34" s="7"/>
      <c r="C34" s="7"/>
      <c r="D34" s="7"/>
    </row>
    <row r="35" spans="1:4" ht="22.05" customHeight="1" x14ac:dyDescent="0.55000000000000004">
      <c r="A35" s="7"/>
      <c r="B35" s="20" t="s">
        <v>111</v>
      </c>
      <c r="C35" s="21"/>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24" t="s">
        <v>112</v>
      </c>
      <c r="C39" s="25"/>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8333215B-DC6F-4480-ACD4-11E7A4C1188B}">
      <formula1>"WI,IN,MI"</formula1>
    </dataValidation>
    <dataValidation type="whole" allowBlank="1" showInputMessage="1" showErrorMessage="1" error="Enter a whole number between 1 and 1000 ft." sqref="C20" xr:uid="{70BA689F-2895-4C02-AB28-CC781BB40CB3}">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3FF6A-1332-4D8B-93A0-718656AD351B}">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8133FF6A-1332-4D8B-93A0-718656AD351B}"/>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C69B1DCF-6B29-4B07-A4D5-FE25A33D2299}">
      <formula1>-90</formula1>
      <formula2>90</formula2>
    </dataValidation>
    <dataValidation type="decimal" allowBlank="1" showInputMessage="1" showErrorMessage="1" error="Longitude must be between -180 and 180." sqref="F2:F501" xr:uid="{4BA6115A-75FB-4336-A2B3-7769B871EA91}">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EAE3B-4548-48F3-819A-BE7F005CCAF1}">
  <sheetPr>
    <tabColor rgb="FF3C3C3C"/>
  </sheetPr>
  <dimension ref="A1:M18"/>
  <sheetViews>
    <sheetView workbookViewId="0"/>
  </sheetViews>
  <sheetFormatPr defaultRowHeight="14.25" x14ac:dyDescent="0.45"/>
  <cols>
    <col min="1" max="12" width="10.86328125" customWidth="1"/>
    <col min="13" max="13" width="10.398437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9" t="s">
        <v>30</v>
      </c>
      <c r="B7" s="7"/>
      <c r="C7" s="7"/>
      <c r="D7" s="7"/>
      <c r="E7" s="7"/>
      <c r="F7" s="7"/>
      <c r="G7" s="7"/>
      <c r="H7" s="7"/>
      <c r="I7" s="7"/>
      <c r="J7" s="7"/>
      <c r="K7" s="7"/>
      <c r="L7" s="7"/>
      <c r="M7" s="7"/>
    </row>
    <row r="8" spans="1:13" ht="17" customHeight="1" x14ac:dyDescent="0.45">
      <c r="A8" s="30" t="s">
        <v>31</v>
      </c>
      <c r="B8" s="30"/>
      <c r="C8" s="31"/>
      <c r="D8" s="31"/>
      <c r="E8" s="31"/>
      <c r="F8" s="31"/>
      <c r="G8" s="7"/>
      <c r="H8" s="7"/>
      <c r="I8" s="7"/>
      <c r="J8" s="7"/>
      <c r="K8" s="7"/>
      <c r="L8" s="7"/>
      <c r="M8" s="7"/>
    </row>
    <row r="9" spans="1:13" ht="17" customHeight="1" x14ac:dyDescent="0.45">
      <c r="A9" s="30" t="s">
        <v>32</v>
      </c>
      <c r="B9" s="30"/>
      <c r="C9" s="31"/>
      <c r="D9" s="31"/>
      <c r="E9" s="31"/>
      <c r="F9" s="31"/>
      <c r="G9" s="7"/>
      <c r="H9" s="7"/>
      <c r="I9" s="7"/>
      <c r="J9" s="7"/>
      <c r="K9" s="7"/>
      <c r="L9" s="7"/>
      <c r="M9" s="7"/>
    </row>
    <row r="10" spans="1:13" ht="17" customHeight="1" x14ac:dyDescent="0.45">
      <c r="A10" s="30" t="s">
        <v>33</v>
      </c>
      <c r="B10" s="30"/>
      <c r="C10" s="31"/>
      <c r="D10" s="31"/>
      <c r="E10" s="31"/>
      <c r="F10" s="31"/>
      <c r="G10" s="7"/>
      <c r="H10" s="7"/>
      <c r="I10" s="7"/>
      <c r="J10" s="7"/>
      <c r="K10" s="7"/>
      <c r="L10" s="7"/>
      <c r="M10" s="7"/>
    </row>
    <row r="11" spans="1:13" ht="17" customHeight="1" x14ac:dyDescent="0.45">
      <c r="A11" s="30" t="s">
        <v>34</v>
      </c>
      <c r="B11" s="30"/>
      <c r="C11" s="31"/>
      <c r="D11" s="31"/>
      <c r="E11" s="31"/>
      <c r="F11" s="31"/>
      <c r="G11" s="7"/>
      <c r="H11" s="7"/>
      <c r="I11" s="7"/>
      <c r="J11" s="7"/>
      <c r="K11" s="7"/>
      <c r="L11" s="7"/>
      <c r="M11" s="7"/>
    </row>
    <row r="12" spans="1:13" ht="17" customHeight="1" x14ac:dyDescent="0.45">
      <c r="A12" s="32" t="s">
        <v>35</v>
      </c>
      <c r="B12" s="32"/>
      <c r="C12" s="33" t="str">
        <f ca="1">_xlfn.SINGLE(IF(_xlfn.SINGLE(JobOutputFolder)="","(set on Start Here)",JobOutputFolder))</f>
        <v>(set on Start Here)</v>
      </c>
      <c r="D12" s="33"/>
      <c r="E12" s="33"/>
      <c r="F12" s="33"/>
      <c r="G12" s="7"/>
      <c r="H12" s="7"/>
      <c r="I12" s="7"/>
      <c r="J12" s="7"/>
      <c r="K12" s="7"/>
      <c r="L12" s="7"/>
      <c r="M12" s="7"/>
    </row>
    <row r="13" spans="1:13" ht="17" customHeight="1" x14ac:dyDescent="0.45">
      <c r="A13" s="34" t="str">
        <f t="shared" ref="A13" ca="1" si="0">"File name:   "&amp;FirmettePreview()</f>
        <v>File name:   2026-07-14 2029 - (site name) FIRMette.pdf</v>
      </c>
      <c r="B13" s="34"/>
      <c r="C13" s="34"/>
      <c r="D13" s="34"/>
      <c r="E13" s="34"/>
      <c r="F13" s="34"/>
      <c r="G13" s="34"/>
      <c r="H13" s="34"/>
      <c r="I13" s="34"/>
      <c r="J13" s="34"/>
      <c r="K13" s="34"/>
      <c r="L13" s="34"/>
      <c r="M13" s="34"/>
    </row>
    <row r="14" spans="1:13" ht="17" customHeight="1" x14ac:dyDescent="0.45">
      <c r="A14" s="35" t="s">
        <v>36</v>
      </c>
      <c r="B14" s="35"/>
      <c r="C14" s="35"/>
      <c r="D14" s="35"/>
      <c r="E14" s="35"/>
      <c r="F14" s="35"/>
      <c r="G14" s="35"/>
      <c r="H14" s="35"/>
      <c r="I14" s="35"/>
      <c r="J14" s="35"/>
      <c r="K14" s="35"/>
      <c r="L14" s="35"/>
      <c r="M14" s="35"/>
    </row>
    <row r="15" spans="1:13" ht="17" customHeight="1" x14ac:dyDescent="0.45">
      <c r="A15" s="7"/>
      <c r="B15" s="7"/>
      <c r="C15" s="7"/>
      <c r="D15" s="7"/>
      <c r="E15" s="7"/>
      <c r="F15" s="7"/>
      <c r="G15" s="7"/>
      <c r="H15" s="7"/>
      <c r="I15" s="7"/>
      <c r="J15" s="7"/>
      <c r="K15" s="7"/>
      <c r="L15" s="7"/>
      <c r="M15" s="7"/>
    </row>
    <row r="16" spans="1:13" ht="17" customHeight="1" x14ac:dyDescent="0.45">
      <c r="A16" s="7"/>
      <c r="B16" s="7"/>
      <c r="C16" s="7"/>
      <c r="D16" s="7"/>
      <c r="E16" s="7"/>
      <c r="F16" s="7"/>
      <c r="G16" s="7"/>
      <c r="H16" s="7"/>
      <c r="I16" s="7"/>
      <c r="J16" s="7"/>
      <c r="K16" s="7"/>
      <c r="L16" s="7"/>
      <c r="M16" s="7"/>
    </row>
    <row r="17" spans="1:13" ht="17" customHeight="1" x14ac:dyDescent="0.45">
      <c r="A17" s="7"/>
      <c r="B17" s="7"/>
      <c r="C17" s="7"/>
      <c r="D17" s="7"/>
      <c r="E17" s="7"/>
      <c r="F17" s="7"/>
      <c r="G17" s="7"/>
      <c r="H17" s="7"/>
      <c r="I17" s="7"/>
      <c r="J17" s="7"/>
      <c r="K17" s="7"/>
      <c r="L17" s="7"/>
      <c r="M17" s="7"/>
    </row>
    <row r="18" spans="1:13" ht="17" customHeight="1" x14ac:dyDescent="0.45">
      <c r="A18" s="7"/>
      <c r="B18" s="7"/>
      <c r="C18" s="7"/>
      <c r="D18" s="7"/>
      <c r="E18" s="7"/>
      <c r="F18" s="7"/>
      <c r="G18" s="7"/>
      <c r="H18" s="7"/>
      <c r="I18" s="7"/>
      <c r="J18" s="7"/>
      <c r="K18" s="7"/>
      <c r="L18" s="7"/>
      <c r="M18" s="7"/>
    </row>
  </sheetData>
  <mergeCells count="12">
    <mergeCell ref="A14:M14"/>
    <mergeCell ref="A8:B8"/>
    <mergeCell ref="C8:F8"/>
    <mergeCell ref="A9:B9"/>
    <mergeCell ref="C9:F9"/>
    <mergeCell ref="A10:B10"/>
    <mergeCell ref="C10:F10"/>
    <mergeCell ref="A11:B11"/>
    <mergeCell ref="C11:F11"/>
    <mergeCell ref="A12:B12"/>
    <mergeCell ref="C12:F12"/>
    <mergeCell ref="A13:M13"/>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CBEF58-9764-464A-8975-271719223A82}">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1" t="s">
        <v>37</v>
      </c>
    </row>
    <row r="3" spans="2:2" ht="42.75" x14ac:dyDescent="0.45">
      <c r="B3" s="12" t="s">
        <v>38</v>
      </c>
    </row>
    <row r="5" spans="2:2" ht="15.75" x14ac:dyDescent="0.5">
      <c r="B5" s="13" t="s">
        <v>39</v>
      </c>
    </row>
    <row r="6" spans="2:2" ht="26.25" x14ac:dyDescent="0.45">
      <c r="B6" s="14" t="s">
        <v>40</v>
      </c>
    </row>
    <row r="7" spans="2:2" ht="26.25" x14ac:dyDescent="0.45">
      <c r="B7" s="14" t="s">
        <v>41</v>
      </c>
    </row>
    <row r="8" spans="2:2" ht="15.75" x14ac:dyDescent="0.5">
      <c r="B8" s="13" t="s">
        <v>42</v>
      </c>
    </row>
    <row r="9" spans="2:2" ht="26.25" x14ac:dyDescent="0.45">
      <c r="B9" s="14" t="s">
        <v>43</v>
      </c>
    </row>
    <row r="10" spans="2:2" ht="26.25" x14ac:dyDescent="0.45">
      <c r="B10" s="14" t="s">
        <v>44</v>
      </c>
    </row>
    <row r="11" spans="2:2" ht="15.75" x14ac:dyDescent="0.5">
      <c r="B11" s="13" t="s">
        <v>45</v>
      </c>
    </row>
    <row r="12" spans="2:2" ht="26.25" x14ac:dyDescent="0.45">
      <c r="B12" s="14" t="s">
        <v>46</v>
      </c>
    </row>
    <row r="13" spans="2:2" ht="26.25" x14ac:dyDescent="0.45">
      <c r="B13" s="14" t="s">
        <v>47</v>
      </c>
    </row>
    <row r="14" spans="2:2" ht="26.25" x14ac:dyDescent="0.45">
      <c r="B14" s="14" t="s">
        <v>48</v>
      </c>
    </row>
    <row r="15" spans="2:2" ht="15.75" x14ac:dyDescent="0.5">
      <c r="B15" s="13" t="s">
        <v>49</v>
      </c>
    </row>
    <row r="16" spans="2:2" ht="26.25" x14ac:dyDescent="0.45">
      <c r="B16" s="14" t="s">
        <v>50</v>
      </c>
    </row>
    <row r="17" spans="2:2" ht="26.25" x14ac:dyDescent="0.45">
      <c r="B17" s="14" t="s">
        <v>51</v>
      </c>
    </row>
    <row r="18" spans="2:2" ht="15.75" x14ac:dyDescent="0.5">
      <c r="B18" s="13" t="s">
        <v>52</v>
      </c>
    </row>
    <row r="19" spans="2:2" ht="26.25" x14ac:dyDescent="0.45">
      <c r="B19" s="14" t="s">
        <v>53</v>
      </c>
    </row>
    <row r="20" spans="2:2" ht="26.25" x14ac:dyDescent="0.45">
      <c r="B20" s="14" t="s">
        <v>54</v>
      </c>
    </row>
    <row r="21" spans="2:2" ht="15.75" x14ac:dyDescent="0.5">
      <c r="B21" s="13" t="s">
        <v>55</v>
      </c>
    </row>
    <row r="22" spans="2:2" x14ac:dyDescent="0.45">
      <c r="B22" s="14" t="s">
        <v>56</v>
      </c>
    </row>
    <row r="23" spans="2:2" ht="26.25" x14ac:dyDescent="0.45">
      <c r="B23" s="14" t="s">
        <v>57</v>
      </c>
    </row>
    <row r="24" spans="2:2" ht="15.75" x14ac:dyDescent="0.5">
      <c r="B24" s="13" t="s">
        <v>58</v>
      </c>
    </row>
    <row r="25" spans="2:2" ht="26.25" x14ac:dyDescent="0.45">
      <c r="B25" s="14" t="s">
        <v>59</v>
      </c>
    </row>
    <row r="26" spans="2:2" ht="26.25" x14ac:dyDescent="0.45">
      <c r="B26" s="14" t="s">
        <v>60</v>
      </c>
    </row>
    <row r="27" spans="2:2" ht="26.25" x14ac:dyDescent="0.45">
      <c r="B27" s="14" t="s">
        <v>61</v>
      </c>
    </row>
    <row r="28" spans="2:2" ht="26.25" x14ac:dyDescent="0.45">
      <c r="B28" s="14" t="s">
        <v>62</v>
      </c>
    </row>
    <row r="30" spans="2:2" ht="19.5" x14ac:dyDescent="0.6">
      <c r="B30" s="11" t="s">
        <v>63</v>
      </c>
    </row>
    <row r="31" spans="2:2" ht="15.75" x14ac:dyDescent="0.5">
      <c r="B31" s="13" t="s">
        <v>64</v>
      </c>
    </row>
    <row r="32" spans="2:2" ht="42.75" x14ac:dyDescent="0.45">
      <c r="B32" s="12" t="s">
        <v>65</v>
      </c>
    </row>
    <row r="33" spans="2:2" ht="15.75" x14ac:dyDescent="0.5">
      <c r="B33" s="13" t="s">
        <v>66</v>
      </c>
    </row>
    <row r="34" spans="2:2" ht="42.75" x14ac:dyDescent="0.45">
      <c r="B34" s="12" t="s">
        <v>67</v>
      </c>
    </row>
    <row r="35" spans="2:2" ht="15.75" x14ac:dyDescent="0.5">
      <c r="B35" s="13" t="s">
        <v>68</v>
      </c>
    </row>
    <row r="36" spans="2:2" ht="57" x14ac:dyDescent="0.45">
      <c r="B36" s="12" t="s">
        <v>69</v>
      </c>
    </row>
    <row r="37" spans="2:2" ht="15.75" x14ac:dyDescent="0.5">
      <c r="B37" s="13" t="s">
        <v>70</v>
      </c>
    </row>
    <row r="38" spans="2:2" ht="28.5" x14ac:dyDescent="0.45">
      <c r="B38" s="12" t="s">
        <v>71</v>
      </c>
    </row>
    <row r="39" spans="2:2" ht="15.75" x14ac:dyDescent="0.5">
      <c r="B39" s="13" t="s">
        <v>72</v>
      </c>
    </row>
    <row r="40" spans="2:2" ht="28.5" x14ac:dyDescent="0.45">
      <c r="B40" s="12" t="s">
        <v>73</v>
      </c>
    </row>
    <row r="41" spans="2:2" ht="15.75" x14ac:dyDescent="0.5">
      <c r="B41" s="13" t="s">
        <v>74</v>
      </c>
    </row>
    <row r="42" spans="2:2" ht="85.5" x14ac:dyDescent="0.45">
      <c r="B42" s="12" t="s">
        <v>75</v>
      </c>
    </row>
    <row r="43" spans="2:2" ht="15.75" x14ac:dyDescent="0.5">
      <c r="B43" s="13" t="s">
        <v>76</v>
      </c>
    </row>
    <row r="44" spans="2:2" ht="28.5" x14ac:dyDescent="0.45">
      <c r="B44" s="12" t="s">
        <v>77</v>
      </c>
    </row>
    <row r="45" spans="2:2" ht="15.75" x14ac:dyDescent="0.5">
      <c r="B45" s="13" t="s">
        <v>78</v>
      </c>
    </row>
    <row r="46" spans="2:2" ht="28.5" x14ac:dyDescent="0.45">
      <c r="B46" s="12" t="s">
        <v>79</v>
      </c>
    </row>
    <row r="48" spans="2:2" ht="19.5" x14ac:dyDescent="0.6">
      <c r="B48" s="11" t="s">
        <v>80</v>
      </c>
    </row>
    <row r="49" spans="2:3" ht="71.25" x14ac:dyDescent="0.45">
      <c r="B49" s="12" t="s">
        <v>81</v>
      </c>
    </row>
    <row r="51" spans="2:3" x14ac:dyDescent="0.45">
      <c r="B51" s="10" t="s">
        <v>82</v>
      </c>
      <c r="C51" s="10" t="s">
        <v>83</v>
      </c>
    </row>
    <row r="52" spans="2:3" ht="24" x14ac:dyDescent="0.45">
      <c r="B52" s="15" t="s">
        <v>84</v>
      </c>
      <c r="C52" s="16"/>
    </row>
    <row r="53" spans="2:3" x14ac:dyDescent="0.45">
      <c r="B53" s="15" t="s">
        <v>85</v>
      </c>
      <c r="C53" s="16"/>
    </row>
    <row r="54" spans="2:3" x14ac:dyDescent="0.45">
      <c r="B54" s="15" t="s">
        <v>86</v>
      </c>
      <c r="C54" s="16"/>
    </row>
    <row r="55" spans="2:3" x14ac:dyDescent="0.45">
      <c r="B55" s="15" t="s">
        <v>87</v>
      </c>
      <c r="C55" s="16"/>
    </row>
    <row r="56" spans="2:3" x14ac:dyDescent="0.45">
      <c r="B56" s="15" t="s">
        <v>88</v>
      </c>
      <c r="C56" s="16"/>
    </row>
    <row r="57" spans="2:3" x14ac:dyDescent="0.45">
      <c r="B57" s="15" t="s">
        <v>89</v>
      </c>
      <c r="C57" s="16"/>
    </row>
    <row r="58" spans="2:3" ht="24" x14ac:dyDescent="0.45">
      <c r="B58" s="15" t="s">
        <v>90</v>
      </c>
      <c r="C58" s="16"/>
    </row>
    <row r="59" spans="2:3" x14ac:dyDescent="0.45">
      <c r="B59" s="15" t="s">
        <v>91</v>
      </c>
      <c r="C59" s="16"/>
    </row>
    <row r="60" spans="2:3" x14ac:dyDescent="0.45">
      <c r="B60" s="15" t="s">
        <v>92</v>
      </c>
      <c r="C60" s="16"/>
    </row>
    <row r="61" spans="2:3" x14ac:dyDescent="0.45">
      <c r="B61" s="15" t="s">
        <v>93</v>
      </c>
      <c r="C61" s="16"/>
    </row>
    <row r="62" spans="2:3" x14ac:dyDescent="0.45">
      <c r="B62" s="15" t="s">
        <v>94</v>
      </c>
      <c r="C62" s="16"/>
    </row>
    <row r="64" spans="2:3" x14ac:dyDescent="0.45">
      <c r="B64" s="12" t="s">
        <v>95</v>
      </c>
    </row>
    <row r="66" spans="2:2" x14ac:dyDescent="0.45">
      <c r="B66" s="17" t="s">
        <v>96</v>
      </c>
    </row>
  </sheetData>
  <hyperlinks>
    <hyperlink ref="B6" r:id="rId1" xr:uid="{21EF6B98-3009-40A9-A2AD-46460DC89B9B}"/>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322AF937-6D2D-4830-9A7C-7E31E0128A51}"/>
    <hyperlink ref="B9" r:id="rId3" xr:uid="{91F3E0BD-A6AF-4E83-A034-CE4E2890221A}"/>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41E2593E-211F-4CDB-8CCC-D2166ECE68C9}"/>
    <hyperlink ref="B12" r:id="rId5" display="    Wisconsin Department of Transportation, Functional Classification (official page; static county and urban-area PDF maps - WisDOT publishes no statewide interactive map), available at: https://wisconsindot.gov/Pages/projects/data-plan/plan-res/function.aspx" xr:uid="{2252B33D-9A0F-43C2-B986-E891E8FDC7BF}"/>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BAA077BE-B943-4F16-827D-9125A7EFFE1C}"/>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C4091F1D-FCDA-4F83-8AEE-E9EC0C2E51EC}"/>
    <hyperlink ref="B16" r:id="rId8" xr:uid="{5A1FA2D8-BBE2-4DF2-A4A2-58155648D0FC}"/>
    <hyperlink ref="B17" r:id="rId9" xr:uid="{549E184F-F929-4866-AB07-AD50AFD75610}"/>
    <hyperlink ref="B19" r:id="rId10" xr:uid="{675A34CB-A018-4608-850C-4084219F4296}"/>
    <hyperlink ref="B20" r:id="rId11" xr:uid="{92BBD499-C190-4502-B950-FF1E038A3575}"/>
    <hyperlink ref="B22" r:id="rId12" xr:uid="{D0B5FD90-2A16-4266-A052-7BECFB4596E4}"/>
    <hyperlink ref="B23" r:id="rId13" xr:uid="{48D4287E-114B-4B7B-9F95-E52C9AC21025}"/>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9CC74062-4C68-496C-9CBC-64213CF1CEA4}"/>
    <hyperlink ref="B26" r:id="rId15" xr:uid="{DA6BA94B-AE0F-4BA1-99A6-4FF2BD00A9C4}"/>
    <hyperlink ref="B27" r:id="rId16" xr:uid="{E5218D5C-14FF-4C0F-84AA-DDB0B3F6864A}"/>
    <hyperlink ref="B28" r:id="rId17" xr:uid="{5D004634-27D7-40C7-9BD4-8A7D6BFDC81B}"/>
    <hyperlink ref="B66" r:id="rId18" xr:uid="{CDC6E39D-CD4B-43EA-8A21-C178B3C60AA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Start Here</vt:lpstr>
      <vt:lpstr>Sites</vt:lpstr>
      <vt:lpstr>Map Pages</vt:lpstr>
      <vt:lpstr>Sources</vt:lpstr>
      <vt:lpstr>JobAgolMap</vt:lpstr>
      <vt:lpstr>JobApplicant</vt:lpstr>
      <vt:lpstr>JobBufferFeet</vt:lpstr>
      <vt:lpstr>JobDI</vt:lpstr>
      <vt:lpstr>JobDisaster</vt:lpstr>
      <vt:lpstr>JobOutputFolder</vt:lpstr>
      <vt:lpstr>JobState</vt:lpstr>
      <vt:lpstr>JobWO</vt:lpstr>
      <vt:lpstr>'Map 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2026-07-15T01:28:58Z</dcterms:created>
  <dcterms:modified xsi:type="dcterms:W3CDTF">2026-07-15T01:29:29Z</dcterms:modified>
</cp:coreProperties>
</file>