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caleb\AppData\Local\Temp\"/>
    </mc:Choice>
  </mc:AlternateContent>
  <xr:revisionPtr revIDLastSave="0" documentId="8_{CC92624A-C295-4A60-99F5-5C91749AE54D}" xr6:coauthVersionLast="47" xr6:coauthVersionMax="47" xr10:uidLastSave="{00000000-0000-0000-0000-000000000000}"/>
  <bookViews>
    <workbookView xWindow="-98" yWindow="-98" windowWidth="21795" windowHeight="12975" xr2:uid="{4F863D8D-F694-4535-BD7E-579FD3D68349}"/>
  </bookViews>
  <sheets>
    <sheet name="Start Here" sheetId="4" r:id="rId1"/>
    <sheet name="Sites" sheetId="2" r:id="rId2"/>
    <sheet name="Sources" sheetId="3" r:id="rId3"/>
  </sheets>
  <functionGroups builtInGroupCount="19"/>
  <definedNames>
    <definedName name="_xlnm._FilterDatabase" localSheetId="1" hidden="1">Sites!$A$2:$AB$2</definedName>
    <definedName name="JobAgolMap">'Start Here'!$C$19</definedName>
    <definedName name="JobBufferFeet">'Start Here'!$C$20</definedName>
    <definedName name="JobOutputFolder">'Start Here'!$C$18</definedName>
    <definedName name="JobState">'Start Here'!$C$17</definedName>
    <definedName name="RR_Product" hidden="1">"Standard"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warnBelowVersion="2" setVersion="2"/>
    </ext>
  </extLst>
</workbook>
</file>

<file path=xl/calcChain.xml><?xml version="1.0" encoding="utf-8"?>
<calcChain xmlns="http://schemas.openxmlformats.org/spreadsheetml/2006/main">
  <c r="C18" i="4" l="1"/>
  <c r="AB3" i="2"/>
  <c r="AB4" i="2"/>
  <c r="AB5" i="2"/>
  <c r="AB6" i="2"/>
  <c r="AB7" i="2"/>
  <c r="AB8" i="2"/>
  <c r="AB9" i="2"/>
  <c r="AB10" i="2"/>
  <c r="AB11" i="2"/>
  <c r="AB12" i="2"/>
  <c r="AB13" i="2"/>
  <c r="AB14" i="2"/>
  <c r="AB15" i="2"/>
  <c r="AB16" i="2"/>
  <c r="AB17" i="2"/>
  <c r="AB18" i="2"/>
  <c r="AB19" i="2"/>
  <c r="AB20" i="2"/>
  <c r="AB21" i="2"/>
  <c r="AB22" i="2"/>
  <c r="AB23" i="2"/>
  <c r="AB24" i="2"/>
  <c r="AB25" i="2"/>
  <c r="AB26" i="2"/>
  <c r="AB27" i="2"/>
  <c r="AB28" i="2"/>
  <c r="AB29" i="2"/>
  <c r="AB30" i="2"/>
  <c r="AB31" i="2"/>
  <c r="AB32" i="2"/>
  <c r="AB33" i="2"/>
  <c r="AB34" i="2"/>
  <c r="AB35" i="2"/>
  <c r="AB36" i="2"/>
  <c r="AB37" i="2"/>
  <c r="AB38" i="2"/>
  <c r="AB39" i="2"/>
  <c r="AB40" i="2"/>
  <c r="AB41" i="2"/>
  <c r="AB42" i="2"/>
  <c r="AB43" i="2"/>
  <c r="AB44" i="2"/>
  <c r="AB45" i="2"/>
  <c r="AB46" i="2"/>
  <c r="AB47" i="2"/>
  <c r="AB48" i="2"/>
  <c r="AB49" i="2"/>
  <c r="AB50" i="2"/>
  <c r="AB51" i="2"/>
  <c r="AB52" i="2"/>
  <c r="AB53" i="2"/>
  <c r="AB54" i="2"/>
  <c r="AB55" i="2"/>
  <c r="AB56" i="2"/>
  <c r="AB57" i="2"/>
  <c r="AB58" i="2"/>
  <c r="AB59" i="2"/>
  <c r="AB60" i="2"/>
  <c r="AB61" i="2"/>
  <c r="AB62" i="2"/>
  <c r="AB63" i="2"/>
  <c r="AB64" i="2"/>
  <c r="AB65" i="2"/>
  <c r="AB66" i="2"/>
  <c r="AB67" i="2"/>
  <c r="AB68" i="2"/>
  <c r="AB69" i="2"/>
  <c r="AB70" i="2"/>
  <c r="AB71" i="2"/>
  <c r="AB72" i="2"/>
  <c r="AB73" i="2"/>
  <c r="AB74" i="2"/>
  <c r="AB75" i="2"/>
  <c r="AB76" i="2"/>
  <c r="AB77" i="2"/>
  <c r="AB78" i="2"/>
  <c r="AB79" i="2"/>
  <c r="AB80" i="2"/>
  <c r="AB81" i="2"/>
  <c r="AB82" i="2"/>
  <c r="AB83" i="2"/>
  <c r="AB84" i="2"/>
  <c r="AB85" i="2"/>
  <c r="AB86" i="2"/>
  <c r="AB87" i="2"/>
  <c r="AB88" i="2"/>
  <c r="AB89" i="2"/>
  <c r="AB90" i="2"/>
  <c r="AB91" i="2"/>
  <c r="AB92" i="2"/>
  <c r="AB93" i="2"/>
  <c r="AB94" i="2"/>
  <c r="AB95" i="2"/>
  <c r="AB96" i="2"/>
  <c r="AB97" i="2"/>
  <c r="AB98" i="2"/>
  <c r="AB99" i="2"/>
  <c r="AB100" i="2"/>
  <c r="AB101" i="2"/>
  <c r="AB102" i="2"/>
  <c r="AB103" i="2"/>
  <c r="AB104" i="2"/>
  <c r="AB105" i="2"/>
  <c r="AB106" i="2"/>
  <c r="AB107" i="2"/>
  <c r="AB108" i="2"/>
  <c r="AB109" i="2"/>
  <c r="AB110" i="2"/>
  <c r="AB111" i="2"/>
  <c r="AB112" i="2"/>
  <c r="AB113" i="2"/>
  <c r="AB114" i="2"/>
  <c r="AB115" i="2"/>
  <c r="AB116" i="2"/>
  <c r="AB117" i="2"/>
  <c r="AB118" i="2"/>
  <c r="AB119" i="2"/>
  <c r="AB120" i="2"/>
  <c r="AB121" i="2"/>
  <c r="AB122" i="2"/>
  <c r="AB123" i="2"/>
  <c r="AB124" i="2"/>
  <c r="AB125" i="2"/>
  <c r="AB126" i="2"/>
  <c r="AB127" i="2"/>
  <c r="AB128" i="2"/>
  <c r="AB129" i="2"/>
  <c r="AB130" i="2"/>
  <c r="AB131" i="2"/>
  <c r="AB132" i="2"/>
  <c r="AB133" i="2"/>
  <c r="AB134" i="2"/>
  <c r="AB135" i="2"/>
  <c r="AB136" i="2"/>
  <c r="AB137" i="2"/>
  <c r="AB138" i="2"/>
  <c r="AB139" i="2"/>
  <c r="AB140" i="2"/>
  <c r="AB141" i="2"/>
  <c r="AB142" i="2"/>
  <c r="AB143" i="2"/>
  <c r="AB144" i="2"/>
  <c r="AB145" i="2"/>
  <c r="AB146" i="2"/>
  <c r="AB147" i="2"/>
  <c r="AB148" i="2"/>
  <c r="AB149" i="2"/>
  <c r="AB150" i="2"/>
  <c r="AB151" i="2"/>
  <c r="AB152" i="2"/>
  <c r="AB153" i="2"/>
  <c r="AB154" i="2"/>
  <c r="AB155" i="2"/>
  <c r="AB156" i="2"/>
  <c r="AB157" i="2"/>
  <c r="AB158" i="2"/>
  <c r="AB159" i="2"/>
  <c r="AB160" i="2"/>
  <c r="AB161" i="2"/>
  <c r="AB162" i="2"/>
  <c r="AB163" i="2"/>
  <c r="AB164" i="2"/>
  <c r="AB165" i="2"/>
  <c r="AB166" i="2"/>
  <c r="AB167" i="2"/>
  <c r="AB168" i="2"/>
  <c r="AB169" i="2"/>
  <c r="AB170" i="2"/>
  <c r="AB171" i="2"/>
  <c r="AB172" i="2"/>
  <c r="AB173" i="2"/>
  <c r="AB174" i="2"/>
  <c r="AB175" i="2"/>
  <c r="AB176" i="2"/>
  <c r="AB177" i="2"/>
  <c r="AB178" i="2"/>
  <c r="AB179" i="2"/>
  <c r="AB180" i="2"/>
  <c r="AB181" i="2"/>
  <c r="AB182" i="2"/>
  <c r="AB183" i="2"/>
  <c r="AB184" i="2"/>
  <c r="AB185" i="2"/>
  <c r="AB186" i="2"/>
  <c r="AB187" i="2"/>
  <c r="AB188" i="2"/>
  <c r="AB189" i="2"/>
  <c r="AB190" i="2"/>
  <c r="AB191" i="2"/>
  <c r="AB192" i="2"/>
  <c r="AB193" i="2"/>
  <c r="AB194" i="2"/>
  <c r="AB195" i="2"/>
  <c r="AB196" i="2"/>
  <c r="AB197" i="2"/>
  <c r="AB198" i="2"/>
  <c r="AB199" i="2"/>
  <c r="AB200" i="2"/>
  <c r="AB201" i="2"/>
  <c r="AB202" i="2"/>
  <c r="AB203" i="2"/>
  <c r="AB204" i="2"/>
  <c r="AB205" i="2"/>
  <c r="AB206" i="2"/>
  <c r="AB207" i="2"/>
  <c r="AB208" i="2"/>
  <c r="AB209" i="2"/>
  <c r="AB210" i="2"/>
  <c r="AB211" i="2"/>
  <c r="AB212" i="2"/>
  <c r="AB213" i="2"/>
  <c r="AB214" i="2"/>
  <c r="AB215" i="2"/>
  <c r="AB216" i="2"/>
  <c r="AB217" i="2"/>
  <c r="AB218" i="2"/>
  <c r="AB219" i="2"/>
  <c r="AB220" i="2"/>
  <c r="AB221" i="2"/>
  <c r="AB222" i="2"/>
  <c r="AB223" i="2"/>
  <c r="AB224" i="2"/>
  <c r="AB225" i="2"/>
  <c r="AB226" i="2"/>
  <c r="AB227" i="2"/>
  <c r="AB228" i="2"/>
  <c r="AB229" i="2"/>
  <c r="AB230" i="2"/>
  <c r="AB231" i="2"/>
  <c r="AB232" i="2"/>
  <c r="AB233" i="2"/>
  <c r="AB234" i="2"/>
  <c r="AB235" i="2"/>
  <c r="AB236" i="2"/>
  <c r="AB237" i="2"/>
  <c r="AB238" i="2"/>
  <c r="AB239" i="2"/>
  <c r="AB240" i="2"/>
  <c r="AB241" i="2"/>
  <c r="AB242" i="2"/>
  <c r="AB243" i="2"/>
  <c r="AB244" i="2"/>
  <c r="AB245" i="2"/>
  <c r="AB246" i="2"/>
  <c r="AB247" i="2"/>
  <c r="AB248" i="2"/>
  <c r="AB249" i="2"/>
  <c r="AB250" i="2"/>
  <c r="AB251" i="2"/>
  <c r="AB252" i="2"/>
  <c r="AB253" i="2"/>
  <c r="AB254" i="2"/>
  <c r="AB255" i="2"/>
  <c r="AB256" i="2"/>
  <c r="AB257" i="2"/>
  <c r="AB258" i="2"/>
  <c r="AB259" i="2"/>
  <c r="AB260" i="2"/>
  <c r="AB261" i="2"/>
  <c r="AB262" i="2"/>
  <c r="AB263" i="2"/>
  <c r="AB264" i="2"/>
  <c r="AB265" i="2"/>
  <c r="AB266" i="2"/>
  <c r="AB267" i="2"/>
  <c r="AB268" i="2"/>
  <c r="AB269" i="2"/>
  <c r="AB270" i="2"/>
  <c r="AB271" i="2"/>
  <c r="AB272" i="2"/>
  <c r="AB273" i="2"/>
  <c r="AB274" i="2"/>
  <c r="AB275" i="2"/>
  <c r="AB276" i="2"/>
  <c r="AB277" i="2"/>
  <c r="AB278" i="2"/>
  <c r="AB279" i="2"/>
  <c r="AB280" i="2"/>
  <c r="AB281" i="2"/>
  <c r="AB282" i="2"/>
  <c r="AB283" i="2"/>
  <c r="AB284" i="2"/>
  <c r="AB285" i="2"/>
  <c r="AB286" i="2"/>
  <c r="AB287" i="2"/>
  <c r="AB288" i="2"/>
  <c r="AB289" i="2"/>
  <c r="AB290" i="2"/>
  <c r="AB291" i="2"/>
  <c r="AB292" i="2"/>
  <c r="AB293" i="2"/>
  <c r="AB294" i="2"/>
  <c r="AB295" i="2"/>
  <c r="AB296" i="2"/>
  <c r="AB297" i="2"/>
  <c r="AB298" i="2"/>
  <c r="AB299" i="2"/>
  <c r="AB300" i="2"/>
  <c r="AB301" i="2"/>
  <c r="AB302" i="2"/>
  <c r="AB303" i="2"/>
  <c r="AB304" i="2"/>
  <c r="AB305" i="2"/>
  <c r="AB306" i="2"/>
  <c r="AB307" i="2"/>
  <c r="AB308" i="2"/>
  <c r="AB309" i="2"/>
  <c r="AB310" i="2"/>
  <c r="AB311" i="2"/>
  <c r="AB312" i="2"/>
  <c r="AB313" i="2"/>
  <c r="AB314" i="2"/>
  <c r="AB315" i="2"/>
  <c r="AB316" i="2"/>
  <c r="AB317" i="2"/>
  <c r="AB318" i="2"/>
  <c r="AB319" i="2"/>
  <c r="AB320" i="2"/>
  <c r="AB321" i="2"/>
  <c r="AB322" i="2"/>
  <c r="AB323" i="2"/>
  <c r="AB324" i="2"/>
  <c r="AB325" i="2"/>
  <c r="AB326" i="2"/>
  <c r="AB327" i="2"/>
  <c r="AB328" i="2"/>
  <c r="AB329" i="2"/>
  <c r="AB330" i="2"/>
  <c r="AB331" i="2"/>
  <c r="AB332" i="2"/>
  <c r="AB333" i="2"/>
  <c r="AB334" i="2"/>
  <c r="AB335" i="2"/>
  <c r="AB336" i="2"/>
  <c r="AB337" i="2"/>
  <c r="AB338" i="2"/>
  <c r="AB339" i="2"/>
  <c r="AB340" i="2"/>
  <c r="AB341" i="2"/>
  <c r="AB342" i="2"/>
  <c r="AB343" i="2"/>
  <c r="AB344" i="2"/>
  <c r="AB345" i="2"/>
  <c r="AB346" i="2"/>
  <c r="AB347" i="2"/>
  <c r="AB348" i="2"/>
  <c r="AB349" i="2"/>
  <c r="AB350" i="2"/>
  <c r="AB351" i="2"/>
  <c r="AB352" i="2"/>
  <c r="AB353" i="2"/>
  <c r="AB354" i="2"/>
  <c r="AB355" i="2"/>
  <c r="AB356" i="2"/>
  <c r="AB357" i="2"/>
  <c r="AB358" i="2"/>
  <c r="AB359" i="2"/>
  <c r="AB360" i="2"/>
  <c r="AB361" i="2"/>
  <c r="AB362" i="2"/>
  <c r="AB363" i="2"/>
  <c r="AB364" i="2"/>
  <c r="AB365" i="2"/>
  <c r="AB366" i="2"/>
  <c r="AB367" i="2"/>
  <c r="AB368" i="2"/>
  <c r="AB369" i="2"/>
  <c r="AB370" i="2"/>
  <c r="AB371" i="2"/>
  <c r="AB372" i="2"/>
  <c r="AB373" i="2"/>
  <c r="AB374" i="2"/>
  <c r="AB375" i="2"/>
  <c r="AB376" i="2"/>
  <c r="AB377" i="2"/>
  <c r="AB378" i="2"/>
  <c r="AB379" i="2"/>
  <c r="AB380" i="2"/>
  <c r="AB381" i="2"/>
  <c r="AB382" i="2"/>
  <c r="AB383" i="2"/>
  <c r="AB384" i="2"/>
  <c r="AB385" i="2"/>
  <c r="AB386" i="2"/>
  <c r="AB387" i="2"/>
  <c r="AB388" i="2"/>
  <c r="AB389" i="2"/>
  <c r="AB390" i="2"/>
  <c r="AB391" i="2"/>
  <c r="AB392" i="2"/>
  <c r="AB393" i="2"/>
  <c r="AB394" i="2"/>
  <c r="AB395" i="2"/>
  <c r="AB396" i="2"/>
  <c r="AB397" i="2"/>
  <c r="AB398" i="2"/>
  <c r="AB399" i="2"/>
  <c r="AB400" i="2"/>
  <c r="AB401" i="2"/>
  <c r="AB402" i="2"/>
  <c r="AB403" i="2"/>
  <c r="AB404" i="2"/>
  <c r="AB405" i="2"/>
  <c r="AB406" i="2"/>
  <c r="AB407" i="2"/>
  <c r="AB408" i="2"/>
  <c r="AB409" i="2"/>
  <c r="AB410" i="2"/>
  <c r="AB411" i="2"/>
  <c r="AB412" i="2"/>
  <c r="AB413" i="2"/>
  <c r="AB414" i="2"/>
  <c r="AB415" i="2"/>
  <c r="AB416" i="2"/>
  <c r="AB417" i="2"/>
  <c r="AB418" i="2"/>
  <c r="AB419" i="2"/>
  <c r="AB420" i="2"/>
  <c r="AB421" i="2"/>
  <c r="AB422" i="2"/>
  <c r="AB423" i="2"/>
  <c r="AB424" i="2"/>
  <c r="AB425" i="2"/>
  <c r="AB426" i="2"/>
  <c r="AB427" i="2"/>
  <c r="AB428" i="2"/>
  <c r="AB429" i="2"/>
  <c r="AB430" i="2"/>
  <c r="AB431" i="2"/>
  <c r="AB432" i="2"/>
  <c r="AB433" i="2"/>
  <c r="AB434" i="2"/>
  <c r="AB435" i="2"/>
  <c r="AB436" i="2"/>
  <c r="AB437" i="2"/>
  <c r="AB438" i="2"/>
  <c r="AB439" i="2"/>
  <c r="AB440" i="2"/>
  <c r="AB441" i="2"/>
  <c r="AB442" i="2"/>
  <c r="AB443" i="2"/>
  <c r="AB444" i="2"/>
  <c r="AB445" i="2"/>
  <c r="AB446" i="2"/>
  <c r="AB447" i="2"/>
  <c r="AB448" i="2"/>
  <c r="AB449" i="2"/>
  <c r="AB450" i="2"/>
  <c r="AB451" i="2"/>
  <c r="AB452" i="2"/>
  <c r="AB453" i="2"/>
  <c r="AB454" i="2"/>
  <c r="AB455" i="2"/>
  <c r="AB456" i="2"/>
  <c r="AB457" i="2"/>
  <c r="AB458" i="2"/>
  <c r="AB459" i="2"/>
  <c r="AB460" i="2"/>
  <c r="AB461" i="2"/>
  <c r="AB462" i="2"/>
  <c r="AB463" i="2"/>
  <c r="AB464" i="2"/>
  <c r="AB465" i="2"/>
  <c r="AB466" i="2"/>
  <c r="AB467" i="2"/>
  <c r="AB468" i="2"/>
  <c r="AB469" i="2"/>
  <c r="AB470" i="2"/>
  <c r="AB471" i="2"/>
  <c r="AB472" i="2"/>
  <c r="AB473" i="2"/>
  <c r="AB474" i="2"/>
  <c r="AB475" i="2"/>
  <c r="AB476" i="2"/>
  <c r="AB477" i="2"/>
  <c r="AB478" i="2"/>
  <c r="AB479" i="2"/>
  <c r="AB480" i="2"/>
  <c r="AB481" i="2"/>
  <c r="AB482" i="2"/>
  <c r="AB483" i="2"/>
  <c r="AB484" i="2"/>
  <c r="AB485" i="2"/>
  <c r="AB486" i="2"/>
  <c r="AB487" i="2"/>
  <c r="AB488" i="2"/>
  <c r="AB489" i="2"/>
  <c r="AB490" i="2"/>
  <c r="AB491" i="2"/>
  <c r="AB492" i="2"/>
  <c r="AB493" i="2"/>
  <c r="AB494" i="2"/>
  <c r="AB495" i="2"/>
  <c r="AB496" i="2"/>
  <c r="AB497" i="2"/>
  <c r="AB498" i="2"/>
  <c r="AB499" i="2"/>
  <c r="AB500" i="2"/>
  <c r="AB501" i="2"/>
  <c r="AB502" i="2"/>
  <c r="S3" i="2"/>
  <c r="S4" i="2"/>
  <c r="S5" i="2"/>
  <c r="S6" i="2"/>
  <c r="S7" i="2"/>
  <c r="S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63" i="2"/>
  <c r="S64" i="2"/>
  <c r="S65" i="2"/>
  <c r="S66" i="2"/>
  <c r="S67" i="2"/>
  <c r="S68" i="2"/>
  <c r="S69" i="2"/>
  <c r="S70" i="2"/>
  <c r="S71" i="2"/>
  <c r="S72" i="2"/>
  <c r="S73" i="2"/>
  <c r="S74" i="2"/>
  <c r="S75" i="2"/>
  <c r="S76" i="2"/>
  <c r="S77" i="2"/>
  <c r="S78" i="2"/>
  <c r="S79" i="2"/>
  <c r="S80" i="2"/>
  <c r="S81" i="2"/>
  <c r="S82" i="2"/>
  <c r="S83" i="2"/>
  <c r="S84" i="2"/>
  <c r="S85" i="2"/>
  <c r="S86" i="2"/>
  <c r="S87" i="2"/>
  <c r="S88" i="2"/>
  <c r="S89" i="2"/>
  <c r="S90" i="2"/>
  <c r="S91" i="2"/>
  <c r="S92" i="2"/>
  <c r="S93" i="2"/>
  <c r="S94" i="2"/>
  <c r="S95" i="2"/>
  <c r="S96" i="2"/>
  <c r="S97" i="2"/>
  <c r="S98" i="2"/>
  <c r="S99" i="2"/>
  <c r="S100" i="2"/>
  <c r="S101" i="2"/>
  <c r="S102" i="2"/>
  <c r="S103" i="2"/>
  <c r="S104" i="2"/>
  <c r="S105" i="2"/>
  <c r="S106" i="2"/>
  <c r="S107" i="2"/>
  <c r="S108" i="2"/>
  <c r="S109" i="2"/>
  <c r="S110" i="2"/>
  <c r="S111" i="2"/>
  <c r="S112" i="2"/>
  <c r="S113" i="2"/>
  <c r="S114" i="2"/>
  <c r="S115" i="2"/>
  <c r="S116" i="2"/>
  <c r="S117" i="2"/>
  <c r="S118" i="2"/>
  <c r="S119" i="2"/>
  <c r="S120" i="2"/>
  <c r="S121" i="2"/>
  <c r="S122" i="2"/>
  <c r="S123" i="2"/>
  <c r="S124" i="2"/>
  <c r="S125" i="2"/>
  <c r="S126" i="2"/>
  <c r="S127" i="2"/>
  <c r="S128" i="2"/>
  <c r="S129" i="2"/>
  <c r="S130" i="2"/>
  <c r="S131" i="2"/>
  <c r="S132" i="2"/>
  <c r="S133" i="2"/>
  <c r="S134" i="2"/>
  <c r="S135" i="2"/>
  <c r="S136" i="2"/>
  <c r="S137" i="2"/>
  <c r="S138" i="2"/>
  <c r="S139" i="2"/>
  <c r="S140" i="2"/>
  <c r="S141" i="2"/>
  <c r="S142" i="2"/>
  <c r="S143" i="2"/>
  <c r="S144" i="2"/>
  <c r="S145" i="2"/>
  <c r="S146" i="2"/>
  <c r="S147" i="2"/>
  <c r="S148" i="2"/>
  <c r="S149" i="2"/>
  <c r="S150" i="2"/>
  <c r="S151" i="2"/>
  <c r="S152" i="2"/>
  <c r="S153" i="2"/>
  <c r="S154" i="2"/>
  <c r="S155" i="2"/>
  <c r="S156" i="2"/>
  <c r="S157" i="2"/>
  <c r="S158" i="2"/>
  <c r="S159" i="2"/>
  <c r="S160" i="2"/>
  <c r="S161" i="2"/>
  <c r="S162" i="2"/>
  <c r="S163" i="2"/>
  <c r="S164" i="2"/>
  <c r="S165" i="2"/>
  <c r="S166" i="2"/>
  <c r="S167" i="2"/>
  <c r="S168" i="2"/>
  <c r="S169" i="2"/>
  <c r="S170" i="2"/>
  <c r="S171" i="2"/>
  <c r="S172" i="2"/>
  <c r="S173" i="2"/>
  <c r="S174" i="2"/>
  <c r="S175" i="2"/>
  <c r="S176" i="2"/>
  <c r="S177" i="2"/>
  <c r="S178" i="2"/>
  <c r="S179" i="2"/>
  <c r="S180" i="2"/>
  <c r="S181" i="2"/>
  <c r="S182" i="2"/>
  <c r="S183" i="2"/>
  <c r="S184" i="2"/>
  <c r="S185" i="2"/>
  <c r="S186" i="2"/>
  <c r="S187" i="2"/>
  <c r="S188" i="2"/>
  <c r="S189" i="2"/>
  <c r="S190" i="2"/>
  <c r="S191" i="2"/>
  <c r="S192" i="2"/>
  <c r="S193" i="2"/>
  <c r="S194" i="2"/>
  <c r="S195" i="2"/>
  <c r="S196" i="2"/>
  <c r="S197" i="2"/>
  <c r="S198" i="2"/>
  <c r="S199" i="2"/>
  <c r="S200" i="2"/>
  <c r="S201" i="2"/>
  <c r="S202" i="2"/>
  <c r="S203" i="2"/>
  <c r="S204" i="2"/>
  <c r="S205" i="2"/>
  <c r="S206" i="2"/>
  <c r="S207" i="2"/>
  <c r="S208" i="2"/>
  <c r="S209" i="2"/>
  <c r="S210" i="2"/>
  <c r="S211" i="2"/>
  <c r="S212" i="2"/>
  <c r="S213" i="2"/>
  <c r="S214" i="2"/>
  <c r="S215" i="2"/>
  <c r="S216" i="2"/>
  <c r="S217" i="2"/>
  <c r="S218" i="2"/>
  <c r="S219" i="2"/>
  <c r="S220" i="2"/>
  <c r="S221" i="2"/>
  <c r="S222" i="2"/>
  <c r="S223" i="2"/>
  <c r="S224" i="2"/>
  <c r="S225" i="2"/>
  <c r="S226" i="2"/>
  <c r="S227" i="2"/>
  <c r="S228" i="2"/>
  <c r="S229" i="2"/>
  <c r="S230" i="2"/>
  <c r="S231" i="2"/>
  <c r="S232" i="2"/>
  <c r="S233" i="2"/>
  <c r="S234" i="2"/>
  <c r="S235" i="2"/>
  <c r="S236" i="2"/>
  <c r="S237" i="2"/>
  <c r="S238" i="2"/>
  <c r="S239" i="2"/>
  <c r="S240" i="2"/>
  <c r="S241" i="2"/>
  <c r="S242" i="2"/>
  <c r="S243" i="2"/>
  <c r="S244" i="2"/>
  <c r="S245" i="2"/>
  <c r="S246" i="2"/>
  <c r="S247" i="2"/>
  <c r="S248" i="2"/>
  <c r="S249" i="2"/>
  <c r="S250" i="2"/>
  <c r="S251" i="2"/>
  <c r="S252" i="2"/>
  <c r="S253" i="2"/>
  <c r="S254" i="2"/>
  <c r="S255" i="2"/>
  <c r="S256" i="2"/>
  <c r="S257" i="2"/>
  <c r="S258" i="2"/>
  <c r="S259" i="2"/>
  <c r="S260" i="2"/>
  <c r="S261" i="2"/>
  <c r="S262" i="2"/>
  <c r="S263" i="2"/>
  <c r="S264" i="2"/>
  <c r="S265" i="2"/>
  <c r="S266" i="2"/>
  <c r="S267" i="2"/>
  <c r="S268" i="2"/>
  <c r="S269" i="2"/>
  <c r="S270" i="2"/>
  <c r="S271" i="2"/>
  <c r="S272" i="2"/>
  <c r="S273" i="2"/>
  <c r="S274" i="2"/>
  <c r="S275" i="2"/>
  <c r="S276" i="2"/>
  <c r="S277" i="2"/>
  <c r="S278" i="2"/>
  <c r="S279" i="2"/>
  <c r="S280" i="2"/>
  <c r="S281" i="2"/>
  <c r="S282" i="2"/>
  <c r="S283" i="2"/>
  <c r="S284" i="2"/>
  <c r="S285" i="2"/>
  <c r="S286" i="2"/>
  <c r="S287" i="2"/>
  <c r="S288" i="2"/>
  <c r="S289" i="2"/>
  <c r="S290" i="2"/>
  <c r="S291" i="2"/>
  <c r="S292" i="2"/>
  <c r="S293" i="2"/>
  <c r="S294" i="2"/>
  <c r="S295" i="2"/>
  <c r="S296" i="2"/>
  <c r="S297" i="2"/>
  <c r="S298" i="2"/>
  <c r="S299" i="2"/>
  <c r="S300" i="2"/>
  <c r="S301" i="2"/>
  <c r="S302" i="2"/>
  <c r="S303" i="2"/>
  <c r="S304" i="2"/>
  <c r="S305" i="2"/>
  <c r="S306" i="2"/>
  <c r="S307" i="2"/>
  <c r="S308" i="2"/>
  <c r="S309" i="2"/>
  <c r="S310" i="2"/>
  <c r="S311" i="2"/>
  <c r="S312" i="2"/>
  <c r="S313" i="2"/>
  <c r="S314" i="2"/>
  <c r="S315" i="2"/>
  <c r="S316" i="2"/>
  <c r="S317" i="2"/>
  <c r="S318" i="2"/>
  <c r="S319" i="2"/>
  <c r="S320" i="2"/>
  <c r="S321" i="2"/>
  <c r="S322" i="2"/>
  <c r="S323" i="2"/>
  <c r="S324" i="2"/>
  <c r="S325" i="2"/>
  <c r="S326" i="2"/>
  <c r="S327" i="2"/>
  <c r="S328" i="2"/>
  <c r="S329" i="2"/>
  <c r="S330" i="2"/>
  <c r="S331" i="2"/>
  <c r="S332" i="2"/>
  <c r="S333" i="2"/>
  <c r="S334" i="2"/>
  <c r="S335" i="2"/>
  <c r="S336" i="2"/>
  <c r="S337" i="2"/>
  <c r="S338" i="2"/>
  <c r="S339" i="2"/>
  <c r="S340" i="2"/>
  <c r="S341" i="2"/>
  <c r="S342" i="2"/>
  <c r="S343" i="2"/>
  <c r="S344" i="2"/>
  <c r="S345" i="2"/>
  <c r="S346" i="2"/>
  <c r="S347" i="2"/>
  <c r="S348" i="2"/>
  <c r="S349" i="2"/>
  <c r="S350" i="2"/>
  <c r="S351" i="2"/>
  <c r="S352" i="2"/>
  <c r="S353" i="2"/>
  <c r="S354" i="2"/>
  <c r="S355" i="2"/>
  <c r="S356" i="2"/>
  <c r="S357" i="2"/>
  <c r="S358" i="2"/>
  <c r="S359" i="2"/>
  <c r="S360" i="2"/>
  <c r="S361" i="2"/>
  <c r="S362" i="2"/>
  <c r="S363" i="2"/>
  <c r="S364" i="2"/>
  <c r="S365" i="2"/>
  <c r="S366" i="2"/>
  <c r="S367" i="2"/>
  <c r="S368" i="2"/>
  <c r="S369" i="2"/>
  <c r="S370" i="2"/>
  <c r="S371" i="2"/>
  <c r="S372" i="2"/>
  <c r="S373" i="2"/>
  <c r="S374" i="2"/>
  <c r="S375" i="2"/>
  <c r="S376" i="2"/>
  <c r="S377" i="2"/>
  <c r="S378" i="2"/>
  <c r="S379" i="2"/>
  <c r="S380" i="2"/>
  <c r="S381" i="2"/>
  <c r="S382" i="2"/>
  <c r="S383" i="2"/>
  <c r="S384" i="2"/>
  <c r="S385" i="2"/>
  <c r="S386" i="2"/>
  <c r="S387" i="2"/>
  <c r="S388" i="2"/>
  <c r="S389" i="2"/>
  <c r="S390" i="2"/>
  <c r="S391" i="2"/>
  <c r="S392" i="2"/>
  <c r="S393" i="2"/>
  <c r="S394" i="2"/>
  <c r="S395" i="2"/>
  <c r="S396" i="2"/>
  <c r="S397" i="2"/>
  <c r="S398" i="2"/>
  <c r="S399" i="2"/>
  <c r="S400" i="2"/>
  <c r="S401" i="2"/>
  <c r="S402" i="2"/>
  <c r="S403" i="2"/>
  <c r="S404" i="2"/>
  <c r="S405" i="2"/>
  <c r="S406" i="2"/>
  <c r="S407" i="2"/>
  <c r="S408" i="2"/>
  <c r="S409" i="2"/>
  <c r="S410" i="2"/>
  <c r="S411" i="2"/>
  <c r="S412" i="2"/>
  <c r="S413" i="2"/>
  <c r="S414" i="2"/>
  <c r="S415" i="2"/>
  <c r="S416" i="2"/>
  <c r="S417" i="2"/>
  <c r="S418" i="2"/>
  <c r="S419" i="2"/>
  <c r="S420" i="2"/>
  <c r="S421" i="2"/>
  <c r="S422" i="2"/>
  <c r="S423" i="2"/>
  <c r="S424" i="2"/>
  <c r="S425" i="2"/>
  <c r="S426" i="2"/>
  <c r="S427" i="2"/>
  <c r="S428" i="2"/>
  <c r="S429" i="2"/>
  <c r="S430" i="2"/>
  <c r="S431" i="2"/>
  <c r="S432" i="2"/>
  <c r="S433" i="2"/>
  <c r="S434" i="2"/>
  <c r="S435" i="2"/>
  <c r="S436" i="2"/>
  <c r="S437" i="2"/>
  <c r="S438" i="2"/>
  <c r="S439" i="2"/>
  <c r="S440" i="2"/>
  <c r="S441" i="2"/>
  <c r="S442" i="2"/>
  <c r="S443" i="2"/>
  <c r="S444" i="2"/>
  <c r="S445" i="2"/>
  <c r="S446" i="2"/>
  <c r="S447" i="2"/>
  <c r="S448" i="2"/>
  <c r="S449" i="2"/>
  <c r="S450" i="2"/>
  <c r="S451" i="2"/>
  <c r="S452" i="2"/>
  <c r="S453" i="2"/>
  <c r="S454" i="2"/>
  <c r="S455" i="2"/>
  <c r="S456" i="2"/>
  <c r="S457" i="2"/>
  <c r="S458" i="2"/>
  <c r="S459" i="2"/>
  <c r="S460" i="2"/>
  <c r="S461" i="2"/>
  <c r="S462" i="2"/>
  <c r="S463" i="2"/>
  <c r="S464" i="2"/>
  <c r="S465" i="2"/>
  <c r="S466" i="2"/>
  <c r="S467" i="2"/>
  <c r="S468" i="2"/>
  <c r="S469" i="2"/>
  <c r="S470" i="2"/>
  <c r="S471" i="2"/>
  <c r="S472" i="2"/>
  <c r="S473" i="2"/>
  <c r="S474" i="2"/>
  <c r="S475" i="2"/>
  <c r="S476" i="2"/>
  <c r="S477" i="2"/>
  <c r="S478" i="2"/>
  <c r="S479" i="2"/>
  <c r="S480" i="2"/>
  <c r="S481" i="2"/>
  <c r="S482" i="2"/>
  <c r="S483" i="2"/>
  <c r="S484" i="2"/>
  <c r="S485" i="2"/>
  <c r="S486" i="2"/>
  <c r="S487" i="2"/>
  <c r="S488" i="2"/>
  <c r="S489" i="2"/>
  <c r="S490" i="2"/>
  <c r="S491" i="2"/>
  <c r="S492" i="2"/>
  <c r="S493" i="2"/>
  <c r="S494" i="2"/>
  <c r="S495" i="2"/>
  <c r="S496" i="2"/>
  <c r="S497" i="2"/>
  <c r="S498" i="2"/>
  <c r="S499" i="2"/>
  <c r="S500" i="2"/>
  <c r="S501" i="2"/>
  <c r="S502" i="2"/>
  <c r="R3" i="2"/>
  <c r="R4" i="2"/>
  <c r="R5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8" i="2"/>
  <c r="R209" i="2"/>
  <c r="R210" i="2"/>
  <c r="R211" i="2"/>
  <c r="R212" i="2"/>
  <c r="R213" i="2"/>
  <c r="R214" i="2"/>
  <c r="R215" i="2"/>
  <c r="R216" i="2"/>
  <c r="R217" i="2"/>
  <c r="R218" i="2"/>
  <c r="R219" i="2"/>
  <c r="R220" i="2"/>
  <c r="R221" i="2"/>
  <c r="R222" i="2"/>
  <c r="R223" i="2"/>
  <c r="R224" i="2"/>
  <c r="R225" i="2"/>
  <c r="R226" i="2"/>
  <c r="R227" i="2"/>
  <c r="R228" i="2"/>
  <c r="R229" i="2"/>
  <c r="R230" i="2"/>
  <c r="R231" i="2"/>
  <c r="R232" i="2"/>
  <c r="R233" i="2"/>
  <c r="R234" i="2"/>
  <c r="R235" i="2"/>
  <c r="R236" i="2"/>
  <c r="R237" i="2"/>
  <c r="R238" i="2"/>
  <c r="R239" i="2"/>
  <c r="R240" i="2"/>
  <c r="R241" i="2"/>
  <c r="R242" i="2"/>
  <c r="R243" i="2"/>
  <c r="R244" i="2"/>
  <c r="R245" i="2"/>
  <c r="R246" i="2"/>
  <c r="R247" i="2"/>
  <c r="R248" i="2"/>
  <c r="R249" i="2"/>
  <c r="R250" i="2"/>
  <c r="R251" i="2"/>
  <c r="R252" i="2"/>
  <c r="R253" i="2"/>
  <c r="R254" i="2"/>
  <c r="R255" i="2"/>
  <c r="R256" i="2"/>
  <c r="R257" i="2"/>
  <c r="R258" i="2"/>
  <c r="R259" i="2"/>
  <c r="R260" i="2"/>
  <c r="R261" i="2"/>
  <c r="R262" i="2"/>
  <c r="R263" i="2"/>
  <c r="R264" i="2"/>
  <c r="R265" i="2"/>
  <c r="R266" i="2"/>
  <c r="R267" i="2"/>
  <c r="R268" i="2"/>
  <c r="R269" i="2"/>
  <c r="R270" i="2"/>
  <c r="R271" i="2"/>
  <c r="R272" i="2"/>
  <c r="R273" i="2"/>
  <c r="R274" i="2"/>
  <c r="R275" i="2"/>
  <c r="R276" i="2"/>
  <c r="R277" i="2"/>
  <c r="R278" i="2"/>
  <c r="R279" i="2"/>
  <c r="R280" i="2"/>
  <c r="R281" i="2"/>
  <c r="R282" i="2"/>
  <c r="R283" i="2"/>
  <c r="R284" i="2"/>
  <c r="R285" i="2"/>
  <c r="R286" i="2"/>
  <c r="R287" i="2"/>
  <c r="R288" i="2"/>
  <c r="R289" i="2"/>
  <c r="R290" i="2"/>
  <c r="R291" i="2"/>
  <c r="R292" i="2"/>
  <c r="R293" i="2"/>
  <c r="R294" i="2"/>
  <c r="R295" i="2"/>
  <c r="R296" i="2"/>
  <c r="R297" i="2"/>
  <c r="R298" i="2"/>
  <c r="R299" i="2"/>
  <c r="R300" i="2"/>
  <c r="R301" i="2"/>
  <c r="R302" i="2"/>
  <c r="R303" i="2"/>
  <c r="R304" i="2"/>
  <c r="R305" i="2"/>
  <c r="R306" i="2"/>
  <c r="R307" i="2"/>
  <c r="R308" i="2"/>
  <c r="R309" i="2"/>
  <c r="R310" i="2"/>
  <c r="R311" i="2"/>
  <c r="R312" i="2"/>
  <c r="R313" i="2"/>
  <c r="R314" i="2"/>
  <c r="R315" i="2"/>
  <c r="R316" i="2"/>
  <c r="R317" i="2"/>
  <c r="R318" i="2"/>
  <c r="R319" i="2"/>
  <c r="R320" i="2"/>
  <c r="R321" i="2"/>
  <c r="R322" i="2"/>
  <c r="R323" i="2"/>
  <c r="R324" i="2"/>
  <c r="R325" i="2"/>
  <c r="R326" i="2"/>
  <c r="R327" i="2"/>
  <c r="R328" i="2"/>
  <c r="R329" i="2"/>
  <c r="R330" i="2"/>
  <c r="R331" i="2"/>
  <c r="R332" i="2"/>
  <c r="R333" i="2"/>
  <c r="R334" i="2"/>
  <c r="R335" i="2"/>
  <c r="R336" i="2"/>
  <c r="R337" i="2"/>
  <c r="R338" i="2"/>
  <c r="R339" i="2"/>
  <c r="R340" i="2"/>
  <c r="R341" i="2"/>
  <c r="R342" i="2"/>
  <c r="R343" i="2"/>
  <c r="R344" i="2"/>
  <c r="R345" i="2"/>
  <c r="R346" i="2"/>
  <c r="R347" i="2"/>
  <c r="R348" i="2"/>
  <c r="R349" i="2"/>
  <c r="R350" i="2"/>
  <c r="R351" i="2"/>
  <c r="R352" i="2"/>
  <c r="R353" i="2"/>
  <c r="R354" i="2"/>
  <c r="R355" i="2"/>
  <c r="R356" i="2"/>
  <c r="R357" i="2"/>
  <c r="R358" i="2"/>
  <c r="R359" i="2"/>
  <c r="R360" i="2"/>
  <c r="R361" i="2"/>
  <c r="R362" i="2"/>
  <c r="R363" i="2"/>
  <c r="R364" i="2"/>
  <c r="R365" i="2"/>
  <c r="R366" i="2"/>
  <c r="R367" i="2"/>
  <c r="R368" i="2"/>
  <c r="R369" i="2"/>
  <c r="R370" i="2"/>
  <c r="R371" i="2"/>
  <c r="R372" i="2"/>
  <c r="R373" i="2"/>
  <c r="R374" i="2"/>
  <c r="R375" i="2"/>
  <c r="R376" i="2"/>
  <c r="R377" i="2"/>
  <c r="R378" i="2"/>
  <c r="R379" i="2"/>
  <c r="R380" i="2"/>
  <c r="R381" i="2"/>
  <c r="R382" i="2"/>
  <c r="R383" i="2"/>
  <c r="R384" i="2"/>
  <c r="R385" i="2"/>
  <c r="R386" i="2"/>
  <c r="R387" i="2"/>
  <c r="R388" i="2"/>
  <c r="R389" i="2"/>
  <c r="R390" i="2"/>
  <c r="R391" i="2"/>
  <c r="R392" i="2"/>
  <c r="R393" i="2"/>
  <c r="R394" i="2"/>
  <c r="R395" i="2"/>
  <c r="R396" i="2"/>
  <c r="R397" i="2"/>
  <c r="R398" i="2"/>
  <c r="R399" i="2"/>
  <c r="R400" i="2"/>
  <c r="R401" i="2"/>
  <c r="R402" i="2"/>
  <c r="R403" i="2"/>
  <c r="R404" i="2"/>
  <c r="R405" i="2"/>
  <c r="R406" i="2"/>
  <c r="R407" i="2"/>
  <c r="R408" i="2"/>
  <c r="R409" i="2"/>
  <c r="R410" i="2"/>
  <c r="R411" i="2"/>
  <c r="R412" i="2"/>
  <c r="R413" i="2"/>
  <c r="R414" i="2"/>
  <c r="R415" i="2"/>
  <c r="R416" i="2"/>
  <c r="R417" i="2"/>
  <c r="R418" i="2"/>
  <c r="R419" i="2"/>
  <c r="R420" i="2"/>
  <c r="R421" i="2"/>
  <c r="R422" i="2"/>
  <c r="R423" i="2"/>
  <c r="R424" i="2"/>
  <c r="R425" i="2"/>
  <c r="R426" i="2"/>
  <c r="R427" i="2"/>
  <c r="R428" i="2"/>
  <c r="R429" i="2"/>
  <c r="R430" i="2"/>
  <c r="R431" i="2"/>
  <c r="R432" i="2"/>
  <c r="R433" i="2"/>
  <c r="R434" i="2"/>
  <c r="R435" i="2"/>
  <c r="R436" i="2"/>
  <c r="R437" i="2"/>
  <c r="R438" i="2"/>
  <c r="R439" i="2"/>
  <c r="R440" i="2"/>
  <c r="R441" i="2"/>
  <c r="R442" i="2"/>
  <c r="R443" i="2"/>
  <c r="R444" i="2"/>
  <c r="R445" i="2"/>
  <c r="R446" i="2"/>
  <c r="R447" i="2"/>
  <c r="R448" i="2"/>
  <c r="R449" i="2"/>
  <c r="R450" i="2"/>
  <c r="R451" i="2"/>
  <c r="R452" i="2"/>
  <c r="R453" i="2"/>
  <c r="R454" i="2"/>
  <c r="R455" i="2"/>
  <c r="R456" i="2"/>
  <c r="R457" i="2"/>
  <c r="R458" i="2"/>
  <c r="R459" i="2"/>
  <c r="R460" i="2"/>
  <c r="R461" i="2"/>
  <c r="R462" i="2"/>
  <c r="R463" i="2"/>
  <c r="R464" i="2"/>
  <c r="R465" i="2"/>
  <c r="R466" i="2"/>
  <c r="R467" i="2"/>
  <c r="R468" i="2"/>
  <c r="R469" i="2"/>
  <c r="R470" i="2"/>
  <c r="R471" i="2"/>
  <c r="R472" i="2"/>
  <c r="R473" i="2"/>
  <c r="R474" i="2"/>
  <c r="R475" i="2"/>
  <c r="R476" i="2"/>
  <c r="R477" i="2"/>
  <c r="R478" i="2"/>
  <c r="R479" i="2"/>
  <c r="R480" i="2"/>
  <c r="R481" i="2"/>
  <c r="R482" i="2"/>
  <c r="R483" i="2"/>
  <c r="R484" i="2"/>
  <c r="R485" i="2"/>
  <c r="R486" i="2"/>
  <c r="R487" i="2"/>
  <c r="R488" i="2"/>
  <c r="R489" i="2"/>
  <c r="R490" i="2"/>
  <c r="R491" i="2"/>
  <c r="R492" i="2"/>
  <c r="R493" i="2"/>
  <c r="R494" i="2"/>
  <c r="R495" i="2"/>
  <c r="R496" i="2"/>
  <c r="R497" i="2"/>
  <c r="R498" i="2"/>
  <c r="R499" i="2"/>
  <c r="R500" i="2"/>
  <c r="R501" i="2"/>
  <c r="R502" i="2"/>
  <c r="Q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103" i="2"/>
  <c r="Q104" i="2"/>
  <c r="Q105" i="2"/>
  <c r="Q106" i="2"/>
  <c r="Q107" i="2"/>
  <c r="Q108" i="2"/>
  <c r="Q109" i="2"/>
  <c r="Q110" i="2"/>
  <c r="Q111" i="2"/>
  <c r="Q112" i="2"/>
  <c r="Q113" i="2"/>
  <c r="Q114" i="2"/>
  <c r="Q115" i="2"/>
  <c r="Q116" i="2"/>
  <c r="Q117" i="2"/>
  <c r="Q118" i="2"/>
  <c r="Q119" i="2"/>
  <c r="Q120" i="2"/>
  <c r="Q121" i="2"/>
  <c r="Q122" i="2"/>
  <c r="Q123" i="2"/>
  <c r="Q124" i="2"/>
  <c r="Q125" i="2"/>
  <c r="Q126" i="2"/>
  <c r="Q127" i="2"/>
  <c r="Q128" i="2"/>
  <c r="Q129" i="2"/>
  <c r="Q130" i="2"/>
  <c r="Q131" i="2"/>
  <c r="Q132" i="2"/>
  <c r="Q133" i="2"/>
  <c r="Q134" i="2"/>
  <c r="Q135" i="2"/>
  <c r="Q136" i="2"/>
  <c r="Q137" i="2"/>
  <c r="Q138" i="2"/>
  <c r="Q139" i="2"/>
  <c r="Q140" i="2"/>
  <c r="Q141" i="2"/>
  <c r="Q142" i="2"/>
  <c r="Q143" i="2"/>
  <c r="Q144" i="2"/>
  <c r="Q145" i="2"/>
  <c r="Q146" i="2"/>
  <c r="Q147" i="2"/>
  <c r="Q148" i="2"/>
  <c r="Q149" i="2"/>
  <c r="Q150" i="2"/>
  <c r="Q151" i="2"/>
  <c r="Q152" i="2"/>
  <c r="Q153" i="2"/>
  <c r="Q154" i="2"/>
  <c r="Q155" i="2"/>
  <c r="Q156" i="2"/>
  <c r="Q157" i="2"/>
  <c r="Q158" i="2"/>
  <c r="Q159" i="2"/>
  <c r="Q160" i="2"/>
  <c r="Q161" i="2"/>
  <c r="Q162" i="2"/>
  <c r="Q163" i="2"/>
  <c r="Q164" i="2"/>
  <c r="Q165" i="2"/>
  <c r="Q166" i="2"/>
  <c r="Q167" i="2"/>
  <c r="Q168" i="2"/>
  <c r="Q169" i="2"/>
  <c r="Q170" i="2"/>
  <c r="Q171" i="2"/>
  <c r="Q172" i="2"/>
  <c r="Q173" i="2"/>
  <c r="Q174" i="2"/>
  <c r="Q175" i="2"/>
  <c r="Q176" i="2"/>
  <c r="Q177" i="2"/>
  <c r="Q178" i="2"/>
  <c r="Q179" i="2"/>
  <c r="Q180" i="2"/>
  <c r="Q181" i="2"/>
  <c r="Q182" i="2"/>
  <c r="Q183" i="2"/>
  <c r="Q184" i="2"/>
  <c r="Q185" i="2"/>
  <c r="Q186" i="2"/>
  <c r="Q187" i="2"/>
  <c r="Q188" i="2"/>
  <c r="Q189" i="2"/>
  <c r="Q190" i="2"/>
  <c r="Q191" i="2"/>
  <c r="Q192" i="2"/>
  <c r="Q193" i="2"/>
  <c r="Q194" i="2"/>
  <c r="Q195" i="2"/>
  <c r="Q196" i="2"/>
  <c r="Q197" i="2"/>
  <c r="Q198" i="2"/>
  <c r="Q199" i="2"/>
  <c r="Q200" i="2"/>
  <c r="Q201" i="2"/>
  <c r="Q202" i="2"/>
  <c r="Q203" i="2"/>
  <c r="Q204" i="2"/>
  <c r="Q205" i="2"/>
  <c r="Q206" i="2"/>
  <c r="Q207" i="2"/>
  <c r="Q208" i="2"/>
  <c r="Q209" i="2"/>
  <c r="Q210" i="2"/>
  <c r="Q211" i="2"/>
  <c r="Q212" i="2"/>
  <c r="Q213" i="2"/>
  <c r="Q214" i="2"/>
  <c r="Q215" i="2"/>
  <c r="Q216" i="2"/>
  <c r="Q217" i="2"/>
  <c r="Q218" i="2"/>
  <c r="Q219" i="2"/>
  <c r="Q220" i="2"/>
  <c r="Q221" i="2"/>
  <c r="Q222" i="2"/>
  <c r="Q223" i="2"/>
  <c r="Q224" i="2"/>
  <c r="Q225" i="2"/>
  <c r="Q226" i="2"/>
  <c r="Q227" i="2"/>
  <c r="Q228" i="2"/>
  <c r="Q229" i="2"/>
  <c r="Q230" i="2"/>
  <c r="Q231" i="2"/>
  <c r="Q232" i="2"/>
  <c r="Q233" i="2"/>
  <c r="Q234" i="2"/>
  <c r="Q235" i="2"/>
  <c r="Q236" i="2"/>
  <c r="Q237" i="2"/>
  <c r="Q238" i="2"/>
  <c r="Q239" i="2"/>
  <c r="Q240" i="2"/>
  <c r="Q241" i="2"/>
  <c r="Q242" i="2"/>
  <c r="Q243" i="2"/>
  <c r="Q244" i="2"/>
  <c r="Q245" i="2"/>
  <c r="Q246" i="2"/>
  <c r="Q247" i="2"/>
  <c r="Q248" i="2"/>
  <c r="Q249" i="2"/>
  <c r="Q250" i="2"/>
  <c r="Q251" i="2"/>
  <c r="Q252" i="2"/>
  <c r="Q253" i="2"/>
  <c r="Q254" i="2"/>
  <c r="Q255" i="2"/>
  <c r="Q256" i="2"/>
  <c r="Q257" i="2"/>
  <c r="Q258" i="2"/>
  <c r="Q259" i="2"/>
  <c r="Q260" i="2"/>
  <c r="Q261" i="2"/>
  <c r="Q262" i="2"/>
  <c r="Q263" i="2"/>
  <c r="Q264" i="2"/>
  <c r="Q265" i="2"/>
  <c r="Q266" i="2"/>
  <c r="Q267" i="2"/>
  <c r="Q268" i="2"/>
  <c r="Q269" i="2"/>
  <c r="Q270" i="2"/>
  <c r="Q271" i="2"/>
  <c r="Q272" i="2"/>
  <c r="Q273" i="2"/>
  <c r="Q274" i="2"/>
  <c r="Q275" i="2"/>
  <c r="Q276" i="2"/>
  <c r="Q277" i="2"/>
  <c r="Q278" i="2"/>
  <c r="Q279" i="2"/>
  <c r="Q280" i="2"/>
  <c r="Q281" i="2"/>
  <c r="Q282" i="2"/>
  <c r="Q283" i="2"/>
  <c r="Q284" i="2"/>
  <c r="Q285" i="2"/>
  <c r="Q286" i="2"/>
  <c r="Q287" i="2"/>
  <c r="Q288" i="2"/>
  <c r="Q289" i="2"/>
  <c r="Q290" i="2"/>
  <c r="Q291" i="2"/>
  <c r="Q292" i="2"/>
  <c r="Q293" i="2"/>
  <c r="Q294" i="2"/>
  <c r="Q295" i="2"/>
  <c r="Q296" i="2"/>
  <c r="Q297" i="2"/>
  <c r="Q298" i="2"/>
  <c r="Q299" i="2"/>
  <c r="Q300" i="2"/>
  <c r="Q301" i="2"/>
  <c r="Q302" i="2"/>
  <c r="Q303" i="2"/>
  <c r="Q304" i="2"/>
  <c r="Q305" i="2"/>
  <c r="Q306" i="2"/>
  <c r="Q307" i="2"/>
  <c r="Q308" i="2"/>
  <c r="Q309" i="2"/>
  <c r="Q310" i="2"/>
  <c r="Q311" i="2"/>
  <c r="Q312" i="2"/>
  <c r="Q313" i="2"/>
  <c r="Q314" i="2"/>
  <c r="Q315" i="2"/>
  <c r="Q316" i="2"/>
  <c r="Q317" i="2"/>
  <c r="Q318" i="2"/>
  <c r="Q319" i="2"/>
  <c r="Q320" i="2"/>
  <c r="Q321" i="2"/>
  <c r="Q322" i="2"/>
  <c r="Q323" i="2"/>
  <c r="Q324" i="2"/>
  <c r="Q325" i="2"/>
  <c r="Q326" i="2"/>
  <c r="Q327" i="2"/>
  <c r="Q328" i="2"/>
  <c r="Q329" i="2"/>
  <c r="Q330" i="2"/>
  <c r="Q331" i="2"/>
  <c r="Q332" i="2"/>
  <c r="Q333" i="2"/>
  <c r="Q334" i="2"/>
  <c r="Q335" i="2"/>
  <c r="Q336" i="2"/>
  <c r="Q337" i="2"/>
  <c r="Q338" i="2"/>
  <c r="Q339" i="2"/>
  <c r="Q340" i="2"/>
  <c r="Q341" i="2"/>
  <c r="Q342" i="2"/>
  <c r="Q343" i="2"/>
  <c r="Q344" i="2"/>
  <c r="Q345" i="2"/>
  <c r="Q346" i="2"/>
  <c r="Q347" i="2"/>
  <c r="Q348" i="2"/>
  <c r="Q349" i="2"/>
  <c r="Q350" i="2"/>
  <c r="Q351" i="2"/>
  <c r="Q352" i="2"/>
  <c r="Q353" i="2"/>
  <c r="Q354" i="2"/>
  <c r="Q355" i="2"/>
  <c r="Q356" i="2"/>
  <c r="Q357" i="2"/>
  <c r="Q358" i="2"/>
  <c r="Q359" i="2"/>
  <c r="Q360" i="2"/>
  <c r="Q361" i="2"/>
  <c r="Q362" i="2"/>
  <c r="Q363" i="2"/>
  <c r="Q364" i="2"/>
  <c r="Q365" i="2"/>
  <c r="Q366" i="2"/>
  <c r="Q367" i="2"/>
  <c r="Q368" i="2"/>
  <c r="Q369" i="2"/>
  <c r="Q370" i="2"/>
  <c r="Q371" i="2"/>
  <c r="Q372" i="2"/>
  <c r="Q373" i="2"/>
  <c r="Q374" i="2"/>
  <c r="Q375" i="2"/>
  <c r="Q376" i="2"/>
  <c r="Q377" i="2"/>
  <c r="Q378" i="2"/>
  <c r="Q379" i="2"/>
  <c r="Q380" i="2"/>
  <c r="Q381" i="2"/>
  <c r="Q382" i="2"/>
  <c r="Q383" i="2"/>
  <c r="Q384" i="2"/>
  <c r="Q385" i="2"/>
  <c r="Q386" i="2"/>
  <c r="Q387" i="2"/>
  <c r="Q388" i="2"/>
  <c r="Q389" i="2"/>
  <c r="Q390" i="2"/>
  <c r="Q391" i="2"/>
  <c r="Q392" i="2"/>
  <c r="Q393" i="2"/>
  <c r="Q394" i="2"/>
  <c r="Q395" i="2"/>
  <c r="Q396" i="2"/>
  <c r="Q397" i="2"/>
  <c r="Q398" i="2"/>
  <c r="Q399" i="2"/>
  <c r="Q400" i="2"/>
  <c r="Q401" i="2"/>
  <c r="Q402" i="2"/>
  <c r="Q403" i="2"/>
  <c r="Q404" i="2"/>
  <c r="Q405" i="2"/>
  <c r="Q406" i="2"/>
  <c r="Q407" i="2"/>
  <c r="Q408" i="2"/>
  <c r="Q409" i="2"/>
  <c r="Q410" i="2"/>
  <c r="Q411" i="2"/>
  <c r="Q412" i="2"/>
  <c r="Q413" i="2"/>
  <c r="Q414" i="2"/>
  <c r="Q415" i="2"/>
  <c r="Q416" i="2"/>
  <c r="Q417" i="2"/>
  <c r="Q418" i="2"/>
  <c r="Q419" i="2"/>
  <c r="Q420" i="2"/>
  <c r="Q421" i="2"/>
  <c r="Q422" i="2"/>
  <c r="Q423" i="2"/>
  <c r="Q424" i="2"/>
  <c r="Q425" i="2"/>
  <c r="Q426" i="2"/>
  <c r="Q427" i="2"/>
  <c r="Q428" i="2"/>
  <c r="Q429" i="2"/>
  <c r="Q430" i="2"/>
  <c r="Q431" i="2"/>
  <c r="Q432" i="2"/>
  <c r="Q433" i="2"/>
  <c r="Q434" i="2"/>
  <c r="Q435" i="2"/>
  <c r="Q436" i="2"/>
  <c r="Q437" i="2"/>
  <c r="Q438" i="2"/>
  <c r="Q439" i="2"/>
  <c r="Q440" i="2"/>
  <c r="Q441" i="2"/>
  <c r="Q442" i="2"/>
  <c r="Q443" i="2"/>
  <c r="Q444" i="2"/>
  <c r="Q445" i="2"/>
  <c r="Q446" i="2"/>
  <c r="Q447" i="2"/>
  <c r="Q448" i="2"/>
  <c r="Q449" i="2"/>
  <c r="Q450" i="2"/>
  <c r="Q451" i="2"/>
  <c r="Q452" i="2"/>
  <c r="Q453" i="2"/>
  <c r="Q454" i="2"/>
  <c r="Q455" i="2"/>
  <c r="Q456" i="2"/>
  <c r="Q457" i="2"/>
  <c r="Q458" i="2"/>
  <c r="Q459" i="2"/>
  <c r="Q460" i="2"/>
  <c r="Q461" i="2"/>
  <c r="Q462" i="2"/>
  <c r="Q463" i="2"/>
  <c r="Q464" i="2"/>
  <c r="Q465" i="2"/>
  <c r="Q466" i="2"/>
  <c r="Q467" i="2"/>
  <c r="Q468" i="2"/>
  <c r="Q469" i="2"/>
  <c r="Q470" i="2"/>
  <c r="Q471" i="2"/>
  <c r="Q472" i="2"/>
  <c r="Q473" i="2"/>
  <c r="Q474" i="2"/>
  <c r="Q475" i="2"/>
  <c r="Q476" i="2"/>
  <c r="Q477" i="2"/>
  <c r="Q478" i="2"/>
  <c r="Q479" i="2"/>
  <c r="Q480" i="2"/>
  <c r="Q481" i="2"/>
  <c r="Q482" i="2"/>
  <c r="Q483" i="2"/>
  <c r="Q484" i="2"/>
  <c r="Q485" i="2"/>
  <c r="Q486" i="2"/>
  <c r="Q487" i="2"/>
  <c r="Q488" i="2"/>
  <c r="Q489" i="2"/>
  <c r="Q490" i="2"/>
  <c r="Q491" i="2"/>
  <c r="Q492" i="2"/>
  <c r="Q493" i="2"/>
  <c r="Q494" i="2"/>
  <c r="Q495" i="2"/>
  <c r="Q496" i="2"/>
  <c r="Q497" i="2"/>
  <c r="Q498" i="2"/>
  <c r="Q499" i="2"/>
  <c r="Q500" i="2"/>
  <c r="Q501" i="2"/>
  <c r="Q502" i="2"/>
  <c r="P3" i="2"/>
  <c r="P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P370" i="2"/>
  <c r="P371" i="2"/>
  <c r="P372" i="2"/>
  <c r="P373" i="2"/>
  <c r="P374" i="2"/>
  <c r="P375" i="2"/>
  <c r="P376" i="2"/>
  <c r="P377" i="2"/>
  <c r="P378" i="2"/>
  <c r="P379" i="2"/>
  <c r="P380" i="2"/>
  <c r="P381" i="2"/>
  <c r="P382" i="2"/>
  <c r="P383" i="2"/>
  <c r="P384" i="2"/>
  <c r="P385" i="2"/>
  <c r="P386" i="2"/>
  <c r="P387" i="2"/>
  <c r="P388" i="2"/>
  <c r="P389" i="2"/>
  <c r="P390" i="2"/>
  <c r="P391" i="2"/>
  <c r="P392" i="2"/>
  <c r="P393" i="2"/>
  <c r="P394" i="2"/>
  <c r="P395" i="2"/>
  <c r="P396" i="2"/>
  <c r="P397" i="2"/>
  <c r="P398" i="2"/>
  <c r="P399" i="2"/>
  <c r="P400" i="2"/>
  <c r="P401" i="2"/>
  <c r="P402" i="2"/>
  <c r="P403" i="2"/>
  <c r="P404" i="2"/>
  <c r="P405" i="2"/>
  <c r="P406" i="2"/>
  <c r="P407" i="2"/>
  <c r="P408" i="2"/>
  <c r="P409" i="2"/>
  <c r="P410" i="2"/>
  <c r="P411" i="2"/>
  <c r="P412" i="2"/>
  <c r="P413" i="2"/>
  <c r="P414" i="2"/>
  <c r="P415" i="2"/>
  <c r="P416" i="2"/>
  <c r="P417" i="2"/>
  <c r="P418" i="2"/>
  <c r="P419" i="2"/>
  <c r="P420" i="2"/>
  <c r="P421" i="2"/>
  <c r="P422" i="2"/>
  <c r="P423" i="2"/>
  <c r="P424" i="2"/>
  <c r="P425" i="2"/>
  <c r="P426" i="2"/>
  <c r="P427" i="2"/>
  <c r="P428" i="2"/>
  <c r="P429" i="2"/>
  <c r="P430" i="2"/>
  <c r="P431" i="2"/>
  <c r="P432" i="2"/>
  <c r="P433" i="2"/>
  <c r="P434" i="2"/>
  <c r="P435" i="2"/>
  <c r="P436" i="2"/>
  <c r="P437" i="2"/>
  <c r="P438" i="2"/>
  <c r="P439" i="2"/>
  <c r="P440" i="2"/>
  <c r="P441" i="2"/>
  <c r="P442" i="2"/>
  <c r="P443" i="2"/>
  <c r="P444" i="2"/>
  <c r="P445" i="2"/>
  <c r="P446" i="2"/>
  <c r="P447" i="2"/>
  <c r="P448" i="2"/>
  <c r="P449" i="2"/>
  <c r="P450" i="2"/>
  <c r="P451" i="2"/>
  <c r="P452" i="2"/>
  <c r="P453" i="2"/>
  <c r="P454" i="2"/>
  <c r="P455" i="2"/>
  <c r="P456" i="2"/>
  <c r="P457" i="2"/>
  <c r="P458" i="2"/>
  <c r="P459" i="2"/>
  <c r="P460" i="2"/>
  <c r="P461" i="2"/>
  <c r="P462" i="2"/>
  <c r="P463" i="2"/>
  <c r="P464" i="2"/>
  <c r="P465" i="2"/>
  <c r="P466" i="2"/>
  <c r="P467" i="2"/>
  <c r="P468" i="2"/>
  <c r="P469" i="2"/>
  <c r="P470" i="2"/>
  <c r="P471" i="2"/>
  <c r="P472" i="2"/>
  <c r="P473" i="2"/>
  <c r="P474" i="2"/>
  <c r="P475" i="2"/>
  <c r="P476" i="2"/>
  <c r="P477" i="2"/>
  <c r="P478" i="2"/>
  <c r="P479" i="2"/>
  <c r="P480" i="2"/>
  <c r="P481" i="2"/>
  <c r="P482" i="2"/>
  <c r="P483" i="2"/>
  <c r="P484" i="2"/>
  <c r="P485" i="2"/>
  <c r="P486" i="2"/>
  <c r="P487" i="2"/>
  <c r="P488" i="2"/>
  <c r="P489" i="2"/>
  <c r="P490" i="2"/>
  <c r="P491" i="2"/>
  <c r="P492" i="2"/>
  <c r="P493" i="2"/>
  <c r="P494" i="2"/>
  <c r="P495" i="2"/>
  <c r="P496" i="2"/>
  <c r="P497" i="2"/>
  <c r="P498" i="2"/>
  <c r="P499" i="2"/>
  <c r="P500" i="2"/>
  <c r="P501" i="2"/>
  <c r="P502" i="2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121" i="2"/>
  <c r="O122" i="2"/>
  <c r="O123" i="2"/>
  <c r="O124" i="2"/>
  <c r="O125" i="2"/>
  <c r="O126" i="2"/>
  <c r="O127" i="2"/>
  <c r="O128" i="2"/>
  <c r="O129" i="2"/>
  <c r="O130" i="2"/>
  <c r="O131" i="2"/>
  <c r="O132" i="2"/>
  <c r="O133" i="2"/>
  <c r="O134" i="2"/>
  <c r="O135" i="2"/>
  <c r="O136" i="2"/>
  <c r="O137" i="2"/>
  <c r="O138" i="2"/>
  <c r="O139" i="2"/>
  <c r="O140" i="2"/>
  <c r="O141" i="2"/>
  <c r="O142" i="2"/>
  <c r="O143" i="2"/>
  <c r="O144" i="2"/>
  <c r="O145" i="2"/>
  <c r="O146" i="2"/>
  <c r="O147" i="2"/>
  <c r="O148" i="2"/>
  <c r="O149" i="2"/>
  <c r="O150" i="2"/>
  <c r="O151" i="2"/>
  <c r="O152" i="2"/>
  <c r="O153" i="2"/>
  <c r="O154" i="2"/>
  <c r="O155" i="2"/>
  <c r="O156" i="2"/>
  <c r="O157" i="2"/>
  <c r="O158" i="2"/>
  <c r="O159" i="2"/>
  <c r="O160" i="2"/>
  <c r="O161" i="2"/>
  <c r="O162" i="2"/>
  <c r="O163" i="2"/>
  <c r="O164" i="2"/>
  <c r="O165" i="2"/>
  <c r="O166" i="2"/>
  <c r="O167" i="2"/>
  <c r="O168" i="2"/>
  <c r="O169" i="2"/>
  <c r="O170" i="2"/>
  <c r="O171" i="2"/>
  <c r="O172" i="2"/>
  <c r="O173" i="2"/>
  <c r="O174" i="2"/>
  <c r="O175" i="2"/>
  <c r="O176" i="2"/>
  <c r="O177" i="2"/>
  <c r="O178" i="2"/>
  <c r="O179" i="2"/>
  <c r="O180" i="2"/>
  <c r="O181" i="2"/>
  <c r="O182" i="2"/>
  <c r="O183" i="2"/>
  <c r="O184" i="2"/>
  <c r="O185" i="2"/>
  <c r="O186" i="2"/>
  <c r="O187" i="2"/>
  <c r="O188" i="2"/>
  <c r="O189" i="2"/>
  <c r="O190" i="2"/>
  <c r="O191" i="2"/>
  <c r="O192" i="2"/>
  <c r="O193" i="2"/>
  <c r="O194" i="2"/>
  <c r="O195" i="2"/>
  <c r="O196" i="2"/>
  <c r="O197" i="2"/>
  <c r="O198" i="2"/>
  <c r="O199" i="2"/>
  <c r="O200" i="2"/>
  <c r="O201" i="2"/>
  <c r="O202" i="2"/>
  <c r="O203" i="2"/>
  <c r="O204" i="2"/>
  <c r="O205" i="2"/>
  <c r="O206" i="2"/>
  <c r="O207" i="2"/>
  <c r="O208" i="2"/>
  <c r="O209" i="2"/>
  <c r="O210" i="2"/>
  <c r="O211" i="2"/>
  <c r="O212" i="2"/>
  <c r="O213" i="2"/>
  <c r="O214" i="2"/>
  <c r="O215" i="2"/>
  <c r="O216" i="2"/>
  <c r="O217" i="2"/>
  <c r="O218" i="2"/>
  <c r="O219" i="2"/>
  <c r="O220" i="2"/>
  <c r="O221" i="2"/>
  <c r="O222" i="2"/>
  <c r="O223" i="2"/>
  <c r="O224" i="2"/>
  <c r="O225" i="2"/>
  <c r="O226" i="2"/>
  <c r="O227" i="2"/>
  <c r="O228" i="2"/>
  <c r="O229" i="2"/>
  <c r="O230" i="2"/>
  <c r="O231" i="2"/>
  <c r="O232" i="2"/>
  <c r="O233" i="2"/>
  <c r="O234" i="2"/>
  <c r="O235" i="2"/>
  <c r="O236" i="2"/>
  <c r="O237" i="2"/>
  <c r="O238" i="2"/>
  <c r="O239" i="2"/>
  <c r="O240" i="2"/>
  <c r="O241" i="2"/>
  <c r="O242" i="2"/>
  <c r="O243" i="2"/>
  <c r="O244" i="2"/>
  <c r="O245" i="2"/>
  <c r="O246" i="2"/>
  <c r="O247" i="2"/>
  <c r="O248" i="2"/>
  <c r="O249" i="2"/>
  <c r="O250" i="2"/>
  <c r="O251" i="2"/>
  <c r="O252" i="2"/>
  <c r="O253" i="2"/>
  <c r="O254" i="2"/>
  <c r="O255" i="2"/>
  <c r="O256" i="2"/>
  <c r="O257" i="2"/>
  <c r="O258" i="2"/>
  <c r="O259" i="2"/>
  <c r="O260" i="2"/>
  <c r="O261" i="2"/>
  <c r="O262" i="2"/>
  <c r="O263" i="2"/>
  <c r="O264" i="2"/>
  <c r="O265" i="2"/>
  <c r="O266" i="2"/>
  <c r="O267" i="2"/>
  <c r="O268" i="2"/>
  <c r="O269" i="2"/>
  <c r="O270" i="2"/>
  <c r="O271" i="2"/>
  <c r="O272" i="2"/>
  <c r="O273" i="2"/>
  <c r="O274" i="2"/>
  <c r="O275" i="2"/>
  <c r="O276" i="2"/>
  <c r="O277" i="2"/>
  <c r="O278" i="2"/>
  <c r="O279" i="2"/>
  <c r="O280" i="2"/>
  <c r="O281" i="2"/>
  <c r="O282" i="2"/>
  <c r="O283" i="2"/>
  <c r="O284" i="2"/>
  <c r="O285" i="2"/>
  <c r="O286" i="2"/>
  <c r="O287" i="2"/>
  <c r="O288" i="2"/>
  <c r="O289" i="2"/>
  <c r="O290" i="2"/>
  <c r="O291" i="2"/>
  <c r="O292" i="2"/>
  <c r="O293" i="2"/>
  <c r="O294" i="2"/>
  <c r="O295" i="2"/>
  <c r="O296" i="2"/>
  <c r="O297" i="2"/>
  <c r="O298" i="2"/>
  <c r="O299" i="2"/>
  <c r="O300" i="2"/>
  <c r="O301" i="2"/>
  <c r="O302" i="2"/>
  <c r="O303" i="2"/>
  <c r="O304" i="2"/>
  <c r="O305" i="2"/>
  <c r="O306" i="2"/>
  <c r="O307" i="2"/>
  <c r="O308" i="2"/>
  <c r="O309" i="2"/>
  <c r="O310" i="2"/>
  <c r="O311" i="2"/>
  <c r="O312" i="2"/>
  <c r="O313" i="2"/>
  <c r="O314" i="2"/>
  <c r="O315" i="2"/>
  <c r="O316" i="2"/>
  <c r="O317" i="2"/>
  <c r="O318" i="2"/>
  <c r="O319" i="2"/>
  <c r="O320" i="2"/>
  <c r="O321" i="2"/>
  <c r="O322" i="2"/>
  <c r="O323" i="2"/>
  <c r="O324" i="2"/>
  <c r="O325" i="2"/>
  <c r="O326" i="2"/>
  <c r="O327" i="2"/>
  <c r="O328" i="2"/>
  <c r="O329" i="2"/>
  <c r="O330" i="2"/>
  <c r="O331" i="2"/>
  <c r="O332" i="2"/>
  <c r="O333" i="2"/>
  <c r="O334" i="2"/>
  <c r="O335" i="2"/>
  <c r="O336" i="2"/>
  <c r="O337" i="2"/>
  <c r="O338" i="2"/>
  <c r="O339" i="2"/>
  <c r="O340" i="2"/>
  <c r="O341" i="2"/>
  <c r="O342" i="2"/>
  <c r="O343" i="2"/>
  <c r="O344" i="2"/>
  <c r="O345" i="2"/>
  <c r="O346" i="2"/>
  <c r="O347" i="2"/>
  <c r="O348" i="2"/>
  <c r="O349" i="2"/>
  <c r="O350" i="2"/>
  <c r="O351" i="2"/>
  <c r="O352" i="2"/>
  <c r="O353" i="2"/>
  <c r="O354" i="2"/>
  <c r="O355" i="2"/>
  <c r="O356" i="2"/>
  <c r="O357" i="2"/>
  <c r="O358" i="2"/>
  <c r="O359" i="2"/>
  <c r="O360" i="2"/>
  <c r="O361" i="2"/>
  <c r="O362" i="2"/>
  <c r="O363" i="2"/>
  <c r="O364" i="2"/>
  <c r="O365" i="2"/>
  <c r="O366" i="2"/>
  <c r="O367" i="2"/>
  <c r="O368" i="2"/>
  <c r="O369" i="2"/>
  <c r="O370" i="2"/>
  <c r="O371" i="2"/>
  <c r="O372" i="2"/>
  <c r="O373" i="2"/>
  <c r="O374" i="2"/>
  <c r="O375" i="2"/>
  <c r="O376" i="2"/>
  <c r="O377" i="2"/>
  <c r="O378" i="2"/>
  <c r="O379" i="2"/>
  <c r="O380" i="2"/>
  <c r="O381" i="2"/>
  <c r="O382" i="2"/>
  <c r="O383" i="2"/>
  <c r="O384" i="2"/>
  <c r="O385" i="2"/>
  <c r="O386" i="2"/>
  <c r="O387" i="2"/>
  <c r="O388" i="2"/>
  <c r="O389" i="2"/>
  <c r="O390" i="2"/>
  <c r="O391" i="2"/>
  <c r="O392" i="2"/>
  <c r="O393" i="2"/>
  <c r="O394" i="2"/>
  <c r="O395" i="2"/>
  <c r="O396" i="2"/>
  <c r="O397" i="2"/>
  <c r="O398" i="2"/>
  <c r="O399" i="2"/>
  <c r="O400" i="2"/>
  <c r="O401" i="2"/>
  <c r="O402" i="2"/>
  <c r="O403" i="2"/>
  <c r="O404" i="2"/>
  <c r="O405" i="2"/>
  <c r="O406" i="2"/>
  <c r="O407" i="2"/>
  <c r="O408" i="2"/>
  <c r="O409" i="2"/>
  <c r="O410" i="2"/>
  <c r="O411" i="2"/>
  <c r="O412" i="2"/>
  <c r="O413" i="2"/>
  <c r="O414" i="2"/>
  <c r="O415" i="2"/>
  <c r="O416" i="2"/>
  <c r="O417" i="2"/>
  <c r="O418" i="2"/>
  <c r="O419" i="2"/>
  <c r="O420" i="2"/>
  <c r="O421" i="2"/>
  <c r="O422" i="2"/>
  <c r="O423" i="2"/>
  <c r="O424" i="2"/>
  <c r="O425" i="2"/>
  <c r="O426" i="2"/>
  <c r="O427" i="2"/>
  <c r="O428" i="2"/>
  <c r="O429" i="2"/>
  <c r="O430" i="2"/>
  <c r="O431" i="2"/>
  <c r="O432" i="2"/>
  <c r="O433" i="2"/>
  <c r="O434" i="2"/>
  <c r="O435" i="2"/>
  <c r="O436" i="2"/>
  <c r="O437" i="2"/>
  <c r="O438" i="2"/>
  <c r="O439" i="2"/>
  <c r="O440" i="2"/>
  <c r="O441" i="2"/>
  <c r="O442" i="2"/>
  <c r="O443" i="2"/>
  <c r="O444" i="2"/>
  <c r="O445" i="2"/>
  <c r="O446" i="2"/>
  <c r="O447" i="2"/>
  <c r="O448" i="2"/>
  <c r="O449" i="2"/>
  <c r="O450" i="2"/>
  <c r="O451" i="2"/>
  <c r="O452" i="2"/>
  <c r="O453" i="2"/>
  <c r="O454" i="2"/>
  <c r="O455" i="2"/>
  <c r="O456" i="2"/>
  <c r="O457" i="2"/>
  <c r="O458" i="2"/>
  <c r="O459" i="2"/>
  <c r="O460" i="2"/>
  <c r="O461" i="2"/>
  <c r="O462" i="2"/>
  <c r="O463" i="2"/>
  <c r="O464" i="2"/>
  <c r="O465" i="2"/>
  <c r="O466" i="2"/>
  <c r="O467" i="2"/>
  <c r="O468" i="2"/>
  <c r="O469" i="2"/>
  <c r="O470" i="2"/>
  <c r="O471" i="2"/>
  <c r="O472" i="2"/>
  <c r="O473" i="2"/>
  <c r="O474" i="2"/>
  <c r="O475" i="2"/>
  <c r="O476" i="2"/>
  <c r="O477" i="2"/>
  <c r="O478" i="2"/>
  <c r="O479" i="2"/>
  <c r="O480" i="2"/>
  <c r="O481" i="2"/>
  <c r="O482" i="2"/>
  <c r="O483" i="2"/>
  <c r="O484" i="2"/>
  <c r="O485" i="2"/>
  <c r="O486" i="2"/>
  <c r="O487" i="2"/>
  <c r="O488" i="2"/>
  <c r="O489" i="2"/>
  <c r="O490" i="2"/>
  <c r="O491" i="2"/>
  <c r="O492" i="2"/>
  <c r="O493" i="2"/>
  <c r="O494" i="2"/>
  <c r="O495" i="2"/>
  <c r="O496" i="2"/>
  <c r="O497" i="2"/>
  <c r="O498" i="2"/>
  <c r="O499" i="2"/>
  <c r="O500" i="2"/>
  <c r="O501" i="2"/>
  <c r="O502" i="2"/>
  <c r="N3" i="2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N369" i="2"/>
  <c r="N370" i="2"/>
  <c r="N371" i="2"/>
  <c r="N372" i="2"/>
  <c r="N373" i="2"/>
  <c r="N374" i="2"/>
  <c r="N375" i="2"/>
  <c r="N376" i="2"/>
  <c r="N377" i="2"/>
  <c r="N378" i="2"/>
  <c r="N379" i="2"/>
  <c r="N380" i="2"/>
  <c r="N381" i="2"/>
  <c r="N382" i="2"/>
  <c r="N383" i="2"/>
  <c r="N384" i="2"/>
  <c r="N385" i="2"/>
  <c r="N386" i="2"/>
  <c r="N387" i="2"/>
  <c r="N388" i="2"/>
  <c r="N389" i="2"/>
  <c r="N390" i="2"/>
  <c r="N391" i="2"/>
  <c r="N392" i="2"/>
  <c r="N393" i="2"/>
  <c r="N394" i="2"/>
  <c r="N395" i="2"/>
  <c r="N396" i="2"/>
  <c r="N397" i="2"/>
  <c r="N398" i="2"/>
  <c r="N399" i="2"/>
  <c r="N400" i="2"/>
  <c r="N401" i="2"/>
  <c r="N402" i="2"/>
  <c r="N403" i="2"/>
  <c r="N404" i="2"/>
  <c r="N405" i="2"/>
  <c r="N406" i="2"/>
  <c r="N407" i="2"/>
  <c r="N408" i="2"/>
  <c r="N409" i="2"/>
  <c r="N410" i="2"/>
  <c r="N411" i="2"/>
  <c r="N412" i="2"/>
  <c r="N413" i="2"/>
  <c r="N414" i="2"/>
  <c r="N415" i="2"/>
  <c r="N416" i="2"/>
  <c r="N417" i="2"/>
  <c r="N418" i="2"/>
  <c r="N419" i="2"/>
  <c r="N420" i="2"/>
  <c r="N421" i="2"/>
  <c r="N422" i="2"/>
  <c r="N423" i="2"/>
  <c r="N424" i="2"/>
  <c r="N425" i="2"/>
  <c r="N426" i="2"/>
  <c r="N427" i="2"/>
  <c r="N428" i="2"/>
  <c r="N429" i="2"/>
  <c r="N430" i="2"/>
  <c r="N431" i="2"/>
  <c r="N432" i="2"/>
  <c r="N433" i="2"/>
  <c r="N434" i="2"/>
  <c r="N435" i="2"/>
  <c r="N436" i="2"/>
  <c r="N437" i="2"/>
  <c r="N438" i="2"/>
  <c r="N439" i="2"/>
  <c r="N440" i="2"/>
  <c r="N441" i="2"/>
  <c r="N442" i="2"/>
  <c r="N443" i="2"/>
  <c r="N444" i="2"/>
  <c r="N445" i="2"/>
  <c r="N446" i="2"/>
  <c r="N447" i="2"/>
  <c r="N448" i="2"/>
  <c r="N449" i="2"/>
  <c r="N450" i="2"/>
  <c r="N451" i="2"/>
  <c r="N452" i="2"/>
  <c r="N453" i="2"/>
  <c r="N454" i="2"/>
  <c r="N455" i="2"/>
  <c r="N456" i="2"/>
  <c r="N457" i="2"/>
  <c r="N458" i="2"/>
  <c r="N459" i="2"/>
  <c r="N460" i="2"/>
  <c r="N461" i="2"/>
  <c r="N462" i="2"/>
  <c r="N463" i="2"/>
  <c r="N464" i="2"/>
  <c r="N465" i="2"/>
  <c r="N466" i="2"/>
  <c r="N467" i="2"/>
  <c r="N468" i="2"/>
  <c r="N469" i="2"/>
  <c r="N470" i="2"/>
  <c r="N471" i="2"/>
  <c r="N472" i="2"/>
  <c r="N473" i="2"/>
  <c r="N474" i="2"/>
  <c r="N475" i="2"/>
  <c r="N476" i="2"/>
  <c r="N477" i="2"/>
  <c r="N478" i="2"/>
  <c r="N479" i="2"/>
  <c r="N480" i="2"/>
  <c r="N481" i="2"/>
  <c r="N482" i="2"/>
  <c r="N483" i="2"/>
  <c r="N484" i="2"/>
  <c r="N485" i="2"/>
  <c r="N486" i="2"/>
  <c r="N487" i="2"/>
  <c r="N488" i="2"/>
  <c r="N489" i="2"/>
  <c r="N490" i="2"/>
  <c r="N491" i="2"/>
  <c r="N492" i="2"/>
  <c r="N493" i="2"/>
  <c r="N494" i="2"/>
  <c r="N495" i="2"/>
  <c r="N496" i="2"/>
  <c r="N497" i="2"/>
  <c r="N498" i="2"/>
  <c r="N499" i="2"/>
  <c r="N500" i="2"/>
  <c r="N501" i="2"/>
  <c r="N502" i="2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473" i="2"/>
  <c r="M474" i="2"/>
  <c r="M475" i="2"/>
  <c r="M476" i="2"/>
  <c r="M477" i="2"/>
  <c r="M478" i="2"/>
  <c r="M479" i="2"/>
  <c r="M480" i="2"/>
  <c r="M481" i="2"/>
  <c r="M482" i="2"/>
  <c r="M483" i="2"/>
  <c r="M484" i="2"/>
  <c r="M485" i="2"/>
  <c r="M486" i="2"/>
  <c r="M487" i="2"/>
  <c r="M488" i="2"/>
  <c r="M489" i="2"/>
  <c r="M490" i="2"/>
  <c r="M491" i="2"/>
  <c r="M492" i="2"/>
  <c r="M493" i="2"/>
  <c r="M494" i="2"/>
  <c r="M495" i="2"/>
  <c r="M496" i="2"/>
  <c r="M497" i="2"/>
  <c r="M498" i="2"/>
  <c r="M499" i="2"/>
  <c r="M500" i="2"/>
  <c r="M501" i="2"/>
  <c r="M502" i="2"/>
</calcChain>
</file>

<file path=xl/sharedStrings.xml><?xml version="1.0" encoding="utf-8"?>
<sst xmlns="http://schemas.openxmlformats.org/spreadsheetml/2006/main" count="87" uniqueCount="87">
  <si>
    <t>WO #</t>
  </si>
  <si>
    <t>DI #</t>
  </si>
  <si>
    <t>Site #</t>
  </si>
  <si>
    <t>Site Name</t>
  </si>
  <si>
    <t>Latitude</t>
  </si>
  <si>
    <t>Longitude</t>
  </si>
  <si>
    <t>Description (optional)</t>
  </si>
  <si>
    <t>Address (optional)</t>
  </si>
  <si>
    <t>Category (optional)</t>
  </si>
  <si>
    <t>Costs (optional)</t>
  </si>
  <si>
    <t>Work Completion (optional)</t>
  </si>
  <si>
    <t>Geocode Status</t>
  </si>
  <si>
    <t>Google Maps</t>
  </si>
  <si>
    <t>Street View</t>
  </si>
  <si>
    <t>Bing</t>
  </si>
  <si>
    <t>Google Earth</t>
  </si>
  <si>
    <t>FEMA Viewer</t>
  </si>
  <si>
    <t>FIRMette Portal</t>
  </si>
  <si>
    <t>NFC Map</t>
  </si>
  <si>
    <t>FHWA Class</t>
  </si>
  <si>
    <t>Urban/Rural</t>
  </si>
  <si>
    <t>ACUB Name</t>
  </si>
  <si>
    <t>Road Name</t>
  </si>
  <si>
    <t>Street Name</t>
  </si>
  <si>
    <t>Federal Aid Status</t>
  </si>
  <si>
    <t>FIRMette Status</t>
  </si>
  <si>
    <t>Map Status</t>
  </si>
  <si>
    <t>AGOL Map</t>
  </si>
  <si>
    <t>1.  SOURCES</t>
  </si>
  <si>
    <t>For each state: the OFFICIAL PUBLIC MAP (open it to confirm a point yourself) and the DATA SERVICE this tool reads. Michigan, Indiana and Wisconsin are wired for road classification. Minnesota, Illinois and Ohio are reference-only for now - the tool runs the urban-boundary check on them but does not yet read their class layer; their sources are listed so the data can be wired in later.</t>
  </si>
  <si>
    <t>Michigan (MDOT) - WIRED</t>
  </si>
  <si>
    <t xml:space="preserve">    Michigan Department of Transportation, National Functional Classification, NHS &amp; ACUB (interactive map), available at: https://experience.arcgis.com/experience/7edd160c205d46b481fcd605bb4c58ce</t>
  </si>
  <si>
    <t xml:space="preserve">    Michigan Department of Transportation, Functional System, ArcGIS REST feature service layer 353 (NextGen PR Finder; road names from companion layer 543) - queried by this tool, available at: https://mdotgis.state.mi.us/arcgis/rest/services/Widget/NextGenPrFinderPub/FeatureServer/353</t>
  </si>
  <si>
    <t>Indiana (INDOT) - WIRED</t>
  </si>
  <si>
    <t xml:space="preserve">    Indiana Department of Transportation, INDOT Functional Class Map (Functional Classification &amp; Urban Area Boundary), available at: https://experience.arcgis.com/experience/e388c2aa14aa4788a702705620567589/?org=indot</t>
  </si>
  <si>
    <t xml:space="preserve">    Indiana Department of Transportation, LRSE_Functional_Class, ArcGIS REST feature service layer 22 (road names from the 2021 centerlines layer) - queried by this tool, available at: https://gisdata.in.gov/server/rest/services/Hosted/LRSE_Functional_Class/FeatureServer/22</t>
  </si>
  <si>
    <t>Wisconsin (WisDOT) - WIRED</t>
  </si>
  <si>
    <t xml:space="preserve">    Wisconsin Department of Transportation, Functional Classification (official page; static county and urban-area PDF maps - WisDOT publishes no statewide interactive map), available at: https://wisconsindot.gov/Pages/projects/data-plan/plan-res/function.aspx</t>
  </si>
  <si>
    <t xml:space="preserve">    Wisconsin Department of Transportation, Functional Class - State Trunk Network, ArcGIS REST feature service layer 3 (local roads from the Flood Damage Assessment snapshot, layer 1) - queried by this tool, available at: https://services5.arcgis.com/0pgGLzT0Nh7FVjon/arcgis/rest/services/FFCL_gdb/FeatureServer/3</t>
  </si>
  <si>
    <t>Minnesota (MnDOT) - reference only, not yet wired</t>
  </si>
  <si>
    <t xml:space="preserve">    Minnesota Department of Transportation, Enterprise MnDOT Mapping Application (EMMA) - Functional Class layer, available at: https://webgis.dot.state.mn.us/emma/</t>
  </si>
  <si>
    <t xml:space="preserve">    Minnesota Department of Transportation, Functional Class, ArcGIS REST map service layer 11 (mndot_commonlayers2), available at: https://dotapp9.dot.state.mn.us/egis12/rest/services/BASEMAP/mndot_commonlayers2/MapServer/11</t>
  </si>
  <si>
    <t>Illinois (IDOT) - reference only, not yet wired</t>
  </si>
  <si>
    <t xml:space="preserve">    Illinois Department of Transportation, Roadway Functional Class (Getting Around Illinois map viewer), available at: https://www.gettingaroundillinois.com/MapViewer/?config=RFCconfig.json</t>
  </si>
  <si>
    <t xml:space="preserve">    Illinois Department of Transportation, Functional Class, ArcGIS REST map service layer 0, available at: https://gis1.dot.illinois.gov/arcgis/rest/services/AdministrativeData/FunctionalClass/MapServer/0</t>
  </si>
  <si>
    <t>Ohio (ODOT) - reference only, not yet wired</t>
  </si>
  <si>
    <t xml:space="preserve">    Ohio Department of Transportation, Transportation Information Mapping System (TIMS), available at: https://tims.dot.state.oh.us/tims</t>
  </si>
  <si>
    <t xml:space="preserve">    Ohio Department of Transportation, Functional Class, ArcGIS REST map service layer 0, available at: https://tims.dot.state.oh.us/ags/rest/services/Roadway_Information/Functional_Class/MapServer/0</t>
  </si>
  <si>
    <t>All states - urban boundary, street names, geocoding, flood maps</t>
  </si>
  <si>
    <t xml:space="preserve">    U.S. Department of Transportation, Bureau of Transportation Statistics, 2020 Adjusted Urban Area Boundaries (National Transportation Atlas Database) - the urban/rural source for every state, available at: https://services.arcgis.com/xOi1kZaI0eWDREZv/arcgis/rest/services/NTAD_Adjusted_Urban_Areas/FeatureServer/0</t>
  </si>
  <si>
    <t xml:space="preserve">    U.S. Census Bureau, TIGERweb Transportation - Local Roads, ArcGIS REST map service layer 8 (street names, all states), available at: https://tigerweb.geo.census.gov/arcgis/rest/services/TIGERweb/Transportation/MapServer/8</t>
  </si>
  <si>
    <t xml:space="preserve">    U.S. Census Bureau, Census Geocoder - one-line address service (fills coordinates from an address), available at: https://geocoding.geo.census.gov/geocoder/locations/onelineaddress</t>
  </si>
  <si>
    <t xml:space="preserve">    Federal Emergency Management Agency, Map Service Center - Print FIRMette service (flood-map extracts), available at: https://msc.fema.gov/arcgis/rest/services/NFHL_Print/MSCPrintB/GPServer/PrintFIRMette</t>
  </si>
  <si>
    <t>2.  QUIRKS &amp; CAVEATS (plain language)</t>
  </si>
  <si>
    <t>This is a screening aid, not a determination</t>
  </si>
  <si>
    <t>This tool does NOT authoritatively identify FHWA federal-aid roads. It flags high-probability candidates for a person to review, and can miss or mis-tag a road. Every coordinate must be verified by a human on the official map above before it is relied on. Results are informational only and do NOT constitute a federal-aid, funding, or eligibility determination.</t>
  </si>
  <si>
    <t>How the answer is built</t>
  </si>
  <si>
    <t>For each point the tool reads the road's functional class from the state's own data, and separately checks whether the point falls inside a Census-adjusted urban area. A road that is Urban Minor Collector or higher is tagged 'federal aid'; Rural Local, Urban Local and Rural Minor Collector are 'non-federal aid'. It tags the road, not the project - what that means for a work order is the reviewer's call.</t>
  </si>
  <si>
    <t>BOUNDARY ROADS (urban vs rural on the edge)</t>
  </si>
  <si>
    <t>Urban vs rural comes only from the urban-boundary layer, never from the state's own data, so every state is judged the same way. When a GPS point sits ON or just OUTSIDE an urban boundary - e.g. on a road that forms the boundary, or a few feet onto the rural side - the point is deliberately treated as URBAN (the boundary check always searches at least 200 ft). This leans toward flagging a boundary road for review rather than silently dropping it. Always confirm boundary cases manually on the source map.</t>
  </si>
  <si>
    <t>Michigan</t>
  </si>
  <si>
    <t>Michigan's road data includes retired (historical) segments; the tool skips those so it never reads an out-of-date classification. Road names exist only for numbered state routes (like 'I-94'), so local street names are filled in from the Census street layer instead.</t>
  </si>
  <si>
    <t>Indiana</t>
  </si>
  <si>
    <t>Indiana marks each record's status; the tool uses only Active records. Indiana's class data carries no road name at all, so names come from a separate centerline layer and the Census - expect the Road Name column to be blank more often for Indiana.</t>
  </si>
  <si>
    <t>Wisconsin</t>
  </si>
  <si>
    <t>Wisconsin data comes in two layers: state highways are checked first, then local (county/city/town) roads. The local-roads layer bakes urban/rural into its own class number, which the tool translates back to a plain federal class before deciding. One local code ('Urban Collector') doesn't separate major from minor collector - it's treated as major, which never changes the answer because every urban collector is federal aid regardless.</t>
  </si>
  <si>
    <t>Minnesota, Illinois, Ohio (not yet wired)</t>
  </si>
  <si>
    <t>Road-class lookup is not wired for these states yet, so the tool runs only the urban-boundary check and the Federal Aid Status column says 'ACUB only - class lookup not wired for this state' rather than guessing. The sources listed above are where each state's class data lives when it is added.</t>
  </si>
  <si>
    <t>Street names and addresses (all states)</t>
  </si>
  <si>
    <t>Street names are backfilled from the U.S. Census street layer wherever the state data only knows numbered routes. If a row has an address but no coordinates, Check Roads geocodes it with the free Census address service first (it never overwrites coordinates you typed in).</t>
  </si>
  <si>
    <t>Sources verified 2026-07-05 against each service's live metadata. This tool classifies the road, never the project.  RoadReviewer - PR #23.</t>
  </si>
  <si>
    <t>RoadReviewer</t>
  </si>
  <si>
    <t>Is it a federal-aid road? FHWA functional class + adjusted urban boundary checker.</t>
  </si>
  <si>
    <r>
      <t>IMPORTANT - NOT AN AUTHORITATIVE FHWA OR ELIGIBILITY DETERMINATION</t>
    </r>
    <r>
      <rPr>
        <sz val="11"/>
        <color rgb="FF960000"/>
        <rFont val="Aptos Narrow"/>
        <family val="2"/>
        <scheme val="minor"/>
      </rPr>
      <t xml:space="preserve">
This tool does NOT authoritatively identify FHWA federal-aid roads. It flags high-probability candidates for a person to review, and may miss or mis-tag roads. It is not an authoritative source for FHWA functional classification. EVERY coordinate must be verified by a human against the official source map - use each row's NFC Map link and the Sources tab. Results are informational only and do NOT constitute a federal-aid, funding, or eligibility determination. A point on or near an urban/rural boundary is deliberately treated as Urban (within the search buffer; see the Sources tab) so boundary roads are not missed - always confirm these manually.</t>
    </r>
  </si>
  <si>
    <t>How to use:</t>
  </si>
  <si>
    <t>1.  Pick your state below.</t>
  </si>
  <si>
    <t>2.  Paste your Latitude and Longitude on the Sites tab (the yellow columns).</t>
  </si>
  <si>
    <t>3.  On the Sites tab, click Check Roads. Rows tint red (federal aid), green (non-federal aid) or yellow (review).</t>
  </si>
  <si>
    <t>State</t>
  </si>
  <si>
    <t>MI</t>
  </si>
  <si>
    <t>Output Folder</t>
  </si>
  <si>
    <t>AGOL Webmap URL (optional)</t>
  </si>
  <si>
    <t>Road/boundary search buffer (feet)</t>
  </si>
  <si>
    <t>The action buttons (Check Roads, Re-run, Photo Links, Export CSV/KML, Send to AGOL) are on the Sites tab's top row.</t>
  </si>
  <si>
    <t>Search buffer is how far to look for a road / urban boundary when the exact point misses. 250 ft is a good default.</t>
  </si>
  <si>
    <t>Output Folder shows where exports save (this workbook's folder); Browse or type to change it. Build / Reset repairs the layout - your Sites data is preserved.</t>
  </si>
  <si>
    <t>RoadReviewer  -  PR #23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</si>
</sst>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rgb="FFFFFFFF"/>
      <name val="Calibri"/>
      <family val="2"/>
    </font>
    <font>
      <b/>
      <sz val="15"/>
      <color rgb="FF2F4F4F"/>
      <name val="Aptos Narrow"/>
      <family val="2"/>
      <scheme val="minor"/>
    </font>
    <font>
      <sz val="11"/>
      <color rgb="FF3C3C3C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u/>
      <sz val="10"/>
      <color theme="10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i/>
      <sz val="11"/>
      <color rgb="FF5A5A5A"/>
      <name val="Aptos Narrow"/>
      <family val="2"/>
      <scheme val="minor"/>
    </font>
    <font>
      <sz val="11"/>
      <color rgb="FF960000"/>
      <name val="Aptos Narrow"/>
      <family val="2"/>
      <scheme val="minor"/>
    </font>
    <font>
      <b/>
      <sz val="11"/>
      <color rgb="FF960000"/>
      <name val="Aptos Narrow"/>
      <family val="2"/>
      <scheme val="minor"/>
    </font>
    <font>
      <sz val="11"/>
      <color rgb="FF464646"/>
      <name val="Aptos Narrow"/>
      <family val="2"/>
      <scheme val="minor"/>
    </font>
    <font>
      <sz val="9"/>
      <color rgb="FF828282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2F4F4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5F7F9"/>
        <bgColor indexed="64"/>
      </patternFill>
    </fill>
    <fill>
      <patternFill patternType="solid">
        <fgColor rgb="FFFFEEEE"/>
        <bgColor indexed="64"/>
      </patternFill>
    </fill>
  </fills>
  <borders count="3">
    <border>
      <left/>
      <right/>
      <top/>
      <bottom/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 style="medium">
        <color rgb="FFC00000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19">
    <xf numFmtId="0" fontId="0" fillId="0" borderId="0" xfId="0"/>
    <xf numFmtId="0" fontId="2" fillId="0" borderId="0" xfId="0" applyFont="1"/>
    <xf numFmtId="0" fontId="3" fillId="2" borderId="0" xfId="0" applyFont="1" applyFill="1"/>
    <xf numFmtId="0" fontId="2" fillId="3" borderId="0" xfId="0" applyFont="1" applyFill="1"/>
    <xf numFmtId="0" fontId="2" fillId="4" borderId="0" xfId="0" applyFont="1" applyFill="1"/>
    <xf numFmtId="0" fontId="4" fillId="0" borderId="0" xfId="0" applyFont="1"/>
    <xf numFmtId="0" fontId="5" fillId="0" borderId="0" xfId="0" applyFont="1" applyAlignment="1">
      <alignment vertical="top" wrapText="1"/>
    </xf>
    <xf numFmtId="0" fontId="6" fillId="0" borderId="0" xfId="0" applyFont="1"/>
    <xf numFmtId="0" fontId="8" fillId="0" borderId="0" xfId="1" applyFont="1" applyAlignment="1">
      <alignment vertical="top" wrapText="1"/>
    </xf>
    <xf numFmtId="0" fontId="0" fillId="5" borderId="0" xfId="0" applyFill="1"/>
    <xf numFmtId="0" fontId="9" fillId="5" borderId="0" xfId="0" applyFont="1" applyFill="1"/>
    <xf numFmtId="0" fontId="10" fillId="5" borderId="0" xfId="0" applyFont="1" applyFill="1"/>
    <xf numFmtId="0" fontId="11" fillId="6" borderId="1" xfId="0" applyFont="1" applyFill="1" applyBorder="1" applyAlignment="1">
      <alignment horizontal="left" vertical="top" wrapText="1"/>
    </xf>
    <xf numFmtId="0" fontId="12" fillId="6" borderId="1" xfId="0" applyFont="1" applyFill="1" applyBorder="1" applyAlignment="1">
      <alignment horizontal="left" vertical="top" wrapText="1"/>
    </xf>
    <xf numFmtId="0" fontId="1" fillId="5" borderId="0" xfId="0" applyFont="1" applyFill="1"/>
    <xf numFmtId="0" fontId="13" fillId="5" borderId="0" xfId="0" applyFont="1" applyFill="1"/>
    <xf numFmtId="0" fontId="0" fillId="3" borderId="2" xfId="0" applyFill="1" applyBorder="1"/>
    <xf numFmtId="0" fontId="10" fillId="3" borderId="2" xfId="0" applyFont="1" applyFill="1" applyBorder="1"/>
    <xf numFmtId="0" fontId="14" fillId="5" borderId="0" xfId="0" applyFont="1" applyFill="1"/>
  </cellXfs>
  <cellStyles count="2">
    <cellStyle name="Hyperlink" xfId="1" builtinId="8"/>
    <cellStyle name="Normal" xfId="0" builtinId="0"/>
  </cellStyles>
  <dxfs count="3">
    <dxf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76200</xdr:colOff>
      <xdr:row>16</xdr:row>
      <xdr:rowOff>155575</xdr:rowOff>
    </xdr:from>
    <xdr:to>
      <xdr:col>5</xdr:col>
      <xdr:colOff>558800</xdr:colOff>
      <xdr:row>18</xdr:row>
      <xdr:rowOff>73025</xdr:rowOff>
    </xdr:to>
    <xdr:sp macro="SelectOutputFold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1ABF367-F526-3FE9-CD5B-4F48436564F4}"/>
            </a:ext>
          </a:extLst>
        </xdr:cNvPr>
        <xdr:cNvSpPr/>
      </xdr:nvSpPr>
      <xdr:spPr>
        <a:xfrm>
          <a:off x="6634163" y="3727450"/>
          <a:ext cx="1778000" cy="2794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Browse for folder...</a:t>
          </a:r>
        </a:p>
      </xdr:txBody>
    </xdr:sp>
    <xdr:clientData/>
  </xdr:twoCellAnchor>
  <xdr:twoCellAnchor>
    <xdr:from>
      <xdr:col>1</xdr:col>
      <xdr:colOff>42862</xdr:colOff>
      <xdr:row>25</xdr:row>
      <xdr:rowOff>0</xdr:rowOff>
    </xdr:from>
    <xdr:to>
      <xdr:col>2</xdr:col>
      <xdr:colOff>301625</xdr:colOff>
      <xdr:row>26</xdr:row>
      <xdr:rowOff>98425</xdr:rowOff>
    </xdr:to>
    <xdr:sp macro="BuildWorkbook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219CB2C5-420E-5FF9-3B67-D890DA05CE79}"/>
            </a:ext>
          </a:extLst>
        </xdr:cNvPr>
        <xdr:cNvSpPr/>
      </xdr:nvSpPr>
      <xdr:spPr>
        <a:xfrm>
          <a:off x="228600" y="5200650"/>
          <a:ext cx="2159000" cy="279400"/>
        </a:xfrm>
        <a:prstGeom prst="roundRect">
          <a:avLst/>
        </a:prstGeom>
        <a:solidFill>
          <a:srgbClr val="96969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Build / Reset Workbook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25400</xdr:colOff>
      <xdr:row>0</xdr:row>
      <xdr:rowOff>25400</xdr:rowOff>
    </xdr:from>
    <xdr:to>
      <xdr:col>3</xdr:col>
      <xdr:colOff>584200</xdr:colOff>
      <xdr:row>0</xdr:row>
      <xdr:rowOff>304800</xdr:rowOff>
    </xdr:to>
    <xdr:sp macro="CheckRoads" textlink="">
      <xdr:nvSpPr>
        <xdr:cNvPr id="2" name="RR_CheckRoads">
          <a:extLst>
            <a:ext uri="{FF2B5EF4-FFF2-40B4-BE49-F238E27FC236}">
              <a16:creationId xmlns:a16="http://schemas.microsoft.com/office/drawing/2014/main" id="{888219FB-2136-7F87-D04A-D969C14A55EA}"/>
            </a:ext>
          </a:extLst>
        </xdr:cNvPr>
        <xdr:cNvSpPr/>
      </xdr:nvSpPr>
      <xdr:spPr>
        <a:xfrm>
          <a:off x="25400" y="25400"/>
          <a:ext cx="1206500" cy="279400"/>
        </a:xfrm>
        <a:prstGeom prst="roundRect">
          <a:avLst/>
        </a:prstGeom>
        <a:solidFill>
          <a:srgbClr val="48A14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Check Roads</a:t>
          </a:r>
        </a:p>
      </xdr:txBody>
    </xdr:sp>
    <xdr:clientData/>
  </xdr:twoCellAnchor>
  <xdr:twoCellAnchor editAs="absolute">
    <xdr:from>
      <xdr:col>3</xdr:col>
      <xdr:colOff>622300</xdr:colOff>
      <xdr:row>0</xdr:row>
      <xdr:rowOff>25400</xdr:rowOff>
    </xdr:from>
    <xdr:to>
      <xdr:col>4</xdr:col>
      <xdr:colOff>341312</xdr:colOff>
      <xdr:row>0</xdr:row>
      <xdr:rowOff>304800</xdr:rowOff>
    </xdr:to>
    <xdr:sp macro="ReRunFailedRows" textlink="">
      <xdr:nvSpPr>
        <xdr:cNvPr id="3" name="RR_ReRun">
          <a:extLst>
            <a:ext uri="{FF2B5EF4-FFF2-40B4-BE49-F238E27FC236}">
              <a16:creationId xmlns:a16="http://schemas.microsoft.com/office/drawing/2014/main" id="{F7BE8CFA-9A6E-C071-6F0A-9F5510002561}"/>
            </a:ext>
          </a:extLst>
        </xdr:cNvPr>
        <xdr:cNvSpPr/>
      </xdr:nvSpPr>
      <xdr:spPr>
        <a:xfrm>
          <a:off x="1270000" y="25400"/>
          <a:ext cx="1333500" cy="2794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Re-run Failed</a:t>
          </a:r>
        </a:p>
      </xdr:txBody>
    </xdr:sp>
    <xdr:clientData/>
  </xdr:twoCellAnchor>
  <xdr:twoCellAnchor editAs="absolute">
    <xdr:from>
      <xdr:col>4</xdr:col>
      <xdr:colOff>379412</xdr:colOff>
      <xdr:row>0</xdr:row>
      <xdr:rowOff>25400</xdr:rowOff>
    </xdr:from>
    <xdr:to>
      <xdr:col>11</xdr:col>
      <xdr:colOff>989012</xdr:colOff>
      <xdr:row>0</xdr:row>
      <xdr:rowOff>304800</xdr:rowOff>
    </xdr:to>
    <xdr:sp macro="OpenImageryForSelection" textlink="">
      <xdr:nvSpPr>
        <xdr:cNvPr id="4" name="RR_PhotoLinks">
          <a:extLst>
            <a:ext uri="{FF2B5EF4-FFF2-40B4-BE49-F238E27FC236}">
              <a16:creationId xmlns:a16="http://schemas.microsoft.com/office/drawing/2014/main" id="{916A3916-42C8-7D93-5DDD-5A399F7C7911}"/>
            </a:ext>
          </a:extLst>
        </xdr:cNvPr>
        <xdr:cNvSpPr/>
      </xdr:nvSpPr>
      <xdr:spPr>
        <a:xfrm>
          <a:off x="2641600" y="25400"/>
          <a:ext cx="1905000" cy="2794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Photo Links (selected)</a:t>
          </a:r>
        </a:p>
      </xdr:txBody>
    </xdr:sp>
    <xdr:clientData/>
  </xdr:twoCellAnchor>
  <xdr:twoCellAnchor editAs="absolute">
    <xdr:from>
      <xdr:col>11</xdr:col>
      <xdr:colOff>1027112</xdr:colOff>
      <xdr:row>0</xdr:row>
      <xdr:rowOff>25400</xdr:rowOff>
    </xdr:from>
    <xdr:to>
      <xdr:col>13</xdr:col>
      <xdr:colOff>400050</xdr:colOff>
      <xdr:row>0</xdr:row>
      <xdr:rowOff>304800</xdr:rowOff>
    </xdr:to>
    <xdr:sp macro="ExportSitesCsv" textlink="">
      <xdr:nvSpPr>
        <xdr:cNvPr id="5" name="RR_Csv">
          <a:extLst>
            <a:ext uri="{FF2B5EF4-FFF2-40B4-BE49-F238E27FC236}">
              <a16:creationId xmlns:a16="http://schemas.microsoft.com/office/drawing/2014/main" id="{3AFA3161-1131-1FF9-9FC0-3034A0F37896}"/>
            </a:ext>
          </a:extLst>
        </xdr:cNvPr>
        <xdr:cNvSpPr/>
      </xdr:nvSpPr>
      <xdr:spPr>
        <a:xfrm>
          <a:off x="4584700" y="25400"/>
          <a:ext cx="1206500" cy="2794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Export CSV</a:t>
          </a:r>
        </a:p>
      </xdr:txBody>
    </xdr:sp>
    <xdr:clientData/>
  </xdr:twoCellAnchor>
  <xdr:twoCellAnchor editAs="absolute">
    <xdr:from>
      <xdr:col>13</xdr:col>
      <xdr:colOff>438150</xdr:colOff>
      <xdr:row>0</xdr:row>
      <xdr:rowOff>25400</xdr:rowOff>
    </xdr:from>
    <xdr:to>
      <xdr:col>15</xdr:col>
      <xdr:colOff>349250</xdr:colOff>
      <xdr:row>0</xdr:row>
      <xdr:rowOff>304800</xdr:rowOff>
    </xdr:to>
    <xdr:sp macro="ExportSitesToKML" textlink="">
      <xdr:nvSpPr>
        <xdr:cNvPr id="6" name="RR_Kml">
          <a:extLst>
            <a:ext uri="{FF2B5EF4-FFF2-40B4-BE49-F238E27FC236}">
              <a16:creationId xmlns:a16="http://schemas.microsoft.com/office/drawing/2014/main" id="{3898F5FC-A2CD-BF4C-DDED-50F2C87560BE}"/>
            </a:ext>
          </a:extLst>
        </xdr:cNvPr>
        <xdr:cNvSpPr/>
      </xdr:nvSpPr>
      <xdr:spPr>
        <a:xfrm>
          <a:off x="5829300" y="25400"/>
          <a:ext cx="1206500" cy="2794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Export KML</a:t>
          </a:r>
        </a:p>
      </xdr:txBody>
    </xdr:sp>
    <xdr:clientData/>
  </xdr:twoCellAnchor>
  <xdr:twoCellAnchor editAs="absolute">
    <xdr:from>
      <xdr:col>15</xdr:col>
      <xdr:colOff>387350</xdr:colOff>
      <xdr:row>0</xdr:row>
      <xdr:rowOff>25400</xdr:rowOff>
    </xdr:from>
    <xdr:to>
      <xdr:col>19</xdr:col>
      <xdr:colOff>19050</xdr:colOff>
      <xdr:row>0</xdr:row>
      <xdr:rowOff>304800</xdr:rowOff>
    </xdr:to>
    <xdr:sp macro="SendSitesToAgolMap" textlink="">
      <xdr:nvSpPr>
        <xdr:cNvPr id="7" name="RR_Agol">
          <a:extLst>
            <a:ext uri="{FF2B5EF4-FFF2-40B4-BE49-F238E27FC236}">
              <a16:creationId xmlns:a16="http://schemas.microsoft.com/office/drawing/2014/main" id="{CD6FCF30-AC2B-793F-C3EA-DFA6E61AE04A}"/>
            </a:ext>
          </a:extLst>
        </xdr:cNvPr>
        <xdr:cNvSpPr/>
      </xdr:nvSpPr>
      <xdr:spPr>
        <a:xfrm>
          <a:off x="7073900" y="25400"/>
          <a:ext cx="2222500" cy="2794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Send to AGOL Map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dotapp9.dot.state.mn.us/egis12/rest/services/BASEMAP/mndot_commonlayers2/MapServer/11" TargetMode="External"/><Relationship Id="rId13" Type="http://schemas.openxmlformats.org/officeDocument/2006/relationships/hyperlink" Target="https://services.arcgis.com/xOi1kZaI0eWDREZv/arcgis/rest/services/NTAD_Adjusted_Urban_Areas/FeatureServer/0" TargetMode="External"/><Relationship Id="rId3" Type="http://schemas.openxmlformats.org/officeDocument/2006/relationships/hyperlink" Target="https://experience.arcgis.com/experience/e388c2aa14aa4788a702705620567589/?org=indot" TargetMode="External"/><Relationship Id="rId7" Type="http://schemas.openxmlformats.org/officeDocument/2006/relationships/hyperlink" Target="https://webgis.dot.state.mn.us/emma/" TargetMode="External"/><Relationship Id="rId12" Type="http://schemas.openxmlformats.org/officeDocument/2006/relationships/hyperlink" Target="https://tims.dot.state.oh.us/ags/rest/services/Roadway_Information/Functional_Class/MapServer/0" TargetMode="External"/><Relationship Id="rId2" Type="http://schemas.openxmlformats.org/officeDocument/2006/relationships/hyperlink" Target="https://mdotgis.state.mi.us/arcgis/rest/services/Widget/NextGenPrFinderPub/FeatureServer/353" TargetMode="External"/><Relationship Id="rId16" Type="http://schemas.openxmlformats.org/officeDocument/2006/relationships/hyperlink" Target="https://msc.fema.gov/arcgis/rest/services/NFHL_Print/MSCPrintB/GPServer/PrintFIRMette" TargetMode="External"/><Relationship Id="rId1" Type="http://schemas.openxmlformats.org/officeDocument/2006/relationships/hyperlink" Target="https://experience.arcgis.com/experience/7edd160c205d46b481fcd605bb4c58ce" TargetMode="External"/><Relationship Id="rId6" Type="http://schemas.openxmlformats.org/officeDocument/2006/relationships/hyperlink" Target="https://services5.arcgis.com/0pgGLzT0Nh7FVjon/arcgis/rest/services/FFCL_gdb/FeatureServer/3" TargetMode="External"/><Relationship Id="rId11" Type="http://schemas.openxmlformats.org/officeDocument/2006/relationships/hyperlink" Target="https://tims.dot.state.oh.us/tims" TargetMode="External"/><Relationship Id="rId5" Type="http://schemas.openxmlformats.org/officeDocument/2006/relationships/hyperlink" Target="https://wisconsindot.gov/Pages/projects/data-plan/plan-res/function.aspx" TargetMode="External"/><Relationship Id="rId15" Type="http://schemas.openxmlformats.org/officeDocument/2006/relationships/hyperlink" Target="https://geocoding.geo.census.gov/geocoder/locations/onelineaddress" TargetMode="External"/><Relationship Id="rId10" Type="http://schemas.openxmlformats.org/officeDocument/2006/relationships/hyperlink" Target="https://gis1.dot.illinois.gov/arcgis/rest/services/AdministrativeData/FunctionalClass/MapServer/0" TargetMode="External"/><Relationship Id="rId4" Type="http://schemas.openxmlformats.org/officeDocument/2006/relationships/hyperlink" Target="https://gisdata.in.gov/server/rest/services/Hosted/LRSE_Functional_Class/FeatureServer/22" TargetMode="External"/><Relationship Id="rId9" Type="http://schemas.openxmlformats.org/officeDocument/2006/relationships/hyperlink" Target="https://www.gettingaroundillinois.com/MapViewer/?config=RFCconfig.json" TargetMode="External"/><Relationship Id="rId14" Type="http://schemas.openxmlformats.org/officeDocument/2006/relationships/hyperlink" Target="https://tigerweb.geo.census.gov/arcgis/rest/services/TIGERweb/Transportation/MapServer/8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E56E5-D7D7-46AD-A0A6-C1722E28056F}">
  <sheetPr>
    <tabColor rgb="FF2F4F4F"/>
  </sheetPr>
  <dimension ref="B2:C30"/>
  <sheetViews>
    <sheetView showGridLines="0" tabSelected="1" workbookViewId="0"/>
  </sheetViews>
  <sheetFormatPr defaultRowHeight="14.25" x14ac:dyDescent="0.45"/>
  <cols>
    <col min="1" max="1" width="2.59765625" style="9" customWidth="1"/>
    <col min="2" max="2" width="26.59765625" style="9" customWidth="1"/>
    <col min="3" max="3" width="62.59765625" style="9" customWidth="1"/>
    <col min="4" max="16384" width="9.06640625" style="9"/>
  </cols>
  <sheetData>
    <row r="2" spans="2:3" ht="26.65" x14ac:dyDescent="0.85">
      <c r="B2" s="10" t="s">
        <v>71</v>
      </c>
    </row>
    <row r="3" spans="2:3" x14ac:dyDescent="0.45">
      <c r="B3" s="11" t="s">
        <v>72</v>
      </c>
    </row>
    <row r="4" spans="2:3" ht="14.65" thickBot="1" x14ac:dyDescent="0.5"/>
    <row r="5" spans="2:3" ht="21" customHeight="1" thickBot="1" x14ac:dyDescent="0.5">
      <c r="B5" s="13" t="s">
        <v>73</v>
      </c>
      <c r="C5" s="12"/>
    </row>
    <row r="6" spans="2:3" ht="21" customHeight="1" thickBot="1" x14ac:dyDescent="0.5">
      <c r="B6" s="12"/>
      <c r="C6" s="12"/>
    </row>
    <row r="7" spans="2:3" ht="21" customHeight="1" thickBot="1" x14ac:dyDescent="0.5">
      <c r="B7" s="12"/>
      <c r="C7" s="12"/>
    </row>
    <row r="8" spans="2:3" ht="21" customHeight="1" thickBot="1" x14ac:dyDescent="0.5">
      <c r="B8" s="12"/>
      <c r="C8" s="12"/>
    </row>
    <row r="9" spans="2:3" ht="21" customHeight="1" thickBot="1" x14ac:dyDescent="0.5">
      <c r="B9" s="12"/>
      <c r="C9" s="12"/>
    </row>
    <row r="10" spans="2:3" ht="21" customHeight="1" thickBot="1" x14ac:dyDescent="0.5">
      <c r="B10" s="12"/>
      <c r="C10" s="12"/>
    </row>
    <row r="12" spans="2:3" x14ac:dyDescent="0.45">
      <c r="B12" s="14" t="s">
        <v>74</v>
      </c>
    </row>
    <row r="13" spans="2:3" x14ac:dyDescent="0.45">
      <c r="B13" s="15" t="s">
        <v>75</v>
      </c>
    </row>
    <row r="14" spans="2:3" x14ac:dyDescent="0.45">
      <c r="B14" s="15" t="s">
        <v>76</v>
      </c>
    </row>
    <row r="15" spans="2:3" x14ac:dyDescent="0.45">
      <c r="B15" s="15" t="s">
        <v>77</v>
      </c>
    </row>
    <row r="17" spans="2:3" x14ac:dyDescent="0.45">
      <c r="B17" s="14" t="s">
        <v>78</v>
      </c>
      <c r="C17" s="16" t="s">
        <v>79</v>
      </c>
    </row>
    <row r="18" spans="2:3" x14ac:dyDescent="0.45">
      <c r="B18" s="14" t="s">
        <v>80</v>
      </c>
      <c r="C18" s="17" t="str">
        <f ca="1">IF(OR(CELL("filename",$A$1)="",LEFT(CELL("filename",$A$1),4)="http"),"",LEFT(CELL("filename",$A$1),FIND("[",CELL("filename",$A$1))-1))</f>
        <v/>
      </c>
    </row>
    <row r="19" spans="2:3" x14ac:dyDescent="0.45">
      <c r="B19" s="14" t="s">
        <v>81</v>
      </c>
      <c r="C19" s="16"/>
    </row>
    <row r="20" spans="2:3" x14ac:dyDescent="0.45">
      <c r="B20" s="14" t="s">
        <v>82</v>
      </c>
      <c r="C20" s="16">
        <v>250</v>
      </c>
    </row>
    <row r="22" spans="2:3" x14ac:dyDescent="0.45">
      <c r="B22" s="11" t="s">
        <v>83</v>
      </c>
    </row>
    <row r="23" spans="2:3" x14ac:dyDescent="0.45">
      <c r="B23" s="11" t="s">
        <v>84</v>
      </c>
    </row>
    <row r="28" spans="2:3" x14ac:dyDescent="0.45">
      <c r="B28" s="11" t="s">
        <v>85</v>
      </c>
    </row>
    <row r="30" spans="2:3" x14ac:dyDescent="0.45">
      <c r="B30" s="18" t="s">
        <v>86</v>
      </c>
    </row>
  </sheetData>
  <mergeCells count="1">
    <mergeCell ref="B5:C10"/>
  </mergeCells>
  <dataValidations count="2">
    <dataValidation type="list" allowBlank="1" showInputMessage="1" showErrorMessage="1" sqref="C17" xr:uid="{C7FCC21A-776A-4316-9D1C-42DC3624CBAC}">
      <formula1>"WI,IN,MI,MN (not wired),IL (not wired),OH (not wired)"</formula1>
    </dataValidation>
    <dataValidation type="whole" allowBlank="1" showInputMessage="1" showErrorMessage="1" error="Enter a whole number between 1 and 1000 ft." sqref="C20" xr:uid="{E752F133-F1CF-4E43-9A73-400FC14AE9F0}">
      <formula1>1</formula1>
      <formula2>1000</formula2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EF13-E66A-4A33-9794-61AD0BCE1B25}">
  <sheetPr>
    <tabColor rgb="FF3C3C3C"/>
  </sheetPr>
  <dimension ref="A1:AB502"/>
  <sheetViews>
    <sheetView topLeftCell="C1" workbookViewId="0">
      <pane ySplit="2" topLeftCell="A3" activePane="bottomLeft" state="frozen"/>
      <selection activeCell="C1" sqref="C1"/>
      <selection pane="bottomLeft" activeCell="C3" sqref="C3"/>
    </sheetView>
  </sheetViews>
  <sheetFormatPr defaultRowHeight="14.25" x14ac:dyDescent="0.45"/>
  <cols>
    <col min="1" max="2" width="0" style="1" hidden="1" customWidth="1"/>
    <col min="3" max="3" width="9.06640625" style="1"/>
    <col min="4" max="4" width="22.59765625" style="1" customWidth="1"/>
    <col min="5" max="6" width="9.06640625" style="1"/>
    <col min="7" max="7" width="26.59765625" style="1" hidden="1" customWidth="1"/>
    <col min="8" max="8" width="28.59765625" style="1" hidden="1" customWidth="1"/>
    <col min="9" max="9" width="12.59765625" style="1" hidden="1" customWidth="1"/>
    <col min="10" max="10" width="14.59765625" style="1" hidden="1" customWidth="1"/>
    <col min="11" max="11" width="16.59765625" style="1" hidden="1" customWidth="1"/>
    <col min="12" max="12" width="16.59765625" style="1" customWidth="1"/>
    <col min="13" max="19" width="9.06640625" style="1"/>
    <col min="20" max="20" width="16.59765625" style="1" customWidth="1"/>
    <col min="21" max="21" width="9.06640625" style="1"/>
    <col min="22" max="23" width="16.59765625" style="1" customWidth="1"/>
    <col min="24" max="24" width="22.59765625" style="1" customWidth="1"/>
    <col min="25" max="25" width="24.59765625" style="1" customWidth="1"/>
    <col min="26" max="26" width="18.59765625" style="1" hidden="1" customWidth="1"/>
    <col min="27" max="27" width="16.59765625" style="1" hidden="1" customWidth="1"/>
    <col min="28" max="28" width="10.59765625" style="1" customWidth="1"/>
    <col min="29" max="16384" width="9.06640625" style="1"/>
  </cols>
  <sheetData>
    <row r="1" spans="1:28" ht="26" customHeight="1" x14ac:dyDescent="0.45"/>
    <row r="2" spans="1:28" s="2" customFormat="1" x14ac:dyDescent="0.45">
      <c r="A2" s="2" t="s">
        <v>0</v>
      </c>
      <c r="B2" s="2" t="s">
        <v>1</v>
      </c>
      <c r="C2" s="2" t="s">
        <v>2</v>
      </c>
      <c r="D2" s="2" t="s">
        <v>3</v>
      </c>
      <c r="E2" s="2" t="s">
        <v>4</v>
      </c>
      <c r="F2" s="2" t="s">
        <v>5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13</v>
      </c>
      <c r="O2" s="2" t="s">
        <v>14</v>
      </c>
      <c r="P2" s="2" t="s">
        <v>15</v>
      </c>
      <c r="Q2" s="2" t="s">
        <v>16</v>
      </c>
      <c r="R2" s="2" t="s">
        <v>17</v>
      </c>
      <c r="S2" s="2" t="s">
        <v>18</v>
      </c>
      <c r="T2" s="2" t="s">
        <v>19</v>
      </c>
      <c r="U2" s="2" t="s">
        <v>20</v>
      </c>
      <c r="V2" s="2" t="s">
        <v>21</v>
      </c>
      <c r="W2" s="2" t="s">
        <v>22</v>
      </c>
      <c r="X2" s="2" t="s">
        <v>23</v>
      </c>
      <c r="Y2" s="2" t="s">
        <v>24</v>
      </c>
      <c r="Z2" s="2" t="s">
        <v>25</v>
      </c>
      <c r="AA2" s="2" t="s">
        <v>26</v>
      </c>
      <c r="AB2" s="2" t="s">
        <v>27</v>
      </c>
    </row>
    <row r="3" spans="1:28" x14ac:dyDescent="0.4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4"/>
      <c r="M3" s="1" t="str">
        <f t="shared" ref="M3:M66" si="0">IF(OR($E3="",$F3=""),"",HYPERLINK("https://www.google.com/maps?q="&amp;$E3&amp;","&amp;$F3&amp;"","Map"))</f>
        <v/>
      </c>
      <c r="N3" s="1" t="str">
        <f t="shared" ref="N3:N66" si="1">IF(OR($E3="",$F3=""),"",HYPERLINK("https://www.google.com/maps?q&amp;layer=c&amp;cbll="&amp;$E3&amp;","&amp;$F3&amp;"","Street"))</f>
        <v/>
      </c>
      <c r="O3" s="1" t="str">
        <f t="shared" ref="O3:O66" si="2">IF(OR($E3="",$F3=""),"",HYPERLINK("https://www.bing.com/maps?cp="&amp;$E3&amp;"~"&amp;$F3&amp;"&amp;lvl=18&amp;style=h","Bing"))</f>
        <v/>
      </c>
      <c r="P3" s="1" t="str">
        <f t="shared" ref="P3:P66" si="3">IF(OR($E3="",$F3=""),"",HYPERLINK("https://earth.google.com/web/search/"&amp;$E3&amp;","&amp;$F3&amp;"","Earth"))</f>
        <v/>
      </c>
      <c r="Q3" s="1" t="str">
        <f t="shared" ref="Q3:Q66" si="4">IF(OR($E3="",$F3=""),"",HYPERLINK("https://fema.maps.arcgis.com/apps/mapviewer/index.html?find="&amp;$F3&amp;"%2C"&amp;$E3&amp;"&amp;marker="&amp;$F3&amp;","&amp;$E3&amp;",4326&amp;level=16","FEMA"))</f>
        <v/>
      </c>
      <c r="R3" s="1" t="str">
        <f t="shared" ref="R3:R66" si="5">IF(OR($E3="",$F3=""),"",HYPERLINK("https://msc.fema.gov/portal/firmette?latitude="&amp;$E3&amp;"&amp;longitude="&amp;$F3&amp;"","FIRMette"))</f>
        <v/>
      </c>
      <c r="S3" s="1" t="str">
        <f>IF(OR($E3="",$F3=""),"",HYPERLINK(IF(OR(_xlfn.SINGLE(JobState)="MI",_xlfn.SINGLE(JobState)=""),"https://fema.maps.arcgis.com/apps/mapviewer/index.html?url=https%3A%2F%2Fmdotgis.state.mi.us%2Farcgis%2Frest%2Fservices%2FWidget%2FNextGenPrFinderPub%2FFeatureServer%2F353&amp;find="&amp;$F3&amp;"%2C"&amp;$E3&amp;"&amp;marker="&amp;$F3&amp;","&amp;$E3&amp;",4326&amp;level=16",IF(_xlfn.SINGLE(JobState)="IN","https://fema.maps.arcgis.com/apps/mapviewer/index.html?url=https%3A%2F%2Fgisdata.in.gov%2Fserver%2Frest%2Fservices%2FHosted%2FLRSE_Functional_Class%2FFeatureServer%2F22&amp;find="&amp;$F3&amp;"%2C"&amp;$E3&amp;"&amp;marker="&amp;$F3&amp;","&amp;$E3&amp;",4326&amp;level=16",IF(_xlfn.SINGLE(JobState)="WI","https://fema.maps.arcgis.com/apps/mapviewer/index.html?url=https%3A%2F%2Fservices5.arcgis.com%2F0pgGLzT0Nh7FVjon%2Farcgis%2Frest%2Fservices%2FFFCL_gdb%2FFeatureServer%2F3&amp;find="&amp;$F3&amp;"%2C"&amp;$E3&amp;"&amp;marker="&amp;$F3&amp;","&amp;$E3&amp;",4326&amp;level=16","https://fema.maps.arcgis.com/apps/mapviewer/index.html?find="&amp;$F3&amp;"%2C"&amp;$E3&amp;"&amp;marker="&amp;$F3&amp;","&amp;$E3&amp;",4326&amp;level=16"))),"Open"))</f>
        <v/>
      </c>
      <c r="T3" s="4"/>
      <c r="U3" s="4"/>
      <c r="V3" s="4"/>
      <c r="W3" s="4"/>
      <c r="X3" s="4"/>
      <c r="Y3" s="4"/>
      <c r="Z3" s="4"/>
      <c r="AA3" s="4"/>
      <c r="AB3" s="1" t="str">
        <f>IF(OR(_xlfn.SINGLE(JobAgolMap)="", $E3="", $F3=""),"",HYPERLINK(_xlfn.SINGLE(JobAgolMap)&amp;IF(ISNUMBER(FIND("?",_xlfn.SINGLE(JobAgolMap))),"&amp;","?")&amp;"center="&amp;$F3&amp;","&amp;$E3&amp;"&amp;level=16&amp;marker="&amp;$F3&amp;","&amp;$E3,"Open"))</f>
        <v/>
      </c>
    </row>
    <row r="4" spans="1:28" x14ac:dyDescent="0.45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4"/>
      <c r="M4" s="1" t="str">
        <f t="shared" si="0"/>
        <v/>
      </c>
      <c r="N4" s="1" t="str">
        <f t="shared" si="1"/>
        <v/>
      </c>
      <c r="O4" s="1" t="str">
        <f t="shared" si="2"/>
        <v/>
      </c>
      <c r="P4" s="1" t="str">
        <f t="shared" si="3"/>
        <v/>
      </c>
      <c r="Q4" s="1" t="str">
        <f t="shared" si="4"/>
        <v/>
      </c>
      <c r="R4" s="1" t="str">
        <f t="shared" si="5"/>
        <v/>
      </c>
      <c r="S4" s="1" t="str">
        <f>IF(OR($E4="",$F4=""),"",HYPERLINK(IF(OR(_xlfn.SINGLE(JobState)="MI",_xlfn.SINGLE(JobState)=""),"https://fema.maps.arcgis.com/apps/mapviewer/index.html?url=https%3A%2F%2Fmdotgis.state.mi.us%2Farcgis%2Frest%2Fservices%2FWidget%2FNextGenPrFinderPub%2FFeatureServer%2F353&amp;find="&amp;$F4&amp;"%2C"&amp;$E4&amp;"&amp;marker="&amp;$F4&amp;","&amp;$E4&amp;",4326&amp;level=16",IF(_xlfn.SINGLE(JobState)="IN","https://fema.maps.arcgis.com/apps/mapviewer/index.html?url=https%3A%2F%2Fgisdata.in.gov%2Fserver%2Frest%2Fservices%2FHosted%2FLRSE_Functional_Class%2FFeatureServer%2F22&amp;find="&amp;$F4&amp;"%2C"&amp;$E4&amp;"&amp;marker="&amp;$F4&amp;","&amp;$E4&amp;",4326&amp;level=16",IF(_xlfn.SINGLE(JobState)="WI","https://fema.maps.arcgis.com/apps/mapviewer/index.html?url=https%3A%2F%2Fservices5.arcgis.com%2F0pgGLzT0Nh7FVjon%2Farcgis%2Frest%2Fservices%2FFFCL_gdb%2FFeatureServer%2F3&amp;find="&amp;$F4&amp;"%2C"&amp;$E4&amp;"&amp;marker="&amp;$F4&amp;","&amp;$E4&amp;",4326&amp;level=16","https://fema.maps.arcgis.com/apps/mapviewer/index.html?find="&amp;$F4&amp;"%2C"&amp;$E4&amp;"&amp;marker="&amp;$F4&amp;","&amp;$E4&amp;",4326&amp;level=16"))),"Open"))</f>
        <v/>
      </c>
      <c r="T4" s="4"/>
      <c r="U4" s="4"/>
      <c r="V4" s="4"/>
      <c r="W4" s="4"/>
      <c r="X4" s="4"/>
      <c r="Y4" s="4"/>
      <c r="Z4" s="4"/>
      <c r="AA4" s="4"/>
      <c r="AB4" s="1" t="str">
        <f>IF(OR(_xlfn.SINGLE(JobAgolMap)="", $E4="", $F4=""),"",HYPERLINK(_xlfn.SINGLE(JobAgolMap)&amp;IF(ISNUMBER(FIND("?",_xlfn.SINGLE(JobAgolMap))),"&amp;","?")&amp;"center="&amp;$F4&amp;","&amp;$E4&amp;"&amp;level=16&amp;marker="&amp;$F4&amp;","&amp;$E4,"Open"))</f>
        <v/>
      </c>
    </row>
    <row r="5" spans="1:28" x14ac:dyDescent="0.45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4"/>
      <c r="M5" s="1" t="str">
        <f t="shared" si="0"/>
        <v/>
      </c>
      <c r="N5" s="1" t="str">
        <f t="shared" si="1"/>
        <v/>
      </c>
      <c r="O5" s="1" t="str">
        <f t="shared" si="2"/>
        <v/>
      </c>
      <c r="P5" s="1" t="str">
        <f t="shared" si="3"/>
        <v/>
      </c>
      <c r="Q5" s="1" t="str">
        <f t="shared" si="4"/>
        <v/>
      </c>
      <c r="R5" s="1" t="str">
        <f t="shared" si="5"/>
        <v/>
      </c>
      <c r="S5" s="1" t="str">
        <f>IF(OR($E5="",$F5=""),"",HYPERLINK(IF(OR(_xlfn.SINGLE(JobState)="MI",_xlfn.SINGLE(JobState)=""),"https://fema.maps.arcgis.com/apps/mapviewer/index.html?url=https%3A%2F%2Fmdotgis.state.mi.us%2Farcgis%2Frest%2Fservices%2FWidget%2FNextGenPrFinderPub%2FFeatureServer%2F353&amp;find="&amp;$F5&amp;"%2C"&amp;$E5&amp;"&amp;marker="&amp;$F5&amp;","&amp;$E5&amp;",4326&amp;level=16",IF(_xlfn.SINGLE(JobState)="IN","https://fema.maps.arcgis.com/apps/mapviewer/index.html?url=https%3A%2F%2Fgisdata.in.gov%2Fserver%2Frest%2Fservices%2FHosted%2FLRSE_Functional_Class%2FFeatureServer%2F22&amp;find="&amp;$F5&amp;"%2C"&amp;$E5&amp;"&amp;marker="&amp;$F5&amp;","&amp;$E5&amp;",4326&amp;level=16",IF(_xlfn.SINGLE(JobState)="WI","https://fema.maps.arcgis.com/apps/mapviewer/index.html?url=https%3A%2F%2Fservices5.arcgis.com%2F0pgGLzT0Nh7FVjon%2Farcgis%2Frest%2Fservices%2FFFCL_gdb%2FFeatureServer%2F3&amp;find="&amp;$F5&amp;"%2C"&amp;$E5&amp;"&amp;marker="&amp;$F5&amp;","&amp;$E5&amp;",4326&amp;level=16","https://fema.maps.arcgis.com/apps/mapviewer/index.html?find="&amp;$F5&amp;"%2C"&amp;$E5&amp;"&amp;marker="&amp;$F5&amp;","&amp;$E5&amp;",4326&amp;level=16"))),"Open"))</f>
        <v/>
      </c>
      <c r="T5" s="4"/>
      <c r="U5" s="4"/>
      <c r="V5" s="4"/>
      <c r="W5" s="4"/>
      <c r="X5" s="4"/>
      <c r="Y5" s="4"/>
      <c r="Z5" s="4"/>
      <c r="AA5" s="4"/>
      <c r="AB5" s="1" t="str">
        <f>IF(OR(_xlfn.SINGLE(JobAgolMap)="", $E5="", $F5=""),"",HYPERLINK(_xlfn.SINGLE(JobAgolMap)&amp;IF(ISNUMBER(FIND("?",_xlfn.SINGLE(JobAgolMap))),"&amp;","?")&amp;"center="&amp;$F5&amp;","&amp;$E5&amp;"&amp;level=16&amp;marker="&amp;$F5&amp;","&amp;$E5,"Open"))</f>
        <v/>
      </c>
    </row>
    <row r="6" spans="1:28" x14ac:dyDescent="0.45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4"/>
      <c r="M6" s="1" t="str">
        <f t="shared" si="0"/>
        <v/>
      </c>
      <c r="N6" s="1" t="str">
        <f t="shared" si="1"/>
        <v/>
      </c>
      <c r="O6" s="1" t="str">
        <f t="shared" si="2"/>
        <v/>
      </c>
      <c r="P6" s="1" t="str">
        <f t="shared" si="3"/>
        <v/>
      </c>
      <c r="Q6" s="1" t="str">
        <f t="shared" si="4"/>
        <v/>
      </c>
      <c r="R6" s="1" t="str">
        <f t="shared" si="5"/>
        <v/>
      </c>
      <c r="S6" s="1" t="str">
        <f>IF(OR($E6="",$F6=""),"",HYPERLINK(IF(OR(_xlfn.SINGLE(JobState)="MI",_xlfn.SINGLE(JobState)=""),"https://fema.maps.arcgis.com/apps/mapviewer/index.html?url=https%3A%2F%2Fmdotgis.state.mi.us%2Farcgis%2Frest%2Fservices%2FWidget%2FNextGenPrFinderPub%2FFeatureServer%2F353&amp;find="&amp;$F6&amp;"%2C"&amp;$E6&amp;"&amp;marker="&amp;$F6&amp;","&amp;$E6&amp;",4326&amp;level=16",IF(_xlfn.SINGLE(JobState)="IN","https://fema.maps.arcgis.com/apps/mapviewer/index.html?url=https%3A%2F%2Fgisdata.in.gov%2Fserver%2Frest%2Fservices%2FHosted%2FLRSE_Functional_Class%2FFeatureServer%2F22&amp;find="&amp;$F6&amp;"%2C"&amp;$E6&amp;"&amp;marker="&amp;$F6&amp;","&amp;$E6&amp;",4326&amp;level=16",IF(_xlfn.SINGLE(JobState)="WI","https://fema.maps.arcgis.com/apps/mapviewer/index.html?url=https%3A%2F%2Fservices5.arcgis.com%2F0pgGLzT0Nh7FVjon%2Farcgis%2Frest%2Fservices%2FFFCL_gdb%2FFeatureServer%2F3&amp;find="&amp;$F6&amp;"%2C"&amp;$E6&amp;"&amp;marker="&amp;$F6&amp;","&amp;$E6&amp;",4326&amp;level=16","https://fema.maps.arcgis.com/apps/mapviewer/index.html?find="&amp;$F6&amp;"%2C"&amp;$E6&amp;"&amp;marker="&amp;$F6&amp;","&amp;$E6&amp;",4326&amp;level=16"))),"Open"))</f>
        <v/>
      </c>
      <c r="T6" s="4"/>
      <c r="U6" s="4"/>
      <c r="V6" s="4"/>
      <c r="W6" s="4"/>
      <c r="X6" s="4"/>
      <c r="Y6" s="4"/>
      <c r="Z6" s="4"/>
      <c r="AA6" s="4"/>
      <c r="AB6" s="1" t="str">
        <f>IF(OR(_xlfn.SINGLE(JobAgolMap)="", $E6="", $F6=""),"",HYPERLINK(_xlfn.SINGLE(JobAgolMap)&amp;IF(ISNUMBER(FIND("?",_xlfn.SINGLE(JobAgolMap))),"&amp;","?")&amp;"center="&amp;$F6&amp;","&amp;$E6&amp;"&amp;level=16&amp;marker="&amp;$F6&amp;","&amp;$E6,"Open"))</f>
        <v/>
      </c>
    </row>
    <row r="7" spans="1:28" x14ac:dyDescent="0.45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4"/>
      <c r="M7" s="1" t="str">
        <f t="shared" si="0"/>
        <v/>
      </c>
      <c r="N7" s="1" t="str">
        <f t="shared" si="1"/>
        <v/>
      </c>
      <c r="O7" s="1" t="str">
        <f t="shared" si="2"/>
        <v/>
      </c>
      <c r="P7" s="1" t="str">
        <f t="shared" si="3"/>
        <v/>
      </c>
      <c r="Q7" s="1" t="str">
        <f t="shared" si="4"/>
        <v/>
      </c>
      <c r="R7" s="1" t="str">
        <f t="shared" si="5"/>
        <v/>
      </c>
      <c r="S7" s="1" t="str">
        <f>IF(OR($E7="",$F7=""),"",HYPERLINK(IF(OR(_xlfn.SINGLE(JobState)="MI",_xlfn.SINGLE(JobState)=""),"https://fema.maps.arcgis.com/apps/mapviewer/index.html?url=https%3A%2F%2Fmdotgis.state.mi.us%2Farcgis%2Frest%2Fservices%2FWidget%2FNextGenPrFinderPub%2FFeatureServer%2F353&amp;find="&amp;$F7&amp;"%2C"&amp;$E7&amp;"&amp;marker="&amp;$F7&amp;","&amp;$E7&amp;",4326&amp;level=16",IF(_xlfn.SINGLE(JobState)="IN","https://fema.maps.arcgis.com/apps/mapviewer/index.html?url=https%3A%2F%2Fgisdata.in.gov%2Fserver%2Frest%2Fservices%2FHosted%2FLRSE_Functional_Class%2FFeatureServer%2F22&amp;find="&amp;$F7&amp;"%2C"&amp;$E7&amp;"&amp;marker="&amp;$F7&amp;","&amp;$E7&amp;",4326&amp;level=16",IF(_xlfn.SINGLE(JobState)="WI","https://fema.maps.arcgis.com/apps/mapviewer/index.html?url=https%3A%2F%2Fservices5.arcgis.com%2F0pgGLzT0Nh7FVjon%2Farcgis%2Frest%2Fservices%2FFFCL_gdb%2FFeatureServer%2F3&amp;find="&amp;$F7&amp;"%2C"&amp;$E7&amp;"&amp;marker="&amp;$F7&amp;","&amp;$E7&amp;",4326&amp;level=16","https://fema.maps.arcgis.com/apps/mapviewer/index.html?find="&amp;$F7&amp;"%2C"&amp;$E7&amp;"&amp;marker="&amp;$F7&amp;","&amp;$E7&amp;",4326&amp;level=16"))),"Open"))</f>
        <v/>
      </c>
      <c r="T7" s="4"/>
      <c r="U7" s="4"/>
      <c r="V7" s="4"/>
      <c r="W7" s="4"/>
      <c r="X7" s="4"/>
      <c r="Y7" s="4"/>
      <c r="Z7" s="4"/>
      <c r="AA7" s="4"/>
      <c r="AB7" s="1" t="str">
        <f>IF(OR(_xlfn.SINGLE(JobAgolMap)="", $E7="", $F7=""),"",HYPERLINK(_xlfn.SINGLE(JobAgolMap)&amp;IF(ISNUMBER(FIND("?",_xlfn.SINGLE(JobAgolMap))),"&amp;","?")&amp;"center="&amp;$F7&amp;","&amp;$E7&amp;"&amp;level=16&amp;marker="&amp;$F7&amp;","&amp;$E7,"Open"))</f>
        <v/>
      </c>
    </row>
    <row r="8" spans="1:28" x14ac:dyDescent="0.45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4"/>
      <c r="M8" s="1" t="str">
        <f t="shared" si="0"/>
        <v/>
      </c>
      <c r="N8" s="1" t="str">
        <f t="shared" si="1"/>
        <v/>
      </c>
      <c r="O8" s="1" t="str">
        <f t="shared" si="2"/>
        <v/>
      </c>
      <c r="P8" s="1" t="str">
        <f t="shared" si="3"/>
        <v/>
      </c>
      <c r="Q8" s="1" t="str">
        <f t="shared" si="4"/>
        <v/>
      </c>
      <c r="R8" s="1" t="str">
        <f t="shared" si="5"/>
        <v/>
      </c>
      <c r="S8" s="1" t="str">
        <f>IF(OR($E8="",$F8=""),"",HYPERLINK(IF(OR(_xlfn.SINGLE(JobState)="MI",_xlfn.SINGLE(JobState)=""),"https://fema.maps.arcgis.com/apps/mapviewer/index.html?url=https%3A%2F%2Fmdotgis.state.mi.us%2Farcgis%2Frest%2Fservices%2FWidget%2FNextGenPrFinderPub%2FFeatureServer%2F353&amp;find="&amp;$F8&amp;"%2C"&amp;$E8&amp;"&amp;marker="&amp;$F8&amp;","&amp;$E8&amp;",4326&amp;level=16",IF(_xlfn.SINGLE(JobState)="IN","https://fema.maps.arcgis.com/apps/mapviewer/index.html?url=https%3A%2F%2Fgisdata.in.gov%2Fserver%2Frest%2Fservices%2FHosted%2FLRSE_Functional_Class%2FFeatureServer%2F22&amp;find="&amp;$F8&amp;"%2C"&amp;$E8&amp;"&amp;marker="&amp;$F8&amp;","&amp;$E8&amp;",4326&amp;level=16",IF(_xlfn.SINGLE(JobState)="WI","https://fema.maps.arcgis.com/apps/mapviewer/index.html?url=https%3A%2F%2Fservices5.arcgis.com%2F0pgGLzT0Nh7FVjon%2Farcgis%2Frest%2Fservices%2FFFCL_gdb%2FFeatureServer%2F3&amp;find="&amp;$F8&amp;"%2C"&amp;$E8&amp;"&amp;marker="&amp;$F8&amp;","&amp;$E8&amp;",4326&amp;level=16","https://fema.maps.arcgis.com/apps/mapviewer/index.html?find="&amp;$F8&amp;"%2C"&amp;$E8&amp;"&amp;marker="&amp;$F8&amp;","&amp;$E8&amp;",4326&amp;level=16"))),"Open"))</f>
        <v/>
      </c>
      <c r="T8" s="4"/>
      <c r="U8" s="4"/>
      <c r="V8" s="4"/>
      <c r="W8" s="4"/>
      <c r="X8" s="4"/>
      <c r="Y8" s="4"/>
      <c r="Z8" s="4"/>
      <c r="AA8" s="4"/>
      <c r="AB8" s="1" t="str">
        <f>IF(OR(_xlfn.SINGLE(JobAgolMap)="", $E8="", $F8=""),"",HYPERLINK(_xlfn.SINGLE(JobAgolMap)&amp;IF(ISNUMBER(FIND("?",_xlfn.SINGLE(JobAgolMap))),"&amp;","?")&amp;"center="&amp;$F8&amp;","&amp;$E8&amp;"&amp;level=16&amp;marker="&amp;$F8&amp;","&amp;$E8,"Open"))</f>
        <v/>
      </c>
    </row>
    <row r="9" spans="1:28" x14ac:dyDescent="0.45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4"/>
      <c r="M9" s="1" t="str">
        <f t="shared" si="0"/>
        <v/>
      </c>
      <c r="N9" s="1" t="str">
        <f t="shared" si="1"/>
        <v/>
      </c>
      <c r="O9" s="1" t="str">
        <f t="shared" si="2"/>
        <v/>
      </c>
      <c r="P9" s="1" t="str">
        <f t="shared" si="3"/>
        <v/>
      </c>
      <c r="Q9" s="1" t="str">
        <f t="shared" si="4"/>
        <v/>
      </c>
      <c r="R9" s="1" t="str">
        <f t="shared" si="5"/>
        <v/>
      </c>
      <c r="S9" s="1" t="str">
        <f>IF(OR($E9="",$F9=""),"",HYPERLINK(IF(OR(_xlfn.SINGLE(JobState)="MI",_xlfn.SINGLE(JobState)=""),"https://fema.maps.arcgis.com/apps/mapviewer/index.html?url=https%3A%2F%2Fmdotgis.state.mi.us%2Farcgis%2Frest%2Fservices%2FWidget%2FNextGenPrFinderPub%2FFeatureServer%2F353&amp;find="&amp;$F9&amp;"%2C"&amp;$E9&amp;"&amp;marker="&amp;$F9&amp;","&amp;$E9&amp;",4326&amp;level=16",IF(_xlfn.SINGLE(JobState)="IN","https://fema.maps.arcgis.com/apps/mapviewer/index.html?url=https%3A%2F%2Fgisdata.in.gov%2Fserver%2Frest%2Fservices%2FHosted%2FLRSE_Functional_Class%2FFeatureServer%2F22&amp;find="&amp;$F9&amp;"%2C"&amp;$E9&amp;"&amp;marker="&amp;$F9&amp;","&amp;$E9&amp;",4326&amp;level=16",IF(_xlfn.SINGLE(JobState)="WI","https://fema.maps.arcgis.com/apps/mapviewer/index.html?url=https%3A%2F%2Fservices5.arcgis.com%2F0pgGLzT0Nh7FVjon%2Farcgis%2Frest%2Fservices%2FFFCL_gdb%2FFeatureServer%2F3&amp;find="&amp;$F9&amp;"%2C"&amp;$E9&amp;"&amp;marker="&amp;$F9&amp;","&amp;$E9&amp;",4326&amp;level=16","https://fema.maps.arcgis.com/apps/mapviewer/index.html?find="&amp;$F9&amp;"%2C"&amp;$E9&amp;"&amp;marker="&amp;$F9&amp;","&amp;$E9&amp;",4326&amp;level=16"))),"Open"))</f>
        <v/>
      </c>
      <c r="T9" s="4"/>
      <c r="U9" s="4"/>
      <c r="V9" s="4"/>
      <c r="W9" s="4"/>
      <c r="X9" s="4"/>
      <c r="Y9" s="4"/>
      <c r="Z9" s="4"/>
      <c r="AA9" s="4"/>
      <c r="AB9" s="1" t="str">
        <f>IF(OR(_xlfn.SINGLE(JobAgolMap)="", $E9="", $F9=""),"",HYPERLINK(_xlfn.SINGLE(JobAgolMap)&amp;IF(ISNUMBER(FIND("?",_xlfn.SINGLE(JobAgolMap))),"&amp;","?")&amp;"center="&amp;$F9&amp;","&amp;$E9&amp;"&amp;level=16&amp;marker="&amp;$F9&amp;","&amp;$E9,"Open"))</f>
        <v/>
      </c>
    </row>
    <row r="10" spans="1:28" x14ac:dyDescent="0.45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4"/>
      <c r="M10" s="1" t="str">
        <f t="shared" si="0"/>
        <v/>
      </c>
      <c r="N10" s="1" t="str">
        <f t="shared" si="1"/>
        <v/>
      </c>
      <c r="O10" s="1" t="str">
        <f t="shared" si="2"/>
        <v/>
      </c>
      <c r="P10" s="1" t="str">
        <f t="shared" si="3"/>
        <v/>
      </c>
      <c r="Q10" s="1" t="str">
        <f t="shared" si="4"/>
        <v/>
      </c>
      <c r="R10" s="1" t="str">
        <f t="shared" si="5"/>
        <v/>
      </c>
      <c r="S10" s="1" t="str">
        <f>IF(OR($E10="",$F10=""),"",HYPERLINK(IF(OR(_xlfn.SINGLE(JobState)="MI",_xlfn.SINGLE(JobState)=""),"https://fema.maps.arcgis.com/apps/mapviewer/index.html?url=https%3A%2F%2Fmdotgis.state.mi.us%2Farcgis%2Frest%2Fservices%2FWidget%2FNextGenPrFinderPub%2FFeatureServer%2F353&amp;find="&amp;$F10&amp;"%2C"&amp;$E10&amp;"&amp;marker="&amp;$F10&amp;","&amp;$E10&amp;",4326&amp;level=16",IF(_xlfn.SINGLE(JobState)="IN","https://fema.maps.arcgis.com/apps/mapviewer/index.html?url=https%3A%2F%2Fgisdata.in.gov%2Fserver%2Frest%2Fservices%2FHosted%2FLRSE_Functional_Class%2FFeatureServer%2F22&amp;find="&amp;$F10&amp;"%2C"&amp;$E10&amp;"&amp;marker="&amp;$F10&amp;","&amp;$E10&amp;",4326&amp;level=16",IF(_xlfn.SINGLE(JobState)="WI","https://fema.maps.arcgis.com/apps/mapviewer/index.html?url=https%3A%2F%2Fservices5.arcgis.com%2F0pgGLzT0Nh7FVjon%2Farcgis%2Frest%2Fservices%2FFFCL_gdb%2FFeatureServer%2F3&amp;find="&amp;$F10&amp;"%2C"&amp;$E10&amp;"&amp;marker="&amp;$F10&amp;","&amp;$E10&amp;",4326&amp;level=16","https://fema.maps.arcgis.com/apps/mapviewer/index.html?find="&amp;$F10&amp;"%2C"&amp;$E10&amp;"&amp;marker="&amp;$F10&amp;","&amp;$E10&amp;",4326&amp;level=16"))),"Open"))</f>
        <v/>
      </c>
      <c r="T10" s="4"/>
      <c r="U10" s="4"/>
      <c r="V10" s="4"/>
      <c r="W10" s="4"/>
      <c r="X10" s="4"/>
      <c r="Y10" s="4"/>
      <c r="Z10" s="4"/>
      <c r="AA10" s="4"/>
      <c r="AB10" s="1" t="str">
        <f>IF(OR(_xlfn.SINGLE(JobAgolMap)="", $E10="", $F10=""),"",HYPERLINK(_xlfn.SINGLE(JobAgolMap)&amp;IF(ISNUMBER(FIND("?",_xlfn.SINGLE(JobAgolMap))),"&amp;","?")&amp;"center="&amp;$F10&amp;","&amp;$E10&amp;"&amp;level=16&amp;marker="&amp;$F10&amp;","&amp;$E10,"Open"))</f>
        <v/>
      </c>
    </row>
    <row r="11" spans="1:28" x14ac:dyDescent="0.45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4"/>
      <c r="M11" s="1" t="str">
        <f t="shared" si="0"/>
        <v/>
      </c>
      <c r="N11" s="1" t="str">
        <f t="shared" si="1"/>
        <v/>
      </c>
      <c r="O11" s="1" t="str">
        <f t="shared" si="2"/>
        <v/>
      </c>
      <c r="P11" s="1" t="str">
        <f t="shared" si="3"/>
        <v/>
      </c>
      <c r="Q11" s="1" t="str">
        <f t="shared" si="4"/>
        <v/>
      </c>
      <c r="R11" s="1" t="str">
        <f t="shared" si="5"/>
        <v/>
      </c>
      <c r="S11" s="1" t="str">
        <f>IF(OR($E11="",$F11=""),"",HYPERLINK(IF(OR(_xlfn.SINGLE(JobState)="MI",_xlfn.SINGLE(JobState)=""),"https://fema.maps.arcgis.com/apps/mapviewer/index.html?url=https%3A%2F%2Fmdotgis.state.mi.us%2Farcgis%2Frest%2Fservices%2FWidget%2FNextGenPrFinderPub%2FFeatureServer%2F353&amp;find="&amp;$F11&amp;"%2C"&amp;$E11&amp;"&amp;marker="&amp;$F11&amp;","&amp;$E11&amp;",4326&amp;level=16",IF(_xlfn.SINGLE(JobState)="IN","https://fema.maps.arcgis.com/apps/mapviewer/index.html?url=https%3A%2F%2Fgisdata.in.gov%2Fserver%2Frest%2Fservices%2FHosted%2FLRSE_Functional_Class%2FFeatureServer%2F22&amp;find="&amp;$F11&amp;"%2C"&amp;$E11&amp;"&amp;marker="&amp;$F11&amp;","&amp;$E11&amp;",4326&amp;level=16",IF(_xlfn.SINGLE(JobState)="WI","https://fema.maps.arcgis.com/apps/mapviewer/index.html?url=https%3A%2F%2Fservices5.arcgis.com%2F0pgGLzT0Nh7FVjon%2Farcgis%2Frest%2Fservices%2FFFCL_gdb%2FFeatureServer%2F3&amp;find="&amp;$F11&amp;"%2C"&amp;$E11&amp;"&amp;marker="&amp;$F11&amp;","&amp;$E11&amp;",4326&amp;level=16","https://fema.maps.arcgis.com/apps/mapviewer/index.html?find="&amp;$F11&amp;"%2C"&amp;$E11&amp;"&amp;marker="&amp;$F11&amp;","&amp;$E11&amp;",4326&amp;level=16"))),"Open"))</f>
        <v/>
      </c>
      <c r="T11" s="4"/>
      <c r="U11" s="4"/>
      <c r="V11" s="4"/>
      <c r="W11" s="4"/>
      <c r="X11" s="4"/>
      <c r="Y11" s="4"/>
      <c r="Z11" s="4"/>
      <c r="AA11" s="4"/>
      <c r="AB11" s="1" t="str">
        <f>IF(OR(_xlfn.SINGLE(JobAgolMap)="", $E11="", $F11=""),"",HYPERLINK(_xlfn.SINGLE(JobAgolMap)&amp;IF(ISNUMBER(FIND("?",_xlfn.SINGLE(JobAgolMap))),"&amp;","?")&amp;"center="&amp;$F11&amp;","&amp;$E11&amp;"&amp;level=16&amp;marker="&amp;$F11&amp;","&amp;$E11,"Open"))</f>
        <v/>
      </c>
    </row>
    <row r="12" spans="1:28" x14ac:dyDescent="0.45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4"/>
      <c r="M12" s="1" t="str">
        <f t="shared" si="0"/>
        <v/>
      </c>
      <c r="N12" s="1" t="str">
        <f t="shared" si="1"/>
        <v/>
      </c>
      <c r="O12" s="1" t="str">
        <f t="shared" si="2"/>
        <v/>
      </c>
      <c r="P12" s="1" t="str">
        <f t="shared" si="3"/>
        <v/>
      </c>
      <c r="Q12" s="1" t="str">
        <f t="shared" si="4"/>
        <v/>
      </c>
      <c r="R12" s="1" t="str">
        <f t="shared" si="5"/>
        <v/>
      </c>
      <c r="S12" s="1" t="str">
        <f>IF(OR($E12="",$F12=""),"",HYPERLINK(IF(OR(_xlfn.SINGLE(JobState)="MI",_xlfn.SINGLE(JobState)=""),"https://fema.maps.arcgis.com/apps/mapviewer/index.html?url=https%3A%2F%2Fmdotgis.state.mi.us%2Farcgis%2Frest%2Fservices%2FWidget%2FNextGenPrFinderPub%2FFeatureServer%2F353&amp;find="&amp;$F12&amp;"%2C"&amp;$E12&amp;"&amp;marker="&amp;$F12&amp;","&amp;$E12&amp;",4326&amp;level=16",IF(_xlfn.SINGLE(JobState)="IN","https://fema.maps.arcgis.com/apps/mapviewer/index.html?url=https%3A%2F%2Fgisdata.in.gov%2Fserver%2Frest%2Fservices%2FHosted%2FLRSE_Functional_Class%2FFeatureServer%2F22&amp;find="&amp;$F12&amp;"%2C"&amp;$E12&amp;"&amp;marker="&amp;$F12&amp;","&amp;$E12&amp;",4326&amp;level=16",IF(_xlfn.SINGLE(JobState)="WI","https://fema.maps.arcgis.com/apps/mapviewer/index.html?url=https%3A%2F%2Fservices5.arcgis.com%2F0pgGLzT0Nh7FVjon%2Farcgis%2Frest%2Fservices%2FFFCL_gdb%2FFeatureServer%2F3&amp;find="&amp;$F12&amp;"%2C"&amp;$E12&amp;"&amp;marker="&amp;$F12&amp;","&amp;$E12&amp;",4326&amp;level=16","https://fema.maps.arcgis.com/apps/mapviewer/index.html?find="&amp;$F12&amp;"%2C"&amp;$E12&amp;"&amp;marker="&amp;$F12&amp;","&amp;$E12&amp;",4326&amp;level=16"))),"Open"))</f>
        <v/>
      </c>
      <c r="T12" s="4"/>
      <c r="U12" s="4"/>
      <c r="V12" s="4"/>
      <c r="W12" s="4"/>
      <c r="X12" s="4"/>
      <c r="Y12" s="4"/>
      <c r="Z12" s="4"/>
      <c r="AA12" s="4"/>
      <c r="AB12" s="1" t="str">
        <f>IF(OR(_xlfn.SINGLE(JobAgolMap)="", $E12="", $F12=""),"",HYPERLINK(_xlfn.SINGLE(JobAgolMap)&amp;IF(ISNUMBER(FIND("?",_xlfn.SINGLE(JobAgolMap))),"&amp;","?")&amp;"center="&amp;$F12&amp;","&amp;$E12&amp;"&amp;level=16&amp;marker="&amp;$F12&amp;","&amp;$E12,"Open"))</f>
        <v/>
      </c>
    </row>
    <row r="13" spans="1:28" x14ac:dyDescent="0.45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4"/>
      <c r="M13" s="1" t="str">
        <f t="shared" si="0"/>
        <v/>
      </c>
      <c r="N13" s="1" t="str">
        <f t="shared" si="1"/>
        <v/>
      </c>
      <c r="O13" s="1" t="str">
        <f t="shared" si="2"/>
        <v/>
      </c>
      <c r="P13" s="1" t="str">
        <f t="shared" si="3"/>
        <v/>
      </c>
      <c r="Q13" s="1" t="str">
        <f t="shared" si="4"/>
        <v/>
      </c>
      <c r="R13" s="1" t="str">
        <f t="shared" si="5"/>
        <v/>
      </c>
      <c r="S13" s="1" t="str">
        <f>IF(OR($E13="",$F13=""),"",HYPERLINK(IF(OR(_xlfn.SINGLE(JobState)="MI",_xlfn.SINGLE(JobState)=""),"https://fema.maps.arcgis.com/apps/mapviewer/index.html?url=https%3A%2F%2Fmdotgis.state.mi.us%2Farcgis%2Frest%2Fservices%2FWidget%2FNextGenPrFinderPub%2FFeatureServer%2F353&amp;find="&amp;$F13&amp;"%2C"&amp;$E13&amp;"&amp;marker="&amp;$F13&amp;","&amp;$E13&amp;",4326&amp;level=16",IF(_xlfn.SINGLE(JobState)="IN","https://fema.maps.arcgis.com/apps/mapviewer/index.html?url=https%3A%2F%2Fgisdata.in.gov%2Fserver%2Frest%2Fservices%2FHosted%2FLRSE_Functional_Class%2FFeatureServer%2F22&amp;find="&amp;$F13&amp;"%2C"&amp;$E13&amp;"&amp;marker="&amp;$F13&amp;","&amp;$E13&amp;",4326&amp;level=16",IF(_xlfn.SINGLE(JobState)="WI","https://fema.maps.arcgis.com/apps/mapviewer/index.html?url=https%3A%2F%2Fservices5.arcgis.com%2F0pgGLzT0Nh7FVjon%2Farcgis%2Frest%2Fservices%2FFFCL_gdb%2FFeatureServer%2F3&amp;find="&amp;$F13&amp;"%2C"&amp;$E13&amp;"&amp;marker="&amp;$F13&amp;","&amp;$E13&amp;",4326&amp;level=16","https://fema.maps.arcgis.com/apps/mapviewer/index.html?find="&amp;$F13&amp;"%2C"&amp;$E13&amp;"&amp;marker="&amp;$F13&amp;","&amp;$E13&amp;",4326&amp;level=16"))),"Open"))</f>
        <v/>
      </c>
      <c r="T13" s="4"/>
      <c r="U13" s="4"/>
      <c r="V13" s="4"/>
      <c r="W13" s="4"/>
      <c r="X13" s="4"/>
      <c r="Y13" s="4"/>
      <c r="Z13" s="4"/>
      <c r="AA13" s="4"/>
      <c r="AB13" s="1" t="str">
        <f>IF(OR(_xlfn.SINGLE(JobAgolMap)="", $E13="", $F13=""),"",HYPERLINK(_xlfn.SINGLE(JobAgolMap)&amp;IF(ISNUMBER(FIND("?",_xlfn.SINGLE(JobAgolMap))),"&amp;","?")&amp;"center="&amp;$F13&amp;","&amp;$E13&amp;"&amp;level=16&amp;marker="&amp;$F13&amp;","&amp;$E13,"Open"))</f>
        <v/>
      </c>
    </row>
    <row r="14" spans="1:28" x14ac:dyDescent="0.45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4"/>
      <c r="M14" s="1" t="str">
        <f t="shared" si="0"/>
        <v/>
      </c>
      <c r="N14" s="1" t="str">
        <f t="shared" si="1"/>
        <v/>
      </c>
      <c r="O14" s="1" t="str">
        <f t="shared" si="2"/>
        <v/>
      </c>
      <c r="P14" s="1" t="str">
        <f t="shared" si="3"/>
        <v/>
      </c>
      <c r="Q14" s="1" t="str">
        <f t="shared" si="4"/>
        <v/>
      </c>
      <c r="R14" s="1" t="str">
        <f t="shared" si="5"/>
        <v/>
      </c>
      <c r="S14" s="1" t="str">
        <f>IF(OR($E14="",$F14=""),"",HYPERLINK(IF(OR(_xlfn.SINGLE(JobState)="MI",_xlfn.SINGLE(JobState)=""),"https://fema.maps.arcgis.com/apps/mapviewer/index.html?url=https%3A%2F%2Fmdotgis.state.mi.us%2Farcgis%2Frest%2Fservices%2FWidget%2FNextGenPrFinderPub%2FFeatureServer%2F353&amp;find="&amp;$F14&amp;"%2C"&amp;$E14&amp;"&amp;marker="&amp;$F14&amp;","&amp;$E14&amp;",4326&amp;level=16",IF(_xlfn.SINGLE(JobState)="IN","https://fema.maps.arcgis.com/apps/mapviewer/index.html?url=https%3A%2F%2Fgisdata.in.gov%2Fserver%2Frest%2Fservices%2FHosted%2FLRSE_Functional_Class%2FFeatureServer%2F22&amp;find="&amp;$F14&amp;"%2C"&amp;$E14&amp;"&amp;marker="&amp;$F14&amp;","&amp;$E14&amp;",4326&amp;level=16",IF(_xlfn.SINGLE(JobState)="WI","https://fema.maps.arcgis.com/apps/mapviewer/index.html?url=https%3A%2F%2Fservices5.arcgis.com%2F0pgGLzT0Nh7FVjon%2Farcgis%2Frest%2Fservices%2FFFCL_gdb%2FFeatureServer%2F3&amp;find="&amp;$F14&amp;"%2C"&amp;$E14&amp;"&amp;marker="&amp;$F14&amp;","&amp;$E14&amp;",4326&amp;level=16","https://fema.maps.arcgis.com/apps/mapviewer/index.html?find="&amp;$F14&amp;"%2C"&amp;$E14&amp;"&amp;marker="&amp;$F14&amp;","&amp;$E14&amp;",4326&amp;level=16"))),"Open"))</f>
        <v/>
      </c>
      <c r="T14" s="4"/>
      <c r="U14" s="4"/>
      <c r="V14" s="4"/>
      <c r="W14" s="4"/>
      <c r="X14" s="4"/>
      <c r="Y14" s="4"/>
      <c r="Z14" s="4"/>
      <c r="AA14" s="4"/>
      <c r="AB14" s="1" t="str">
        <f>IF(OR(_xlfn.SINGLE(JobAgolMap)="", $E14="", $F14=""),"",HYPERLINK(_xlfn.SINGLE(JobAgolMap)&amp;IF(ISNUMBER(FIND("?",_xlfn.SINGLE(JobAgolMap))),"&amp;","?")&amp;"center="&amp;$F14&amp;","&amp;$E14&amp;"&amp;level=16&amp;marker="&amp;$F14&amp;","&amp;$E14,"Open"))</f>
        <v/>
      </c>
    </row>
    <row r="15" spans="1:28" x14ac:dyDescent="0.45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4"/>
      <c r="M15" s="1" t="str">
        <f t="shared" si="0"/>
        <v/>
      </c>
      <c r="N15" s="1" t="str">
        <f t="shared" si="1"/>
        <v/>
      </c>
      <c r="O15" s="1" t="str">
        <f t="shared" si="2"/>
        <v/>
      </c>
      <c r="P15" s="1" t="str">
        <f t="shared" si="3"/>
        <v/>
      </c>
      <c r="Q15" s="1" t="str">
        <f t="shared" si="4"/>
        <v/>
      </c>
      <c r="R15" s="1" t="str">
        <f t="shared" si="5"/>
        <v/>
      </c>
      <c r="S15" s="1" t="str">
        <f>IF(OR($E15="",$F15=""),"",HYPERLINK(IF(OR(_xlfn.SINGLE(JobState)="MI",_xlfn.SINGLE(JobState)=""),"https://fema.maps.arcgis.com/apps/mapviewer/index.html?url=https%3A%2F%2Fmdotgis.state.mi.us%2Farcgis%2Frest%2Fservices%2FWidget%2FNextGenPrFinderPub%2FFeatureServer%2F353&amp;find="&amp;$F15&amp;"%2C"&amp;$E15&amp;"&amp;marker="&amp;$F15&amp;","&amp;$E15&amp;",4326&amp;level=16",IF(_xlfn.SINGLE(JobState)="IN","https://fema.maps.arcgis.com/apps/mapviewer/index.html?url=https%3A%2F%2Fgisdata.in.gov%2Fserver%2Frest%2Fservices%2FHosted%2FLRSE_Functional_Class%2FFeatureServer%2F22&amp;find="&amp;$F15&amp;"%2C"&amp;$E15&amp;"&amp;marker="&amp;$F15&amp;","&amp;$E15&amp;",4326&amp;level=16",IF(_xlfn.SINGLE(JobState)="WI","https://fema.maps.arcgis.com/apps/mapviewer/index.html?url=https%3A%2F%2Fservices5.arcgis.com%2F0pgGLzT0Nh7FVjon%2Farcgis%2Frest%2Fservices%2FFFCL_gdb%2FFeatureServer%2F3&amp;find="&amp;$F15&amp;"%2C"&amp;$E15&amp;"&amp;marker="&amp;$F15&amp;","&amp;$E15&amp;",4326&amp;level=16","https://fema.maps.arcgis.com/apps/mapviewer/index.html?find="&amp;$F15&amp;"%2C"&amp;$E15&amp;"&amp;marker="&amp;$F15&amp;","&amp;$E15&amp;",4326&amp;level=16"))),"Open"))</f>
        <v/>
      </c>
      <c r="T15" s="4"/>
      <c r="U15" s="4"/>
      <c r="V15" s="4"/>
      <c r="W15" s="4"/>
      <c r="X15" s="4"/>
      <c r="Y15" s="4"/>
      <c r="Z15" s="4"/>
      <c r="AA15" s="4"/>
      <c r="AB15" s="1" t="str">
        <f>IF(OR(_xlfn.SINGLE(JobAgolMap)="", $E15="", $F15=""),"",HYPERLINK(_xlfn.SINGLE(JobAgolMap)&amp;IF(ISNUMBER(FIND("?",_xlfn.SINGLE(JobAgolMap))),"&amp;","?")&amp;"center="&amp;$F15&amp;","&amp;$E15&amp;"&amp;level=16&amp;marker="&amp;$F15&amp;","&amp;$E15,"Open"))</f>
        <v/>
      </c>
    </row>
    <row r="16" spans="1:28" x14ac:dyDescent="0.45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4"/>
      <c r="M16" s="1" t="str">
        <f t="shared" si="0"/>
        <v/>
      </c>
      <c r="N16" s="1" t="str">
        <f t="shared" si="1"/>
        <v/>
      </c>
      <c r="O16" s="1" t="str">
        <f t="shared" si="2"/>
        <v/>
      </c>
      <c r="P16" s="1" t="str">
        <f t="shared" si="3"/>
        <v/>
      </c>
      <c r="Q16" s="1" t="str">
        <f t="shared" si="4"/>
        <v/>
      </c>
      <c r="R16" s="1" t="str">
        <f t="shared" si="5"/>
        <v/>
      </c>
      <c r="S16" s="1" t="str">
        <f>IF(OR($E16="",$F16=""),"",HYPERLINK(IF(OR(_xlfn.SINGLE(JobState)="MI",_xlfn.SINGLE(JobState)=""),"https://fema.maps.arcgis.com/apps/mapviewer/index.html?url=https%3A%2F%2Fmdotgis.state.mi.us%2Farcgis%2Frest%2Fservices%2FWidget%2FNextGenPrFinderPub%2FFeatureServer%2F353&amp;find="&amp;$F16&amp;"%2C"&amp;$E16&amp;"&amp;marker="&amp;$F16&amp;","&amp;$E16&amp;",4326&amp;level=16",IF(_xlfn.SINGLE(JobState)="IN","https://fema.maps.arcgis.com/apps/mapviewer/index.html?url=https%3A%2F%2Fgisdata.in.gov%2Fserver%2Frest%2Fservices%2FHosted%2FLRSE_Functional_Class%2FFeatureServer%2F22&amp;find="&amp;$F16&amp;"%2C"&amp;$E16&amp;"&amp;marker="&amp;$F16&amp;","&amp;$E16&amp;",4326&amp;level=16",IF(_xlfn.SINGLE(JobState)="WI","https://fema.maps.arcgis.com/apps/mapviewer/index.html?url=https%3A%2F%2Fservices5.arcgis.com%2F0pgGLzT0Nh7FVjon%2Farcgis%2Frest%2Fservices%2FFFCL_gdb%2FFeatureServer%2F3&amp;find="&amp;$F16&amp;"%2C"&amp;$E16&amp;"&amp;marker="&amp;$F16&amp;","&amp;$E16&amp;",4326&amp;level=16","https://fema.maps.arcgis.com/apps/mapviewer/index.html?find="&amp;$F16&amp;"%2C"&amp;$E16&amp;"&amp;marker="&amp;$F16&amp;","&amp;$E16&amp;",4326&amp;level=16"))),"Open"))</f>
        <v/>
      </c>
      <c r="T16" s="4"/>
      <c r="U16" s="4"/>
      <c r="V16" s="4"/>
      <c r="W16" s="4"/>
      <c r="X16" s="4"/>
      <c r="Y16" s="4"/>
      <c r="Z16" s="4"/>
      <c r="AA16" s="4"/>
      <c r="AB16" s="1" t="str">
        <f>IF(OR(_xlfn.SINGLE(JobAgolMap)="", $E16="", $F16=""),"",HYPERLINK(_xlfn.SINGLE(JobAgolMap)&amp;IF(ISNUMBER(FIND("?",_xlfn.SINGLE(JobAgolMap))),"&amp;","?")&amp;"center="&amp;$F16&amp;","&amp;$E16&amp;"&amp;level=16&amp;marker="&amp;$F16&amp;","&amp;$E16,"Open"))</f>
        <v/>
      </c>
    </row>
    <row r="17" spans="1:28" x14ac:dyDescent="0.45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4"/>
      <c r="M17" s="1" t="str">
        <f t="shared" si="0"/>
        <v/>
      </c>
      <c r="N17" s="1" t="str">
        <f t="shared" si="1"/>
        <v/>
      </c>
      <c r="O17" s="1" t="str">
        <f t="shared" si="2"/>
        <v/>
      </c>
      <c r="P17" s="1" t="str">
        <f t="shared" si="3"/>
        <v/>
      </c>
      <c r="Q17" s="1" t="str">
        <f t="shared" si="4"/>
        <v/>
      </c>
      <c r="R17" s="1" t="str">
        <f t="shared" si="5"/>
        <v/>
      </c>
      <c r="S17" s="1" t="str">
        <f>IF(OR($E17="",$F17=""),"",HYPERLINK(IF(OR(_xlfn.SINGLE(JobState)="MI",_xlfn.SINGLE(JobState)=""),"https://fema.maps.arcgis.com/apps/mapviewer/index.html?url=https%3A%2F%2Fmdotgis.state.mi.us%2Farcgis%2Frest%2Fservices%2FWidget%2FNextGenPrFinderPub%2FFeatureServer%2F353&amp;find="&amp;$F17&amp;"%2C"&amp;$E17&amp;"&amp;marker="&amp;$F17&amp;","&amp;$E17&amp;",4326&amp;level=16",IF(_xlfn.SINGLE(JobState)="IN","https://fema.maps.arcgis.com/apps/mapviewer/index.html?url=https%3A%2F%2Fgisdata.in.gov%2Fserver%2Frest%2Fservices%2FHosted%2FLRSE_Functional_Class%2FFeatureServer%2F22&amp;find="&amp;$F17&amp;"%2C"&amp;$E17&amp;"&amp;marker="&amp;$F17&amp;","&amp;$E17&amp;",4326&amp;level=16",IF(_xlfn.SINGLE(JobState)="WI","https://fema.maps.arcgis.com/apps/mapviewer/index.html?url=https%3A%2F%2Fservices5.arcgis.com%2F0pgGLzT0Nh7FVjon%2Farcgis%2Frest%2Fservices%2FFFCL_gdb%2FFeatureServer%2F3&amp;find="&amp;$F17&amp;"%2C"&amp;$E17&amp;"&amp;marker="&amp;$F17&amp;","&amp;$E17&amp;",4326&amp;level=16","https://fema.maps.arcgis.com/apps/mapviewer/index.html?find="&amp;$F17&amp;"%2C"&amp;$E17&amp;"&amp;marker="&amp;$F17&amp;","&amp;$E17&amp;",4326&amp;level=16"))),"Open"))</f>
        <v/>
      </c>
      <c r="T17" s="4"/>
      <c r="U17" s="4"/>
      <c r="V17" s="4"/>
      <c r="W17" s="4"/>
      <c r="X17" s="4"/>
      <c r="Y17" s="4"/>
      <c r="Z17" s="4"/>
      <c r="AA17" s="4"/>
      <c r="AB17" s="1" t="str">
        <f>IF(OR(_xlfn.SINGLE(JobAgolMap)="", $E17="", $F17=""),"",HYPERLINK(_xlfn.SINGLE(JobAgolMap)&amp;IF(ISNUMBER(FIND("?",_xlfn.SINGLE(JobAgolMap))),"&amp;","?")&amp;"center="&amp;$F17&amp;","&amp;$E17&amp;"&amp;level=16&amp;marker="&amp;$F17&amp;","&amp;$E17,"Open"))</f>
        <v/>
      </c>
    </row>
    <row r="18" spans="1:28" x14ac:dyDescent="0.45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4"/>
      <c r="M18" s="1" t="str">
        <f t="shared" si="0"/>
        <v/>
      </c>
      <c r="N18" s="1" t="str">
        <f t="shared" si="1"/>
        <v/>
      </c>
      <c r="O18" s="1" t="str">
        <f t="shared" si="2"/>
        <v/>
      </c>
      <c r="P18" s="1" t="str">
        <f t="shared" si="3"/>
        <v/>
      </c>
      <c r="Q18" s="1" t="str">
        <f t="shared" si="4"/>
        <v/>
      </c>
      <c r="R18" s="1" t="str">
        <f t="shared" si="5"/>
        <v/>
      </c>
      <c r="S18" s="1" t="str">
        <f>IF(OR($E18="",$F18=""),"",HYPERLINK(IF(OR(_xlfn.SINGLE(JobState)="MI",_xlfn.SINGLE(JobState)=""),"https://fema.maps.arcgis.com/apps/mapviewer/index.html?url=https%3A%2F%2Fmdotgis.state.mi.us%2Farcgis%2Frest%2Fservices%2FWidget%2FNextGenPrFinderPub%2FFeatureServer%2F353&amp;find="&amp;$F18&amp;"%2C"&amp;$E18&amp;"&amp;marker="&amp;$F18&amp;","&amp;$E18&amp;",4326&amp;level=16",IF(_xlfn.SINGLE(JobState)="IN","https://fema.maps.arcgis.com/apps/mapviewer/index.html?url=https%3A%2F%2Fgisdata.in.gov%2Fserver%2Frest%2Fservices%2FHosted%2FLRSE_Functional_Class%2FFeatureServer%2F22&amp;find="&amp;$F18&amp;"%2C"&amp;$E18&amp;"&amp;marker="&amp;$F18&amp;","&amp;$E18&amp;",4326&amp;level=16",IF(_xlfn.SINGLE(JobState)="WI","https://fema.maps.arcgis.com/apps/mapviewer/index.html?url=https%3A%2F%2Fservices5.arcgis.com%2F0pgGLzT0Nh7FVjon%2Farcgis%2Frest%2Fservices%2FFFCL_gdb%2FFeatureServer%2F3&amp;find="&amp;$F18&amp;"%2C"&amp;$E18&amp;"&amp;marker="&amp;$F18&amp;","&amp;$E18&amp;",4326&amp;level=16","https://fema.maps.arcgis.com/apps/mapviewer/index.html?find="&amp;$F18&amp;"%2C"&amp;$E18&amp;"&amp;marker="&amp;$F18&amp;","&amp;$E18&amp;",4326&amp;level=16"))),"Open"))</f>
        <v/>
      </c>
      <c r="T18" s="4"/>
      <c r="U18" s="4"/>
      <c r="V18" s="4"/>
      <c r="W18" s="4"/>
      <c r="X18" s="4"/>
      <c r="Y18" s="4"/>
      <c r="Z18" s="4"/>
      <c r="AA18" s="4"/>
      <c r="AB18" s="1" t="str">
        <f>IF(OR(_xlfn.SINGLE(JobAgolMap)="", $E18="", $F18=""),"",HYPERLINK(_xlfn.SINGLE(JobAgolMap)&amp;IF(ISNUMBER(FIND("?",_xlfn.SINGLE(JobAgolMap))),"&amp;","?")&amp;"center="&amp;$F18&amp;","&amp;$E18&amp;"&amp;level=16&amp;marker="&amp;$F18&amp;","&amp;$E18,"Open"))</f>
        <v/>
      </c>
    </row>
    <row r="19" spans="1:28" x14ac:dyDescent="0.45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4"/>
      <c r="M19" s="1" t="str">
        <f t="shared" si="0"/>
        <v/>
      </c>
      <c r="N19" s="1" t="str">
        <f t="shared" si="1"/>
        <v/>
      </c>
      <c r="O19" s="1" t="str">
        <f t="shared" si="2"/>
        <v/>
      </c>
      <c r="P19" s="1" t="str">
        <f t="shared" si="3"/>
        <v/>
      </c>
      <c r="Q19" s="1" t="str">
        <f t="shared" si="4"/>
        <v/>
      </c>
      <c r="R19" s="1" t="str">
        <f t="shared" si="5"/>
        <v/>
      </c>
      <c r="S19" s="1" t="str">
        <f>IF(OR($E19="",$F19=""),"",HYPERLINK(IF(OR(_xlfn.SINGLE(JobState)="MI",_xlfn.SINGLE(JobState)=""),"https://fema.maps.arcgis.com/apps/mapviewer/index.html?url=https%3A%2F%2Fmdotgis.state.mi.us%2Farcgis%2Frest%2Fservices%2FWidget%2FNextGenPrFinderPub%2FFeatureServer%2F353&amp;find="&amp;$F19&amp;"%2C"&amp;$E19&amp;"&amp;marker="&amp;$F19&amp;","&amp;$E19&amp;",4326&amp;level=16",IF(_xlfn.SINGLE(JobState)="IN","https://fema.maps.arcgis.com/apps/mapviewer/index.html?url=https%3A%2F%2Fgisdata.in.gov%2Fserver%2Frest%2Fservices%2FHosted%2FLRSE_Functional_Class%2FFeatureServer%2F22&amp;find="&amp;$F19&amp;"%2C"&amp;$E19&amp;"&amp;marker="&amp;$F19&amp;","&amp;$E19&amp;",4326&amp;level=16",IF(_xlfn.SINGLE(JobState)="WI","https://fema.maps.arcgis.com/apps/mapviewer/index.html?url=https%3A%2F%2Fservices5.arcgis.com%2F0pgGLzT0Nh7FVjon%2Farcgis%2Frest%2Fservices%2FFFCL_gdb%2FFeatureServer%2F3&amp;find="&amp;$F19&amp;"%2C"&amp;$E19&amp;"&amp;marker="&amp;$F19&amp;","&amp;$E19&amp;",4326&amp;level=16","https://fema.maps.arcgis.com/apps/mapviewer/index.html?find="&amp;$F19&amp;"%2C"&amp;$E19&amp;"&amp;marker="&amp;$F19&amp;","&amp;$E19&amp;",4326&amp;level=16"))),"Open"))</f>
        <v/>
      </c>
      <c r="T19" s="4"/>
      <c r="U19" s="4"/>
      <c r="V19" s="4"/>
      <c r="W19" s="4"/>
      <c r="X19" s="4"/>
      <c r="Y19" s="4"/>
      <c r="Z19" s="4"/>
      <c r="AA19" s="4"/>
      <c r="AB19" s="1" t="str">
        <f>IF(OR(_xlfn.SINGLE(JobAgolMap)="", $E19="", $F19=""),"",HYPERLINK(_xlfn.SINGLE(JobAgolMap)&amp;IF(ISNUMBER(FIND("?",_xlfn.SINGLE(JobAgolMap))),"&amp;","?")&amp;"center="&amp;$F19&amp;","&amp;$E19&amp;"&amp;level=16&amp;marker="&amp;$F19&amp;","&amp;$E19,"Open"))</f>
        <v/>
      </c>
    </row>
    <row r="20" spans="1:28" x14ac:dyDescent="0.45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4"/>
      <c r="M20" s="1" t="str">
        <f t="shared" si="0"/>
        <v/>
      </c>
      <c r="N20" s="1" t="str">
        <f t="shared" si="1"/>
        <v/>
      </c>
      <c r="O20" s="1" t="str">
        <f t="shared" si="2"/>
        <v/>
      </c>
      <c r="P20" s="1" t="str">
        <f t="shared" si="3"/>
        <v/>
      </c>
      <c r="Q20" s="1" t="str">
        <f t="shared" si="4"/>
        <v/>
      </c>
      <c r="R20" s="1" t="str">
        <f t="shared" si="5"/>
        <v/>
      </c>
      <c r="S20" s="1" t="str">
        <f>IF(OR($E20="",$F20=""),"",HYPERLINK(IF(OR(_xlfn.SINGLE(JobState)="MI",_xlfn.SINGLE(JobState)=""),"https://fema.maps.arcgis.com/apps/mapviewer/index.html?url=https%3A%2F%2Fmdotgis.state.mi.us%2Farcgis%2Frest%2Fservices%2FWidget%2FNextGenPrFinderPub%2FFeatureServer%2F353&amp;find="&amp;$F20&amp;"%2C"&amp;$E20&amp;"&amp;marker="&amp;$F20&amp;","&amp;$E20&amp;",4326&amp;level=16",IF(_xlfn.SINGLE(JobState)="IN","https://fema.maps.arcgis.com/apps/mapviewer/index.html?url=https%3A%2F%2Fgisdata.in.gov%2Fserver%2Frest%2Fservices%2FHosted%2FLRSE_Functional_Class%2FFeatureServer%2F22&amp;find="&amp;$F20&amp;"%2C"&amp;$E20&amp;"&amp;marker="&amp;$F20&amp;","&amp;$E20&amp;",4326&amp;level=16",IF(_xlfn.SINGLE(JobState)="WI","https://fema.maps.arcgis.com/apps/mapviewer/index.html?url=https%3A%2F%2Fservices5.arcgis.com%2F0pgGLzT0Nh7FVjon%2Farcgis%2Frest%2Fservices%2FFFCL_gdb%2FFeatureServer%2F3&amp;find="&amp;$F20&amp;"%2C"&amp;$E20&amp;"&amp;marker="&amp;$F20&amp;","&amp;$E20&amp;",4326&amp;level=16","https://fema.maps.arcgis.com/apps/mapviewer/index.html?find="&amp;$F20&amp;"%2C"&amp;$E20&amp;"&amp;marker="&amp;$F20&amp;","&amp;$E20&amp;",4326&amp;level=16"))),"Open"))</f>
        <v/>
      </c>
      <c r="T20" s="4"/>
      <c r="U20" s="4"/>
      <c r="V20" s="4"/>
      <c r="W20" s="4"/>
      <c r="X20" s="4"/>
      <c r="Y20" s="4"/>
      <c r="Z20" s="4"/>
      <c r="AA20" s="4"/>
      <c r="AB20" s="1" t="str">
        <f>IF(OR(_xlfn.SINGLE(JobAgolMap)="", $E20="", $F20=""),"",HYPERLINK(_xlfn.SINGLE(JobAgolMap)&amp;IF(ISNUMBER(FIND("?",_xlfn.SINGLE(JobAgolMap))),"&amp;","?")&amp;"center="&amp;$F20&amp;","&amp;$E20&amp;"&amp;level=16&amp;marker="&amp;$F20&amp;","&amp;$E20,"Open"))</f>
        <v/>
      </c>
    </row>
    <row r="21" spans="1:28" x14ac:dyDescent="0.45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4"/>
      <c r="M21" s="1" t="str">
        <f t="shared" si="0"/>
        <v/>
      </c>
      <c r="N21" s="1" t="str">
        <f t="shared" si="1"/>
        <v/>
      </c>
      <c r="O21" s="1" t="str">
        <f t="shared" si="2"/>
        <v/>
      </c>
      <c r="P21" s="1" t="str">
        <f t="shared" si="3"/>
        <v/>
      </c>
      <c r="Q21" s="1" t="str">
        <f t="shared" si="4"/>
        <v/>
      </c>
      <c r="R21" s="1" t="str">
        <f t="shared" si="5"/>
        <v/>
      </c>
      <c r="S21" s="1" t="str">
        <f>IF(OR($E21="",$F21=""),"",HYPERLINK(IF(OR(_xlfn.SINGLE(JobState)="MI",_xlfn.SINGLE(JobState)=""),"https://fema.maps.arcgis.com/apps/mapviewer/index.html?url=https%3A%2F%2Fmdotgis.state.mi.us%2Farcgis%2Frest%2Fservices%2FWidget%2FNextGenPrFinderPub%2FFeatureServer%2F353&amp;find="&amp;$F21&amp;"%2C"&amp;$E21&amp;"&amp;marker="&amp;$F21&amp;","&amp;$E21&amp;",4326&amp;level=16",IF(_xlfn.SINGLE(JobState)="IN","https://fema.maps.arcgis.com/apps/mapviewer/index.html?url=https%3A%2F%2Fgisdata.in.gov%2Fserver%2Frest%2Fservices%2FHosted%2FLRSE_Functional_Class%2FFeatureServer%2F22&amp;find="&amp;$F21&amp;"%2C"&amp;$E21&amp;"&amp;marker="&amp;$F21&amp;","&amp;$E21&amp;",4326&amp;level=16",IF(_xlfn.SINGLE(JobState)="WI","https://fema.maps.arcgis.com/apps/mapviewer/index.html?url=https%3A%2F%2Fservices5.arcgis.com%2F0pgGLzT0Nh7FVjon%2Farcgis%2Frest%2Fservices%2FFFCL_gdb%2FFeatureServer%2F3&amp;find="&amp;$F21&amp;"%2C"&amp;$E21&amp;"&amp;marker="&amp;$F21&amp;","&amp;$E21&amp;",4326&amp;level=16","https://fema.maps.arcgis.com/apps/mapviewer/index.html?find="&amp;$F21&amp;"%2C"&amp;$E21&amp;"&amp;marker="&amp;$F21&amp;","&amp;$E21&amp;",4326&amp;level=16"))),"Open"))</f>
        <v/>
      </c>
      <c r="T21" s="4"/>
      <c r="U21" s="4"/>
      <c r="V21" s="4"/>
      <c r="W21" s="4"/>
      <c r="X21" s="4"/>
      <c r="Y21" s="4"/>
      <c r="Z21" s="4"/>
      <c r="AA21" s="4"/>
      <c r="AB21" s="1" t="str">
        <f>IF(OR(_xlfn.SINGLE(JobAgolMap)="", $E21="", $F21=""),"",HYPERLINK(_xlfn.SINGLE(JobAgolMap)&amp;IF(ISNUMBER(FIND("?",_xlfn.SINGLE(JobAgolMap))),"&amp;","?")&amp;"center="&amp;$F21&amp;","&amp;$E21&amp;"&amp;level=16&amp;marker="&amp;$F21&amp;","&amp;$E21,"Open"))</f>
        <v/>
      </c>
    </row>
    <row r="22" spans="1:28" x14ac:dyDescent="0.45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4"/>
      <c r="M22" s="1" t="str">
        <f t="shared" si="0"/>
        <v/>
      </c>
      <c r="N22" s="1" t="str">
        <f t="shared" si="1"/>
        <v/>
      </c>
      <c r="O22" s="1" t="str">
        <f t="shared" si="2"/>
        <v/>
      </c>
      <c r="P22" s="1" t="str">
        <f t="shared" si="3"/>
        <v/>
      </c>
      <c r="Q22" s="1" t="str">
        <f t="shared" si="4"/>
        <v/>
      </c>
      <c r="R22" s="1" t="str">
        <f t="shared" si="5"/>
        <v/>
      </c>
      <c r="S22" s="1" t="str">
        <f>IF(OR($E22="",$F22=""),"",HYPERLINK(IF(OR(_xlfn.SINGLE(JobState)="MI",_xlfn.SINGLE(JobState)=""),"https://fema.maps.arcgis.com/apps/mapviewer/index.html?url=https%3A%2F%2Fmdotgis.state.mi.us%2Farcgis%2Frest%2Fservices%2FWidget%2FNextGenPrFinderPub%2FFeatureServer%2F353&amp;find="&amp;$F22&amp;"%2C"&amp;$E22&amp;"&amp;marker="&amp;$F22&amp;","&amp;$E22&amp;",4326&amp;level=16",IF(_xlfn.SINGLE(JobState)="IN","https://fema.maps.arcgis.com/apps/mapviewer/index.html?url=https%3A%2F%2Fgisdata.in.gov%2Fserver%2Frest%2Fservices%2FHosted%2FLRSE_Functional_Class%2FFeatureServer%2F22&amp;find="&amp;$F22&amp;"%2C"&amp;$E22&amp;"&amp;marker="&amp;$F22&amp;","&amp;$E22&amp;",4326&amp;level=16",IF(_xlfn.SINGLE(JobState)="WI","https://fema.maps.arcgis.com/apps/mapviewer/index.html?url=https%3A%2F%2Fservices5.arcgis.com%2F0pgGLzT0Nh7FVjon%2Farcgis%2Frest%2Fservices%2FFFCL_gdb%2FFeatureServer%2F3&amp;find="&amp;$F22&amp;"%2C"&amp;$E22&amp;"&amp;marker="&amp;$F22&amp;","&amp;$E22&amp;",4326&amp;level=16","https://fema.maps.arcgis.com/apps/mapviewer/index.html?find="&amp;$F22&amp;"%2C"&amp;$E22&amp;"&amp;marker="&amp;$F22&amp;","&amp;$E22&amp;",4326&amp;level=16"))),"Open"))</f>
        <v/>
      </c>
      <c r="T22" s="4"/>
      <c r="U22" s="4"/>
      <c r="V22" s="4"/>
      <c r="W22" s="4"/>
      <c r="X22" s="4"/>
      <c r="Y22" s="4"/>
      <c r="Z22" s="4"/>
      <c r="AA22" s="4"/>
      <c r="AB22" s="1" t="str">
        <f>IF(OR(_xlfn.SINGLE(JobAgolMap)="", $E22="", $F22=""),"",HYPERLINK(_xlfn.SINGLE(JobAgolMap)&amp;IF(ISNUMBER(FIND("?",_xlfn.SINGLE(JobAgolMap))),"&amp;","?")&amp;"center="&amp;$F22&amp;","&amp;$E22&amp;"&amp;level=16&amp;marker="&amp;$F22&amp;","&amp;$E22,"Open"))</f>
        <v/>
      </c>
    </row>
    <row r="23" spans="1:28" x14ac:dyDescent="0.45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4"/>
      <c r="M23" s="1" t="str">
        <f t="shared" si="0"/>
        <v/>
      </c>
      <c r="N23" s="1" t="str">
        <f t="shared" si="1"/>
        <v/>
      </c>
      <c r="O23" s="1" t="str">
        <f t="shared" si="2"/>
        <v/>
      </c>
      <c r="P23" s="1" t="str">
        <f t="shared" si="3"/>
        <v/>
      </c>
      <c r="Q23" s="1" t="str">
        <f t="shared" si="4"/>
        <v/>
      </c>
      <c r="R23" s="1" t="str">
        <f t="shared" si="5"/>
        <v/>
      </c>
      <c r="S23" s="1" t="str">
        <f>IF(OR($E23="",$F23=""),"",HYPERLINK(IF(OR(_xlfn.SINGLE(JobState)="MI",_xlfn.SINGLE(JobState)=""),"https://fema.maps.arcgis.com/apps/mapviewer/index.html?url=https%3A%2F%2Fmdotgis.state.mi.us%2Farcgis%2Frest%2Fservices%2FWidget%2FNextGenPrFinderPub%2FFeatureServer%2F353&amp;find="&amp;$F23&amp;"%2C"&amp;$E23&amp;"&amp;marker="&amp;$F23&amp;","&amp;$E23&amp;",4326&amp;level=16",IF(_xlfn.SINGLE(JobState)="IN","https://fema.maps.arcgis.com/apps/mapviewer/index.html?url=https%3A%2F%2Fgisdata.in.gov%2Fserver%2Frest%2Fservices%2FHosted%2FLRSE_Functional_Class%2FFeatureServer%2F22&amp;find="&amp;$F23&amp;"%2C"&amp;$E23&amp;"&amp;marker="&amp;$F23&amp;","&amp;$E23&amp;",4326&amp;level=16",IF(_xlfn.SINGLE(JobState)="WI","https://fema.maps.arcgis.com/apps/mapviewer/index.html?url=https%3A%2F%2Fservices5.arcgis.com%2F0pgGLzT0Nh7FVjon%2Farcgis%2Frest%2Fservices%2FFFCL_gdb%2FFeatureServer%2F3&amp;find="&amp;$F23&amp;"%2C"&amp;$E23&amp;"&amp;marker="&amp;$F23&amp;","&amp;$E23&amp;",4326&amp;level=16","https://fema.maps.arcgis.com/apps/mapviewer/index.html?find="&amp;$F23&amp;"%2C"&amp;$E23&amp;"&amp;marker="&amp;$F23&amp;","&amp;$E23&amp;",4326&amp;level=16"))),"Open"))</f>
        <v/>
      </c>
      <c r="T23" s="4"/>
      <c r="U23" s="4"/>
      <c r="V23" s="4"/>
      <c r="W23" s="4"/>
      <c r="X23" s="4"/>
      <c r="Y23" s="4"/>
      <c r="Z23" s="4"/>
      <c r="AA23" s="4"/>
      <c r="AB23" s="1" t="str">
        <f>IF(OR(_xlfn.SINGLE(JobAgolMap)="", $E23="", $F23=""),"",HYPERLINK(_xlfn.SINGLE(JobAgolMap)&amp;IF(ISNUMBER(FIND("?",_xlfn.SINGLE(JobAgolMap))),"&amp;","?")&amp;"center="&amp;$F23&amp;","&amp;$E23&amp;"&amp;level=16&amp;marker="&amp;$F23&amp;","&amp;$E23,"Open"))</f>
        <v/>
      </c>
    </row>
    <row r="24" spans="1:28" x14ac:dyDescent="0.45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4"/>
      <c r="M24" s="1" t="str">
        <f t="shared" si="0"/>
        <v/>
      </c>
      <c r="N24" s="1" t="str">
        <f t="shared" si="1"/>
        <v/>
      </c>
      <c r="O24" s="1" t="str">
        <f t="shared" si="2"/>
        <v/>
      </c>
      <c r="P24" s="1" t="str">
        <f t="shared" si="3"/>
        <v/>
      </c>
      <c r="Q24" s="1" t="str">
        <f t="shared" si="4"/>
        <v/>
      </c>
      <c r="R24" s="1" t="str">
        <f t="shared" si="5"/>
        <v/>
      </c>
      <c r="S24" s="1" t="str">
        <f>IF(OR($E24="",$F24=""),"",HYPERLINK(IF(OR(_xlfn.SINGLE(JobState)="MI",_xlfn.SINGLE(JobState)=""),"https://fema.maps.arcgis.com/apps/mapviewer/index.html?url=https%3A%2F%2Fmdotgis.state.mi.us%2Farcgis%2Frest%2Fservices%2FWidget%2FNextGenPrFinderPub%2FFeatureServer%2F353&amp;find="&amp;$F24&amp;"%2C"&amp;$E24&amp;"&amp;marker="&amp;$F24&amp;","&amp;$E24&amp;",4326&amp;level=16",IF(_xlfn.SINGLE(JobState)="IN","https://fema.maps.arcgis.com/apps/mapviewer/index.html?url=https%3A%2F%2Fgisdata.in.gov%2Fserver%2Frest%2Fservices%2FHosted%2FLRSE_Functional_Class%2FFeatureServer%2F22&amp;find="&amp;$F24&amp;"%2C"&amp;$E24&amp;"&amp;marker="&amp;$F24&amp;","&amp;$E24&amp;",4326&amp;level=16",IF(_xlfn.SINGLE(JobState)="WI","https://fema.maps.arcgis.com/apps/mapviewer/index.html?url=https%3A%2F%2Fservices5.arcgis.com%2F0pgGLzT0Nh7FVjon%2Farcgis%2Frest%2Fservices%2FFFCL_gdb%2FFeatureServer%2F3&amp;find="&amp;$F24&amp;"%2C"&amp;$E24&amp;"&amp;marker="&amp;$F24&amp;","&amp;$E24&amp;",4326&amp;level=16","https://fema.maps.arcgis.com/apps/mapviewer/index.html?find="&amp;$F24&amp;"%2C"&amp;$E24&amp;"&amp;marker="&amp;$F24&amp;","&amp;$E24&amp;",4326&amp;level=16"))),"Open"))</f>
        <v/>
      </c>
      <c r="T24" s="4"/>
      <c r="U24" s="4"/>
      <c r="V24" s="4"/>
      <c r="W24" s="4"/>
      <c r="X24" s="4"/>
      <c r="Y24" s="4"/>
      <c r="Z24" s="4"/>
      <c r="AA24" s="4"/>
      <c r="AB24" s="1" t="str">
        <f>IF(OR(_xlfn.SINGLE(JobAgolMap)="", $E24="", $F24=""),"",HYPERLINK(_xlfn.SINGLE(JobAgolMap)&amp;IF(ISNUMBER(FIND("?",_xlfn.SINGLE(JobAgolMap))),"&amp;","?")&amp;"center="&amp;$F24&amp;","&amp;$E24&amp;"&amp;level=16&amp;marker="&amp;$F24&amp;","&amp;$E24,"Open"))</f>
        <v/>
      </c>
    </row>
    <row r="25" spans="1:28" x14ac:dyDescent="0.45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4"/>
      <c r="M25" s="1" t="str">
        <f t="shared" si="0"/>
        <v/>
      </c>
      <c r="N25" s="1" t="str">
        <f t="shared" si="1"/>
        <v/>
      </c>
      <c r="O25" s="1" t="str">
        <f t="shared" si="2"/>
        <v/>
      </c>
      <c r="P25" s="1" t="str">
        <f t="shared" si="3"/>
        <v/>
      </c>
      <c r="Q25" s="1" t="str">
        <f t="shared" si="4"/>
        <v/>
      </c>
      <c r="R25" s="1" t="str">
        <f t="shared" si="5"/>
        <v/>
      </c>
      <c r="S25" s="1" t="str">
        <f>IF(OR($E25="",$F25=""),"",HYPERLINK(IF(OR(_xlfn.SINGLE(JobState)="MI",_xlfn.SINGLE(JobState)=""),"https://fema.maps.arcgis.com/apps/mapviewer/index.html?url=https%3A%2F%2Fmdotgis.state.mi.us%2Farcgis%2Frest%2Fservices%2FWidget%2FNextGenPrFinderPub%2FFeatureServer%2F353&amp;find="&amp;$F25&amp;"%2C"&amp;$E25&amp;"&amp;marker="&amp;$F25&amp;","&amp;$E25&amp;",4326&amp;level=16",IF(_xlfn.SINGLE(JobState)="IN","https://fema.maps.arcgis.com/apps/mapviewer/index.html?url=https%3A%2F%2Fgisdata.in.gov%2Fserver%2Frest%2Fservices%2FHosted%2FLRSE_Functional_Class%2FFeatureServer%2F22&amp;find="&amp;$F25&amp;"%2C"&amp;$E25&amp;"&amp;marker="&amp;$F25&amp;","&amp;$E25&amp;",4326&amp;level=16",IF(_xlfn.SINGLE(JobState)="WI","https://fema.maps.arcgis.com/apps/mapviewer/index.html?url=https%3A%2F%2Fservices5.arcgis.com%2F0pgGLzT0Nh7FVjon%2Farcgis%2Frest%2Fservices%2FFFCL_gdb%2FFeatureServer%2F3&amp;find="&amp;$F25&amp;"%2C"&amp;$E25&amp;"&amp;marker="&amp;$F25&amp;","&amp;$E25&amp;",4326&amp;level=16","https://fema.maps.arcgis.com/apps/mapviewer/index.html?find="&amp;$F25&amp;"%2C"&amp;$E25&amp;"&amp;marker="&amp;$F25&amp;","&amp;$E25&amp;",4326&amp;level=16"))),"Open"))</f>
        <v/>
      </c>
      <c r="T25" s="4"/>
      <c r="U25" s="4"/>
      <c r="V25" s="4"/>
      <c r="W25" s="4"/>
      <c r="X25" s="4"/>
      <c r="Y25" s="4"/>
      <c r="Z25" s="4"/>
      <c r="AA25" s="4"/>
      <c r="AB25" s="1" t="str">
        <f>IF(OR(_xlfn.SINGLE(JobAgolMap)="", $E25="", $F25=""),"",HYPERLINK(_xlfn.SINGLE(JobAgolMap)&amp;IF(ISNUMBER(FIND("?",_xlfn.SINGLE(JobAgolMap))),"&amp;","?")&amp;"center="&amp;$F25&amp;","&amp;$E25&amp;"&amp;level=16&amp;marker="&amp;$F25&amp;","&amp;$E25,"Open"))</f>
        <v/>
      </c>
    </row>
    <row r="26" spans="1:28" x14ac:dyDescent="0.45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4"/>
      <c r="M26" s="1" t="str">
        <f t="shared" si="0"/>
        <v/>
      </c>
      <c r="N26" s="1" t="str">
        <f t="shared" si="1"/>
        <v/>
      </c>
      <c r="O26" s="1" t="str">
        <f t="shared" si="2"/>
        <v/>
      </c>
      <c r="P26" s="1" t="str">
        <f t="shared" si="3"/>
        <v/>
      </c>
      <c r="Q26" s="1" t="str">
        <f t="shared" si="4"/>
        <v/>
      </c>
      <c r="R26" s="1" t="str">
        <f t="shared" si="5"/>
        <v/>
      </c>
      <c r="S26" s="1" t="str">
        <f>IF(OR($E26="",$F26=""),"",HYPERLINK(IF(OR(_xlfn.SINGLE(JobState)="MI",_xlfn.SINGLE(JobState)=""),"https://fema.maps.arcgis.com/apps/mapviewer/index.html?url=https%3A%2F%2Fmdotgis.state.mi.us%2Farcgis%2Frest%2Fservices%2FWidget%2FNextGenPrFinderPub%2FFeatureServer%2F353&amp;find="&amp;$F26&amp;"%2C"&amp;$E26&amp;"&amp;marker="&amp;$F26&amp;","&amp;$E26&amp;",4326&amp;level=16",IF(_xlfn.SINGLE(JobState)="IN","https://fema.maps.arcgis.com/apps/mapviewer/index.html?url=https%3A%2F%2Fgisdata.in.gov%2Fserver%2Frest%2Fservices%2FHosted%2FLRSE_Functional_Class%2FFeatureServer%2F22&amp;find="&amp;$F26&amp;"%2C"&amp;$E26&amp;"&amp;marker="&amp;$F26&amp;","&amp;$E26&amp;",4326&amp;level=16",IF(_xlfn.SINGLE(JobState)="WI","https://fema.maps.arcgis.com/apps/mapviewer/index.html?url=https%3A%2F%2Fservices5.arcgis.com%2F0pgGLzT0Nh7FVjon%2Farcgis%2Frest%2Fservices%2FFFCL_gdb%2FFeatureServer%2F3&amp;find="&amp;$F26&amp;"%2C"&amp;$E26&amp;"&amp;marker="&amp;$F26&amp;","&amp;$E26&amp;",4326&amp;level=16","https://fema.maps.arcgis.com/apps/mapviewer/index.html?find="&amp;$F26&amp;"%2C"&amp;$E26&amp;"&amp;marker="&amp;$F26&amp;","&amp;$E26&amp;",4326&amp;level=16"))),"Open"))</f>
        <v/>
      </c>
      <c r="T26" s="4"/>
      <c r="U26" s="4"/>
      <c r="V26" s="4"/>
      <c r="W26" s="4"/>
      <c r="X26" s="4"/>
      <c r="Y26" s="4"/>
      <c r="Z26" s="4"/>
      <c r="AA26" s="4"/>
      <c r="AB26" s="1" t="str">
        <f>IF(OR(_xlfn.SINGLE(JobAgolMap)="", $E26="", $F26=""),"",HYPERLINK(_xlfn.SINGLE(JobAgolMap)&amp;IF(ISNUMBER(FIND("?",_xlfn.SINGLE(JobAgolMap))),"&amp;","?")&amp;"center="&amp;$F26&amp;","&amp;$E26&amp;"&amp;level=16&amp;marker="&amp;$F26&amp;","&amp;$E26,"Open"))</f>
        <v/>
      </c>
    </row>
    <row r="27" spans="1:28" x14ac:dyDescent="0.45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4"/>
      <c r="M27" s="1" t="str">
        <f t="shared" si="0"/>
        <v/>
      </c>
      <c r="N27" s="1" t="str">
        <f t="shared" si="1"/>
        <v/>
      </c>
      <c r="O27" s="1" t="str">
        <f t="shared" si="2"/>
        <v/>
      </c>
      <c r="P27" s="1" t="str">
        <f t="shared" si="3"/>
        <v/>
      </c>
      <c r="Q27" s="1" t="str">
        <f t="shared" si="4"/>
        <v/>
      </c>
      <c r="R27" s="1" t="str">
        <f t="shared" si="5"/>
        <v/>
      </c>
      <c r="S27" s="1" t="str">
        <f>IF(OR($E27="",$F27=""),"",HYPERLINK(IF(OR(_xlfn.SINGLE(JobState)="MI",_xlfn.SINGLE(JobState)=""),"https://fema.maps.arcgis.com/apps/mapviewer/index.html?url=https%3A%2F%2Fmdotgis.state.mi.us%2Farcgis%2Frest%2Fservices%2FWidget%2FNextGenPrFinderPub%2FFeatureServer%2F353&amp;find="&amp;$F27&amp;"%2C"&amp;$E27&amp;"&amp;marker="&amp;$F27&amp;","&amp;$E27&amp;",4326&amp;level=16",IF(_xlfn.SINGLE(JobState)="IN","https://fema.maps.arcgis.com/apps/mapviewer/index.html?url=https%3A%2F%2Fgisdata.in.gov%2Fserver%2Frest%2Fservices%2FHosted%2FLRSE_Functional_Class%2FFeatureServer%2F22&amp;find="&amp;$F27&amp;"%2C"&amp;$E27&amp;"&amp;marker="&amp;$F27&amp;","&amp;$E27&amp;",4326&amp;level=16",IF(_xlfn.SINGLE(JobState)="WI","https://fema.maps.arcgis.com/apps/mapviewer/index.html?url=https%3A%2F%2Fservices5.arcgis.com%2F0pgGLzT0Nh7FVjon%2Farcgis%2Frest%2Fservices%2FFFCL_gdb%2FFeatureServer%2F3&amp;find="&amp;$F27&amp;"%2C"&amp;$E27&amp;"&amp;marker="&amp;$F27&amp;","&amp;$E27&amp;",4326&amp;level=16","https://fema.maps.arcgis.com/apps/mapviewer/index.html?find="&amp;$F27&amp;"%2C"&amp;$E27&amp;"&amp;marker="&amp;$F27&amp;","&amp;$E27&amp;",4326&amp;level=16"))),"Open"))</f>
        <v/>
      </c>
      <c r="T27" s="4"/>
      <c r="U27" s="4"/>
      <c r="V27" s="4"/>
      <c r="W27" s="4"/>
      <c r="X27" s="4"/>
      <c r="Y27" s="4"/>
      <c r="Z27" s="4"/>
      <c r="AA27" s="4"/>
      <c r="AB27" s="1" t="str">
        <f>IF(OR(_xlfn.SINGLE(JobAgolMap)="", $E27="", $F27=""),"",HYPERLINK(_xlfn.SINGLE(JobAgolMap)&amp;IF(ISNUMBER(FIND("?",_xlfn.SINGLE(JobAgolMap))),"&amp;","?")&amp;"center="&amp;$F27&amp;","&amp;$E27&amp;"&amp;level=16&amp;marker="&amp;$F27&amp;","&amp;$E27,"Open"))</f>
        <v/>
      </c>
    </row>
    <row r="28" spans="1:28" x14ac:dyDescent="0.45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4"/>
      <c r="M28" s="1" t="str">
        <f t="shared" si="0"/>
        <v/>
      </c>
      <c r="N28" s="1" t="str">
        <f t="shared" si="1"/>
        <v/>
      </c>
      <c r="O28" s="1" t="str">
        <f t="shared" si="2"/>
        <v/>
      </c>
      <c r="P28" s="1" t="str">
        <f t="shared" si="3"/>
        <v/>
      </c>
      <c r="Q28" s="1" t="str">
        <f t="shared" si="4"/>
        <v/>
      </c>
      <c r="R28" s="1" t="str">
        <f t="shared" si="5"/>
        <v/>
      </c>
      <c r="S28" s="1" t="str">
        <f>IF(OR($E28="",$F28=""),"",HYPERLINK(IF(OR(_xlfn.SINGLE(JobState)="MI",_xlfn.SINGLE(JobState)=""),"https://fema.maps.arcgis.com/apps/mapviewer/index.html?url=https%3A%2F%2Fmdotgis.state.mi.us%2Farcgis%2Frest%2Fservices%2FWidget%2FNextGenPrFinderPub%2FFeatureServer%2F353&amp;find="&amp;$F28&amp;"%2C"&amp;$E28&amp;"&amp;marker="&amp;$F28&amp;","&amp;$E28&amp;",4326&amp;level=16",IF(_xlfn.SINGLE(JobState)="IN","https://fema.maps.arcgis.com/apps/mapviewer/index.html?url=https%3A%2F%2Fgisdata.in.gov%2Fserver%2Frest%2Fservices%2FHosted%2FLRSE_Functional_Class%2FFeatureServer%2F22&amp;find="&amp;$F28&amp;"%2C"&amp;$E28&amp;"&amp;marker="&amp;$F28&amp;","&amp;$E28&amp;",4326&amp;level=16",IF(_xlfn.SINGLE(JobState)="WI","https://fema.maps.arcgis.com/apps/mapviewer/index.html?url=https%3A%2F%2Fservices5.arcgis.com%2F0pgGLzT0Nh7FVjon%2Farcgis%2Frest%2Fservices%2FFFCL_gdb%2FFeatureServer%2F3&amp;find="&amp;$F28&amp;"%2C"&amp;$E28&amp;"&amp;marker="&amp;$F28&amp;","&amp;$E28&amp;",4326&amp;level=16","https://fema.maps.arcgis.com/apps/mapviewer/index.html?find="&amp;$F28&amp;"%2C"&amp;$E28&amp;"&amp;marker="&amp;$F28&amp;","&amp;$E28&amp;",4326&amp;level=16"))),"Open"))</f>
        <v/>
      </c>
      <c r="T28" s="4"/>
      <c r="U28" s="4"/>
      <c r="V28" s="4"/>
      <c r="W28" s="4"/>
      <c r="X28" s="4"/>
      <c r="Y28" s="4"/>
      <c r="Z28" s="4"/>
      <c r="AA28" s="4"/>
      <c r="AB28" s="1" t="str">
        <f>IF(OR(_xlfn.SINGLE(JobAgolMap)="", $E28="", $F28=""),"",HYPERLINK(_xlfn.SINGLE(JobAgolMap)&amp;IF(ISNUMBER(FIND("?",_xlfn.SINGLE(JobAgolMap))),"&amp;","?")&amp;"center="&amp;$F28&amp;","&amp;$E28&amp;"&amp;level=16&amp;marker="&amp;$F28&amp;","&amp;$E28,"Open"))</f>
        <v/>
      </c>
    </row>
    <row r="29" spans="1:28" x14ac:dyDescent="0.45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4"/>
      <c r="M29" s="1" t="str">
        <f t="shared" si="0"/>
        <v/>
      </c>
      <c r="N29" s="1" t="str">
        <f t="shared" si="1"/>
        <v/>
      </c>
      <c r="O29" s="1" t="str">
        <f t="shared" si="2"/>
        <v/>
      </c>
      <c r="P29" s="1" t="str">
        <f t="shared" si="3"/>
        <v/>
      </c>
      <c r="Q29" s="1" t="str">
        <f t="shared" si="4"/>
        <v/>
      </c>
      <c r="R29" s="1" t="str">
        <f t="shared" si="5"/>
        <v/>
      </c>
      <c r="S29" s="1" t="str">
        <f>IF(OR($E29="",$F29=""),"",HYPERLINK(IF(OR(_xlfn.SINGLE(JobState)="MI",_xlfn.SINGLE(JobState)=""),"https://fema.maps.arcgis.com/apps/mapviewer/index.html?url=https%3A%2F%2Fmdotgis.state.mi.us%2Farcgis%2Frest%2Fservices%2FWidget%2FNextGenPrFinderPub%2FFeatureServer%2F353&amp;find="&amp;$F29&amp;"%2C"&amp;$E29&amp;"&amp;marker="&amp;$F29&amp;","&amp;$E29&amp;",4326&amp;level=16",IF(_xlfn.SINGLE(JobState)="IN","https://fema.maps.arcgis.com/apps/mapviewer/index.html?url=https%3A%2F%2Fgisdata.in.gov%2Fserver%2Frest%2Fservices%2FHosted%2FLRSE_Functional_Class%2FFeatureServer%2F22&amp;find="&amp;$F29&amp;"%2C"&amp;$E29&amp;"&amp;marker="&amp;$F29&amp;","&amp;$E29&amp;",4326&amp;level=16",IF(_xlfn.SINGLE(JobState)="WI","https://fema.maps.arcgis.com/apps/mapviewer/index.html?url=https%3A%2F%2Fservices5.arcgis.com%2F0pgGLzT0Nh7FVjon%2Farcgis%2Frest%2Fservices%2FFFCL_gdb%2FFeatureServer%2F3&amp;find="&amp;$F29&amp;"%2C"&amp;$E29&amp;"&amp;marker="&amp;$F29&amp;","&amp;$E29&amp;",4326&amp;level=16","https://fema.maps.arcgis.com/apps/mapviewer/index.html?find="&amp;$F29&amp;"%2C"&amp;$E29&amp;"&amp;marker="&amp;$F29&amp;","&amp;$E29&amp;",4326&amp;level=16"))),"Open"))</f>
        <v/>
      </c>
      <c r="T29" s="4"/>
      <c r="U29" s="4"/>
      <c r="V29" s="4"/>
      <c r="W29" s="4"/>
      <c r="X29" s="4"/>
      <c r="Y29" s="4"/>
      <c r="Z29" s="4"/>
      <c r="AA29" s="4"/>
      <c r="AB29" s="1" t="str">
        <f>IF(OR(_xlfn.SINGLE(JobAgolMap)="", $E29="", $F29=""),"",HYPERLINK(_xlfn.SINGLE(JobAgolMap)&amp;IF(ISNUMBER(FIND("?",_xlfn.SINGLE(JobAgolMap))),"&amp;","?")&amp;"center="&amp;$F29&amp;","&amp;$E29&amp;"&amp;level=16&amp;marker="&amp;$F29&amp;","&amp;$E29,"Open"))</f>
        <v/>
      </c>
    </row>
    <row r="30" spans="1:28" x14ac:dyDescent="0.45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4"/>
      <c r="M30" s="1" t="str">
        <f t="shared" si="0"/>
        <v/>
      </c>
      <c r="N30" s="1" t="str">
        <f t="shared" si="1"/>
        <v/>
      </c>
      <c r="O30" s="1" t="str">
        <f t="shared" si="2"/>
        <v/>
      </c>
      <c r="P30" s="1" t="str">
        <f t="shared" si="3"/>
        <v/>
      </c>
      <c r="Q30" s="1" t="str">
        <f t="shared" si="4"/>
        <v/>
      </c>
      <c r="R30" s="1" t="str">
        <f t="shared" si="5"/>
        <v/>
      </c>
      <c r="S30" s="1" t="str">
        <f>IF(OR($E30="",$F30=""),"",HYPERLINK(IF(OR(_xlfn.SINGLE(JobState)="MI",_xlfn.SINGLE(JobState)=""),"https://fema.maps.arcgis.com/apps/mapviewer/index.html?url=https%3A%2F%2Fmdotgis.state.mi.us%2Farcgis%2Frest%2Fservices%2FWidget%2FNextGenPrFinderPub%2FFeatureServer%2F353&amp;find="&amp;$F30&amp;"%2C"&amp;$E30&amp;"&amp;marker="&amp;$F30&amp;","&amp;$E30&amp;",4326&amp;level=16",IF(_xlfn.SINGLE(JobState)="IN","https://fema.maps.arcgis.com/apps/mapviewer/index.html?url=https%3A%2F%2Fgisdata.in.gov%2Fserver%2Frest%2Fservices%2FHosted%2FLRSE_Functional_Class%2FFeatureServer%2F22&amp;find="&amp;$F30&amp;"%2C"&amp;$E30&amp;"&amp;marker="&amp;$F30&amp;","&amp;$E30&amp;",4326&amp;level=16",IF(_xlfn.SINGLE(JobState)="WI","https://fema.maps.arcgis.com/apps/mapviewer/index.html?url=https%3A%2F%2Fservices5.arcgis.com%2F0pgGLzT0Nh7FVjon%2Farcgis%2Frest%2Fservices%2FFFCL_gdb%2FFeatureServer%2F3&amp;find="&amp;$F30&amp;"%2C"&amp;$E30&amp;"&amp;marker="&amp;$F30&amp;","&amp;$E30&amp;",4326&amp;level=16","https://fema.maps.arcgis.com/apps/mapviewer/index.html?find="&amp;$F30&amp;"%2C"&amp;$E30&amp;"&amp;marker="&amp;$F30&amp;","&amp;$E30&amp;",4326&amp;level=16"))),"Open"))</f>
        <v/>
      </c>
      <c r="T30" s="4"/>
      <c r="U30" s="4"/>
      <c r="V30" s="4"/>
      <c r="W30" s="4"/>
      <c r="X30" s="4"/>
      <c r="Y30" s="4"/>
      <c r="Z30" s="4"/>
      <c r="AA30" s="4"/>
      <c r="AB30" s="1" t="str">
        <f>IF(OR(_xlfn.SINGLE(JobAgolMap)="", $E30="", $F30=""),"",HYPERLINK(_xlfn.SINGLE(JobAgolMap)&amp;IF(ISNUMBER(FIND("?",_xlfn.SINGLE(JobAgolMap))),"&amp;","?")&amp;"center="&amp;$F30&amp;","&amp;$E30&amp;"&amp;level=16&amp;marker="&amp;$F30&amp;","&amp;$E30,"Open"))</f>
        <v/>
      </c>
    </row>
    <row r="31" spans="1:28" x14ac:dyDescent="0.45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4"/>
      <c r="M31" s="1" t="str">
        <f t="shared" si="0"/>
        <v/>
      </c>
      <c r="N31" s="1" t="str">
        <f t="shared" si="1"/>
        <v/>
      </c>
      <c r="O31" s="1" t="str">
        <f t="shared" si="2"/>
        <v/>
      </c>
      <c r="P31" s="1" t="str">
        <f t="shared" si="3"/>
        <v/>
      </c>
      <c r="Q31" s="1" t="str">
        <f t="shared" si="4"/>
        <v/>
      </c>
      <c r="R31" s="1" t="str">
        <f t="shared" si="5"/>
        <v/>
      </c>
      <c r="S31" s="1" t="str">
        <f>IF(OR($E31="",$F31=""),"",HYPERLINK(IF(OR(_xlfn.SINGLE(JobState)="MI",_xlfn.SINGLE(JobState)=""),"https://fema.maps.arcgis.com/apps/mapviewer/index.html?url=https%3A%2F%2Fmdotgis.state.mi.us%2Farcgis%2Frest%2Fservices%2FWidget%2FNextGenPrFinderPub%2FFeatureServer%2F353&amp;find="&amp;$F31&amp;"%2C"&amp;$E31&amp;"&amp;marker="&amp;$F31&amp;","&amp;$E31&amp;",4326&amp;level=16",IF(_xlfn.SINGLE(JobState)="IN","https://fema.maps.arcgis.com/apps/mapviewer/index.html?url=https%3A%2F%2Fgisdata.in.gov%2Fserver%2Frest%2Fservices%2FHosted%2FLRSE_Functional_Class%2FFeatureServer%2F22&amp;find="&amp;$F31&amp;"%2C"&amp;$E31&amp;"&amp;marker="&amp;$F31&amp;","&amp;$E31&amp;",4326&amp;level=16",IF(_xlfn.SINGLE(JobState)="WI","https://fema.maps.arcgis.com/apps/mapviewer/index.html?url=https%3A%2F%2Fservices5.arcgis.com%2F0pgGLzT0Nh7FVjon%2Farcgis%2Frest%2Fservices%2FFFCL_gdb%2FFeatureServer%2F3&amp;find="&amp;$F31&amp;"%2C"&amp;$E31&amp;"&amp;marker="&amp;$F31&amp;","&amp;$E31&amp;",4326&amp;level=16","https://fema.maps.arcgis.com/apps/mapviewer/index.html?find="&amp;$F31&amp;"%2C"&amp;$E31&amp;"&amp;marker="&amp;$F31&amp;","&amp;$E31&amp;",4326&amp;level=16"))),"Open"))</f>
        <v/>
      </c>
      <c r="T31" s="4"/>
      <c r="U31" s="4"/>
      <c r="V31" s="4"/>
      <c r="W31" s="4"/>
      <c r="X31" s="4"/>
      <c r="Y31" s="4"/>
      <c r="Z31" s="4"/>
      <c r="AA31" s="4"/>
      <c r="AB31" s="1" t="str">
        <f>IF(OR(_xlfn.SINGLE(JobAgolMap)="", $E31="", $F31=""),"",HYPERLINK(_xlfn.SINGLE(JobAgolMap)&amp;IF(ISNUMBER(FIND("?",_xlfn.SINGLE(JobAgolMap))),"&amp;","?")&amp;"center="&amp;$F31&amp;","&amp;$E31&amp;"&amp;level=16&amp;marker="&amp;$F31&amp;","&amp;$E31,"Open"))</f>
        <v/>
      </c>
    </row>
    <row r="32" spans="1:28" x14ac:dyDescent="0.45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4"/>
      <c r="M32" s="1" t="str">
        <f t="shared" si="0"/>
        <v/>
      </c>
      <c r="N32" s="1" t="str">
        <f t="shared" si="1"/>
        <v/>
      </c>
      <c r="O32" s="1" t="str">
        <f t="shared" si="2"/>
        <v/>
      </c>
      <c r="P32" s="1" t="str">
        <f t="shared" si="3"/>
        <v/>
      </c>
      <c r="Q32" s="1" t="str">
        <f t="shared" si="4"/>
        <v/>
      </c>
      <c r="R32" s="1" t="str">
        <f t="shared" si="5"/>
        <v/>
      </c>
      <c r="S32" s="1" t="str">
        <f>IF(OR($E32="",$F32=""),"",HYPERLINK(IF(OR(_xlfn.SINGLE(JobState)="MI",_xlfn.SINGLE(JobState)=""),"https://fema.maps.arcgis.com/apps/mapviewer/index.html?url=https%3A%2F%2Fmdotgis.state.mi.us%2Farcgis%2Frest%2Fservices%2FWidget%2FNextGenPrFinderPub%2FFeatureServer%2F353&amp;find="&amp;$F32&amp;"%2C"&amp;$E32&amp;"&amp;marker="&amp;$F32&amp;","&amp;$E32&amp;",4326&amp;level=16",IF(_xlfn.SINGLE(JobState)="IN","https://fema.maps.arcgis.com/apps/mapviewer/index.html?url=https%3A%2F%2Fgisdata.in.gov%2Fserver%2Frest%2Fservices%2FHosted%2FLRSE_Functional_Class%2FFeatureServer%2F22&amp;find="&amp;$F32&amp;"%2C"&amp;$E32&amp;"&amp;marker="&amp;$F32&amp;","&amp;$E32&amp;",4326&amp;level=16",IF(_xlfn.SINGLE(JobState)="WI","https://fema.maps.arcgis.com/apps/mapviewer/index.html?url=https%3A%2F%2Fservices5.arcgis.com%2F0pgGLzT0Nh7FVjon%2Farcgis%2Frest%2Fservices%2FFFCL_gdb%2FFeatureServer%2F3&amp;find="&amp;$F32&amp;"%2C"&amp;$E32&amp;"&amp;marker="&amp;$F32&amp;","&amp;$E32&amp;",4326&amp;level=16","https://fema.maps.arcgis.com/apps/mapviewer/index.html?find="&amp;$F32&amp;"%2C"&amp;$E32&amp;"&amp;marker="&amp;$F32&amp;","&amp;$E32&amp;",4326&amp;level=16"))),"Open"))</f>
        <v/>
      </c>
      <c r="T32" s="4"/>
      <c r="U32" s="4"/>
      <c r="V32" s="4"/>
      <c r="W32" s="4"/>
      <c r="X32" s="4"/>
      <c r="Y32" s="4"/>
      <c r="Z32" s="4"/>
      <c r="AA32" s="4"/>
      <c r="AB32" s="1" t="str">
        <f>IF(OR(_xlfn.SINGLE(JobAgolMap)="", $E32="", $F32=""),"",HYPERLINK(_xlfn.SINGLE(JobAgolMap)&amp;IF(ISNUMBER(FIND("?",_xlfn.SINGLE(JobAgolMap))),"&amp;","?")&amp;"center="&amp;$F32&amp;","&amp;$E32&amp;"&amp;level=16&amp;marker="&amp;$F32&amp;","&amp;$E32,"Open"))</f>
        <v/>
      </c>
    </row>
    <row r="33" spans="1:28" x14ac:dyDescent="0.45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4"/>
      <c r="M33" s="1" t="str">
        <f t="shared" si="0"/>
        <v/>
      </c>
      <c r="N33" s="1" t="str">
        <f t="shared" si="1"/>
        <v/>
      </c>
      <c r="O33" s="1" t="str">
        <f t="shared" si="2"/>
        <v/>
      </c>
      <c r="P33" s="1" t="str">
        <f t="shared" si="3"/>
        <v/>
      </c>
      <c r="Q33" s="1" t="str">
        <f t="shared" si="4"/>
        <v/>
      </c>
      <c r="R33" s="1" t="str">
        <f t="shared" si="5"/>
        <v/>
      </c>
      <c r="S33" s="1" t="str">
        <f>IF(OR($E33="",$F33=""),"",HYPERLINK(IF(OR(_xlfn.SINGLE(JobState)="MI",_xlfn.SINGLE(JobState)=""),"https://fema.maps.arcgis.com/apps/mapviewer/index.html?url=https%3A%2F%2Fmdotgis.state.mi.us%2Farcgis%2Frest%2Fservices%2FWidget%2FNextGenPrFinderPub%2FFeatureServer%2F353&amp;find="&amp;$F33&amp;"%2C"&amp;$E33&amp;"&amp;marker="&amp;$F33&amp;","&amp;$E33&amp;",4326&amp;level=16",IF(_xlfn.SINGLE(JobState)="IN","https://fema.maps.arcgis.com/apps/mapviewer/index.html?url=https%3A%2F%2Fgisdata.in.gov%2Fserver%2Frest%2Fservices%2FHosted%2FLRSE_Functional_Class%2FFeatureServer%2F22&amp;find="&amp;$F33&amp;"%2C"&amp;$E33&amp;"&amp;marker="&amp;$F33&amp;","&amp;$E33&amp;",4326&amp;level=16",IF(_xlfn.SINGLE(JobState)="WI","https://fema.maps.arcgis.com/apps/mapviewer/index.html?url=https%3A%2F%2Fservices5.arcgis.com%2F0pgGLzT0Nh7FVjon%2Farcgis%2Frest%2Fservices%2FFFCL_gdb%2FFeatureServer%2F3&amp;find="&amp;$F33&amp;"%2C"&amp;$E33&amp;"&amp;marker="&amp;$F33&amp;","&amp;$E33&amp;",4326&amp;level=16","https://fema.maps.arcgis.com/apps/mapviewer/index.html?find="&amp;$F33&amp;"%2C"&amp;$E33&amp;"&amp;marker="&amp;$F33&amp;","&amp;$E33&amp;",4326&amp;level=16"))),"Open"))</f>
        <v/>
      </c>
      <c r="T33" s="4"/>
      <c r="U33" s="4"/>
      <c r="V33" s="4"/>
      <c r="W33" s="4"/>
      <c r="X33" s="4"/>
      <c r="Y33" s="4"/>
      <c r="Z33" s="4"/>
      <c r="AA33" s="4"/>
      <c r="AB33" s="1" t="str">
        <f>IF(OR(_xlfn.SINGLE(JobAgolMap)="", $E33="", $F33=""),"",HYPERLINK(_xlfn.SINGLE(JobAgolMap)&amp;IF(ISNUMBER(FIND("?",_xlfn.SINGLE(JobAgolMap))),"&amp;","?")&amp;"center="&amp;$F33&amp;","&amp;$E33&amp;"&amp;level=16&amp;marker="&amp;$F33&amp;","&amp;$E33,"Open"))</f>
        <v/>
      </c>
    </row>
    <row r="34" spans="1:28" x14ac:dyDescent="0.45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4"/>
      <c r="M34" s="1" t="str">
        <f t="shared" si="0"/>
        <v/>
      </c>
      <c r="N34" s="1" t="str">
        <f t="shared" si="1"/>
        <v/>
      </c>
      <c r="O34" s="1" t="str">
        <f t="shared" si="2"/>
        <v/>
      </c>
      <c r="P34" s="1" t="str">
        <f t="shared" si="3"/>
        <v/>
      </c>
      <c r="Q34" s="1" t="str">
        <f t="shared" si="4"/>
        <v/>
      </c>
      <c r="R34" s="1" t="str">
        <f t="shared" si="5"/>
        <v/>
      </c>
      <c r="S34" s="1" t="str">
        <f>IF(OR($E34="",$F34=""),"",HYPERLINK(IF(OR(_xlfn.SINGLE(JobState)="MI",_xlfn.SINGLE(JobState)=""),"https://fema.maps.arcgis.com/apps/mapviewer/index.html?url=https%3A%2F%2Fmdotgis.state.mi.us%2Farcgis%2Frest%2Fservices%2FWidget%2FNextGenPrFinderPub%2FFeatureServer%2F353&amp;find="&amp;$F34&amp;"%2C"&amp;$E34&amp;"&amp;marker="&amp;$F34&amp;","&amp;$E34&amp;",4326&amp;level=16",IF(_xlfn.SINGLE(JobState)="IN","https://fema.maps.arcgis.com/apps/mapviewer/index.html?url=https%3A%2F%2Fgisdata.in.gov%2Fserver%2Frest%2Fservices%2FHosted%2FLRSE_Functional_Class%2FFeatureServer%2F22&amp;find="&amp;$F34&amp;"%2C"&amp;$E34&amp;"&amp;marker="&amp;$F34&amp;","&amp;$E34&amp;",4326&amp;level=16",IF(_xlfn.SINGLE(JobState)="WI","https://fema.maps.arcgis.com/apps/mapviewer/index.html?url=https%3A%2F%2Fservices5.arcgis.com%2F0pgGLzT0Nh7FVjon%2Farcgis%2Frest%2Fservices%2FFFCL_gdb%2FFeatureServer%2F3&amp;find="&amp;$F34&amp;"%2C"&amp;$E34&amp;"&amp;marker="&amp;$F34&amp;","&amp;$E34&amp;",4326&amp;level=16","https://fema.maps.arcgis.com/apps/mapviewer/index.html?find="&amp;$F34&amp;"%2C"&amp;$E34&amp;"&amp;marker="&amp;$F34&amp;","&amp;$E34&amp;",4326&amp;level=16"))),"Open"))</f>
        <v/>
      </c>
      <c r="T34" s="4"/>
      <c r="U34" s="4"/>
      <c r="V34" s="4"/>
      <c r="W34" s="4"/>
      <c r="X34" s="4"/>
      <c r="Y34" s="4"/>
      <c r="Z34" s="4"/>
      <c r="AA34" s="4"/>
      <c r="AB34" s="1" t="str">
        <f>IF(OR(_xlfn.SINGLE(JobAgolMap)="", $E34="", $F34=""),"",HYPERLINK(_xlfn.SINGLE(JobAgolMap)&amp;IF(ISNUMBER(FIND("?",_xlfn.SINGLE(JobAgolMap))),"&amp;","?")&amp;"center="&amp;$F34&amp;","&amp;$E34&amp;"&amp;level=16&amp;marker="&amp;$F34&amp;","&amp;$E34,"Open"))</f>
        <v/>
      </c>
    </row>
    <row r="35" spans="1:28" x14ac:dyDescent="0.45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4"/>
      <c r="M35" s="1" t="str">
        <f t="shared" si="0"/>
        <v/>
      </c>
      <c r="N35" s="1" t="str">
        <f t="shared" si="1"/>
        <v/>
      </c>
      <c r="O35" s="1" t="str">
        <f t="shared" si="2"/>
        <v/>
      </c>
      <c r="P35" s="1" t="str">
        <f t="shared" si="3"/>
        <v/>
      </c>
      <c r="Q35" s="1" t="str">
        <f t="shared" si="4"/>
        <v/>
      </c>
      <c r="R35" s="1" t="str">
        <f t="shared" si="5"/>
        <v/>
      </c>
      <c r="S35" s="1" t="str">
        <f>IF(OR($E35="",$F35=""),"",HYPERLINK(IF(OR(_xlfn.SINGLE(JobState)="MI",_xlfn.SINGLE(JobState)=""),"https://fema.maps.arcgis.com/apps/mapviewer/index.html?url=https%3A%2F%2Fmdotgis.state.mi.us%2Farcgis%2Frest%2Fservices%2FWidget%2FNextGenPrFinderPub%2FFeatureServer%2F353&amp;find="&amp;$F35&amp;"%2C"&amp;$E35&amp;"&amp;marker="&amp;$F35&amp;","&amp;$E35&amp;",4326&amp;level=16",IF(_xlfn.SINGLE(JobState)="IN","https://fema.maps.arcgis.com/apps/mapviewer/index.html?url=https%3A%2F%2Fgisdata.in.gov%2Fserver%2Frest%2Fservices%2FHosted%2FLRSE_Functional_Class%2FFeatureServer%2F22&amp;find="&amp;$F35&amp;"%2C"&amp;$E35&amp;"&amp;marker="&amp;$F35&amp;","&amp;$E35&amp;",4326&amp;level=16",IF(_xlfn.SINGLE(JobState)="WI","https://fema.maps.arcgis.com/apps/mapviewer/index.html?url=https%3A%2F%2Fservices5.arcgis.com%2F0pgGLzT0Nh7FVjon%2Farcgis%2Frest%2Fservices%2FFFCL_gdb%2FFeatureServer%2F3&amp;find="&amp;$F35&amp;"%2C"&amp;$E35&amp;"&amp;marker="&amp;$F35&amp;","&amp;$E35&amp;",4326&amp;level=16","https://fema.maps.arcgis.com/apps/mapviewer/index.html?find="&amp;$F35&amp;"%2C"&amp;$E35&amp;"&amp;marker="&amp;$F35&amp;","&amp;$E35&amp;",4326&amp;level=16"))),"Open"))</f>
        <v/>
      </c>
      <c r="T35" s="4"/>
      <c r="U35" s="4"/>
      <c r="V35" s="4"/>
      <c r="W35" s="4"/>
      <c r="X35" s="4"/>
      <c r="Y35" s="4"/>
      <c r="Z35" s="4"/>
      <c r="AA35" s="4"/>
      <c r="AB35" s="1" t="str">
        <f>IF(OR(_xlfn.SINGLE(JobAgolMap)="", $E35="", $F35=""),"",HYPERLINK(_xlfn.SINGLE(JobAgolMap)&amp;IF(ISNUMBER(FIND("?",_xlfn.SINGLE(JobAgolMap))),"&amp;","?")&amp;"center="&amp;$F35&amp;","&amp;$E35&amp;"&amp;level=16&amp;marker="&amp;$F35&amp;","&amp;$E35,"Open"))</f>
        <v/>
      </c>
    </row>
    <row r="36" spans="1:28" x14ac:dyDescent="0.45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4"/>
      <c r="M36" s="1" t="str">
        <f t="shared" si="0"/>
        <v/>
      </c>
      <c r="N36" s="1" t="str">
        <f t="shared" si="1"/>
        <v/>
      </c>
      <c r="O36" s="1" t="str">
        <f t="shared" si="2"/>
        <v/>
      </c>
      <c r="P36" s="1" t="str">
        <f t="shared" si="3"/>
        <v/>
      </c>
      <c r="Q36" s="1" t="str">
        <f t="shared" si="4"/>
        <v/>
      </c>
      <c r="R36" s="1" t="str">
        <f t="shared" si="5"/>
        <v/>
      </c>
      <c r="S36" s="1" t="str">
        <f>IF(OR($E36="",$F36=""),"",HYPERLINK(IF(OR(_xlfn.SINGLE(JobState)="MI",_xlfn.SINGLE(JobState)=""),"https://fema.maps.arcgis.com/apps/mapviewer/index.html?url=https%3A%2F%2Fmdotgis.state.mi.us%2Farcgis%2Frest%2Fservices%2FWidget%2FNextGenPrFinderPub%2FFeatureServer%2F353&amp;find="&amp;$F36&amp;"%2C"&amp;$E36&amp;"&amp;marker="&amp;$F36&amp;","&amp;$E36&amp;",4326&amp;level=16",IF(_xlfn.SINGLE(JobState)="IN","https://fema.maps.arcgis.com/apps/mapviewer/index.html?url=https%3A%2F%2Fgisdata.in.gov%2Fserver%2Frest%2Fservices%2FHosted%2FLRSE_Functional_Class%2FFeatureServer%2F22&amp;find="&amp;$F36&amp;"%2C"&amp;$E36&amp;"&amp;marker="&amp;$F36&amp;","&amp;$E36&amp;",4326&amp;level=16",IF(_xlfn.SINGLE(JobState)="WI","https://fema.maps.arcgis.com/apps/mapviewer/index.html?url=https%3A%2F%2Fservices5.arcgis.com%2F0pgGLzT0Nh7FVjon%2Farcgis%2Frest%2Fservices%2FFFCL_gdb%2FFeatureServer%2F3&amp;find="&amp;$F36&amp;"%2C"&amp;$E36&amp;"&amp;marker="&amp;$F36&amp;","&amp;$E36&amp;",4326&amp;level=16","https://fema.maps.arcgis.com/apps/mapviewer/index.html?find="&amp;$F36&amp;"%2C"&amp;$E36&amp;"&amp;marker="&amp;$F36&amp;","&amp;$E36&amp;",4326&amp;level=16"))),"Open"))</f>
        <v/>
      </c>
      <c r="T36" s="4"/>
      <c r="U36" s="4"/>
      <c r="V36" s="4"/>
      <c r="W36" s="4"/>
      <c r="X36" s="4"/>
      <c r="Y36" s="4"/>
      <c r="Z36" s="4"/>
      <c r="AA36" s="4"/>
      <c r="AB36" s="1" t="str">
        <f>IF(OR(_xlfn.SINGLE(JobAgolMap)="", $E36="", $F36=""),"",HYPERLINK(_xlfn.SINGLE(JobAgolMap)&amp;IF(ISNUMBER(FIND("?",_xlfn.SINGLE(JobAgolMap))),"&amp;","?")&amp;"center="&amp;$F36&amp;","&amp;$E36&amp;"&amp;level=16&amp;marker="&amp;$F36&amp;","&amp;$E36,"Open"))</f>
        <v/>
      </c>
    </row>
    <row r="37" spans="1:28" x14ac:dyDescent="0.45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4"/>
      <c r="M37" s="1" t="str">
        <f t="shared" si="0"/>
        <v/>
      </c>
      <c r="N37" s="1" t="str">
        <f t="shared" si="1"/>
        <v/>
      </c>
      <c r="O37" s="1" t="str">
        <f t="shared" si="2"/>
        <v/>
      </c>
      <c r="P37" s="1" t="str">
        <f t="shared" si="3"/>
        <v/>
      </c>
      <c r="Q37" s="1" t="str">
        <f t="shared" si="4"/>
        <v/>
      </c>
      <c r="R37" s="1" t="str">
        <f t="shared" si="5"/>
        <v/>
      </c>
      <c r="S37" s="1" t="str">
        <f>IF(OR($E37="",$F37=""),"",HYPERLINK(IF(OR(_xlfn.SINGLE(JobState)="MI",_xlfn.SINGLE(JobState)=""),"https://fema.maps.arcgis.com/apps/mapviewer/index.html?url=https%3A%2F%2Fmdotgis.state.mi.us%2Farcgis%2Frest%2Fservices%2FWidget%2FNextGenPrFinderPub%2FFeatureServer%2F353&amp;find="&amp;$F37&amp;"%2C"&amp;$E37&amp;"&amp;marker="&amp;$F37&amp;","&amp;$E37&amp;",4326&amp;level=16",IF(_xlfn.SINGLE(JobState)="IN","https://fema.maps.arcgis.com/apps/mapviewer/index.html?url=https%3A%2F%2Fgisdata.in.gov%2Fserver%2Frest%2Fservices%2FHosted%2FLRSE_Functional_Class%2FFeatureServer%2F22&amp;find="&amp;$F37&amp;"%2C"&amp;$E37&amp;"&amp;marker="&amp;$F37&amp;","&amp;$E37&amp;",4326&amp;level=16",IF(_xlfn.SINGLE(JobState)="WI","https://fema.maps.arcgis.com/apps/mapviewer/index.html?url=https%3A%2F%2Fservices5.arcgis.com%2F0pgGLzT0Nh7FVjon%2Farcgis%2Frest%2Fservices%2FFFCL_gdb%2FFeatureServer%2F3&amp;find="&amp;$F37&amp;"%2C"&amp;$E37&amp;"&amp;marker="&amp;$F37&amp;","&amp;$E37&amp;",4326&amp;level=16","https://fema.maps.arcgis.com/apps/mapviewer/index.html?find="&amp;$F37&amp;"%2C"&amp;$E37&amp;"&amp;marker="&amp;$F37&amp;","&amp;$E37&amp;",4326&amp;level=16"))),"Open"))</f>
        <v/>
      </c>
      <c r="T37" s="4"/>
      <c r="U37" s="4"/>
      <c r="V37" s="4"/>
      <c r="W37" s="4"/>
      <c r="X37" s="4"/>
      <c r="Y37" s="4"/>
      <c r="Z37" s="4"/>
      <c r="AA37" s="4"/>
      <c r="AB37" s="1" t="str">
        <f>IF(OR(_xlfn.SINGLE(JobAgolMap)="", $E37="", $F37=""),"",HYPERLINK(_xlfn.SINGLE(JobAgolMap)&amp;IF(ISNUMBER(FIND("?",_xlfn.SINGLE(JobAgolMap))),"&amp;","?")&amp;"center="&amp;$F37&amp;","&amp;$E37&amp;"&amp;level=16&amp;marker="&amp;$F37&amp;","&amp;$E37,"Open"))</f>
        <v/>
      </c>
    </row>
    <row r="38" spans="1:28" x14ac:dyDescent="0.45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4"/>
      <c r="M38" s="1" t="str">
        <f t="shared" si="0"/>
        <v/>
      </c>
      <c r="N38" s="1" t="str">
        <f t="shared" si="1"/>
        <v/>
      </c>
      <c r="O38" s="1" t="str">
        <f t="shared" si="2"/>
        <v/>
      </c>
      <c r="P38" s="1" t="str">
        <f t="shared" si="3"/>
        <v/>
      </c>
      <c r="Q38" s="1" t="str">
        <f t="shared" si="4"/>
        <v/>
      </c>
      <c r="R38" s="1" t="str">
        <f t="shared" si="5"/>
        <v/>
      </c>
      <c r="S38" s="1" t="str">
        <f>IF(OR($E38="",$F38=""),"",HYPERLINK(IF(OR(_xlfn.SINGLE(JobState)="MI",_xlfn.SINGLE(JobState)=""),"https://fema.maps.arcgis.com/apps/mapviewer/index.html?url=https%3A%2F%2Fmdotgis.state.mi.us%2Farcgis%2Frest%2Fservices%2FWidget%2FNextGenPrFinderPub%2FFeatureServer%2F353&amp;find="&amp;$F38&amp;"%2C"&amp;$E38&amp;"&amp;marker="&amp;$F38&amp;","&amp;$E38&amp;",4326&amp;level=16",IF(_xlfn.SINGLE(JobState)="IN","https://fema.maps.arcgis.com/apps/mapviewer/index.html?url=https%3A%2F%2Fgisdata.in.gov%2Fserver%2Frest%2Fservices%2FHosted%2FLRSE_Functional_Class%2FFeatureServer%2F22&amp;find="&amp;$F38&amp;"%2C"&amp;$E38&amp;"&amp;marker="&amp;$F38&amp;","&amp;$E38&amp;",4326&amp;level=16",IF(_xlfn.SINGLE(JobState)="WI","https://fema.maps.arcgis.com/apps/mapviewer/index.html?url=https%3A%2F%2Fservices5.arcgis.com%2F0pgGLzT0Nh7FVjon%2Farcgis%2Frest%2Fservices%2FFFCL_gdb%2FFeatureServer%2F3&amp;find="&amp;$F38&amp;"%2C"&amp;$E38&amp;"&amp;marker="&amp;$F38&amp;","&amp;$E38&amp;",4326&amp;level=16","https://fema.maps.arcgis.com/apps/mapviewer/index.html?find="&amp;$F38&amp;"%2C"&amp;$E38&amp;"&amp;marker="&amp;$F38&amp;","&amp;$E38&amp;",4326&amp;level=16"))),"Open"))</f>
        <v/>
      </c>
      <c r="T38" s="4"/>
      <c r="U38" s="4"/>
      <c r="V38" s="4"/>
      <c r="W38" s="4"/>
      <c r="X38" s="4"/>
      <c r="Y38" s="4"/>
      <c r="Z38" s="4"/>
      <c r="AA38" s="4"/>
      <c r="AB38" s="1" t="str">
        <f>IF(OR(_xlfn.SINGLE(JobAgolMap)="", $E38="", $F38=""),"",HYPERLINK(_xlfn.SINGLE(JobAgolMap)&amp;IF(ISNUMBER(FIND("?",_xlfn.SINGLE(JobAgolMap))),"&amp;","?")&amp;"center="&amp;$F38&amp;","&amp;$E38&amp;"&amp;level=16&amp;marker="&amp;$F38&amp;","&amp;$E38,"Open"))</f>
        <v/>
      </c>
    </row>
    <row r="39" spans="1:28" x14ac:dyDescent="0.45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4"/>
      <c r="M39" s="1" t="str">
        <f t="shared" si="0"/>
        <v/>
      </c>
      <c r="N39" s="1" t="str">
        <f t="shared" si="1"/>
        <v/>
      </c>
      <c r="O39" s="1" t="str">
        <f t="shared" si="2"/>
        <v/>
      </c>
      <c r="P39" s="1" t="str">
        <f t="shared" si="3"/>
        <v/>
      </c>
      <c r="Q39" s="1" t="str">
        <f t="shared" si="4"/>
        <v/>
      </c>
      <c r="R39" s="1" t="str">
        <f t="shared" si="5"/>
        <v/>
      </c>
      <c r="S39" s="1" t="str">
        <f>IF(OR($E39="",$F39=""),"",HYPERLINK(IF(OR(_xlfn.SINGLE(JobState)="MI",_xlfn.SINGLE(JobState)=""),"https://fema.maps.arcgis.com/apps/mapviewer/index.html?url=https%3A%2F%2Fmdotgis.state.mi.us%2Farcgis%2Frest%2Fservices%2FWidget%2FNextGenPrFinderPub%2FFeatureServer%2F353&amp;find="&amp;$F39&amp;"%2C"&amp;$E39&amp;"&amp;marker="&amp;$F39&amp;","&amp;$E39&amp;",4326&amp;level=16",IF(_xlfn.SINGLE(JobState)="IN","https://fema.maps.arcgis.com/apps/mapviewer/index.html?url=https%3A%2F%2Fgisdata.in.gov%2Fserver%2Frest%2Fservices%2FHosted%2FLRSE_Functional_Class%2FFeatureServer%2F22&amp;find="&amp;$F39&amp;"%2C"&amp;$E39&amp;"&amp;marker="&amp;$F39&amp;","&amp;$E39&amp;",4326&amp;level=16",IF(_xlfn.SINGLE(JobState)="WI","https://fema.maps.arcgis.com/apps/mapviewer/index.html?url=https%3A%2F%2Fservices5.arcgis.com%2F0pgGLzT0Nh7FVjon%2Farcgis%2Frest%2Fservices%2FFFCL_gdb%2FFeatureServer%2F3&amp;find="&amp;$F39&amp;"%2C"&amp;$E39&amp;"&amp;marker="&amp;$F39&amp;","&amp;$E39&amp;",4326&amp;level=16","https://fema.maps.arcgis.com/apps/mapviewer/index.html?find="&amp;$F39&amp;"%2C"&amp;$E39&amp;"&amp;marker="&amp;$F39&amp;","&amp;$E39&amp;",4326&amp;level=16"))),"Open"))</f>
        <v/>
      </c>
      <c r="T39" s="4"/>
      <c r="U39" s="4"/>
      <c r="V39" s="4"/>
      <c r="W39" s="4"/>
      <c r="X39" s="4"/>
      <c r="Y39" s="4"/>
      <c r="Z39" s="4"/>
      <c r="AA39" s="4"/>
      <c r="AB39" s="1" t="str">
        <f>IF(OR(_xlfn.SINGLE(JobAgolMap)="", $E39="", $F39=""),"",HYPERLINK(_xlfn.SINGLE(JobAgolMap)&amp;IF(ISNUMBER(FIND("?",_xlfn.SINGLE(JobAgolMap))),"&amp;","?")&amp;"center="&amp;$F39&amp;","&amp;$E39&amp;"&amp;level=16&amp;marker="&amp;$F39&amp;","&amp;$E39,"Open"))</f>
        <v/>
      </c>
    </row>
    <row r="40" spans="1:28" x14ac:dyDescent="0.4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4"/>
      <c r="M40" s="1" t="str">
        <f t="shared" si="0"/>
        <v/>
      </c>
      <c r="N40" s="1" t="str">
        <f t="shared" si="1"/>
        <v/>
      </c>
      <c r="O40" s="1" t="str">
        <f t="shared" si="2"/>
        <v/>
      </c>
      <c r="P40" s="1" t="str">
        <f t="shared" si="3"/>
        <v/>
      </c>
      <c r="Q40" s="1" t="str">
        <f t="shared" si="4"/>
        <v/>
      </c>
      <c r="R40" s="1" t="str">
        <f t="shared" si="5"/>
        <v/>
      </c>
      <c r="S40" s="1" t="str">
        <f>IF(OR($E40="",$F40=""),"",HYPERLINK(IF(OR(_xlfn.SINGLE(JobState)="MI",_xlfn.SINGLE(JobState)=""),"https://fema.maps.arcgis.com/apps/mapviewer/index.html?url=https%3A%2F%2Fmdotgis.state.mi.us%2Farcgis%2Frest%2Fservices%2FWidget%2FNextGenPrFinderPub%2FFeatureServer%2F353&amp;find="&amp;$F40&amp;"%2C"&amp;$E40&amp;"&amp;marker="&amp;$F40&amp;","&amp;$E40&amp;",4326&amp;level=16",IF(_xlfn.SINGLE(JobState)="IN","https://fema.maps.arcgis.com/apps/mapviewer/index.html?url=https%3A%2F%2Fgisdata.in.gov%2Fserver%2Frest%2Fservices%2FHosted%2FLRSE_Functional_Class%2FFeatureServer%2F22&amp;find="&amp;$F40&amp;"%2C"&amp;$E40&amp;"&amp;marker="&amp;$F40&amp;","&amp;$E40&amp;",4326&amp;level=16",IF(_xlfn.SINGLE(JobState)="WI","https://fema.maps.arcgis.com/apps/mapviewer/index.html?url=https%3A%2F%2Fservices5.arcgis.com%2F0pgGLzT0Nh7FVjon%2Farcgis%2Frest%2Fservices%2FFFCL_gdb%2FFeatureServer%2F3&amp;find="&amp;$F40&amp;"%2C"&amp;$E40&amp;"&amp;marker="&amp;$F40&amp;","&amp;$E40&amp;",4326&amp;level=16","https://fema.maps.arcgis.com/apps/mapviewer/index.html?find="&amp;$F40&amp;"%2C"&amp;$E40&amp;"&amp;marker="&amp;$F40&amp;","&amp;$E40&amp;",4326&amp;level=16"))),"Open"))</f>
        <v/>
      </c>
      <c r="T40" s="4"/>
      <c r="U40" s="4"/>
      <c r="V40" s="4"/>
      <c r="W40" s="4"/>
      <c r="X40" s="4"/>
      <c r="Y40" s="4"/>
      <c r="Z40" s="4"/>
      <c r="AA40" s="4"/>
      <c r="AB40" s="1" t="str">
        <f>IF(OR(_xlfn.SINGLE(JobAgolMap)="", $E40="", $F40=""),"",HYPERLINK(_xlfn.SINGLE(JobAgolMap)&amp;IF(ISNUMBER(FIND("?",_xlfn.SINGLE(JobAgolMap))),"&amp;","?")&amp;"center="&amp;$F40&amp;","&amp;$E40&amp;"&amp;level=16&amp;marker="&amp;$F40&amp;","&amp;$E40,"Open"))</f>
        <v/>
      </c>
    </row>
    <row r="41" spans="1:28" x14ac:dyDescent="0.45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4"/>
      <c r="M41" s="1" t="str">
        <f t="shared" si="0"/>
        <v/>
      </c>
      <c r="N41" s="1" t="str">
        <f t="shared" si="1"/>
        <v/>
      </c>
      <c r="O41" s="1" t="str">
        <f t="shared" si="2"/>
        <v/>
      </c>
      <c r="P41" s="1" t="str">
        <f t="shared" si="3"/>
        <v/>
      </c>
      <c r="Q41" s="1" t="str">
        <f t="shared" si="4"/>
        <v/>
      </c>
      <c r="R41" s="1" t="str">
        <f t="shared" si="5"/>
        <v/>
      </c>
      <c r="S41" s="1" t="str">
        <f>IF(OR($E41="",$F41=""),"",HYPERLINK(IF(OR(_xlfn.SINGLE(JobState)="MI",_xlfn.SINGLE(JobState)=""),"https://fema.maps.arcgis.com/apps/mapviewer/index.html?url=https%3A%2F%2Fmdotgis.state.mi.us%2Farcgis%2Frest%2Fservices%2FWidget%2FNextGenPrFinderPub%2FFeatureServer%2F353&amp;find="&amp;$F41&amp;"%2C"&amp;$E41&amp;"&amp;marker="&amp;$F41&amp;","&amp;$E41&amp;",4326&amp;level=16",IF(_xlfn.SINGLE(JobState)="IN","https://fema.maps.arcgis.com/apps/mapviewer/index.html?url=https%3A%2F%2Fgisdata.in.gov%2Fserver%2Frest%2Fservices%2FHosted%2FLRSE_Functional_Class%2FFeatureServer%2F22&amp;find="&amp;$F41&amp;"%2C"&amp;$E41&amp;"&amp;marker="&amp;$F41&amp;","&amp;$E41&amp;",4326&amp;level=16",IF(_xlfn.SINGLE(JobState)="WI","https://fema.maps.arcgis.com/apps/mapviewer/index.html?url=https%3A%2F%2Fservices5.arcgis.com%2F0pgGLzT0Nh7FVjon%2Farcgis%2Frest%2Fservices%2FFFCL_gdb%2FFeatureServer%2F3&amp;find="&amp;$F41&amp;"%2C"&amp;$E41&amp;"&amp;marker="&amp;$F41&amp;","&amp;$E41&amp;",4326&amp;level=16","https://fema.maps.arcgis.com/apps/mapviewer/index.html?find="&amp;$F41&amp;"%2C"&amp;$E41&amp;"&amp;marker="&amp;$F41&amp;","&amp;$E41&amp;",4326&amp;level=16"))),"Open"))</f>
        <v/>
      </c>
      <c r="T41" s="4"/>
      <c r="U41" s="4"/>
      <c r="V41" s="4"/>
      <c r="W41" s="4"/>
      <c r="X41" s="4"/>
      <c r="Y41" s="4"/>
      <c r="Z41" s="4"/>
      <c r="AA41" s="4"/>
      <c r="AB41" s="1" t="str">
        <f>IF(OR(_xlfn.SINGLE(JobAgolMap)="", $E41="", $F41=""),"",HYPERLINK(_xlfn.SINGLE(JobAgolMap)&amp;IF(ISNUMBER(FIND("?",_xlfn.SINGLE(JobAgolMap))),"&amp;","?")&amp;"center="&amp;$F41&amp;","&amp;$E41&amp;"&amp;level=16&amp;marker="&amp;$F41&amp;","&amp;$E41,"Open"))</f>
        <v/>
      </c>
    </row>
    <row r="42" spans="1:28" x14ac:dyDescent="0.45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4"/>
      <c r="M42" s="1" t="str">
        <f t="shared" si="0"/>
        <v/>
      </c>
      <c r="N42" s="1" t="str">
        <f t="shared" si="1"/>
        <v/>
      </c>
      <c r="O42" s="1" t="str">
        <f t="shared" si="2"/>
        <v/>
      </c>
      <c r="P42" s="1" t="str">
        <f t="shared" si="3"/>
        <v/>
      </c>
      <c r="Q42" s="1" t="str">
        <f t="shared" si="4"/>
        <v/>
      </c>
      <c r="R42" s="1" t="str">
        <f t="shared" si="5"/>
        <v/>
      </c>
      <c r="S42" s="1" t="str">
        <f>IF(OR($E42="",$F42=""),"",HYPERLINK(IF(OR(_xlfn.SINGLE(JobState)="MI",_xlfn.SINGLE(JobState)=""),"https://fema.maps.arcgis.com/apps/mapviewer/index.html?url=https%3A%2F%2Fmdotgis.state.mi.us%2Farcgis%2Frest%2Fservices%2FWidget%2FNextGenPrFinderPub%2FFeatureServer%2F353&amp;find="&amp;$F42&amp;"%2C"&amp;$E42&amp;"&amp;marker="&amp;$F42&amp;","&amp;$E42&amp;",4326&amp;level=16",IF(_xlfn.SINGLE(JobState)="IN","https://fema.maps.arcgis.com/apps/mapviewer/index.html?url=https%3A%2F%2Fgisdata.in.gov%2Fserver%2Frest%2Fservices%2FHosted%2FLRSE_Functional_Class%2FFeatureServer%2F22&amp;find="&amp;$F42&amp;"%2C"&amp;$E42&amp;"&amp;marker="&amp;$F42&amp;","&amp;$E42&amp;",4326&amp;level=16",IF(_xlfn.SINGLE(JobState)="WI","https://fema.maps.arcgis.com/apps/mapviewer/index.html?url=https%3A%2F%2Fservices5.arcgis.com%2F0pgGLzT0Nh7FVjon%2Farcgis%2Frest%2Fservices%2FFFCL_gdb%2FFeatureServer%2F3&amp;find="&amp;$F42&amp;"%2C"&amp;$E42&amp;"&amp;marker="&amp;$F42&amp;","&amp;$E42&amp;",4326&amp;level=16","https://fema.maps.arcgis.com/apps/mapviewer/index.html?find="&amp;$F42&amp;"%2C"&amp;$E42&amp;"&amp;marker="&amp;$F42&amp;","&amp;$E42&amp;",4326&amp;level=16"))),"Open"))</f>
        <v/>
      </c>
      <c r="T42" s="4"/>
      <c r="U42" s="4"/>
      <c r="V42" s="4"/>
      <c r="W42" s="4"/>
      <c r="X42" s="4"/>
      <c r="Y42" s="4"/>
      <c r="Z42" s="4"/>
      <c r="AA42" s="4"/>
      <c r="AB42" s="1" t="str">
        <f>IF(OR(_xlfn.SINGLE(JobAgolMap)="", $E42="", $F42=""),"",HYPERLINK(_xlfn.SINGLE(JobAgolMap)&amp;IF(ISNUMBER(FIND("?",_xlfn.SINGLE(JobAgolMap))),"&amp;","?")&amp;"center="&amp;$F42&amp;","&amp;$E42&amp;"&amp;level=16&amp;marker="&amp;$F42&amp;","&amp;$E42,"Open"))</f>
        <v/>
      </c>
    </row>
    <row r="43" spans="1:28" x14ac:dyDescent="0.45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4"/>
      <c r="M43" s="1" t="str">
        <f t="shared" si="0"/>
        <v/>
      </c>
      <c r="N43" s="1" t="str">
        <f t="shared" si="1"/>
        <v/>
      </c>
      <c r="O43" s="1" t="str">
        <f t="shared" si="2"/>
        <v/>
      </c>
      <c r="P43" s="1" t="str">
        <f t="shared" si="3"/>
        <v/>
      </c>
      <c r="Q43" s="1" t="str">
        <f t="shared" si="4"/>
        <v/>
      </c>
      <c r="R43" s="1" t="str">
        <f t="shared" si="5"/>
        <v/>
      </c>
      <c r="S43" s="1" t="str">
        <f>IF(OR($E43="",$F43=""),"",HYPERLINK(IF(OR(_xlfn.SINGLE(JobState)="MI",_xlfn.SINGLE(JobState)=""),"https://fema.maps.arcgis.com/apps/mapviewer/index.html?url=https%3A%2F%2Fmdotgis.state.mi.us%2Farcgis%2Frest%2Fservices%2FWidget%2FNextGenPrFinderPub%2FFeatureServer%2F353&amp;find="&amp;$F43&amp;"%2C"&amp;$E43&amp;"&amp;marker="&amp;$F43&amp;","&amp;$E43&amp;",4326&amp;level=16",IF(_xlfn.SINGLE(JobState)="IN","https://fema.maps.arcgis.com/apps/mapviewer/index.html?url=https%3A%2F%2Fgisdata.in.gov%2Fserver%2Frest%2Fservices%2FHosted%2FLRSE_Functional_Class%2FFeatureServer%2F22&amp;find="&amp;$F43&amp;"%2C"&amp;$E43&amp;"&amp;marker="&amp;$F43&amp;","&amp;$E43&amp;",4326&amp;level=16",IF(_xlfn.SINGLE(JobState)="WI","https://fema.maps.arcgis.com/apps/mapviewer/index.html?url=https%3A%2F%2Fservices5.arcgis.com%2F0pgGLzT0Nh7FVjon%2Farcgis%2Frest%2Fservices%2FFFCL_gdb%2FFeatureServer%2F3&amp;find="&amp;$F43&amp;"%2C"&amp;$E43&amp;"&amp;marker="&amp;$F43&amp;","&amp;$E43&amp;",4326&amp;level=16","https://fema.maps.arcgis.com/apps/mapviewer/index.html?find="&amp;$F43&amp;"%2C"&amp;$E43&amp;"&amp;marker="&amp;$F43&amp;","&amp;$E43&amp;",4326&amp;level=16"))),"Open"))</f>
        <v/>
      </c>
      <c r="T43" s="4"/>
      <c r="U43" s="4"/>
      <c r="V43" s="4"/>
      <c r="W43" s="4"/>
      <c r="X43" s="4"/>
      <c r="Y43" s="4"/>
      <c r="Z43" s="4"/>
      <c r="AA43" s="4"/>
      <c r="AB43" s="1" t="str">
        <f>IF(OR(_xlfn.SINGLE(JobAgolMap)="", $E43="", $F43=""),"",HYPERLINK(_xlfn.SINGLE(JobAgolMap)&amp;IF(ISNUMBER(FIND("?",_xlfn.SINGLE(JobAgolMap))),"&amp;","?")&amp;"center="&amp;$F43&amp;","&amp;$E43&amp;"&amp;level=16&amp;marker="&amp;$F43&amp;","&amp;$E43,"Open"))</f>
        <v/>
      </c>
    </row>
    <row r="44" spans="1:28" x14ac:dyDescent="0.45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4"/>
      <c r="M44" s="1" t="str">
        <f t="shared" si="0"/>
        <v/>
      </c>
      <c r="N44" s="1" t="str">
        <f t="shared" si="1"/>
        <v/>
      </c>
      <c r="O44" s="1" t="str">
        <f t="shared" si="2"/>
        <v/>
      </c>
      <c r="P44" s="1" t="str">
        <f t="shared" si="3"/>
        <v/>
      </c>
      <c r="Q44" s="1" t="str">
        <f t="shared" si="4"/>
        <v/>
      </c>
      <c r="R44" s="1" t="str">
        <f t="shared" si="5"/>
        <v/>
      </c>
      <c r="S44" s="1" t="str">
        <f>IF(OR($E44="",$F44=""),"",HYPERLINK(IF(OR(_xlfn.SINGLE(JobState)="MI",_xlfn.SINGLE(JobState)=""),"https://fema.maps.arcgis.com/apps/mapviewer/index.html?url=https%3A%2F%2Fmdotgis.state.mi.us%2Farcgis%2Frest%2Fservices%2FWidget%2FNextGenPrFinderPub%2FFeatureServer%2F353&amp;find="&amp;$F44&amp;"%2C"&amp;$E44&amp;"&amp;marker="&amp;$F44&amp;","&amp;$E44&amp;",4326&amp;level=16",IF(_xlfn.SINGLE(JobState)="IN","https://fema.maps.arcgis.com/apps/mapviewer/index.html?url=https%3A%2F%2Fgisdata.in.gov%2Fserver%2Frest%2Fservices%2FHosted%2FLRSE_Functional_Class%2FFeatureServer%2F22&amp;find="&amp;$F44&amp;"%2C"&amp;$E44&amp;"&amp;marker="&amp;$F44&amp;","&amp;$E44&amp;",4326&amp;level=16",IF(_xlfn.SINGLE(JobState)="WI","https://fema.maps.arcgis.com/apps/mapviewer/index.html?url=https%3A%2F%2Fservices5.arcgis.com%2F0pgGLzT0Nh7FVjon%2Farcgis%2Frest%2Fservices%2FFFCL_gdb%2FFeatureServer%2F3&amp;find="&amp;$F44&amp;"%2C"&amp;$E44&amp;"&amp;marker="&amp;$F44&amp;","&amp;$E44&amp;",4326&amp;level=16","https://fema.maps.arcgis.com/apps/mapviewer/index.html?find="&amp;$F44&amp;"%2C"&amp;$E44&amp;"&amp;marker="&amp;$F44&amp;","&amp;$E44&amp;",4326&amp;level=16"))),"Open"))</f>
        <v/>
      </c>
      <c r="T44" s="4"/>
      <c r="U44" s="4"/>
      <c r="V44" s="4"/>
      <c r="W44" s="4"/>
      <c r="X44" s="4"/>
      <c r="Y44" s="4"/>
      <c r="Z44" s="4"/>
      <c r="AA44" s="4"/>
      <c r="AB44" s="1" t="str">
        <f>IF(OR(_xlfn.SINGLE(JobAgolMap)="", $E44="", $F44=""),"",HYPERLINK(_xlfn.SINGLE(JobAgolMap)&amp;IF(ISNUMBER(FIND("?",_xlfn.SINGLE(JobAgolMap))),"&amp;","?")&amp;"center="&amp;$F44&amp;","&amp;$E44&amp;"&amp;level=16&amp;marker="&amp;$F44&amp;","&amp;$E44,"Open"))</f>
        <v/>
      </c>
    </row>
    <row r="45" spans="1:28" x14ac:dyDescent="0.45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4"/>
      <c r="M45" s="1" t="str">
        <f t="shared" si="0"/>
        <v/>
      </c>
      <c r="N45" s="1" t="str">
        <f t="shared" si="1"/>
        <v/>
      </c>
      <c r="O45" s="1" t="str">
        <f t="shared" si="2"/>
        <v/>
      </c>
      <c r="P45" s="1" t="str">
        <f t="shared" si="3"/>
        <v/>
      </c>
      <c r="Q45" s="1" t="str">
        <f t="shared" si="4"/>
        <v/>
      </c>
      <c r="R45" s="1" t="str">
        <f t="shared" si="5"/>
        <v/>
      </c>
      <c r="S45" s="1" t="str">
        <f>IF(OR($E45="",$F45=""),"",HYPERLINK(IF(OR(_xlfn.SINGLE(JobState)="MI",_xlfn.SINGLE(JobState)=""),"https://fema.maps.arcgis.com/apps/mapviewer/index.html?url=https%3A%2F%2Fmdotgis.state.mi.us%2Farcgis%2Frest%2Fservices%2FWidget%2FNextGenPrFinderPub%2FFeatureServer%2F353&amp;find="&amp;$F45&amp;"%2C"&amp;$E45&amp;"&amp;marker="&amp;$F45&amp;","&amp;$E45&amp;",4326&amp;level=16",IF(_xlfn.SINGLE(JobState)="IN","https://fema.maps.arcgis.com/apps/mapviewer/index.html?url=https%3A%2F%2Fgisdata.in.gov%2Fserver%2Frest%2Fservices%2FHosted%2FLRSE_Functional_Class%2FFeatureServer%2F22&amp;find="&amp;$F45&amp;"%2C"&amp;$E45&amp;"&amp;marker="&amp;$F45&amp;","&amp;$E45&amp;",4326&amp;level=16",IF(_xlfn.SINGLE(JobState)="WI","https://fema.maps.arcgis.com/apps/mapviewer/index.html?url=https%3A%2F%2Fservices5.arcgis.com%2F0pgGLzT0Nh7FVjon%2Farcgis%2Frest%2Fservices%2FFFCL_gdb%2FFeatureServer%2F3&amp;find="&amp;$F45&amp;"%2C"&amp;$E45&amp;"&amp;marker="&amp;$F45&amp;","&amp;$E45&amp;",4326&amp;level=16","https://fema.maps.arcgis.com/apps/mapviewer/index.html?find="&amp;$F45&amp;"%2C"&amp;$E45&amp;"&amp;marker="&amp;$F45&amp;","&amp;$E45&amp;",4326&amp;level=16"))),"Open"))</f>
        <v/>
      </c>
      <c r="T45" s="4"/>
      <c r="U45" s="4"/>
      <c r="V45" s="4"/>
      <c r="W45" s="4"/>
      <c r="X45" s="4"/>
      <c r="Y45" s="4"/>
      <c r="Z45" s="4"/>
      <c r="AA45" s="4"/>
      <c r="AB45" s="1" t="str">
        <f>IF(OR(_xlfn.SINGLE(JobAgolMap)="", $E45="", $F45=""),"",HYPERLINK(_xlfn.SINGLE(JobAgolMap)&amp;IF(ISNUMBER(FIND("?",_xlfn.SINGLE(JobAgolMap))),"&amp;","?")&amp;"center="&amp;$F45&amp;","&amp;$E45&amp;"&amp;level=16&amp;marker="&amp;$F45&amp;","&amp;$E45,"Open"))</f>
        <v/>
      </c>
    </row>
    <row r="46" spans="1:28" x14ac:dyDescent="0.45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4"/>
      <c r="M46" s="1" t="str">
        <f t="shared" si="0"/>
        <v/>
      </c>
      <c r="N46" s="1" t="str">
        <f t="shared" si="1"/>
        <v/>
      </c>
      <c r="O46" s="1" t="str">
        <f t="shared" si="2"/>
        <v/>
      </c>
      <c r="P46" s="1" t="str">
        <f t="shared" si="3"/>
        <v/>
      </c>
      <c r="Q46" s="1" t="str">
        <f t="shared" si="4"/>
        <v/>
      </c>
      <c r="R46" s="1" t="str">
        <f t="shared" si="5"/>
        <v/>
      </c>
      <c r="S46" s="1" t="str">
        <f>IF(OR($E46="",$F46=""),"",HYPERLINK(IF(OR(_xlfn.SINGLE(JobState)="MI",_xlfn.SINGLE(JobState)=""),"https://fema.maps.arcgis.com/apps/mapviewer/index.html?url=https%3A%2F%2Fmdotgis.state.mi.us%2Farcgis%2Frest%2Fservices%2FWidget%2FNextGenPrFinderPub%2FFeatureServer%2F353&amp;find="&amp;$F46&amp;"%2C"&amp;$E46&amp;"&amp;marker="&amp;$F46&amp;","&amp;$E46&amp;",4326&amp;level=16",IF(_xlfn.SINGLE(JobState)="IN","https://fema.maps.arcgis.com/apps/mapviewer/index.html?url=https%3A%2F%2Fgisdata.in.gov%2Fserver%2Frest%2Fservices%2FHosted%2FLRSE_Functional_Class%2FFeatureServer%2F22&amp;find="&amp;$F46&amp;"%2C"&amp;$E46&amp;"&amp;marker="&amp;$F46&amp;","&amp;$E46&amp;",4326&amp;level=16",IF(_xlfn.SINGLE(JobState)="WI","https://fema.maps.arcgis.com/apps/mapviewer/index.html?url=https%3A%2F%2Fservices5.arcgis.com%2F0pgGLzT0Nh7FVjon%2Farcgis%2Frest%2Fservices%2FFFCL_gdb%2FFeatureServer%2F3&amp;find="&amp;$F46&amp;"%2C"&amp;$E46&amp;"&amp;marker="&amp;$F46&amp;","&amp;$E46&amp;",4326&amp;level=16","https://fema.maps.arcgis.com/apps/mapviewer/index.html?find="&amp;$F46&amp;"%2C"&amp;$E46&amp;"&amp;marker="&amp;$F46&amp;","&amp;$E46&amp;",4326&amp;level=16"))),"Open"))</f>
        <v/>
      </c>
      <c r="T46" s="4"/>
      <c r="U46" s="4"/>
      <c r="V46" s="4"/>
      <c r="W46" s="4"/>
      <c r="X46" s="4"/>
      <c r="Y46" s="4"/>
      <c r="Z46" s="4"/>
      <c r="AA46" s="4"/>
      <c r="AB46" s="1" t="str">
        <f>IF(OR(_xlfn.SINGLE(JobAgolMap)="", $E46="", $F46=""),"",HYPERLINK(_xlfn.SINGLE(JobAgolMap)&amp;IF(ISNUMBER(FIND("?",_xlfn.SINGLE(JobAgolMap))),"&amp;","?")&amp;"center="&amp;$F46&amp;","&amp;$E46&amp;"&amp;level=16&amp;marker="&amp;$F46&amp;","&amp;$E46,"Open"))</f>
        <v/>
      </c>
    </row>
    <row r="47" spans="1:28" x14ac:dyDescent="0.45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4"/>
      <c r="M47" s="1" t="str">
        <f t="shared" si="0"/>
        <v/>
      </c>
      <c r="N47" s="1" t="str">
        <f t="shared" si="1"/>
        <v/>
      </c>
      <c r="O47" s="1" t="str">
        <f t="shared" si="2"/>
        <v/>
      </c>
      <c r="P47" s="1" t="str">
        <f t="shared" si="3"/>
        <v/>
      </c>
      <c r="Q47" s="1" t="str">
        <f t="shared" si="4"/>
        <v/>
      </c>
      <c r="R47" s="1" t="str">
        <f t="shared" si="5"/>
        <v/>
      </c>
      <c r="S47" s="1" t="str">
        <f>IF(OR($E47="",$F47=""),"",HYPERLINK(IF(OR(_xlfn.SINGLE(JobState)="MI",_xlfn.SINGLE(JobState)=""),"https://fema.maps.arcgis.com/apps/mapviewer/index.html?url=https%3A%2F%2Fmdotgis.state.mi.us%2Farcgis%2Frest%2Fservices%2FWidget%2FNextGenPrFinderPub%2FFeatureServer%2F353&amp;find="&amp;$F47&amp;"%2C"&amp;$E47&amp;"&amp;marker="&amp;$F47&amp;","&amp;$E47&amp;",4326&amp;level=16",IF(_xlfn.SINGLE(JobState)="IN","https://fema.maps.arcgis.com/apps/mapviewer/index.html?url=https%3A%2F%2Fgisdata.in.gov%2Fserver%2Frest%2Fservices%2FHosted%2FLRSE_Functional_Class%2FFeatureServer%2F22&amp;find="&amp;$F47&amp;"%2C"&amp;$E47&amp;"&amp;marker="&amp;$F47&amp;","&amp;$E47&amp;",4326&amp;level=16",IF(_xlfn.SINGLE(JobState)="WI","https://fema.maps.arcgis.com/apps/mapviewer/index.html?url=https%3A%2F%2Fservices5.arcgis.com%2F0pgGLzT0Nh7FVjon%2Farcgis%2Frest%2Fservices%2FFFCL_gdb%2FFeatureServer%2F3&amp;find="&amp;$F47&amp;"%2C"&amp;$E47&amp;"&amp;marker="&amp;$F47&amp;","&amp;$E47&amp;",4326&amp;level=16","https://fema.maps.arcgis.com/apps/mapviewer/index.html?find="&amp;$F47&amp;"%2C"&amp;$E47&amp;"&amp;marker="&amp;$F47&amp;","&amp;$E47&amp;",4326&amp;level=16"))),"Open"))</f>
        <v/>
      </c>
      <c r="T47" s="4"/>
      <c r="U47" s="4"/>
      <c r="V47" s="4"/>
      <c r="W47" s="4"/>
      <c r="X47" s="4"/>
      <c r="Y47" s="4"/>
      <c r="Z47" s="4"/>
      <c r="AA47" s="4"/>
      <c r="AB47" s="1" t="str">
        <f>IF(OR(_xlfn.SINGLE(JobAgolMap)="", $E47="", $F47=""),"",HYPERLINK(_xlfn.SINGLE(JobAgolMap)&amp;IF(ISNUMBER(FIND("?",_xlfn.SINGLE(JobAgolMap))),"&amp;","?")&amp;"center="&amp;$F47&amp;","&amp;$E47&amp;"&amp;level=16&amp;marker="&amp;$F47&amp;","&amp;$E47,"Open"))</f>
        <v/>
      </c>
    </row>
    <row r="48" spans="1:28" x14ac:dyDescent="0.45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4"/>
      <c r="M48" s="1" t="str">
        <f t="shared" si="0"/>
        <v/>
      </c>
      <c r="N48" s="1" t="str">
        <f t="shared" si="1"/>
        <v/>
      </c>
      <c r="O48" s="1" t="str">
        <f t="shared" si="2"/>
        <v/>
      </c>
      <c r="P48" s="1" t="str">
        <f t="shared" si="3"/>
        <v/>
      </c>
      <c r="Q48" s="1" t="str">
        <f t="shared" si="4"/>
        <v/>
      </c>
      <c r="R48" s="1" t="str">
        <f t="shared" si="5"/>
        <v/>
      </c>
      <c r="S48" s="1" t="str">
        <f>IF(OR($E48="",$F48=""),"",HYPERLINK(IF(OR(_xlfn.SINGLE(JobState)="MI",_xlfn.SINGLE(JobState)=""),"https://fema.maps.arcgis.com/apps/mapviewer/index.html?url=https%3A%2F%2Fmdotgis.state.mi.us%2Farcgis%2Frest%2Fservices%2FWidget%2FNextGenPrFinderPub%2FFeatureServer%2F353&amp;find="&amp;$F48&amp;"%2C"&amp;$E48&amp;"&amp;marker="&amp;$F48&amp;","&amp;$E48&amp;",4326&amp;level=16",IF(_xlfn.SINGLE(JobState)="IN","https://fema.maps.arcgis.com/apps/mapviewer/index.html?url=https%3A%2F%2Fgisdata.in.gov%2Fserver%2Frest%2Fservices%2FHosted%2FLRSE_Functional_Class%2FFeatureServer%2F22&amp;find="&amp;$F48&amp;"%2C"&amp;$E48&amp;"&amp;marker="&amp;$F48&amp;","&amp;$E48&amp;",4326&amp;level=16",IF(_xlfn.SINGLE(JobState)="WI","https://fema.maps.arcgis.com/apps/mapviewer/index.html?url=https%3A%2F%2Fservices5.arcgis.com%2F0pgGLzT0Nh7FVjon%2Farcgis%2Frest%2Fservices%2FFFCL_gdb%2FFeatureServer%2F3&amp;find="&amp;$F48&amp;"%2C"&amp;$E48&amp;"&amp;marker="&amp;$F48&amp;","&amp;$E48&amp;",4326&amp;level=16","https://fema.maps.arcgis.com/apps/mapviewer/index.html?find="&amp;$F48&amp;"%2C"&amp;$E48&amp;"&amp;marker="&amp;$F48&amp;","&amp;$E48&amp;",4326&amp;level=16"))),"Open"))</f>
        <v/>
      </c>
      <c r="T48" s="4"/>
      <c r="U48" s="4"/>
      <c r="V48" s="4"/>
      <c r="W48" s="4"/>
      <c r="X48" s="4"/>
      <c r="Y48" s="4"/>
      <c r="Z48" s="4"/>
      <c r="AA48" s="4"/>
      <c r="AB48" s="1" t="str">
        <f>IF(OR(_xlfn.SINGLE(JobAgolMap)="", $E48="", $F48=""),"",HYPERLINK(_xlfn.SINGLE(JobAgolMap)&amp;IF(ISNUMBER(FIND("?",_xlfn.SINGLE(JobAgolMap))),"&amp;","?")&amp;"center="&amp;$F48&amp;","&amp;$E48&amp;"&amp;level=16&amp;marker="&amp;$F48&amp;","&amp;$E48,"Open"))</f>
        <v/>
      </c>
    </row>
    <row r="49" spans="1:28" x14ac:dyDescent="0.45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4"/>
      <c r="M49" s="1" t="str">
        <f t="shared" si="0"/>
        <v/>
      </c>
      <c r="N49" s="1" t="str">
        <f t="shared" si="1"/>
        <v/>
      </c>
      <c r="O49" s="1" t="str">
        <f t="shared" si="2"/>
        <v/>
      </c>
      <c r="P49" s="1" t="str">
        <f t="shared" si="3"/>
        <v/>
      </c>
      <c r="Q49" s="1" t="str">
        <f t="shared" si="4"/>
        <v/>
      </c>
      <c r="R49" s="1" t="str">
        <f t="shared" si="5"/>
        <v/>
      </c>
      <c r="S49" s="1" t="str">
        <f>IF(OR($E49="",$F49=""),"",HYPERLINK(IF(OR(_xlfn.SINGLE(JobState)="MI",_xlfn.SINGLE(JobState)=""),"https://fema.maps.arcgis.com/apps/mapviewer/index.html?url=https%3A%2F%2Fmdotgis.state.mi.us%2Farcgis%2Frest%2Fservices%2FWidget%2FNextGenPrFinderPub%2FFeatureServer%2F353&amp;find="&amp;$F49&amp;"%2C"&amp;$E49&amp;"&amp;marker="&amp;$F49&amp;","&amp;$E49&amp;",4326&amp;level=16",IF(_xlfn.SINGLE(JobState)="IN","https://fema.maps.arcgis.com/apps/mapviewer/index.html?url=https%3A%2F%2Fgisdata.in.gov%2Fserver%2Frest%2Fservices%2FHosted%2FLRSE_Functional_Class%2FFeatureServer%2F22&amp;find="&amp;$F49&amp;"%2C"&amp;$E49&amp;"&amp;marker="&amp;$F49&amp;","&amp;$E49&amp;",4326&amp;level=16",IF(_xlfn.SINGLE(JobState)="WI","https://fema.maps.arcgis.com/apps/mapviewer/index.html?url=https%3A%2F%2Fservices5.arcgis.com%2F0pgGLzT0Nh7FVjon%2Farcgis%2Frest%2Fservices%2FFFCL_gdb%2FFeatureServer%2F3&amp;find="&amp;$F49&amp;"%2C"&amp;$E49&amp;"&amp;marker="&amp;$F49&amp;","&amp;$E49&amp;",4326&amp;level=16","https://fema.maps.arcgis.com/apps/mapviewer/index.html?find="&amp;$F49&amp;"%2C"&amp;$E49&amp;"&amp;marker="&amp;$F49&amp;","&amp;$E49&amp;",4326&amp;level=16"))),"Open"))</f>
        <v/>
      </c>
      <c r="T49" s="4"/>
      <c r="U49" s="4"/>
      <c r="V49" s="4"/>
      <c r="W49" s="4"/>
      <c r="X49" s="4"/>
      <c r="Y49" s="4"/>
      <c r="Z49" s="4"/>
      <c r="AA49" s="4"/>
      <c r="AB49" s="1" t="str">
        <f>IF(OR(_xlfn.SINGLE(JobAgolMap)="", $E49="", $F49=""),"",HYPERLINK(_xlfn.SINGLE(JobAgolMap)&amp;IF(ISNUMBER(FIND("?",_xlfn.SINGLE(JobAgolMap))),"&amp;","?")&amp;"center="&amp;$F49&amp;","&amp;$E49&amp;"&amp;level=16&amp;marker="&amp;$F49&amp;","&amp;$E49,"Open"))</f>
        <v/>
      </c>
    </row>
    <row r="50" spans="1:28" x14ac:dyDescent="0.45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4"/>
      <c r="M50" s="1" t="str">
        <f t="shared" si="0"/>
        <v/>
      </c>
      <c r="N50" s="1" t="str">
        <f t="shared" si="1"/>
        <v/>
      </c>
      <c r="O50" s="1" t="str">
        <f t="shared" si="2"/>
        <v/>
      </c>
      <c r="P50" s="1" t="str">
        <f t="shared" si="3"/>
        <v/>
      </c>
      <c r="Q50" s="1" t="str">
        <f t="shared" si="4"/>
        <v/>
      </c>
      <c r="R50" s="1" t="str">
        <f t="shared" si="5"/>
        <v/>
      </c>
      <c r="S50" s="1" t="str">
        <f>IF(OR($E50="",$F50=""),"",HYPERLINK(IF(OR(_xlfn.SINGLE(JobState)="MI",_xlfn.SINGLE(JobState)=""),"https://fema.maps.arcgis.com/apps/mapviewer/index.html?url=https%3A%2F%2Fmdotgis.state.mi.us%2Farcgis%2Frest%2Fservices%2FWidget%2FNextGenPrFinderPub%2FFeatureServer%2F353&amp;find="&amp;$F50&amp;"%2C"&amp;$E50&amp;"&amp;marker="&amp;$F50&amp;","&amp;$E50&amp;",4326&amp;level=16",IF(_xlfn.SINGLE(JobState)="IN","https://fema.maps.arcgis.com/apps/mapviewer/index.html?url=https%3A%2F%2Fgisdata.in.gov%2Fserver%2Frest%2Fservices%2FHosted%2FLRSE_Functional_Class%2FFeatureServer%2F22&amp;find="&amp;$F50&amp;"%2C"&amp;$E50&amp;"&amp;marker="&amp;$F50&amp;","&amp;$E50&amp;",4326&amp;level=16",IF(_xlfn.SINGLE(JobState)="WI","https://fema.maps.arcgis.com/apps/mapviewer/index.html?url=https%3A%2F%2Fservices5.arcgis.com%2F0pgGLzT0Nh7FVjon%2Farcgis%2Frest%2Fservices%2FFFCL_gdb%2FFeatureServer%2F3&amp;find="&amp;$F50&amp;"%2C"&amp;$E50&amp;"&amp;marker="&amp;$F50&amp;","&amp;$E50&amp;",4326&amp;level=16","https://fema.maps.arcgis.com/apps/mapviewer/index.html?find="&amp;$F50&amp;"%2C"&amp;$E50&amp;"&amp;marker="&amp;$F50&amp;","&amp;$E50&amp;",4326&amp;level=16"))),"Open"))</f>
        <v/>
      </c>
      <c r="T50" s="4"/>
      <c r="U50" s="4"/>
      <c r="V50" s="4"/>
      <c r="W50" s="4"/>
      <c r="X50" s="4"/>
      <c r="Y50" s="4"/>
      <c r="Z50" s="4"/>
      <c r="AA50" s="4"/>
      <c r="AB50" s="1" t="str">
        <f>IF(OR(_xlfn.SINGLE(JobAgolMap)="", $E50="", $F50=""),"",HYPERLINK(_xlfn.SINGLE(JobAgolMap)&amp;IF(ISNUMBER(FIND("?",_xlfn.SINGLE(JobAgolMap))),"&amp;","?")&amp;"center="&amp;$F50&amp;","&amp;$E50&amp;"&amp;level=16&amp;marker="&amp;$F50&amp;","&amp;$E50,"Open"))</f>
        <v/>
      </c>
    </row>
    <row r="51" spans="1:28" x14ac:dyDescent="0.45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4"/>
      <c r="M51" s="1" t="str">
        <f t="shared" si="0"/>
        <v/>
      </c>
      <c r="N51" s="1" t="str">
        <f t="shared" si="1"/>
        <v/>
      </c>
      <c r="O51" s="1" t="str">
        <f t="shared" si="2"/>
        <v/>
      </c>
      <c r="P51" s="1" t="str">
        <f t="shared" si="3"/>
        <v/>
      </c>
      <c r="Q51" s="1" t="str">
        <f t="shared" si="4"/>
        <v/>
      </c>
      <c r="R51" s="1" t="str">
        <f t="shared" si="5"/>
        <v/>
      </c>
      <c r="S51" s="1" t="str">
        <f>IF(OR($E51="",$F51=""),"",HYPERLINK(IF(OR(_xlfn.SINGLE(JobState)="MI",_xlfn.SINGLE(JobState)=""),"https://fema.maps.arcgis.com/apps/mapviewer/index.html?url=https%3A%2F%2Fmdotgis.state.mi.us%2Farcgis%2Frest%2Fservices%2FWidget%2FNextGenPrFinderPub%2FFeatureServer%2F353&amp;find="&amp;$F51&amp;"%2C"&amp;$E51&amp;"&amp;marker="&amp;$F51&amp;","&amp;$E51&amp;",4326&amp;level=16",IF(_xlfn.SINGLE(JobState)="IN","https://fema.maps.arcgis.com/apps/mapviewer/index.html?url=https%3A%2F%2Fgisdata.in.gov%2Fserver%2Frest%2Fservices%2FHosted%2FLRSE_Functional_Class%2FFeatureServer%2F22&amp;find="&amp;$F51&amp;"%2C"&amp;$E51&amp;"&amp;marker="&amp;$F51&amp;","&amp;$E51&amp;",4326&amp;level=16",IF(_xlfn.SINGLE(JobState)="WI","https://fema.maps.arcgis.com/apps/mapviewer/index.html?url=https%3A%2F%2Fservices5.arcgis.com%2F0pgGLzT0Nh7FVjon%2Farcgis%2Frest%2Fservices%2FFFCL_gdb%2FFeatureServer%2F3&amp;find="&amp;$F51&amp;"%2C"&amp;$E51&amp;"&amp;marker="&amp;$F51&amp;","&amp;$E51&amp;",4326&amp;level=16","https://fema.maps.arcgis.com/apps/mapviewer/index.html?find="&amp;$F51&amp;"%2C"&amp;$E51&amp;"&amp;marker="&amp;$F51&amp;","&amp;$E51&amp;",4326&amp;level=16"))),"Open"))</f>
        <v/>
      </c>
      <c r="T51" s="4"/>
      <c r="U51" s="4"/>
      <c r="V51" s="4"/>
      <c r="W51" s="4"/>
      <c r="X51" s="4"/>
      <c r="Y51" s="4"/>
      <c r="Z51" s="4"/>
      <c r="AA51" s="4"/>
      <c r="AB51" s="1" t="str">
        <f>IF(OR(_xlfn.SINGLE(JobAgolMap)="", $E51="", $F51=""),"",HYPERLINK(_xlfn.SINGLE(JobAgolMap)&amp;IF(ISNUMBER(FIND("?",_xlfn.SINGLE(JobAgolMap))),"&amp;","?")&amp;"center="&amp;$F51&amp;","&amp;$E51&amp;"&amp;level=16&amp;marker="&amp;$F51&amp;","&amp;$E51,"Open"))</f>
        <v/>
      </c>
    </row>
    <row r="52" spans="1:28" x14ac:dyDescent="0.45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4"/>
      <c r="M52" s="1" t="str">
        <f t="shared" si="0"/>
        <v/>
      </c>
      <c r="N52" s="1" t="str">
        <f t="shared" si="1"/>
        <v/>
      </c>
      <c r="O52" s="1" t="str">
        <f t="shared" si="2"/>
        <v/>
      </c>
      <c r="P52" s="1" t="str">
        <f t="shared" si="3"/>
        <v/>
      </c>
      <c r="Q52" s="1" t="str">
        <f t="shared" si="4"/>
        <v/>
      </c>
      <c r="R52" s="1" t="str">
        <f t="shared" si="5"/>
        <v/>
      </c>
      <c r="S52" s="1" t="str">
        <f>IF(OR($E52="",$F52=""),"",HYPERLINK(IF(OR(_xlfn.SINGLE(JobState)="MI",_xlfn.SINGLE(JobState)=""),"https://fema.maps.arcgis.com/apps/mapviewer/index.html?url=https%3A%2F%2Fmdotgis.state.mi.us%2Farcgis%2Frest%2Fservices%2FWidget%2FNextGenPrFinderPub%2FFeatureServer%2F353&amp;find="&amp;$F52&amp;"%2C"&amp;$E52&amp;"&amp;marker="&amp;$F52&amp;","&amp;$E52&amp;",4326&amp;level=16",IF(_xlfn.SINGLE(JobState)="IN","https://fema.maps.arcgis.com/apps/mapviewer/index.html?url=https%3A%2F%2Fgisdata.in.gov%2Fserver%2Frest%2Fservices%2FHosted%2FLRSE_Functional_Class%2FFeatureServer%2F22&amp;find="&amp;$F52&amp;"%2C"&amp;$E52&amp;"&amp;marker="&amp;$F52&amp;","&amp;$E52&amp;",4326&amp;level=16",IF(_xlfn.SINGLE(JobState)="WI","https://fema.maps.arcgis.com/apps/mapviewer/index.html?url=https%3A%2F%2Fservices5.arcgis.com%2F0pgGLzT0Nh7FVjon%2Farcgis%2Frest%2Fservices%2FFFCL_gdb%2FFeatureServer%2F3&amp;find="&amp;$F52&amp;"%2C"&amp;$E52&amp;"&amp;marker="&amp;$F52&amp;","&amp;$E52&amp;",4326&amp;level=16","https://fema.maps.arcgis.com/apps/mapviewer/index.html?find="&amp;$F52&amp;"%2C"&amp;$E52&amp;"&amp;marker="&amp;$F52&amp;","&amp;$E52&amp;",4326&amp;level=16"))),"Open"))</f>
        <v/>
      </c>
      <c r="T52" s="4"/>
      <c r="U52" s="4"/>
      <c r="V52" s="4"/>
      <c r="W52" s="4"/>
      <c r="X52" s="4"/>
      <c r="Y52" s="4"/>
      <c r="Z52" s="4"/>
      <c r="AA52" s="4"/>
      <c r="AB52" s="1" t="str">
        <f>IF(OR(_xlfn.SINGLE(JobAgolMap)="", $E52="", $F52=""),"",HYPERLINK(_xlfn.SINGLE(JobAgolMap)&amp;IF(ISNUMBER(FIND("?",_xlfn.SINGLE(JobAgolMap))),"&amp;","?")&amp;"center="&amp;$F52&amp;","&amp;$E52&amp;"&amp;level=16&amp;marker="&amp;$F52&amp;","&amp;$E52,"Open"))</f>
        <v/>
      </c>
    </row>
    <row r="53" spans="1:28" x14ac:dyDescent="0.45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4"/>
      <c r="M53" s="1" t="str">
        <f t="shared" si="0"/>
        <v/>
      </c>
      <c r="N53" s="1" t="str">
        <f t="shared" si="1"/>
        <v/>
      </c>
      <c r="O53" s="1" t="str">
        <f t="shared" si="2"/>
        <v/>
      </c>
      <c r="P53" s="1" t="str">
        <f t="shared" si="3"/>
        <v/>
      </c>
      <c r="Q53" s="1" t="str">
        <f t="shared" si="4"/>
        <v/>
      </c>
      <c r="R53" s="1" t="str">
        <f t="shared" si="5"/>
        <v/>
      </c>
      <c r="S53" s="1" t="str">
        <f>IF(OR($E53="",$F53=""),"",HYPERLINK(IF(OR(_xlfn.SINGLE(JobState)="MI",_xlfn.SINGLE(JobState)=""),"https://fema.maps.arcgis.com/apps/mapviewer/index.html?url=https%3A%2F%2Fmdotgis.state.mi.us%2Farcgis%2Frest%2Fservices%2FWidget%2FNextGenPrFinderPub%2FFeatureServer%2F353&amp;find="&amp;$F53&amp;"%2C"&amp;$E53&amp;"&amp;marker="&amp;$F53&amp;","&amp;$E53&amp;",4326&amp;level=16",IF(_xlfn.SINGLE(JobState)="IN","https://fema.maps.arcgis.com/apps/mapviewer/index.html?url=https%3A%2F%2Fgisdata.in.gov%2Fserver%2Frest%2Fservices%2FHosted%2FLRSE_Functional_Class%2FFeatureServer%2F22&amp;find="&amp;$F53&amp;"%2C"&amp;$E53&amp;"&amp;marker="&amp;$F53&amp;","&amp;$E53&amp;",4326&amp;level=16",IF(_xlfn.SINGLE(JobState)="WI","https://fema.maps.arcgis.com/apps/mapviewer/index.html?url=https%3A%2F%2Fservices5.arcgis.com%2F0pgGLzT0Nh7FVjon%2Farcgis%2Frest%2Fservices%2FFFCL_gdb%2FFeatureServer%2F3&amp;find="&amp;$F53&amp;"%2C"&amp;$E53&amp;"&amp;marker="&amp;$F53&amp;","&amp;$E53&amp;",4326&amp;level=16","https://fema.maps.arcgis.com/apps/mapviewer/index.html?find="&amp;$F53&amp;"%2C"&amp;$E53&amp;"&amp;marker="&amp;$F53&amp;","&amp;$E53&amp;",4326&amp;level=16"))),"Open"))</f>
        <v/>
      </c>
      <c r="T53" s="4"/>
      <c r="U53" s="4"/>
      <c r="V53" s="4"/>
      <c r="W53" s="4"/>
      <c r="X53" s="4"/>
      <c r="Y53" s="4"/>
      <c r="Z53" s="4"/>
      <c r="AA53" s="4"/>
      <c r="AB53" s="1" t="str">
        <f>IF(OR(_xlfn.SINGLE(JobAgolMap)="", $E53="", $F53=""),"",HYPERLINK(_xlfn.SINGLE(JobAgolMap)&amp;IF(ISNUMBER(FIND("?",_xlfn.SINGLE(JobAgolMap))),"&amp;","?")&amp;"center="&amp;$F53&amp;","&amp;$E53&amp;"&amp;level=16&amp;marker="&amp;$F53&amp;","&amp;$E53,"Open"))</f>
        <v/>
      </c>
    </row>
    <row r="54" spans="1:28" x14ac:dyDescent="0.45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4"/>
      <c r="M54" s="1" t="str">
        <f t="shared" si="0"/>
        <v/>
      </c>
      <c r="N54" s="1" t="str">
        <f t="shared" si="1"/>
        <v/>
      </c>
      <c r="O54" s="1" t="str">
        <f t="shared" si="2"/>
        <v/>
      </c>
      <c r="P54" s="1" t="str">
        <f t="shared" si="3"/>
        <v/>
      </c>
      <c r="Q54" s="1" t="str">
        <f t="shared" si="4"/>
        <v/>
      </c>
      <c r="R54" s="1" t="str">
        <f t="shared" si="5"/>
        <v/>
      </c>
      <c r="S54" s="1" t="str">
        <f>IF(OR($E54="",$F54=""),"",HYPERLINK(IF(OR(_xlfn.SINGLE(JobState)="MI",_xlfn.SINGLE(JobState)=""),"https://fema.maps.arcgis.com/apps/mapviewer/index.html?url=https%3A%2F%2Fmdotgis.state.mi.us%2Farcgis%2Frest%2Fservices%2FWidget%2FNextGenPrFinderPub%2FFeatureServer%2F353&amp;find="&amp;$F54&amp;"%2C"&amp;$E54&amp;"&amp;marker="&amp;$F54&amp;","&amp;$E54&amp;",4326&amp;level=16",IF(_xlfn.SINGLE(JobState)="IN","https://fema.maps.arcgis.com/apps/mapviewer/index.html?url=https%3A%2F%2Fgisdata.in.gov%2Fserver%2Frest%2Fservices%2FHosted%2FLRSE_Functional_Class%2FFeatureServer%2F22&amp;find="&amp;$F54&amp;"%2C"&amp;$E54&amp;"&amp;marker="&amp;$F54&amp;","&amp;$E54&amp;",4326&amp;level=16",IF(_xlfn.SINGLE(JobState)="WI","https://fema.maps.arcgis.com/apps/mapviewer/index.html?url=https%3A%2F%2Fservices5.arcgis.com%2F0pgGLzT0Nh7FVjon%2Farcgis%2Frest%2Fservices%2FFFCL_gdb%2FFeatureServer%2F3&amp;find="&amp;$F54&amp;"%2C"&amp;$E54&amp;"&amp;marker="&amp;$F54&amp;","&amp;$E54&amp;",4326&amp;level=16","https://fema.maps.arcgis.com/apps/mapviewer/index.html?find="&amp;$F54&amp;"%2C"&amp;$E54&amp;"&amp;marker="&amp;$F54&amp;","&amp;$E54&amp;",4326&amp;level=16"))),"Open"))</f>
        <v/>
      </c>
      <c r="T54" s="4"/>
      <c r="U54" s="4"/>
      <c r="V54" s="4"/>
      <c r="W54" s="4"/>
      <c r="X54" s="4"/>
      <c r="Y54" s="4"/>
      <c r="Z54" s="4"/>
      <c r="AA54" s="4"/>
      <c r="AB54" s="1" t="str">
        <f>IF(OR(_xlfn.SINGLE(JobAgolMap)="", $E54="", $F54=""),"",HYPERLINK(_xlfn.SINGLE(JobAgolMap)&amp;IF(ISNUMBER(FIND("?",_xlfn.SINGLE(JobAgolMap))),"&amp;","?")&amp;"center="&amp;$F54&amp;","&amp;$E54&amp;"&amp;level=16&amp;marker="&amp;$F54&amp;","&amp;$E54,"Open"))</f>
        <v/>
      </c>
    </row>
    <row r="55" spans="1:28" x14ac:dyDescent="0.45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4"/>
      <c r="M55" s="1" t="str">
        <f t="shared" si="0"/>
        <v/>
      </c>
      <c r="N55" s="1" t="str">
        <f t="shared" si="1"/>
        <v/>
      </c>
      <c r="O55" s="1" t="str">
        <f t="shared" si="2"/>
        <v/>
      </c>
      <c r="P55" s="1" t="str">
        <f t="shared" si="3"/>
        <v/>
      </c>
      <c r="Q55" s="1" t="str">
        <f t="shared" si="4"/>
        <v/>
      </c>
      <c r="R55" s="1" t="str">
        <f t="shared" si="5"/>
        <v/>
      </c>
      <c r="S55" s="1" t="str">
        <f>IF(OR($E55="",$F55=""),"",HYPERLINK(IF(OR(_xlfn.SINGLE(JobState)="MI",_xlfn.SINGLE(JobState)=""),"https://fema.maps.arcgis.com/apps/mapviewer/index.html?url=https%3A%2F%2Fmdotgis.state.mi.us%2Farcgis%2Frest%2Fservices%2FWidget%2FNextGenPrFinderPub%2FFeatureServer%2F353&amp;find="&amp;$F55&amp;"%2C"&amp;$E55&amp;"&amp;marker="&amp;$F55&amp;","&amp;$E55&amp;",4326&amp;level=16",IF(_xlfn.SINGLE(JobState)="IN","https://fema.maps.arcgis.com/apps/mapviewer/index.html?url=https%3A%2F%2Fgisdata.in.gov%2Fserver%2Frest%2Fservices%2FHosted%2FLRSE_Functional_Class%2FFeatureServer%2F22&amp;find="&amp;$F55&amp;"%2C"&amp;$E55&amp;"&amp;marker="&amp;$F55&amp;","&amp;$E55&amp;",4326&amp;level=16",IF(_xlfn.SINGLE(JobState)="WI","https://fema.maps.arcgis.com/apps/mapviewer/index.html?url=https%3A%2F%2Fservices5.arcgis.com%2F0pgGLzT0Nh7FVjon%2Farcgis%2Frest%2Fservices%2FFFCL_gdb%2FFeatureServer%2F3&amp;find="&amp;$F55&amp;"%2C"&amp;$E55&amp;"&amp;marker="&amp;$F55&amp;","&amp;$E55&amp;",4326&amp;level=16","https://fema.maps.arcgis.com/apps/mapviewer/index.html?find="&amp;$F55&amp;"%2C"&amp;$E55&amp;"&amp;marker="&amp;$F55&amp;","&amp;$E55&amp;",4326&amp;level=16"))),"Open"))</f>
        <v/>
      </c>
      <c r="T55" s="4"/>
      <c r="U55" s="4"/>
      <c r="V55" s="4"/>
      <c r="W55" s="4"/>
      <c r="X55" s="4"/>
      <c r="Y55" s="4"/>
      <c r="Z55" s="4"/>
      <c r="AA55" s="4"/>
      <c r="AB55" s="1" t="str">
        <f>IF(OR(_xlfn.SINGLE(JobAgolMap)="", $E55="", $F55=""),"",HYPERLINK(_xlfn.SINGLE(JobAgolMap)&amp;IF(ISNUMBER(FIND("?",_xlfn.SINGLE(JobAgolMap))),"&amp;","?")&amp;"center="&amp;$F55&amp;","&amp;$E55&amp;"&amp;level=16&amp;marker="&amp;$F55&amp;","&amp;$E55,"Open"))</f>
        <v/>
      </c>
    </row>
    <row r="56" spans="1:28" x14ac:dyDescent="0.45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4"/>
      <c r="M56" s="1" t="str">
        <f t="shared" si="0"/>
        <v/>
      </c>
      <c r="N56" s="1" t="str">
        <f t="shared" si="1"/>
        <v/>
      </c>
      <c r="O56" s="1" t="str">
        <f t="shared" si="2"/>
        <v/>
      </c>
      <c r="P56" s="1" t="str">
        <f t="shared" si="3"/>
        <v/>
      </c>
      <c r="Q56" s="1" t="str">
        <f t="shared" si="4"/>
        <v/>
      </c>
      <c r="R56" s="1" t="str">
        <f t="shared" si="5"/>
        <v/>
      </c>
      <c r="S56" s="1" t="str">
        <f>IF(OR($E56="",$F56=""),"",HYPERLINK(IF(OR(_xlfn.SINGLE(JobState)="MI",_xlfn.SINGLE(JobState)=""),"https://fema.maps.arcgis.com/apps/mapviewer/index.html?url=https%3A%2F%2Fmdotgis.state.mi.us%2Farcgis%2Frest%2Fservices%2FWidget%2FNextGenPrFinderPub%2FFeatureServer%2F353&amp;find="&amp;$F56&amp;"%2C"&amp;$E56&amp;"&amp;marker="&amp;$F56&amp;","&amp;$E56&amp;",4326&amp;level=16",IF(_xlfn.SINGLE(JobState)="IN","https://fema.maps.arcgis.com/apps/mapviewer/index.html?url=https%3A%2F%2Fgisdata.in.gov%2Fserver%2Frest%2Fservices%2FHosted%2FLRSE_Functional_Class%2FFeatureServer%2F22&amp;find="&amp;$F56&amp;"%2C"&amp;$E56&amp;"&amp;marker="&amp;$F56&amp;","&amp;$E56&amp;",4326&amp;level=16",IF(_xlfn.SINGLE(JobState)="WI","https://fema.maps.arcgis.com/apps/mapviewer/index.html?url=https%3A%2F%2Fservices5.arcgis.com%2F0pgGLzT0Nh7FVjon%2Farcgis%2Frest%2Fservices%2FFFCL_gdb%2FFeatureServer%2F3&amp;find="&amp;$F56&amp;"%2C"&amp;$E56&amp;"&amp;marker="&amp;$F56&amp;","&amp;$E56&amp;",4326&amp;level=16","https://fema.maps.arcgis.com/apps/mapviewer/index.html?find="&amp;$F56&amp;"%2C"&amp;$E56&amp;"&amp;marker="&amp;$F56&amp;","&amp;$E56&amp;",4326&amp;level=16"))),"Open"))</f>
        <v/>
      </c>
      <c r="T56" s="4"/>
      <c r="U56" s="4"/>
      <c r="V56" s="4"/>
      <c r="W56" s="4"/>
      <c r="X56" s="4"/>
      <c r="Y56" s="4"/>
      <c r="Z56" s="4"/>
      <c r="AA56" s="4"/>
      <c r="AB56" s="1" t="str">
        <f>IF(OR(_xlfn.SINGLE(JobAgolMap)="", $E56="", $F56=""),"",HYPERLINK(_xlfn.SINGLE(JobAgolMap)&amp;IF(ISNUMBER(FIND("?",_xlfn.SINGLE(JobAgolMap))),"&amp;","?")&amp;"center="&amp;$F56&amp;","&amp;$E56&amp;"&amp;level=16&amp;marker="&amp;$F56&amp;","&amp;$E56,"Open"))</f>
        <v/>
      </c>
    </row>
    <row r="57" spans="1:28" x14ac:dyDescent="0.45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4"/>
      <c r="M57" s="1" t="str">
        <f t="shared" si="0"/>
        <v/>
      </c>
      <c r="N57" s="1" t="str">
        <f t="shared" si="1"/>
        <v/>
      </c>
      <c r="O57" s="1" t="str">
        <f t="shared" si="2"/>
        <v/>
      </c>
      <c r="P57" s="1" t="str">
        <f t="shared" si="3"/>
        <v/>
      </c>
      <c r="Q57" s="1" t="str">
        <f t="shared" si="4"/>
        <v/>
      </c>
      <c r="R57" s="1" t="str">
        <f t="shared" si="5"/>
        <v/>
      </c>
      <c r="S57" s="1" t="str">
        <f>IF(OR($E57="",$F57=""),"",HYPERLINK(IF(OR(_xlfn.SINGLE(JobState)="MI",_xlfn.SINGLE(JobState)=""),"https://fema.maps.arcgis.com/apps/mapviewer/index.html?url=https%3A%2F%2Fmdotgis.state.mi.us%2Farcgis%2Frest%2Fservices%2FWidget%2FNextGenPrFinderPub%2FFeatureServer%2F353&amp;find="&amp;$F57&amp;"%2C"&amp;$E57&amp;"&amp;marker="&amp;$F57&amp;","&amp;$E57&amp;",4326&amp;level=16",IF(_xlfn.SINGLE(JobState)="IN","https://fema.maps.arcgis.com/apps/mapviewer/index.html?url=https%3A%2F%2Fgisdata.in.gov%2Fserver%2Frest%2Fservices%2FHosted%2FLRSE_Functional_Class%2FFeatureServer%2F22&amp;find="&amp;$F57&amp;"%2C"&amp;$E57&amp;"&amp;marker="&amp;$F57&amp;","&amp;$E57&amp;",4326&amp;level=16",IF(_xlfn.SINGLE(JobState)="WI","https://fema.maps.arcgis.com/apps/mapviewer/index.html?url=https%3A%2F%2Fservices5.arcgis.com%2F0pgGLzT0Nh7FVjon%2Farcgis%2Frest%2Fservices%2FFFCL_gdb%2FFeatureServer%2F3&amp;find="&amp;$F57&amp;"%2C"&amp;$E57&amp;"&amp;marker="&amp;$F57&amp;","&amp;$E57&amp;",4326&amp;level=16","https://fema.maps.arcgis.com/apps/mapviewer/index.html?find="&amp;$F57&amp;"%2C"&amp;$E57&amp;"&amp;marker="&amp;$F57&amp;","&amp;$E57&amp;",4326&amp;level=16"))),"Open"))</f>
        <v/>
      </c>
      <c r="T57" s="4"/>
      <c r="U57" s="4"/>
      <c r="V57" s="4"/>
      <c r="W57" s="4"/>
      <c r="X57" s="4"/>
      <c r="Y57" s="4"/>
      <c r="Z57" s="4"/>
      <c r="AA57" s="4"/>
      <c r="AB57" s="1" t="str">
        <f>IF(OR(_xlfn.SINGLE(JobAgolMap)="", $E57="", $F57=""),"",HYPERLINK(_xlfn.SINGLE(JobAgolMap)&amp;IF(ISNUMBER(FIND("?",_xlfn.SINGLE(JobAgolMap))),"&amp;","?")&amp;"center="&amp;$F57&amp;","&amp;$E57&amp;"&amp;level=16&amp;marker="&amp;$F57&amp;","&amp;$E57,"Open"))</f>
        <v/>
      </c>
    </row>
    <row r="58" spans="1:28" x14ac:dyDescent="0.45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4"/>
      <c r="M58" s="1" t="str">
        <f t="shared" si="0"/>
        <v/>
      </c>
      <c r="N58" s="1" t="str">
        <f t="shared" si="1"/>
        <v/>
      </c>
      <c r="O58" s="1" t="str">
        <f t="shared" si="2"/>
        <v/>
      </c>
      <c r="P58" s="1" t="str">
        <f t="shared" si="3"/>
        <v/>
      </c>
      <c r="Q58" s="1" t="str">
        <f t="shared" si="4"/>
        <v/>
      </c>
      <c r="R58" s="1" t="str">
        <f t="shared" si="5"/>
        <v/>
      </c>
      <c r="S58" s="1" t="str">
        <f>IF(OR($E58="",$F58=""),"",HYPERLINK(IF(OR(_xlfn.SINGLE(JobState)="MI",_xlfn.SINGLE(JobState)=""),"https://fema.maps.arcgis.com/apps/mapviewer/index.html?url=https%3A%2F%2Fmdotgis.state.mi.us%2Farcgis%2Frest%2Fservices%2FWidget%2FNextGenPrFinderPub%2FFeatureServer%2F353&amp;find="&amp;$F58&amp;"%2C"&amp;$E58&amp;"&amp;marker="&amp;$F58&amp;","&amp;$E58&amp;",4326&amp;level=16",IF(_xlfn.SINGLE(JobState)="IN","https://fema.maps.arcgis.com/apps/mapviewer/index.html?url=https%3A%2F%2Fgisdata.in.gov%2Fserver%2Frest%2Fservices%2FHosted%2FLRSE_Functional_Class%2FFeatureServer%2F22&amp;find="&amp;$F58&amp;"%2C"&amp;$E58&amp;"&amp;marker="&amp;$F58&amp;","&amp;$E58&amp;",4326&amp;level=16",IF(_xlfn.SINGLE(JobState)="WI","https://fema.maps.arcgis.com/apps/mapviewer/index.html?url=https%3A%2F%2Fservices5.arcgis.com%2F0pgGLzT0Nh7FVjon%2Farcgis%2Frest%2Fservices%2FFFCL_gdb%2FFeatureServer%2F3&amp;find="&amp;$F58&amp;"%2C"&amp;$E58&amp;"&amp;marker="&amp;$F58&amp;","&amp;$E58&amp;",4326&amp;level=16","https://fema.maps.arcgis.com/apps/mapviewer/index.html?find="&amp;$F58&amp;"%2C"&amp;$E58&amp;"&amp;marker="&amp;$F58&amp;","&amp;$E58&amp;",4326&amp;level=16"))),"Open"))</f>
        <v/>
      </c>
      <c r="T58" s="4"/>
      <c r="U58" s="4"/>
      <c r="V58" s="4"/>
      <c r="W58" s="4"/>
      <c r="X58" s="4"/>
      <c r="Y58" s="4"/>
      <c r="Z58" s="4"/>
      <c r="AA58" s="4"/>
      <c r="AB58" s="1" t="str">
        <f>IF(OR(_xlfn.SINGLE(JobAgolMap)="", $E58="", $F58=""),"",HYPERLINK(_xlfn.SINGLE(JobAgolMap)&amp;IF(ISNUMBER(FIND("?",_xlfn.SINGLE(JobAgolMap))),"&amp;","?")&amp;"center="&amp;$F58&amp;","&amp;$E58&amp;"&amp;level=16&amp;marker="&amp;$F58&amp;","&amp;$E58,"Open"))</f>
        <v/>
      </c>
    </row>
    <row r="59" spans="1:28" x14ac:dyDescent="0.45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4"/>
      <c r="M59" s="1" t="str">
        <f t="shared" si="0"/>
        <v/>
      </c>
      <c r="N59" s="1" t="str">
        <f t="shared" si="1"/>
        <v/>
      </c>
      <c r="O59" s="1" t="str">
        <f t="shared" si="2"/>
        <v/>
      </c>
      <c r="P59" s="1" t="str">
        <f t="shared" si="3"/>
        <v/>
      </c>
      <c r="Q59" s="1" t="str">
        <f t="shared" si="4"/>
        <v/>
      </c>
      <c r="R59" s="1" t="str">
        <f t="shared" si="5"/>
        <v/>
      </c>
      <c r="S59" s="1" t="str">
        <f>IF(OR($E59="",$F59=""),"",HYPERLINK(IF(OR(_xlfn.SINGLE(JobState)="MI",_xlfn.SINGLE(JobState)=""),"https://fema.maps.arcgis.com/apps/mapviewer/index.html?url=https%3A%2F%2Fmdotgis.state.mi.us%2Farcgis%2Frest%2Fservices%2FWidget%2FNextGenPrFinderPub%2FFeatureServer%2F353&amp;find="&amp;$F59&amp;"%2C"&amp;$E59&amp;"&amp;marker="&amp;$F59&amp;","&amp;$E59&amp;",4326&amp;level=16",IF(_xlfn.SINGLE(JobState)="IN","https://fema.maps.arcgis.com/apps/mapviewer/index.html?url=https%3A%2F%2Fgisdata.in.gov%2Fserver%2Frest%2Fservices%2FHosted%2FLRSE_Functional_Class%2FFeatureServer%2F22&amp;find="&amp;$F59&amp;"%2C"&amp;$E59&amp;"&amp;marker="&amp;$F59&amp;","&amp;$E59&amp;",4326&amp;level=16",IF(_xlfn.SINGLE(JobState)="WI","https://fema.maps.arcgis.com/apps/mapviewer/index.html?url=https%3A%2F%2Fservices5.arcgis.com%2F0pgGLzT0Nh7FVjon%2Farcgis%2Frest%2Fservices%2FFFCL_gdb%2FFeatureServer%2F3&amp;find="&amp;$F59&amp;"%2C"&amp;$E59&amp;"&amp;marker="&amp;$F59&amp;","&amp;$E59&amp;",4326&amp;level=16","https://fema.maps.arcgis.com/apps/mapviewer/index.html?find="&amp;$F59&amp;"%2C"&amp;$E59&amp;"&amp;marker="&amp;$F59&amp;","&amp;$E59&amp;",4326&amp;level=16"))),"Open"))</f>
        <v/>
      </c>
      <c r="T59" s="4"/>
      <c r="U59" s="4"/>
      <c r="V59" s="4"/>
      <c r="W59" s="4"/>
      <c r="X59" s="4"/>
      <c r="Y59" s="4"/>
      <c r="Z59" s="4"/>
      <c r="AA59" s="4"/>
      <c r="AB59" s="1" t="str">
        <f>IF(OR(_xlfn.SINGLE(JobAgolMap)="", $E59="", $F59=""),"",HYPERLINK(_xlfn.SINGLE(JobAgolMap)&amp;IF(ISNUMBER(FIND("?",_xlfn.SINGLE(JobAgolMap))),"&amp;","?")&amp;"center="&amp;$F59&amp;","&amp;$E59&amp;"&amp;level=16&amp;marker="&amp;$F59&amp;","&amp;$E59,"Open"))</f>
        <v/>
      </c>
    </row>
    <row r="60" spans="1:28" x14ac:dyDescent="0.45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4"/>
      <c r="M60" s="1" t="str">
        <f t="shared" si="0"/>
        <v/>
      </c>
      <c r="N60" s="1" t="str">
        <f t="shared" si="1"/>
        <v/>
      </c>
      <c r="O60" s="1" t="str">
        <f t="shared" si="2"/>
        <v/>
      </c>
      <c r="P60" s="1" t="str">
        <f t="shared" si="3"/>
        <v/>
      </c>
      <c r="Q60" s="1" t="str">
        <f t="shared" si="4"/>
        <v/>
      </c>
      <c r="R60" s="1" t="str">
        <f t="shared" si="5"/>
        <v/>
      </c>
      <c r="S60" s="1" t="str">
        <f>IF(OR($E60="",$F60=""),"",HYPERLINK(IF(OR(_xlfn.SINGLE(JobState)="MI",_xlfn.SINGLE(JobState)=""),"https://fema.maps.arcgis.com/apps/mapviewer/index.html?url=https%3A%2F%2Fmdotgis.state.mi.us%2Farcgis%2Frest%2Fservices%2FWidget%2FNextGenPrFinderPub%2FFeatureServer%2F353&amp;find="&amp;$F60&amp;"%2C"&amp;$E60&amp;"&amp;marker="&amp;$F60&amp;","&amp;$E60&amp;",4326&amp;level=16",IF(_xlfn.SINGLE(JobState)="IN","https://fema.maps.arcgis.com/apps/mapviewer/index.html?url=https%3A%2F%2Fgisdata.in.gov%2Fserver%2Frest%2Fservices%2FHosted%2FLRSE_Functional_Class%2FFeatureServer%2F22&amp;find="&amp;$F60&amp;"%2C"&amp;$E60&amp;"&amp;marker="&amp;$F60&amp;","&amp;$E60&amp;",4326&amp;level=16",IF(_xlfn.SINGLE(JobState)="WI","https://fema.maps.arcgis.com/apps/mapviewer/index.html?url=https%3A%2F%2Fservices5.arcgis.com%2F0pgGLzT0Nh7FVjon%2Farcgis%2Frest%2Fservices%2FFFCL_gdb%2FFeatureServer%2F3&amp;find="&amp;$F60&amp;"%2C"&amp;$E60&amp;"&amp;marker="&amp;$F60&amp;","&amp;$E60&amp;",4326&amp;level=16","https://fema.maps.arcgis.com/apps/mapviewer/index.html?find="&amp;$F60&amp;"%2C"&amp;$E60&amp;"&amp;marker="&amp;$F60&amp;","&amp;$E60&amp;",4326&amp;level=16"))),"Open"))</f>
        <v/>
      </c>
      <c r="T60" s="4"/>
      <c r="U60" s="4"/>
      <c r="V60" s="4"/>
      <c r="W60" s="4"/>
      <c r="X60" s="4"/>
      <c r="Y60" s="4"/>
      <c r="Z60" s="4"/>
      <c r="AA60" s="4"/>
      <c r="AB60" s="1" t="str">
        <f>IF(OR(_xlfn.SINGLE(JobAgolMap)="", $E60="", $F60=""),"",HYPERLINK(_xlfn.SINGLE(JobAgolMap)&amp;IF(ISNUMBER(FIND("?",_xlfn.SINGLE(JobAgolMap))),"&amp;","?")&amp;"center="&amp;$F60&amp;","&amp;$E60&amp;"&amp;level=16&amp;marker="&amp;$F60&amp;","&amp;$E60,"Open"))</f>
        <v/>
      </c>
    </row>
    <row r="61" spans="1:28" x14ac:dyDescent="0.45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4"/>
      <c r="M61" s="1" t="str">
        <f t="shared" si="0"/>
        <v/>
      </c>
      <c r="N61" s="1" t="str">
        <f t="shared" si="1"/>
        <v/>
      </c>
      <c r="O61" s="1" t="str">
        <f t="shared" si="2"/>
        <v/>
      </c>
      <c r="P61" s="1" t="str">
        <f t="shared" si="3"/>
        <v/>
      </c>
      <c r="Q61" s="1" t="str">
        <f t="shared" si="4"/>
        <v/>
      </c>
      <c r="R61" s="1" t="str">
        <f t="shared" si="5"/>
        <v/>
      </c>
      <c r="S61" s="1" t="str">
        <f>IF(OR($E61="",$F61=""),"",HYPERLINK(IF(OR(_xlfn.SINGLE(JobState)="MI",_xlfn.SINGLE(JobState)=""),"https://fema.maps.arcgis.com/apps/mapviewer/index.html?url=https%3A%2F%2Fmdotgis.state.mi.us%2Farcgis%2Frest%2Fservices%2FWidget%2FNextGenPrFinderPub%2FFeatureServer%2F353&amp;find="&amp;$F61&amp;"%2C"&amp;$E61&amp;"&amp;marker="&amp;$F61&amp;","&amp;$E61&amp;",4326&amp;level=16",IF(_xlfn.SINGLE(JobState)="IN","https://fema.maps.arcgis.com/apps/mapviewer/index.html?url=https%3A%2F%2Fgisdata.in.gov%2Fserver%2Frest%2Fservices%2FHosted%2FLRSE_Functional_Class%2FFeatureServer%2F22&amp;find="&amp;$F61&amp;"%2C"&amp;$E61&amp;"&amp;marker="&amp;$F61&amp;","&amp;$E61&amp;",4326&amp;level=16",IF(_xlfn.SINGLE(JobState)="WI","https://fema.maps.arcgis.com/apps/mapviewer/index.html?url=https%3A%2F%2Fservices5.arcgis.com%2F0pgGLzT0Nh7FVjon%2Farcgis%2Frest%2Fservices%2FFFCL_gdb%2FFeatureServer%2F3&amp;find="&amp;$F61&amp;"%2C"&amp;$E61&amp;"&amp;marker="&amp;$F61&amp;","&amp;$E61&amp;",4326&amp;level=16","https://fema.maps.arcgis.com/apps/mapviewer/index.html?find="&amp;$F61&amp;"%2C"&amp;$E61&amp;"&amp;marker="&amp;$F61&amp;","&amp;$E61&amp;",4326&amp;level=16"))),"Open"))</f>
        <v/>
      </c>
      <c r="T61" s="4"/>
      <c r="U61" s="4"/>
      <c r="V61" s="4"/>
      <c r="W61" s="4"/>
      <c r="X61" s="4"/>
      <c r="Y61" s="4"/>
      <c r="Z61" s="4"/>
      <c r="AA61" s="4"/>
      <c r="AB61" s="1" t="str">
        <f>IF(OR(_xlfn.SINGLE(JobAgolMap)="", $E61="", $F61=""),"",HYPERLINK(_xlfn.SINGLE(JobAgolMap)&amp;IF(ISNUMBER(FIND("?",_xlfn.SINGLE(JobAgolMap))),"&amp;","?")&amp;"center="&amp;$F61&amp;","&amp;$E61&amp;"&amp;level=16&amp;marker="&amp;$F61&amp;","&amp;$E61,"Open"))</f>
        <v/>
      </c>
    </row>
    <row r="62" spans="1:28" x14ac:dyDescent="0.45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4"/>
      <c r="M62" s="1" t="str">
        <f t="shared" si="0"/>
        <v/>
      </c>
      <c r="N62" s="1" t="str">
        <f t="shared" si="1"/>
        <v/>
      </c>
      <c r="O62" s="1" t="str">
        <f t="shared" si="2"/>
        <v/>
      </c>
      <c r="P62" s="1" t="str">
        <f t="shared" si="3"/>
        <v/>
      </c>
      <c r="Q62" s="1" t="str">
        <f t="shared" si="4"/>
        <v/>
      </c>
      <c r="R62" s="1" t="str">
        <f t="shared" si="5"/>
        <v/>
      </c>
      <c r="S62" s="1" t="str">
        <f>IF(OR($E62="",$F62=""),"",HYPERLINK(IF(OR(_xlfn.SINGLE(JobState)="MI",_xlfn.SINGLE(JobState)=""),"https://fema.maps.arcgis.com/apps/mapviewer/index.html?url=https%3A%2F%2Fmdotgis.state.mi.us%2Farcgis%2Frest%2Fservices%2FWidget%2FNextGenPrFinderPub%2FFeatureServer%2F353&amp;find="&amp;$F62&amp;"%2C"&amp;$E62&amp;"&amp;marker="&amp;$F62&amp;","&amp;$E62&amp;",4326&amp;level=16",IF(_xlfn.SINGLE(JobState)="IN","https://fema.maps.arcgis.com/apps/mapviewer/index.html?url=https%3A%2F%2Fgisdata.in.gov%2Fserver%2Frest%2Fservices%2FHosted%2FLRSE_Functional_Class%2FFeatureServer%2F22&amp;find="&amp;$F62&amp;"%2C"&amp;$E62&amp;"&amp;marker="&amp;$F62&amp;","&amp;$E62&amp;",4326&amp;level=16",IF(_xlfn.SINGLE(JobState)="WI","https://fema.maps.arcgis.com/apps/mapviewer/index.html?url=https%3A%2F%2Fservices5.arcgis.com%2F0pgGLzT0Nh7FVjon%2Farcgis%2Frest%2Fservices%2FFFCL_gdb%2FFeatureServer%2F3&amp;find="&amp;$F62&amp;"%2C"&amp;$E62&amp;"&amp;marker="&amp;$F62&amp;","&amp;$E62&amp;",4326&amp;level=16","https://fema.maps.arcgis.com/apps/mapviewer/index.html?find="&amp;$F62&amp;"%2C"&amp;$E62&amp;"&amp;marker="&amp;$F62&amp;","&amp;$E62&amp;",4326&amp;level=16"))),"Open"))</f>
        <v/>
      </c>
      <c r="T62" s="4"/>
      <c r="U62" s="4"/>
      <c r="V62" s="4"/>
      <c r="W62" s="4"/>
      <c r="X62" s="4"/>
      <c r="Y62" s="4"/>
      <c r="Z62" s="4"/>
      <c r="AA62" s="4"/>
      <c r="AB62" s="1" t="str">
        <f>IF(OR(_xlfn.SINGLE(JobAgolMap)="", $E62="", $F62=""),"",HYPERLINK(_xlfn.SINGLE(JobAgolMap)&amp;IF(ISNUMBER(FIND("?",_xlfn.SINGLE(JobAgolMap))),"&amp;","?")&amp;"center="&amp;$F62&amp;","&amp;$E62&amp;"&amp;level=16&amp;marker="&amp;$F62&amp;","&amp;$E62,"Open"))</f>
        <v/>
      </c>
    </row>
    <row r="63" spans="1:28" x14ac:dyDescent="0.45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4"/>
      <c r="M63" s="1" t="str">
        <f t="shared" si="0"/>
        <v/>
      </c>
      <c r="N63" s="1" t="str">
        <f t="shared" si="1"/>
        <v/>
      </c>
      <c r="O63" s="1" t="str">
        <f t="shared" si="2"/>
        <v/>
      </c>
      <c r="P63" s="1" t="str">
        <f t="shared" si="3"/>
        <v/>
      </c>
      <c r="Q63" s="1" t="str">
        <f t="shared" si="4"/>
        <v/>
      </c>
      <c r="R63" s="1" t="str">
        <f t="shared" si="5"/>
        <v/>
      </c>
      <c r="S63" s="1" t="str">
        <f>IF(OR($E63="",$F63=""),"",HYPERLINK(IF(OR(_xlfn.SINGLE(JobState)="MI",_xlfn.SINGLE(JobState)=""),"https://fema.maps.arcgis.com/apps/mapviewer/index.html?url=https%3A%2F%2Fmdotgis.state.mi.us%2Farcgis%2Frest%2Fservices%2FWidget%2FNextGenPrFinderPub%2FFeatureServer%2F353&amp;find="&amp;$F63&amp;"%2C"&amp;$E63&amp;"&amp;marker="&amp;$F63&amp;","&amp;$E63&amp;",4326&amp;level=16",IF(_xlfn.SINGLE(JobState)="IN","https://fema.maps.arcgis.com/apps/mapviewer/index.html?url=https%3A%2F%2Fgisdata.in.gov%2Fserver%2Frest%2Fservices%2FHosted%2FLRSE_Functional_Class%2FFeatureServer%2F22&amp;find="&amp;$F63&amp;"%2C"&amp;$E63&amp;"&amp;marker="&amp;$F63&amp;","&amp;$E63&amp;",4326&amp;level=16",IF(_xlfn.SINGLE(JobState)="WI","https://fema.maps.arcgis.com/apps/mapviewer/index.html?url=https%3A%2F%2Fservices5.arcgis.com%2F0pgGLzT0Nh7FVjon%2Farcgis%2Frest%2Fservices%2FFFCL_gdb%2FFeatureServer%2F3&amp;find="&amp;$F63&amp;"%2C"&amp;$E63&amp;"&amp;marker="&amp;$F63&amp;","&amp;$E63&amp;",4326&amp;level=16","https://fema.maps.arcgis.com/apps/mapviewer/index.html?find="&amp;$F63&amp;"%2C"&amp;$E63&amp;"&amp;marker="&amp;$F63&amp;","&amp;$E63&amp;",4326&amp;level=16"))),"Open"))</f>
        <v/>
      </c>
      <c r="T63" s="4"/>
      <c r="U63" s="4"/>
      <c r="V63" s="4"/>
      <c r="W63" s="4"/>
      <c r="X63" s="4"/>
      <c r="Y63" s="4"/>
      <c r="Z63" s="4"/>
      <c r="AA63" s="4"/>
      <c r="AB63" s="1" t="str">
        <f>IF(OR(_xlfn.SINGLE(JobAgolMap)="", $E63="", $F63=""),"",HYPERLINK(_xlfn.SINGLE(JobAgolMap)&amp;IF(ISNUMBER(FIND("?",_xlfn.SINGLE(JobAgolMap))),"&amp;","?")&amp;"center="&amp;$F63&amp;","&amp;$E63&amp;"&amp;level=16&amp;marker="&amp;$F63&amp;","&amp;$E63,"Open"))</f>
        <v/>
      </c>
    </row>
    <row r="64" spans="1:28" x14ac:dyDescent="0.45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4"/>
      <c r="M64" s="1" t="str">
        <f t="shared" si="0"/>
        <v/>
      </c>
      <c r="N64" s="1" t="str">
        <f t="shared" si="1"/>
        <v/>
      </c>
      <c r="O64" s="1" t="str">
        <f t="shared" si="2"/>
        <v/>
      </c>
      <c r="P64" s="1" t="str">
        <f t="shared" si="3"/>
        <v/>
      </c>
      <c r="Q64" s="1" t="str">
        <f t="shared" si="4"/>
        <v/>
      </c>
      <c r="R64" s="1" t="str">
        <f t="shared" si="5"/>
        <v/>
      </c>
      <c r="S64" s="1" t="str">
        <f>IF(OR($E64="",$F64=""),"",HYPERLINK(IF(OR(_xlfn.SINGLE(JobState)="MI",_xlfn.SINGLE(JobState)=""),"https://fema.maps.arcgis.com/apps/mapviewer/index.html?url=https%3A%2F%2Fmdotgis.state.mi.us%2Farcgis%2Frest%2Fservices%2FWidget%2FNextGenPrFinderPub%2FFeatureServer%2F353&amp;find="&amp;$F64&amp;"%2C"&amp;$E64&amp;"&amp;marker="&amp;$F64&amp;","&amp;$E64&amp;",4326&amp;level=16",IF(_xlfn.SINGLE(JobState)="IN","https://fema.maps.arcgis.com/apps/mapviewer/index.html?url=https%3A%2F%2Fgisdata.in.gov%2Fserver%2Frest%2Fservices%2FHosted%2FLRSE_Functional_Class%2FFeatureServer%2F22&amp;find="&amp;$F64&amp;"%2C"&amp;$E64&amp;"&amp;marker="&amp;$F64&amp;","&amp;$E64&amp;",4326&amp;level=16",IF(_xlfn.SINGLE(JobState)="WI","https://fema.maps.arcgis.com/apps/mapviewer/index.html?url=https%3A%2F%2Fservices5.arcgis.com%2F0pgGLzT0Nh7FVjon%2Farcgis%2Frest%2Fservices%2FFFCL_gdb%2FFeatureServer%2F3&amp;find="&amp;$F64&amp;"%2C"&amp;$E64&amp;"&amp;marker="&amp;$F64&amp;","&amp;$E64&amp;",4326&amp;level=16","https://fema.maps.arcgis.com/apps/mapviewer/index.html?find="&amp;$F64&amp;"%2C"&amp;$E64&amp;"&amp;marker="&amp;$F64&amp;","&amp;$E64&amp;",4326&amp;level=16"))),"Open"))</f>
        <v/>
      </c>
      <c r="T64" s="4"/>
      <c r="U64" s="4"/>
      <c r="V64" s="4"/>
      <c r="W64" s="4"/>
      <c r="X64" s="4"/>
      <c r="Y64" s="4"/>
      <c r="Z64" s="4"/>
      <c r="AA64" s="4"/>
      <c r="AB64" s="1" t="str">
        <f>IF(OR(_xlfn.SINGLE(JobAgolMap)="", $E64="", $F64=""),"",HYPERLINK(_xlfn.SINGLE(JobAgolMap)&amp;IF(ISNUMBER(FIND("?",_xlfn.SINGLE(JobAgolMap))),"&amp;","?")&amp;"center="&amp;$F64&amp;","&amp;$E64&amp;"&amp;level=16&amp;marker="&amp;$F64&amp;","&amp;$E64,"Open"))</f>
        <v/>
      </c>
    </row>
    <row r="65" spans="1:28" x14ac:dyDescent="0.45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4"/>
      <c r="M65" s="1" t="str">
        <f t="shared" si="0"/>
        <v/>
      </c>
      <c r="N65" s="1" t="str">
        <f t="shared" si="1"/>
        <v/>
      </c>
      <c r="O65" s="1" t="str">
        <f t="shared" si="2"/>
        <v/>
      </c>
      <c r="P65" s="1" t="str">
        <f t="shared" si="3"/>
        <v/>
      </c>
      <c r="Q65" s="1" t="str">
        <f t="shared" si="4"/>
        <v/>
      </c>
      <c r="R65" s="1" t="str">
        <f t="shared" si="5"/>
        <v/>
      </c>
      <c r="S65" s="1" t="str">
        <f>IF(OR($E65="",$F65=""),"",HYPERLINK(IF(OR(_xlfn.SINGLE(JobState)="MI",_xlfn.SINGLE(JobState)=""),"https://fema.maps.arcgis.com/apps/mapviewer/index.html?url=https%3A%2F%2Fmdotgis.state.mi.us%2Farcgis%2Frest%2Fservices%2FWidget%2FNextGenPrFinderPub%2FFeatureServer%2F353&amp;find="&amp;$F65&amp;"%2C"&amp;$E65&amp;"&amp;marker="&amp;$F65&amp;","&amp;$E65&amp;",4326&amp;level=16",IF(_xlfn.SINGLE(JobState)="IN","https://fema.maps.arcgis.com/apps/mapviewer/index.html?url=https%3A%2F%2Fgisdata.in.gov%2Fserver%2Frest%2Fservices%2FHosted%2FLRSE_Functional_Class%2FFeatureServer%2F22&amp;find="&amp;$F65&amp;"%2C"&amp;$E65&amp;"&amp;marker="&amp;$F65&amp;","&amp;$E65&amp;",4326&amp;level=16",IF(_xlfn.SINGLE(JobState)="WI","https://fema.maps.arcgis.com/apps/mapviewer/index.html?url=https%3A%2F%2Fservices5.arcgis.com%2F0pgGLzT0Nh7FVjon%2Farcgis%2Frest%2Fservices%2FFFCL_gdb%2FFeatureServer%2F3&amp;find="&amp;$F65&amp;"%2C"&amp;$E65&amp;"&amp;marker="&amp;$F65&amp;","&amp;$E65&amp;",4326&amp;level=16","https://fema.maps.arcgis.com/apps/mapviewer/index.html?find="&amp;$F65&amp;"%2C"&amp;$E65&amp;"&amp;marker="&amp;$F65&amp;","&amp;$E65&amp;",4326&amp;level=16"))),"Open"))</f>
        <v/>
      </c>
      <c r="T65" s="4"/>
      <c r="U65" s="4"/>
      <c r="V65" s="4"/>
      <c r="W65" s="4"/>
      <c r="X65" s="4"/>
      <c r="Y65" s="4"/>
      <c r="Z65" s="4"/>
      <c r="AA65" s="4"/>
      <c r="AB65" s="1" t="str">
        <f>IF(OR(_xlfn.SINGLE(JobAgolMap)="", $E65="", $F65=""),"",HYPERLINK(_xlfn.SINGLE(JobAgolMap)&amp;IF(ISNUMBER(FIND("?",_xlfn.SINGLE(JobAgolMap))),"&amp;","?")&amp;"center="&amp;$F65&amp;","&amp;$E65&amp;"&amp;level=16&amp;marker="&amp;$F65&amp;","&amp;$E65,"Open"))</f>
        <v/>
      </c>
    </row>
    <row r="66" spans="1:28" x14ac:dyDescent="0.45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4"/>
      <c r="M66" s="1" t="str">
        <f t="shared" si="0"/>
        <v/>
      </c>
      <c r="N66" s="1" t="str">
        <f t="shared" si="1"/>
        <v/>
      </c>
      <c r="O66" s="1" t="str">
        <f t="shared" si="2"/>
        <v/>
      </c>
      <c r="P66" s="1" t="str">
        <f t="shared" si="3"/>
        <v/>
      </c>
      <c r="Q66" s="1" t="str">
        <f t="shared" si="4"/>
        <v/>
      </c>
      <c r="R66" s="1" t="str">
        <f t="shared" si="5"/>
        <v/>
      </c>
      <c r="S66" s="1" t="str">
        <f>IF(OR($E66="",$F66=""),"",HYPERLINK(IF(OR(_xlfn.SINGLE(JobState)="MI",_xlfn.SINGLE(JobState)=""),"https://fema.maps.arcgis.com/apps/mapviewer/index.html?url=https%3A%2F%2Fmdotgis.state.mi.us%2Farcgis%2Frest%2Fservices%2FWidget%2FNextGenPrFinderPub%2FFeatureServer%2F353&amp;find="&amp;$F66&amp;"%2C"&amp;$E66&amp;"&amp;marker="&amp;$F66&amp;","&amp;$E66&amp;",4326&amp;level=16",IF(_xlfn.SINGLE(JobState)="IN","https://fema.maps.arcgis.com/apps/mapviewer/index.html?url=https%3A%2F%2Fgisdata.in.gov%2Fserver%2Frest%2Fservices%2FHosted%2FLRSE_Functional_Class%2FFeatureServer%2F22&amp;find="&amp;$F66&amp;"%2C"&amp;$E66&amp;"&amp;marker="&amp;$F66&amp;","&amp;$E66&amp;",4326&amp;level=16",IF(_xlfn.SINGLE(JobState)="WI","https://fema.maps.arcgis.com/apps/mapviewer/index.html?url=https%3A%2F%2Fservices5.arcgis.com%2F0pgGLzT0Nh7FVjon%2Farcgis%2Frest%2Fservices%2FFFCL_gdb%2FFeatureServer%2F3&amp;find="&amp;$F66&amp;"%2C"&amp;$E66&amp;"&amp;marker="&amp;$F66&amp;","&amp;$E66&amp;",4326&amp;level=16","https://fema.maps.arcgis.com/apps/mapviewer/index.html?find="&amp;$F66&amp;"%2C"&amp;$E66&amp;"&amp;marker="&amp;$F66&amp;","&amp;$E66&amp;",4326&amp;level=16"))),"Open"))</f>
        <v/>
      </c>
      <c r="T66" s="4"/>
      <c r="U66" s="4"/>
      <c r="V66" s="4"/>
      <c r="W66" s="4"/>
      <c r="X66" s="4"/>
      <c r="Y66" s="4"/>
      <c r="Z66" s="4"/>
      <c r="AA66" s="4"/>
      <c r="AB66" s="1" t="str">
        <f>IF(OR(_xlfn.SINGLE(JobAgolMap)="", $E66="", $F66=""),"",HYPERLINK(_xlfn.SINGLE(JobAgolMap)&amp;IF(ISNUMBER(FIND("?",_xlfn.SINGLE(JobAgolMap))),"&amp;","?")&amp;"center="&amp;$F66&amp;","&amp;$E66&amp;"&amp;level=16&amp;marker="&amp;$F66&amp;","&amp;$E66,"Open"))</f>
        <v/>
      </c>
    </row>
    <row r="67" spans="1:28" x14ac:dyDescent="0.45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4"/>
      <c r="M67" s="1" t="str">
        <f t="shared" ref="M67:M130" si="6">IF(OR($E67="",$F67=""),"",HYPERLINK("https://www.google.com/maps?q="&amp;$E67&amp;","&amp;$F67&amp;"","Map"))</f>
        <v/>
      </c>
      <c r="N67" s="1" t="str">
        <f t="shared" ref="N67:N130" si="7">IF(OR($E67="",$F67=""),"",HYPERLINK("https://www.google.com/maps?q&amp;layer=c&amp;cbll="&amp;$E67&amp;","&amp;$F67&amp;"","Street"))</f>
        <v/>
      </c>
      <c r="O67" s="1" t="str">
        <f t="shared" ref="O67:O130" si="8">IF(OR($E67="",$F67=""),"",HYPERLINK("https://www.bing.com/maps?cp="&amp;$E67&amp;"~"&amp;$F67&amp;"&amp;lvl=18&amp;style=h","Bing"))</f>
        <v/>
      </c>
      <c r="P67" s="1" t="str">
        <f t="shared" ref="P67:P130" si="9">IF(OR($E67="",$F67=""),"",HYPERLINK("https://earth.google.com/web/search/"&amp;$E67&amp;","&amp;$F67&amp;"","Earth"))</f>
        <v/>
      </c>
      <c r="Q67" s="1" t="str">
        <f t="shared" ref="Q67:Q130" si="10">IF(OR($E67="",$F67=""),"",HYPERLINK("https://fema.maps.arcgis.com/apps/mapviewer/index.html?find="&amp;$F67&amp;"%2C"&amp;$E67&amp;"&amp;marker="&amp;$F67&amp;","&amp;$E67&amp;",4326&amp;level=16","FEMA"))</f>
        <v/>
      </c>
      <c r="R67" s="1" t="str">
        <f t="shared" ref="R67:R130" si="11">IF(OR($E67="",$F67=""),"",HYPERLINK("https://msc.fema.gov/portal/firmette?latitude="&amp;$E67&amp;"&amp;longitude="&amp;$F67&amp;"","FIRMette"))</f>
        <v/>
      </c>
      <c r="S67" s="1" t="str">
        <f>IF(OR($E67="",$F67=""),"",HYPERLINK(IF(OR(_xlfn.SINGLE(JobState)="MI",_xlfn.SINGLE(JobState)=""),"https://fema.maps.arcgis.com/apps/mapviewer/index.html?url=https%3A%2F%2Fmdotgis.state.mi.us%2Farcgis%2Frest%2Fservices%2FWidget%2FNextGenPrFinderPub%2FFeatureServer%2F353&amp;find="&amp;$F67&amp;"%2C"&amp;$E67&amp;"&amp;marker="&amp;$F67&amp;","&amp;$E67&amp;",4326&amp;level=16",IF(_xlfn.SINGLE(JobState)="IN","https://fema.maps.arcgis.com/apps/mapviewer/index.html?url=https%3A%2F%2Fgisdata.in.gov%2Fserver%2Frest%2Fservices%2FHosted%2FLRSE_Functional_Class%2FFeatureServer%2F22&amp;find="&amp;$F67&amp;"%2C"&amp;$E67&amp;"&amp;marker="&amp;$F67&amp;","&amp;$E67&amp;",4326&amp;level=16",IF(_xlfn.SINGLE(JobState)="WI","https://fema.maps.arcgis.com/apps/mapviewer/index.html?url=https%3A%2F%2Fservices5.arcgis.com%2F0pgGLzT0Nh7FVjon%2Farcgis%2Frest%2Fservices%2FFFCL_gdb%2FFeatureServer%2F3&amp;find="&amp;$F67&amp;"%2C"&amp;$E67&amp;"&amp;marker="&amp;$F67&amp;","&amp;$E67&amp;",4326&amp;level=16","https://fema.maps.arcgis.com/apps/mapviewer/index.html?find="&amp;$F67&amp;"%2C"&amp;$E67&amp;"&amp;marker="&amp;$F67&amp;","&amp;$E67&amp;",4326&amp;level=16"))),"Open"))</f>
        <v/>
      </c>
      <c r="T67" s="4"/>
      <c r="U67" s="4"/>
      <c r="V67" s="4"/>
      <c r="W67" s="4"/>
      <c r="X67" s="4"/>
      <c r="Y67" s="4"/>
      <c r="Z67" s="4"/>
      <c r="AA67" s="4"/>
      <c r="AB67" s="1" t="str">
        <f>IF(OR(_xlfn.SINGLE(JobAgolMap)="", $E67="", $F67=""),"",HYPERLINK(_xlfn.SINGLE(JobAgolMap)&amp;IF(ISNUMBER(FIND("?",_xlfn.SINGLE(JobAgolMap))),"&amp;","?")&amp;"center="&amp;$F67&amp;","&amp;$E67&amp;"&amp;level=16&amp;marker="&amp;$F67&amp;","&amp;$E67,"Open"))</f>
        <v/>
      </c>
    </row>
    <row r="68" spans="1:28" x14ac:dyDescent="0.45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4"/>
      <c r="M68" s="1" t="str">
        <f t="shared" si="6"/>
        <v/>
      </c>
      <c r="N68" s="1" t="str">
        <f t="shared" si="7"/>
        <v/>
      </c>
      <c r="O68" s="1" t="str">
        <f t="shared" si="8"/>
        <v/>
      </c>
      <c r="P68" s="1" t="str">
        <f t="shared" si="9"/>
        <v/>
      </c>
      <c r="Q68" s="1" t="str">
        <f t="shared" si="10"/>
        <v/>
      </c>
      <c r="R68" s="1" t="str">
        <f t="shared" si="11"/>
        <v/>
      </c>
      <c r="S68" s="1" t="str">
        <f>IF(OR($E68="",$F68=""),"",HYPERLINK(IF(OR(_xlfn.SINGLE(JobState)="MI",_xlfn.SINGLE(JobState)=""),"https://fema.maps.arcgis.com/apps/mapviewer/index.html?url=https%3A%2F%2Fmdotgis.state.mi.us%2Farcgis%2Frest%2Fservices%2FWidget%2FNextGenPrFinderPub%2FFeatureServer%2F353&amp;find="&amp;$F68&amp;"%2C"&amp;$E68&amp;"&amp;marker="&amp;$F68&amp;","&amp;$E68&amp;",4326&amp;level=16",IF(_xlfn.SINGLE(JobState)="IN","https://fema.maps.arcgis.com/apps/mapviewer/index.html?url=https%3A%2F%2Fgisdata.in.gov%2Fserver%2Frest%2Fservices%2FHosted%2FLRSE_Functional_Class%2FFeatureServer%2F22&amp;find="&amp;$F68&amp;"%2C"&amp;$E68&amp;"&amp;marker="&amp;$F68&amp;","&amp;$E68&amp;",4326&amp;level=16",IF(_xlfn.SINGLE(JobState)="WI","https://fema.maps.arcgis.com/apps/mapviewer/index.html?url=https%3A%2F%2Fservices5.arcgis.com%2F0pgGLzT0Nh7FVjon%2Farcgis%2Frest%2Fservices%2FFFCL_gdb%2FFeatureServer%2F3&amp;find="&amp;$F68&amp;"%2C"&amp;$E68&amp;"&amp;marker="&amp;$F68&amp;","&amp;$E68&amp;",4326&amp;level=16","https://fema.maps.arcgis.com/apps/mapviewer/index.html?find="&amp;$F68&amp;"%2C"&amp;$E68&amp;"&amp;marker="&amp;$F68&amp;","&amp;$E68&amp;",4326&amp;level=16"))),"Open"))</f>
        <v/>
      </c>
      <c r="T68" s="4"/>
      <c r="U68" s="4"/>
      <c r="V68" s="4"/>
      <c r="W68" s="4"/>
      <c r="X68" s="4"/>
      <c r="Y68" s="4"/>
      <c r="Z68" s="4"/>
      <c r="AA68" s="4"/>
      <c r="AB68" s="1" t="str">
        <f>IF(OR(_xlfn.SINGLE(JobAgolMap)="", $E68="", $F68=""),"",HYPERLINK(_xlfn.SINGLE(JobAgolMap)&amp;IF(ISNUMBER(FIND("?",_xlfn.SINGLE(JobAgolMap))),"&amp;","?")&amp;"center="&amp;$F68&amp;","&amp;$E68&amp;"&amp;level=16&amp;marker="&amp;$F68&amp;","&amp;$E68,"Open"))</f>
        <v/>
      </c>
    </row>
    <row r="69" spans="1:28" x14ac:dyDescent="0.45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4"/>
      <c r="M69" s="1" t="str">
        <f t="shared" si="6"/>
        <v/>
      </c>
      <c r="N69" s="1" t="str">
        <f t="shared" si="7"/>
        <v/>
      </c>
      <c r="O69" s="1" t="str">
        <f t="shared" si="8"/>
        <v/>
      </c>
      <c r="P69" s="1" t="str">
        <f t="shared" si="9"/>
        <v/>
      </c>
      <c r="Q69" s="1" t="str">
        <f t="shared" si="10"/>
        <v/>
      </c>
      <c r="R69" s="1" t="str">
        <f t="shared" si="11"/>
        <v/>
      </c>
      <c r="S69" s="1" t="str">
        <f>IF(OR($E69="",$F69=""),"",HYPERLINK(IF(OR(_xlfn.SINGLE(JobState)="MI",_xlfn.SINGLE(JobState)=""),"https://fema.maps.arcgis.com/apps/mapviewer/index.html?url=https%3A%2F%2Fmdotgis.state.mi.us%2Farcgis%2Frest%2Fservices%2FWidget%2FNextGenPrFinderPub%2FFeatureServer%2F353&amp;find="&amp;$F69&amp;"%2C"&amp;$E69&amp;"&amp;marker="&amp;$F69&amp;","&amp;$E69&amp;",4326&amp;level=16",IF(_xlfn.SINGLE(JobState)="IN","https://fema.maps.arcgis.com/apps/mapviewer/index.html?url=https%3A%2F%2Fgisdata.in.gov%2Fserver%2Frest%2Fservices%2FHosted%2FLRSE_Functional_Class%2FFeatureServer%2F22&amp;find="&amp;$F69&amp;"%2C"&amp;$E69&amp;"&amp;marker="&amp;$F69&amp;","&amp;$E69&amp;",4326&amp;level=16",IF(_xlfn.SINGLE(JobState)="WI","https://fema.maps.arcgis.com/apps/mapviewer/index.html?url=https%3A%2F%2Fservices5.arcgis.com%2F0pgGLzT0Nh7FVjon%2Farcgis%2Frest%2Fservices%2FFFCL_gdb%2FFeatureServer%2F3&amp;find="&amp;$F69&amp;"%2C"&amp;$E69&amp;"&amp;marker="&amp;$F69&amp;","&amp;$E69&amp;",4326&amp;level=16","https://fema.maps.arcgis.com/apps/mapviewer/index.html?find="&amp;$F69&amp;"%2C"&amp;$E69&amp;"&amp;marker="&amp;$F69&amp;","&amp;$E69&amp;",4326&amp;level=16"))),"Open"))</f>
        <v/>
      </c>
      <c r="T69" s="4"/>
      <c r="U69" s="4"/>
      <c r="V69" s="4"/>
      <c r="W69" s="4"/>
      <c r="X69" s="4"/>
      <c r="Y69" s="4"/>
      <c r="Z69" s="4"/>
      <c r="AA69" s="4"/>
      <c r="AB69" s="1" t="str">
        <f>IF(OR(_xlfn.SINGLE(JobAgolMap)="", $E69="", $F69=""),"",HYPERLINK(_xlfn.SINGLE(JobAgolMap)&amp;IF(ISNUMBER(FIND("?",_xlfn.SINGLE(JobAgolMap))),"&amp;","?")&amp;"center="&amp;$F69&amp;","&amp;$E69&amp;"&amp;level=16&amp;marker="&amp;$F69&amp;","&amp;$E69,"Open"))</f>
        <v/>
      </c>
    </row>
    <row r="70" spans="1:28" x14ac:dyDescent="0.45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4"/>
      <c r="M70" s="1" t="str">
        <f t="shared" si="6"/>
        <v/>
      </c>
      <c r="N70" s="1" t="str">
        <f t="shared" si="7"/>
        <v/>
      </c>
      <c r="O70" s="1" t="str">
        <f t="shared" si="8"/>
        <v/>
      </c>
      <c r="P70" s="1" t="str">
        <f t="shared" si="9"/>
        <v/>
      </c>
      <c r="Q70" s="1" t="str">
        <f t="shared" si="10"/>
        <v/>
      </c>
      <c r="R70" s="1" t="str">
        <f t="shared" si="11"/>
        <v/>
      </c>
      <c r="S70" s="1" t="str">
        <f>IF(OR($E70="",$F70=""),"",HYPERLINK(IF(OR(_xlfn.SINGLE(JobState)="MI",_xlfn.SINGLE(JobState)=""),"https://fema.maps.arcgis.com/apps/mapviewer/index.html?url=https%3A%2F%2Fmdotgis.state.mi.us%2Farcgis%2Frest%2Fservices%2FWidget%2FNextGenPrFinderPub%2FFeatureServer%2F353&amp;find="&amp;$F70&amp;"%2C"&amp;$E70&amp;"&amp;marker="&amp;$F70&amp;","&amp;$E70&amp;",4326&amp;level=16",IF(_xlfn.SINGLE(JobState)="IN","https://fema.maps.arcgis.com/apps/mapviewer/index.html?url=https%3A%2F%2Fgisdata.in.gov%2Fserver%2Frest%2Fservices%2FHosted%2FLRSE_Functional_Class%2FFeatureServer%2F22&amp;find="&amp;$F70&amp;"%2C"&amp;$E70&amp;"&amp;marker="&amp;$F70&amp;","&amp;$E70&amp;",4326&amp;level=16",IF(_xlfn.SINGLE(JobState)="WI","https://fema.maps.arcgis.com/apps/mapviewer/index.html?url=https%3A%2F%2Fservices5.arcgis.com%2F0pgGLzT0Nh7FVjon%2Farcgis%2Frest%2Fservices%2FFFCL_gdb%2FFeatureServer%2F3&amp;find="&amp;$F70&amp;"%2C"&amp;$E70&amp;"&amp;marker="&amp;$F70&amp;","&amp;$E70&amp;",4326&amp;level=16","https://fema.maps.arcgis.com/apps/mapviewer/index.html?find="&amp;$F70&amp;"%2C"&amp;$E70&amp;"&amp;marker="&amp;$F70&amp;","&amp;$E70&amp;",4326&amp;level=16"))),"Open"))</f>
        <v/>
      </c>
      <c r="T70" s="4"/>
      <c r="U70" s="4"/>
      <c r="V70" s="4"/>
      <c r="W70" s="4"/>
      <c r="X70" s="4"/>
      <c r="Y70" s="4"/>
      <c r="Z70" s="4"/>
      <c r="AA70" s="4"/>
      <c r="AB70" s="1" t="str">
        <f>IF(OR(_xlfn.SINGLE(JobAgolMap)="", $E70="", $F70=""),"",HYPERLINK(_xlfn.SINGLE(JobAgolMap)&amp;IF(ISNUMBER(FIND("?",_xlfn.SINGLE(JobAgolMap))),"&amp;","?")&amp;"center="&amp;$F70&amp;","&amp;$E70&amp;"&amp;level=16&amp;marker="&amp;$F70&amp;","&amp;$E70,"Open"))</f>
        <v/>
      </c>
    </row>
    <row r="71" spans="1:28" x14ac:dyDescent="0.45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4"/>
      <c r="M71" s="1" t="str">
        <f t="shared" si="6"/>
        <v/>
      </c>
      <c r="N71" s="1" t="str">
        <f t="shared" si="7"/>
        <v/>
      </c>
      <c r="O71" s="1" t="str">
        <f t="shared" si="8"/>
        <v/>
      </c>
      <c r="P71" s="1" t="str">
        <f t="shared" si="9"/>
        <v/>
      </c>
      <c r="Q71" s="1" t="str">
        <f t="shared" si="10"/>
        <v/>
      </c>
      <c r="R71" s="1" t="str">
        <f t="shared" si="11"/>
        <v/>
      </c>
      <c r="S71" s="1" t="str">
        <f>IF(OR($E71="",$F71=""),"",HYPERLINK(IF(OR(_xlfn.SINGLE(JobState)="MI",_xlfn.SINGLE(JobState)=""),"https://fema.maps.arcgis.com/apps/mapviewer/index.html?url=https%3A%2F%2Fmdotgis.state.mi.us%2Farcgis%2Frest%2Fservices%2FWidget%2FNextGenPrFinderPub%2FFeatureServer%2F353&amp;find="&amp;$F71&amp;"%2C"&amp;$E71&amp;"&amp;marker="&amp;$F71&amp;","&amp;$E71&amp;",4326&amp;level=16",IF(_xlfn.SINGLE(JobState)="IN","https://fema.maps.arcgis.com/apps/mapviewer/index.html?url=https%3A%2F%2Fgisdata.in.gov%2Fserver%2Frest%2Fservices%2FHosted%2FLRSE_Functional_Class%2FFeatureServer%2F22&amp;find="&amp;$F71&amp;"%2C"&amp;$E71&amp;"&amp;marker="&amp;$F71&amp;","&amp;$E71&amp;",4326&amp;level=16",IF(_xlfn.SINGLE(JobState)="WI","https://fema.maps.arcgis.com/apps/mapviewer/index.html?url=https%3A%2F%2Fservices5.arcgis.com%2F0pgGLzT0Nh7FVjon%2Farcgis%2Frest%2Fservices%2FFFCL_gdb%2FFeatureServer%2F3&amp;find="&amp;$F71&amp;"%2C"&amp;$E71&amp;"&amp;marker="&amp;$F71&amp;","&amp;$E71&amp;",4326&amp;level=16","https://fema.maps.arcgis.com/apps/mapviewer/index.html?find="&amp;$F71&amp;"%2C"&amp;$E71&amp;"&amp;marker="&amp;$F71&amp;","&amp;$E71&amp;",4326&amp;level=16"))),"Open"))</f>
        <v/>
      </c>
      <c r="T71" s="4"/>
      <c r="U71" s="4"/>
      <c r="V71" s="4"/>
      <c r="W71" s="4"/>
      <c r="X71" s="4"/>
      <c r="Y71" s="4"/>
      <c r="Z71" s="4"/>
      <c r="AA71" s="4"/>
      <c r="AB71" s="1" t="str">
        <f>IF(OR(_xlfn.SINGLE(JobAgolMap)="", $E71="", $F71=""),"",HYPERLINK(_xlfn.SINGLE(JobAgolMap)&amp;IF(ISNUMBER(FIND("?",_xlfn.SINGLE(JobAgolMap))),"&amp;","?")&amp;"center="&amp;$F71&amp;","&amp;$E71&amp;"&amp;level=16&amp;marker="&amp;$F71&amp;","&amp;$E71,"Open"))</f>
        <v/>
      </c>
    </row>
    <row r="72" spans="1:28" x14ac:dyDescent="0.45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4"/>
      <c r="M72" s="1" t="str">
        <f t="shared" si="6"/>
        <v/>
      </c>
      <c r="N72" s="1" t="str">
        <f t="shared" si="7"/>
        <v/>
      </c>
      <c r="O72" s="1" t="str">
        <f t="shared" si="8"/>
        <v/>
      </c>
      <c r="P72" s="1" t="str">
        <f t="shared" si="9"/>
        <v/>
      </c>
      <c r="Q72" s="1" t="str">
        <f t="shared" si="10"/>
        <v/>
      </c>
      <c r="R72" s="1" t="str">
        <f t="shared" si="11"/>
        <v/>
      </c>
      <c r="S72" s="1" t="str">
        <f>IF(OR($E72="",$F72=""),"",HYPERLINK(IF(OR(_xlfn.SINGLE(JobState)="MI",_xlfn.SINGLE(JobState)=""),"https://fema.maps.arcgis.com/apps/mapviewer/index.html?url=https%3A%2F%2Fmdotgis.state.mi.us%2Farcgis%2Frest%2Fservices%2FWidget%2FNextGenPrFinderPub%2FFeatureServer%2F353&amp;find="&amp;$F72&amp;"%2C"&amp;$E72&amp;"&amp;marker="&amp;$F72&amp;","&amp;$E72&amp;",4326&amp;level=16",IF(_xlfn.SINGLE(JobState)="IN","https://fema.maps.arcgis.com/apps/mapviewer/index.html?url=https%3A%2F%2Fgisdata.in.gov%2Fserver%2Frest%2Fservices%2FHosted%2FLRSE_Functional_Class%2FFeatureServer%2F22&amp;find="&amp;$F72&amp;"%2C"&amp;$E72&amp;"&amp;marker="&amp;$F72&amp;","&amp;$E72&amp;",4326&amp;level=16",IF(_xlfn.SINGLE(JobState)="WI","https://fema.maps.arcgis.com/apps/mapviewer/index.html?url=https%3A%2F%2Fservices5.arcgis.com%2F0pgGLzT0Nh7FVjon%2Farcgis%2Frest%2Fservices%2FFFCL_gdb%2FFeatureServer%2F3&amp;find="&amp;$F72&amp;"%2C"&amp;$E72&amp;"&amp;marker="&amp;$F72&amp;","&amp;$E72&amp;",4326&amp;level=16","https://fema.maps.arcgis.com/apps/mapviewer/index.html?find="&amp;$F72&amp;"%2C"&amp;$E72&amp;"&amp;marker="&amp;$F72&amp;","&amp;$E72&amp;",4326&amp;level=16"))),"Open"))</f>
        <v/>
      </c>
      <c r="T72" s="4"/>
      <c r="U72" s="4"/>
      <c r="V72" s="4"/>
      <c r="W72" s="4"/>
      <c r="X72" s="4"/>
      <c r="Y72" s="4"/>
      <c r="Z72" s="4"/>
      <c r="AA72" s="4"/>
      <c r="AB72" s="1" t="str">
        <f>IF(OR(_xlfn.SINGLE(JobAgolMap)="", $E72="", $F72=""),"",HYPERLINK(_xlfn.SINGLE(JobAgolMap)&amp;IF(ISNUMBER(FIND("?",_xlfn.SINGLE(JobAgolMap))),"&amp;","?")&amp;"center="&amp;$F72&amp;","&amp;$E72&amp;"&amp;level=16&amp;marker="&amp;$F72&amp;","&amp;$E72,"Open"))</f>
        <v/>
      </c>
    </row>
    <row r="73" spans="1:28" x14ac:dyDescent="0.45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4"/>
      <c r="M73" s="1" t="str">
        <f t="shared" si="6"/>
        <v/>
      </c>
      <c r="N73" s="1" t="str">
        <f t="shared" si="7"/>
        <v/>
      </c>
      <c r="O73" s="1" t="str">
        <f t="shared" si="8"/>
        <v/>
      </c>
      <c r="P73" s="1" t="str">
        <f t="shared" si="9"/>
        <v/>
      </c>
      <c r="Q73" s="1" t="str">
        <f t="shared" si="10"/>
        <v/>
      </c>
      <c r="R73" s="1" t="str">
        <f t="shared" si="11"/>
        <v/>
      </c>
      <c r="S73" s="1" t="str">
        <f>IF(OR($E73="",$F73=""),"",HYPERLINK(IF(OR(_xlfn.SINGLE(JobState)="MI",_xlfn.SINGLE(JobState)=""),"https://fema.maps.arcgis.com/apps/mapviewer/index.html?url=https%3A%2F%2Fmdotgis.state.mi.us%2Farcgis%2Frest%2Fservices%2FWidget%2FNextGenPrFinderPub%2FFeatureServer%2F353&amp;find="&amp;$F73&amp;"%2C"&amp;$E73&amp;"&amp;marker="&amp;$F73&amp;","&amp;$E73&amp;",4326&amp;level=16",IF(_xlfn.SINGLE(JobState)="IN","https://fema.maps.arcgis.com/apps/mapviewer/index.html?url=https%3A%2F%2Fgisdata.in.gov%2Fserver%2Frest%2Fservices%2FHosted%2FLRSE_Functional_Class%2FFeatureServer%2F22&amp;find="&amp;$F73&amp;"%2C"&amp;$E73&amp;"&amp;marker="&amp;$F73&amp;","&amp;$E73&amp;",4326&amp;level=16",IF(_xlfn.SINGLE(JobState)="WI","https://fema.maps.arcgis.com/apps/mapviewer/index.html?url=https%3A%2F%2Fservices5.arcgis.com%2F0pgGLzT0Nh7FVjon%2Farcgis%2Frest%2Fservices%2FFFCL_gdb%2FFeatureServer%2F3&amp;find="&amp;$F73&amp;"%2C"&amp;$E73&amp;"&amp;marker="&amp;$F73&amp;","&amp;$E73&amp;",4326&amp;level=16","https://fema.maps.arcgis.com/apps/mapviewer/index.html?find="&amp;$F73&amp;"%2C"&amp;$E73&amp;"&amp;marker="&amp;$F73&amp;","&amp;$E73&amp;",4326&amp;level=16"))),"Open"))</f>
        <v/>
      </c>
      <c r="T73" s="4"/>
      <c r="U73" s="4"/>
      <c r="V73" s="4"/>
      <c r="W73" s="4"/>
      <c r="X73" s="4"/>
      <c r="Y73" s="4"/>
      <c r="Z73" s="4"/>
      <c r="AA73" s="4"/>
      <c r="AB73" s="1" t="str">
        <f>IF(OR(_xlfn.SINGLE(JobAgolMap)="", $E73="", $F73=""),"",HYPERLINK(_xlfn.SINGLE(JobAgolMap)&amp;IF(ISNUMBER(FIND("?",_xlfn.SINGLE(JobAgolMap))),"&amp;","?")&amp;"center="&amp;$F73&amp;","&amp;$E73&amp;"&amp;level=16&amp;marker="&amp;$F73&amp;","&amp;$E73,"Open"))</f>
        <v/>
      </c>
    </row>
    <row r="74" spans="1:28" x14ac:dyDescent="0.45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4"/>
      <c r="M74" s="1" t="str">
        <f t="shared" si="6"/>
        <v/>
      </c>
      <c r="N74" s="1" t="str">
        <f t="shared" si="7"/>
        <v/>
      </c>
      <c r="O74" s="1" t="str">
        <f t="shared" si="8"/>
        <v/>
      </c>
      <c r="P74" s="1" t="str">
        <f t="shared" si="9"/>
        <v/>
      </c>
      <c r="Q74" s="1" t="str">
        <f t="shared" si="10"/>
        <v/>
      </c>
      <c r="R74" s="1" t="str">
        <f t="shared" si="11"/>
        <v/>
      </c>
      <c r="S74" s="1" t="str">
        <f>IF(OR($E74="",$F74=""),"",HYPERLINK(IF(OR(_xlfn.SINGLE(JobState)="MI",_xlfn.SINGLE(JobState)=""),"https://fema.maps.arcgis.com/apps/mapviewer/index.html?url=https%3A%2F%2Fmdotgis.state.mi.us%2Farcgis%2Frest%2Fservices%2FWidget%2FNextGenPrFinderPub%2FFeatureServer%2F353&amp;find="&amp;$F74&amp;"%2C"&amp;$E74&amp;"&amp;marker="&amp;$F74&amp;","&amp;$E74&amp;",4326&amp;level=16",IF(_xlfn.SINGLE(JobState)="IN","https://fema.maps.arcgis.com/apps/mapviewer/index.html?url=https%3A%2F%2Fgisdata.in.gov%2Fserver%2Frest%2Fservices%2FHosted%2FLRSE_Functional_Class%2FFeatureServer%2F22&amp;find="&amp;$F74&amp;"%2C"&amp;$E74&amp;"&amp;marker="&amp;$F74&amp;","&amp;$E74&amp;",4326&amp;level=16",IF(_xlfn.SINGLE(JobState)="WI","https://fema.maps.arcgis.com/apps/mapviewer/index.html?url=https%3A%2F%2Fservices5.arcgis.com%2F0pgGLzT0Nh7FVjon%2Farcgis%2Frest%2Fservices%2FFFCL_gdb%2FFeatureServer%2F3&amp;find="&amp;$F74&amp;"%2C"&amp;$E74&amp;"&amp;marker="&amp;$F74&amp;","&amp;$E74&amp;",4326&amp;level=16","https://fema.maps.arcgis.com/apps/mapviewer/index.html?find="&amp;$F74&amp;"%2C"&amp;$E74&amp;"&amp;marker="&amp;$F74&amp;","&amp;$E74&amp;",4326&amp;level=16"))),"Open"))</f>
        <v/>
      </c>
      <c r="T74" s="4"/>
      <c r="U74" s="4"/>
      <c r="V74" s="4"/>
      <c r="W74" s="4"/>
      <c r="X74" s="4"/>
      <c r="Y74" s="4"/>
      <c r="Z74" s="4"/>
      <c r="AA74" s="4"/>
      <c r="AB74" s="1" t="str">
        <f>IF(OR(_xlfn.SINGLE(JobAgolMap)="", $E74="", $F74=""),"",HYPERLINK(_xlfn.SINGLE(JobAgolMap)&amp;IF(ISNUMBER(FIND("?",_xlfn.SINGLE(JobAgolMap))),"&amp;","?")&amp;"center="&amp;$F74&amp;","&amp;$E74&amp;"&amp;level=16&amp;marker="&amp;$F74&amp;","&amp;$E74,"Open"))</f>
        <v/>
      </c>
    </row>
    <row r="75" spans="1:28" x14ac:dyDescent="0.45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4"/>
      <c r="M75" s="1" t="str">
        <f t="shared" si="6"/>
        <v/>
      </c>
      <c r="N75" s="1" t="str">
        <f t="shared" si="7"/>
        <v/>
      </c>
      <c r="O75" s="1" t="str">
        <f t="shared" si="8"/>
        <v/>
      </c>
      <c r="P75" s="1" t="str">
        <f t="shared" si="9"/>
        <v/>
      </c>
      <c r="Q75" s="1" t="str">
        <f t="shared" si="10"/>
        <v/>
      </c>
      <c r="R75" s="1" t="str">
        <f t="shared" si="11"/>
        <v/>
      </c>
      <c r="S75" s="1" t="str">
        <f>IF(OR($E75="",$F75=""),"",HYPERLINK(IF(OR(_xlfn.SINGLE(JobState)="MI",_xlfn.SINGLE(JobState)=""),"https://fema.maps.arcgis.com/apps/mapviewer/index.html?url=https%3A%2F%2Fmdotgis.state.mi.us%2Farcgis%2Frest%2Fservices%2FWidget%2FNextGenPrFinderPub%2FFeatureServer%2F353&amp;find="&amp;$F75&amp;"%2C"&amp;$E75&amp;"&amp;marker="&amp;$F75&amp;","&amp;$E75&amp;",4326&amp;level=16",IF(_xlfn.SINGLE(JobState)="IN","https://fema.maps.arcgis.com/apps/mapviewer/index.html?url=https%3A%2F%2Fgisdata.in.gov%2Fserver%2Frest%2Fservices%2FHosted%2FLRSE_Functional_Class%2FFeatureServer%2F22&amp;find="&amp;$F75&amp;"%2C"&amp;$E75&amp;"&amp;marker="&amp;$F75&amp;","&amp;$E75&amp;",4326&amp;level=16",IF(_xlfn.SINGLE(JobState)="WI","https://fema.maps.arcgis.com/apps/mapviewer/index.html?url=https%3A%2F%2Fservices5.arcgis.com%2F0pgGLzT0Nh7FVjon%2Farcgis%2Frest%2Fservices%2FFFCL_gdb%2FFeatureServer%2F3&amp;find="&amp;$F75&amp;"%2C"&amp;$E75&amp;"&amp;marker="&amp;$F75&amp;","&amp;$E75&amp;",4326&amp;level=16","https://fema.maps.arcgis.com/apps/mapviewer/index.html?find="&amp;$F75&amp;"%2C"&amp;$E75&amp;"&amp;marker="&amp;$F75&amp;","&amp;$E75&amp;",4326&amp;level=16"))),"Open"))</f>
        <v/>
      </c>
      <c r="T75" s="4"/>
      <c r="U75" s="4"/>
      <c r="V75" s="4"/>
      <c r="W75" s="4"/>
      <c r="X75" s="4"/>
      <c r="Y75" s="4"/>
      <c r="Z75" s="4"/>
      <c r="AA75" s="4"/>
      <c r="AB75" s="1" t="str">
        <f>IF(OR(_xlfn.SINGLE(JobAgolMap)="", $E75="", $F75=""),"",HYPERLINK(_xlfn.SINGLE(JobAgolMap)&amp;IF(ISNUMBER(FIND("?",_xlfn.SINGLE(JobAgolMap))),"&amp;","?")&amp;"center="&amp;$F75&amp;","&amp;$E75&amp;"&amp;level=16&amp;marker="&amp;$F75&amp;","&amp;$E75,"Open"))</f>
        <v/>
      </c>
    </row>
    <row r="76" spans="1:28" x14ac:dyDescent="0.45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4"/>
      <c r="M76" s="1" t="str">
        <f t="shared" si="6"/>
        <v/>
      </c>
      <c r="N76" s="1" t="str">
        <f t="shared" si="7"/>
        <v/>
      </c>
      <c r="O76" s="1" t="str">
        <f t="shared" si="8"/>
        <v/>
      </c>
      <c r="P76" s="1" t="str">
        <f t="shared" si="9"/>
        <v/>
      </c>
      <c r="Q76" s="1" t="str">
        <f t="shared" si="10"/>
        <v/>
      </c>
      <c r="R76" s="1" t="str">
        <f t="shared" si="11"/>
        <v/>
      </c>
      <c r="S76" s="1" t="str">
        <f>IF(OR($E76="",$F76=""),"",HYPERLINK(IF(OR(_xlfn.SINGLE(JobState)="MI",_xlfn.SINGLE(JobState)=""),"https://fema.maps.arcgis.com/apps/mapviewer/index.html?url=https%3A%2F%2Fmdotgis.state.mi.us%2Farcgis%2Frest%2Fservices%2FWidget%2FNextGenPrFinderPub%2FFeatureServer%2F353&amp;find="&amp;$F76&amp;"%2C"&amp;$E76&amp;"&amp;marker="&amp;$F76&amp;","&amp;$E76&amp;",4326&amp;level=16",IF(_xlfn.SINGLE(JobState)="IN","https://fema.maps.arcgis.com/apps/mapviewer/index.html?url=https%3A%2F%2Fgisdata.in.gov%2Fserver%2Frest%2Fservices%2FHosted%2FLRSE_Functional_Class%2FFeatureServer%2F22&amp;find="&amp;$F76&amp;"%2C"&amp;$E76&amp;"&amp;marker="&amp;$F76&amp;","&amp;$E76&amp;",4326&amp;level=16",IF(_xlfn.SINGLE(JobState)="WI","https://fema.maps.arcgis.com/apps/mapviewer/index.html?url=https%3A%2F%2Fservices5.arcgis.com%2F0pgGLzT0Nh7FVjon%2Farcgis%2Frest%2Fservices%2FFFCL_gdb%2FFeatureServer%2F3&amp;find="&amp;$F76&amp;"%2C"&amp;$E76&amp;"&amp;marker="&amp;$F76&amp;","&amp;$E76&amp;",4326&amp;level=16","https://fema.maps.arcgis.com/apps/mapviewer/index.html?find="&amp;$F76&amp;"%2C"&amp;$E76&amp;"&amp;marker="&amp;$F76&amp;","&amp;$E76&amp;",4326&amp;level=16"))),"Open"))</f>
        <v/>
      </c>
      <c r="T76" s="4"/>
      <c r="U76" s="4"/>
      <c r="V76" s="4"/>
      <c r="W76" s="4"/>
      <c r="X76" s="4"/>
      <c r="Y76" s="4"/>
      <c r="Z76" s="4"/>
      <c r="AA76" s="4"/>
      <c r="AB76" s="1" t="str">
        <f>IF(OR(_xlfn.SINGLE(JobAgolMap)="", $E76="", $F76=""),"",HYPERLINK(_xlfn.SINGLE(JobAgolMap)&amp;IF(ISNUMBER(FIND("?",_xlfn.SINGLE(JobAgolMap))),"&amp;","?")&amp;"center="&amp;$F76&amp;","&amp;$E76&amp;"&amp;level=16&amp;marker="&amp;$F76&amp;","&amp;$E76,"Open"))</f>
        <v/>
      </c>
    </row>
    <row r="77" spans="1:28" x14ac:dyDescent="0.45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4"/>
      <c r="M77" s="1" t="str">
        <f t="shared" si="6"/>
        <v/>
      </c>
      <c r="N77" s="1" t="str">
        <f t="shared" si="7"/>
        <v/>
      </c>
      <c r="O77" s="1" t="str">
        <f t="shared" si="8"/>
        <v/>
      </c>
      <c r="P77" s="1" t="str">
        <f t="shared" si="9"/>
        <v/>
      </c>
      <c r="Q77" s="1" t="str">
        <f t="shared" si="10"/>
        <v/>
      </c>
      <c r="R77" s="1" t="str">
        <f t="shared" si="11"/>
        <v/>
      </c>
      <c r="S77" s="1" t="str">
        <f>IF(OR($E77="",$F77=""),"",HYPERLINK(IF(OR(_xlfn.SINGLE(JobState)="MI",_xlfn.SINGLE(JobState)=""),"https://fema.maps.arcgis.com/apps/mapviewer/index.html?url=https%3A%2F%2Fmdotgis.state.mi.us%2Farcgis%2Frest%2Fservices%2FWidget%2FNextGenPrFinderPub%2FFeatureServer%2F353&amp;find="&amp;$F77&amp;"%2C"&amp;$E77&amp;"&amp;marker="&amp;$F77&amp;","&amp;$E77&amp;",4326&amp;level=16",IF(_xlfn.SINGLE(JobState)="IN","https://fema.maps.arcgis.com/apps/mapviewer/index.html?url=https%3A%2F%2Fgisdata.in.gov%2Fserver%2Frest%2Fservices%2FHosted%2FLRSE_Functional_Class%2FFeatureServer%2F22&amp;find="&amp;$F77&amp;"%2C"&amp;$E77&amp;"&amp;marker="&amp;$F77&amp;","&amp;$E77&amp;",4326&amp;level=16",IF(_xlfn.SINGLE(JobState)="WI","https://fema.maps.arcgis.com/apps/mapviewer/index.html?url=https%3A%2F%2Fservices5.arcgis.com%2F0pgGLzT0Nh7FVjon%2Farcgis%2Frest%2Fservices%2FFFCL_gdb%2FFeatureServer%2F3&amp;find="&amp;$F77&amp;"%2C"&amp;$E77&amp;"&amp;marker="&amp;$F77&amp;","&amp;$E77&amp;",4326&amp;level=16","https://fema.maps.arcgis.com/apps/mapviewer/index.html?find="&amp;$F77&amp;"%2C"&amp;$E77&amp;"&amp;marker="&amp;$F77&amp;","&amp;$E77&amp;",4326&amp;level=16"))),"Open"))</f>
        <v/>
      </c>
      <c r="T77" s="4"/>
      <c r="U77" s="4"/>
      <c r="V77" s="4"/>
      <c r="W77" s="4"/>
      <c r="X77" s="4"/>
      <c r="Y77" s="4"/>
      <c r="Z77" s="4"/>
      <c r="AA77" s="4"/>
      <c r="AB77" s="1" t="str">
        <f>IF(OR(_xlfn.SINGLE(JobAgolMap)="", $E77="", $F77=""),"",HYPERLINK(_xlfn.SINGLE(JobAgolMap)&amp;IF(ISNUMBER(FIND("?",_xlfn.SINGLE(JobAgolMap))),"&amp;","?")&amp;"center="&amp;$F77&amp;","&amp;$E77&amp;"&amp;level=16&amp;marker="&amp;$F77&amp;","&amp;$E77,"Open"))</f>
        <v/>
      </c>
    </row>
    <row r="78" spans="1:28" x14ac:dyDescent="0.45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4"/>
      <c r="M78" s="1" t="str">
        <f t="shared" si="6"/>
        <v/>
      </c>
      <c r="N78" s="1" t="str">
        <f t="shared" si="7"/>
        <v/>
      </c>
      <c r="O78" s="1" t="str">
        <f t="shared" si="8"/>
        <v/>
      </c>
      <c r="P78" s="1" t="str">
        <f t="shared" si="9"/>
        <v/>
      </c>
      <c r="Q78" s="1" t="str">
        <f t="shared" si="10"/>
        <v/>
      </c>
      <c r="R78" s="1" t="str">
        <f t="shared" si="11"/>
        <v/>
      </c>
      <c r="S78" s="1" t="str">
        <f>IF(OR($E78="",$F78=""),"",HYPERLINK(IF(OR(_xlfn.SINGLE(JobState)="MI",_xlfn.SINGLE(JobState)=""),"https://fema.maps.arcgis.com/apps/mapviewer/index.html?url=https%3A%2F%2Fmdotgis.state.mi.us%2Farcgis%2Frest%2Fservices%2FWidget%2FNextGenPrFinderPub%2FFeatureServer%2F353&amp;find="&amp;$F78&amp;"%2C"&amp;$E78&amp;"&amp;marker="&amp;$F78&amp;","&amp;$E78&amp;",4326&amp;level=16",IF(_xlfn.SINGLE(JobState)="IN","https://fema.maps.arcgis.com/apps/mapviewer/index.html?url=https%3A%2F%2Fgisdata.in.gov%2Fserver%2Frest%2Fservices%2FHosted%2FLRSE_Functional_Class%2FFeatureServer%2F22&amp;find="&amp;$F78&amp;"%2C"&amp;$E78&amp;"&amp;marker="&amp;$F78&amp;","&amp;$E78&amp;",4326&amp;level=16",IF(_xlfn.SINGLE(JobState)="WI","https://fema.maps.arcgis.com/apps/mapviewer/index.html?url=https%3A%2F%2Fservices5.arcgis.com%2F0pgGLzT0Nh7FVjon%2Farcgis%2Frest%2Fservices%2FFFCL_gdb%2FFeatureServer%2F3&amp;find="&amp;$F78&amp;"%2C"&amp;$E78&amp;"&amp;marker="&amp;$F78&amp;","&amp;$E78&amp;",4326&amp;level=16","https://fema.maps.arcgis.com/apps/mapviewer/index.html?find="&amp;$F78&amp;"%2C"&amp;$E78&amp;"&amp;marker="&amp;$F78&amp;","&amp;$E78&amp;",4326&amp;level=16"))),"Open"))</f>
        <v/>
      </c>
      <c r="T78" s="4"/>
      <c r="U78" s="4"/>
      <c r="V78" s="4"/>
      <c r="W78" s="4"/>
      <c r="X78" s="4"/>
      <c r="Y78" s="4"/>
      <c r="Z78" s="4"/>
      <c r="AA78" s="4"/>
      <c r="AB78" s="1" t="str">
        <f>IF(OR(_xlfn.SINGLE(JobAgolMap)="", $E78="", $F78=""),"",HYPERLINK(_xlfn.SINGLE(JobAgolMap)&amp;IF(ISNUMBER(FIND("?",_xlfn.SINGLE(JobAgolMap))),"&amp;","?")&amp;"center="&amp;$F78&amp;","&amp;$E78&amp;"&amp;level=16&amp;marker="&amp;$F78&amp;","&amp;$E78,"Open"))</f>
        <v/>
      </c>
    </row>
    <row r="79" spans="1:28" x14ac:dyDescent="0.45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4"/>
      <c r="M79" s="1" t="str">
        <f t="shared" si="6"/>
        <v/>
      </c>
      <c r="N79" s="1" t="str">
        <f t="shared" si="7"/>
        <v/>
      </c>
      <c r="O79" s="1" t="str">
        <f t="shared" si="8"/>
        <v/>
      </c>
      <c r="P79" s="1" t="str">
        <f t="shared" si="9"/>
        <v/>
      </c>
      <c r="Q79" s="1" t="str">
        <f t="shared" si="10"/>
        <v/>
      </c>
      <c r="R79" s="1" t="str">
        <f t="shared" si="11"/>
        <v/>
      </c>
      <c r="S79" s="1" t="str">
        <f>IF(OR($E79="",$F79=""),"",HYPERLINK(IF(OR(_xlfn.SINGLE(JobState)="MI",_xlfn.SINGLE(JobState)=""),"https://fema.maps.arcgis.com/apps/mapviewer/index.html?url=https%3A%2F%2Fmdotgis.state.mi.us%2Farcgis%2Frest%2Fservices%2FWidget%2FNextGenPrFinderPub%2FFeatureServer%2F353&amp;find="&amp;$F79&amp;"%2C"&amp;$E79&amp;"&amp;marker="&amp;$F79&amp;","&amp;$E79&amp;",4326&amp;level=16",IF(_xlfn.SINGLE(JobState)="IN","https://fema.maps.arcgis.com/apps/mapviewer/index.html?url=https%3A%2F%2Fgisdata.in.gov%2Fserver%2Frest%2Fservices%2FHosted%2FLRSE_Functional_Class%2FFeatureServer%2F22&amp;find="&amp;$F79&amp;"%2C"&amp;$E79&amp;"&amp;marker="&amp;$F79&amp;","&amp;$E79&amp;",4326&amp;level=16",IF(_xlfn.SINGLE(JobState)="WI","https://fema.maps.arcgis.com/apps/mapviewer/index.html?url=https%3A%2F%2Fservices5.arcgis.com%2F0pgGLzT0Nh7FVjon%2Farcgis%2Frest%2Fservices%2FFFCL_gdb%2FFeatureServer%2F3&amp;find="&amp;$F79&amp;"%2C"&amp;$E79&amp;"&amp;marker="&amp;$F79&amp;","&amp;$E79&amp;",4326&amp;level=16","https://fema.maps.arcgis.com/apps/mapviewer/index.html?find="&amp;$F79&amp;"%2C"&amp;$E79&amp;"&amp;marker="&amp;$F79&amp;","&amp;$E79&amp;",4326&amp;level=16"))),"Open"))</f>
        <v/>
      </c>
      <c r="T79" s="4"/>
      <c r="U79" s="4"/>
      <c r="V79" s="4"/>
      <c r="W79" s="4"/>
      <c r="X79" s="4"/>
      <c r="Y79" s="4"/>
      <c r="Z79" s="4"/>
      <c r="AA79" s="4"/>
      <c r="AB79" s="1" t="str">
        <f>IF(OR(_xlfn.SINGLE(JobAgolMap)="", $E79="", $F79=""),"",HYPERLINK(_xlfn.SINGLE(JobAgolMap)&amp;IF(ISNUMBER(FIND("?",_xlfn.SINGLE(JobAgolMap))),"&amp;","?")&amp;"center="&amp;$F79&amp;","&amp;$E79&amp;"&amp;level=16&amp;marker="&amp;$F79&amp;","&amp;$E79,"Open"))</f>
        <v/>
      </c>
    </row>
    <row r="80" spans="1:28" x14ac:dyDescent="0.45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4"/>
      <c r="M80" s="1" t="str">
        <f t="shared" si="6"/>
        <v/>
      </c>
      <c r="N80" s="1" t="str">
        <f t="shared" si="7"/>
        <v/>
      </c>
      <c r="O80" s="1" t="str">
        <f t="shared" si="8"/>
        <v/>
      </c>
      <c r="P80" s="1" t="str">
        <f t="shared" si="9"/>
        <v/>
      </c>
      <c r="Q80" s="1" t="str">
        <f t="shared" si="10"/>
        <v/>
      </c>
      <c r="R80" s="1" t="str">
        <f t="shared" si="11"/>
        <v/>
      </c>
      <c r="S80" s="1" t="str">
        <f>IF(OR($E80="",$F80=""),"",HYPERLINK(IF(OR(_xlfn.SINGLE(JobState)="MI",_xlfn.SINGLE(JobState)=""),"https://fema.maps.arcgis.com/apps/mapviewer/index.html?url=https%3A%2F%2Fmdotgis.state.mi.us%2Farcgis%2Frest%2Fservices%2FWidget%2FNextGenPrFinderPub%2FFeatureServer%2F353&amp;find="&amp;$F80&amp;"%2C"&amp;$E80&amp;"&amp;marker="&amp;$F80&amp;","&amp;$E80&amp;",4326&amp;level=16",IF(_xlfn.SINGLE(JobState)="IN","https://fema.maps.arcgis.com/apps/mapviewer/index.html?url=https%3A%2F%2Fgisdata.in.gov%2Fserver%2Frest%2Fservices%2FHosted%2FLRSE_Functional_Class%2FFeatureServer%2F22&amp;find="&amp;$F80&amp;"%2C"&amp;$E80&amp;"&amp;marker="&amp;$F80&amp;","&amp;$E80&amp;",4326&amp;level=16",IF(_xlfn.SINGLE(JobState)="WI","https://fema.maps.arcgis.com/apps/mapviewer/index.html?url=https%3A%2F%2Fservices5.arcgis.com%2F0pgGLzT0Nh7FVjon%2Farcgis%2Frest%2Fservices%2FFFCL_gdb%2FFeatureServer%2F3&amp;find="&amp;$F80&amp;"%2C"&amp;$E80&amp;"&amp;marker="&amp;$F80&amp;","&amp;$E80&amp;",4326&amp;level=16","https://fema.maps.arcgis.com/apps/mapviewer/index.html?find="&amp;$F80&amp;"%2C"&amp;$E80&amp;"&amp;marker="&amp;$F80&amp;","&amp;$E80&amp;",4326&amp;level=16"))),"Open"))</f>
        <v/>
      </c>
      <c r="T80" s="4"/>
      <c r="U80" s="4"/>
      <c r="V80" s="4"/>
      <c r="W80" s="4"/>
      <c r="X80" s="4"/>
      <c r="Y80" s="4"/>
      <c r="Z80" s="4"/>
      <c r="AA80" s="4"/>
      <c r="AB80" s="1" t="str">
        <f>IF(OR(_xlfn.SINGLE(JobAgolMap)="", $E80="", $F80=""),"",HYPERLINK(_xlfn.SINGLE(JobAgolMap)&amp;IF(ISNUMBER(FIND("?",_xlfn.SINGLE(JobAgolMap))),"&amp;","?")&amp;"center="&amp;$F80&amp;","&amp;$E80&amp;"&amp;level=16&amp;marker="&amp;$F80&amp;","&amp;$E80,"Open"))</f>
        <v/>
      </c>
    </row>
    <row r="81" spans="1:28" x14ac:dyDescent="0.45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4"/>
      <c r="M81" s="1" t="str">
        <f t="shared" si="6"/>
        <v/>
      </c>
      <c r="N81" s="1" t="str">
        <f t="shared" si="7"/>
        <v/>
      </c>
      <c r="O81" s="1" t="str">
        <f t="shared" si="8"/>
        <v/>
      </c>
      <c r="P81" s="1" t="str">
        <f t="shared" si="9"/>
        <v/>
      </c>
      <c r="Q81" s="1" t="str">
        <f t="shared" si="10"/>
        <v/>
      </c>
      <c r="R81" s="1" t="str">
        <f t="shared" si="11"/>
        <v/>
      </c>
      <c r="S81" s="1" t="str">
        <f>IF(OR($E81="",$F81=""),"",HYPERLINK(IF(OR(_xlfn.SINGLE(JobState)="MI",_xlfn.SINGLE(JobState)=""),"https://fema.maps.arcgis.com/apps/mapviewer/index.html?url=https%3A%2F%2Fmdotgis.state.mi.us%2Farcgis%2Frest%2Fservices%2FWidget%2FNextGenPrFinderPub%2FFeatureServer%2F353&amp;find="&amp;$F81&amp;"%2C"&amp;$E81&amp;"&amp;marker="&amp;$F81&amp;","&amp;$E81&amp;",4326&amp;level=16",IF(_xlfn.SINGLE(JobState)="IN","https://fema.maps.arcgis.com/apps/mapviewer/index.html?url=https%3A%2F%2Fgisdata.in.gov%2Fserver%2Frest%2Fservices%2FHosted%2FLRSE_Functional_Class%2FFeatureServer%2F22&amp;find="&amp;$F81&amp;"%2C"&amp;$E81&amp;"&amp;marker="&amp;$F81&amp;","&amp;$E81&amp;",4326&amp;level=16",IF(_xlfn.SINGLE(JobState)="WI","https://fema.maps.arcgis.com/apps/mapviewer/index.html?url=https%3A%2F%2Fservices5.arcgis.com%2F0pgGLzT0Nh7FVjon%2Farcgis%2Frest%2Fservices%2FFFCL_gdb%2FFeatureServer%2F3&amp;find="&amp;$F81&amp;"%2C"&amp;$E81&amp;"&amp;marker="&amp;$F81&amp;","&amp;$E81&amp;",4326&amp;level=16","https://fema.maps.arcgis.com/apps/mapviewer/index.html?find="&amp;$F81&amp;"%2C"&amp;$E81&amp;"&amp;marker="&amp;$F81&amp;","&amp;$E81&amp;",4326&amp;level=16"))),"Open"))</f>
        <v/>
      </c>
      <c r="T81" s="4"/>
      <c r="U81" s="4"/>
      <c r="V81" s="4"/>
      <c r="W81" s="4"/>
      <c r="X81" s="4"/>
      <c r="Y81" s="4"/>
      <c r="Z81" s="4"/>
      <c r="AA81" s="4"/>
      <c r="AB81" s="1" t="str">
        <f>IF(OR(_xlfn.SINGLE(JobAgolMap)="", $E81="", $F81=""),"",HYPERLINK(_xlfn.SINGLE(JobAgolMap)&amp;IF(ISNUMBER(FIND("?",_xlfn.SINGLE(JobAgolMap))),"&amp;","?")&amp;"center="&amp;$F81&amp;","&amp;$E81&amp;"&amp;level=16&amp;marker="&amp;$F81&amp;","&amp;$E81,"Open"))</f>
        <v/>
      </c>
    </row>
    <row r="82" spans="1:28" x14ac:dyDescent="0.45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4"/>
      <c r="M82" s="1" t="str">
        <f t="shared" si="6"/>
        <v/>
      </c>
      <c r="N82" s="1" t="str">
        <f t="shared" si="7"/>
        <v/>
      </c>
      <c r="O82" s="1" t="str">
        <f t="shared" si="8"/>
        <v/>
      </c>
      <c r="P82" s="1" t="str">
        <f t="shared" si="9"/>
        <v/>
      </c>
      <c r="Q82" s="1" t="str">
        <f t="shared" si="10"/>
        <v/>
      </c>
      <c r="R82" s="1" t="str">
        <f t="shared" si="11"/>
        <v/>
      </c>
      <c r="S82" s="1" t="str">
        <f>IF(OR($E82="",$F82=""),"",HYPERLINK(IF(OR(_xlfn.SINGLE(JobState)="MI",_xlfn.SINGLE(JobState)=""),"https://fema.maps.arcgis.com/apps/mapviewer/index.html?url=https%3A%2F%2Fmdotgis.state.mi.us%2Farcgis%2Frest%2Fservices%2FWidget%2FNextGenPrFinderPub%2FFeatureServer%2F353&amp;find="&amp;$F82&amp;"%2C"&amp;$E82&amp;"&amp;marker="&amp;$F82&amp;","&amp;$E82&amp;",4326&amp;level=16",IF(_xlfn.SINGLE(JobState)="IN","https://fema.maps.arcgis.com/apps/mapviewer/index.html?url=https%3A%2F%2Fgisdata.in.gov%2Fserver%2Frest%2Fservices%2FHosted%2FLRSE_Functional_Class%2FFeatureServer%2F22&amp;find="&amp;$F82&amp;"%2C"&amp;$E82&amp;"&amp;marker="&amp;$F82&amp;","&amp;$E82&amp;",4326&amp;level=16",IF(_xlfn.SINGLE(JobState)="WI","https://fema.maps.arcgis.com/apps/mapviewer/index.html?url=https%3A%2F%2Fservices5.arcgis.com%2F0pgGLzT0Nh7FVjon%2Farcgis%2Frest%2Fservices%2FFFCL_gdb%2FFeatureServer%2F3&amp;find="&amp;$F82&amp;"%2C"&amp;$E82&amp;"&amp;marker="&amp;$F82&amp;","&amp;$E82&amp;",4326&amp;level=16","https://fema.maps.arcgis.com/apps/mapviewer/index.html?find="&amp;$F82&amp;"%2C"&amp;$E82&amp;"&amp;marker="&amp;$F82&amp;","&amp;$E82&amp;",4326&amp;level=16"))),"Open"))</f>
        <v/>
      </c>
      <c r="T82" s="4"/>
      <c r="U82" s="4"/>
      <c r="V82" s="4"/>
      <c r="W82" s="4"/>
      <c r="X82" s="4"/>
      <c r="Y82" s="4"/>
      <c r="Z82" s="4"/>
      <c r="AA82" s="4"/>
      <c r="AB82" s="1" t="str">
        <f>IF(OR(_xlfn.SINGLE(JobAgolMap)="", $E82="", $F82=""),"",HYPERLINK(_xlfn.SINGLE(JobAgolMap)&amp;IF(ISNUMBER(FIND("?",_xlfn.SINGLE(JobAgolMap))),"&amp;","?")&amp;"center="&amp;$F82&amp;","&amp;$E82&amp;"&amp;level=16&amp;marker="&amp;$F82&amp;","&amp;$E82,"Open"))</f>
        <v/>
      </c>
    </row>
    <row r="83" spans="1:28" x14ac:dyDescent="0.45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4"/>
      <c r="M83" s="1" t="str">
        <f t="shared" si="6"/>
        <v/>
      </c>
      <c r="N83" s="1" t="str">
        <f t="shared" si="7"/>
        <v/>
      </c>
      <c r="O83" s="1" t="str">
        <f t="shared" si="8"/>
        <v/>
      </c>
      <c r="P83" s="1" t="str">
        <f t="shared" si="9"/>
        <v/>
      </c>
      <c r="Q83" s="1" t="str">
        <f t="shared" si="10"/>
        <v/>
      </c>
      <c r="R83" s="1" t="str">
        <f t="shared" si="11"/>
        <v/>
      </c>
      <c r="S83" s="1" t="str">
        <f>IF(OR($E83="",$F83=""),"",HYPERLINK(IF(OR(_xlfn.SINGLE(JobState)="MI",_xlfn.SINGLE(JobState)=""),"https://fema.maps.arcgis.com/apps/mapviewer/index.html?url=https%3A%2F%2Fmdotgis.state.mi.us%2Farcgis%2Frest%2Fservices%2FWidget%2FNextGenPrFinderPub%2FFeatureServer%2F353&amp;find="&amp;$F83&amp;"%2C"&amp;$E83&amp;"&amp;marker="&amp;$F83&amp;","&amp;$E83&amp;",4326&amp;level=16",IF(_xlfn.SINGLE(JobState)="IN","https://fema.maps.arcgis.com/apps/mapviewer/index.html?url=https%3A%2F%2Fgisdata.in.gov%2Fserver%2Frest%2Fservices%2FHosted%2FLRSE_Functional_Class%2FFeatureServer%2F22&amp;find="&amp;$F83&amp;"%2C"&amp;$E83&amp;"&amp;marker="&amp;$F83&amp;","&amp;$E83&amp;",4326&amp;level=16",IF(_xlfn.SINGLE(JobState)="WI","https://fema.maps.arcgis.com/apps/mapviewer/index.html?url=https%3A%2F%2Fservices5.arcgis.com%2F0pgGLzT0Nh7FVjon%2Farcgis%2Frest%2Fservices%2FFFCL_gdb%2FFeatureServer%2F3&amp;find="&amp;$F83&amp;"%2C"&amp;$E83&amp;"&amp;marker="&amp;$F83&amp;","&amp;$E83&amp;",4326&amp;level=16","https://fema.maps.arcgis.com/apps/mapviewer/index.html?find="&amp;$F83&amp;"%2C"&amp;$E83&amp;"&amp;marker="&amp;$F83&amp;","&amp;$E83&amp;",4326&amp;level=16"))),"Open"))</f>
        <v/>
      </c>
      <c r="T83" s="4"/>
      <c r="U83" s="4"/>
      <c r="V83" s="4"/>
      <c r="W83" s="4"/>
      <c r="X83" s="4"/>
      <c r="Y83" s="4"/>
      <c r="Z83" s="4"/>
      <c r="AA83" s="4"/>
      <c r="AB83" s="1" t="str">
        <f>IF(OR(_xlfn.SINGLE(JobAgolMap)="", $E83="", $F83=""),"",HYPERLINK(_xlfn.SINGLE(JobAgolMap)&amp;IF(ISNUMBER(FIND("?",_xlfn.SINGLE(JobAgolMap))),"&amp;","?")&amp;"center="&amp;$F83&amp;","&amp;$E83&amp;"&amp;level=16&amp;marker="&amp;$F83&amp;","&amp;$E83,"Open"))</f>
        <v/>
      </c>
    </row>
    <row r="84" spans="1:28" x14ac:dyDescent="0.45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4"/>
      <c r="M84" s="1" t="str">
        <f t="shared" si="6"/>
        <v/>
      </c>
      <c r="N84" s="1" t="str">
        <f t="shared" si="7"/>
        <v/>
      </c>
      <c r="O84" s="1" t="str">
        <f t="shared" si="8"/>
        <v/>
      </c>
      <c r="P84" s="1" t="str">
        <f t="shared" si="9"/>
        <v/>
      </c>
      <c r="Q84" s="1" t="str">
        <f t="shared" si="10"/>
        <v/>
      </c>
      <c r="R84" s="1" t="str">
        <f t="shared" si="11"/>
        <v/>
      </c>
      <c r="S84" s="1" t="str">
        <f>IF(OR($E84="",$F84=""),"",HYPERLINK(IF(OR(_xlfn.SINGLE(JobState)="MI",_xlfn.SINGLE(JobState)=""),"https://fema.maps.arcgis.com/apps/mapviewer/index.html?url=https%3A%2F%2Fmdotgis.state.mi.us%2Farcgis%2Frest%2Fservices%2FWidget%2FNextGenPrFinderPub%2FFeatureServer%2F353&amp;find="&amp;$F84&amp;"%2C"&amp;$E84&amp;"&amp;marker="&amp;$F84&amp;","&amp;$E84&amp;",4326&amp;level=16",IF(_xlfn.SINGLE(JobState)="IN","https://fema.maps.arcgis.com/apps/mapviewer/index.html?url=https%3A%2F%2Fgisdata.in.gov%2Fserver%2Frest%2Fservices%2FHosted%2FLRSE_Functional_Class%2FFeatureServer%2F22&amp;find="&amp;$F84&amp;"%2C"&amp;$E84&amp;"&amp;marker="&amp;$F84&amp;","&amp;$E84&amp;",4326&amp;level=16",IF(_xlfn.SINGLE(JobState)="WI","https://fema.maps.arcgis.com/apps/mapviewer/index.html?url=https%3A%2F%2Fservices5.arcgis.com%2F0pgGLzT0Nh7FVjon%2Farcgis%2Frest%2Fservices%2FFFCL_gdb%2FFeatureServer%2F3&amp;find="&amp;$F84&amp;"%2C"&amp;$E84&amp;"&amp;marker="&amp;$F84&amp;","&amp;$E84&amp;",4326&amp;level=16","https://fema.maps.arcgis.com/apps/mapviewer/index.html?find="&amp;$F84&amp;"%2C"&amp;$E84&amp;"&amp;marker="&amp;$F84&amp;","&amp;$E84&amp;",4326&amp;level=16"))),"Open"))</f>
        <v/>
      </c>
      <c r="T84" s="4"/>
      <c r="U84" s="4"/>
      <c r="V84" s="4"/>
      <c r="W84" s="4"/>
      <c r="X84" s="4"/>
      <c r="Y84" s="4"/>
      <c r="Z84" s="4"/>
      <c r="AA84" s="4"/>
      <c r="AB84" s="1" t="str">
        <f>IF(OR(_xlfn.SINGLE(JobAgolMap)="", $E84="", $F84=""),"",HYPERLINK(_xlfn.SINGLE(JobAgolMap)&amp;IF(ISNUMBER(FIND("?",_xlfn.SINGLE(JobAgolMap))),"&amp;","?")&amp;"center="&amp;$F84&amp;","&amp;$E84&amp;"&amp;level=16&amp;marker="&amp;$F84&amp;","&amp;$E84,"Open"))</f>
        <v/>
      </c>
    </row>
    <row r="85" spans="1:28" x14ac:dyDescent="0.45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4"/>
      <c r="M85" s="1" t="str">
        <f t="shared" si="6"/>
        <v/>
      </c>
      <c r="N85" s="1" t="str">
        <f t="shared" si="7"/>
        <v/>
      </c>
      <c r="O85" s="1" t="str">
        <f t="shared" si="8"/>
        <v/>
      </c>
      <c r="P85" s="1" t="str">
        <f t="shared" si="9"/>
        <v/>
      </c>
      <c r="Q85" s="1" t="str">
        <f t="shared" si="10"/>
        <v/>
      </c>
      <c r="R85" s="1" t="str">
        <f t="shared" si="11"/>
        <v/>
      </c>
      <c r="S85" s="1" t="str">
        <f>IF(OR($E85="",$F85=""),"",HYPERLINK(IF(OR(_xlfn.SINGLE(JobState)="MI",_xlfn.SINGLE(JobState)=""),"https://fema.maps.arcgis.com/apps/mapviewer/index.html?url=https%3A%2F%2Fmdotgis.state.mi.us%2Farcgis%2Frest%2Fservices%2FWidget%2FNextGenPrFinderPub%2FFeatureServer%2F353&amp;find="&amp;$F85&amp;"%2C"&amp;$E85&amp;"&amp;marker="&amp;$F85&amp;","&amp;$E85&amp;",4326&amp;level=16",IF(_xlfn.SINGLE(JobState)="IN","https://fema.maps.arcgis.com/apps/mapviewer/index.html?url=https%3A%2F%2Fgisdata.in.gov%2Fserver%2Frest%2Fservices%2FHosted%2FLRSE_Functional_Class%2FFeatureServer%2F22&amp;find="&amp;$F85&amp;"%2C"&amp;$E85&amp;"&amp;marker="&amp;$F85&amp;","&amp;$E85&amp;",4326&amp;level=16",IF(_xlfn.SINGLE(JobState)="WI","https://fema.maps.arcgis.com/apps/mapviewer/index.html?url=https%3A%2F%2Fservices5.arcgis.com%2F0pgGLzT0Nh7FVjon%2Farcgis%2Frest%2Fservices%2FFFCL_gdb%2FFeatureServer%2F3&amp;find="&amp;$F85&amp;"%2C"&amp;$E85&amp;"&amp;marker="&amp;$F85&amp;","&amp;$E85&amp;",4326&amp;level=16","https://fema.maps.arcgis.com/apps/mapviewer/index.html?find="&amp;$F85&amp;"%2C"&amp;$E85&amp;"&amp;marker="&amp;$F85&amp;","&amp;$E85&amp;",4326&amp;level=16"))),"Open"))</f>
        <v/>
      </c>
      <c r="T85" s="4"/>
      <c r="U85" s="4"/>
      <c r="V85" s="4"/>
      <c r="W85" s="4"/>
      <c r="X85" s="4"/>
      <c r="Y85" s="4"/>
      <c r="Z85" s="4"/>
      <c r="AA85" s="4"/>
      <c r="AB85" s="1" t="str">
        <f>IF(OR(_xlfn.SINGLE(JobAgolMap)="", $E85="", $F85=""),"",HYPERLINK(_xlfn.SINGLE(JobAgolMap)&amp;IF(ISNUMBER(FIND("?",_xlfn.SINGLE(JobAgolMap))),"&amp;","?")&amp;"center="&amp;$F85&amp;","&amp;$E85&amp;"&amp;level=16&amp;marker="&amp;$F85&amp;","&amp;$E85,"Open"))</f>
        <v/>
      </c>
    </row>
    <row r="86" spans="1:28" x14ac:dyDescent="0.45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4"/>
      <c r="M86" s="1" t="str">
        <f t="shared" si="6"/>
        <v/>
      </c>
      <c r="N86" s="1" t="str">
        <f t="shared" si="7"/>
        <v/>
      </c>
      <c r="O86" s="1" t="str">
        <f t="shared" si="8"/>
        <v/>
      </c>
      <c r="P86" s="1" t="str">
        <f t="shared" si="9"/>
        <v/>
      </c>
      <c r="Q86" s="1" t="str">
        <f t="shared" si="10"/>
        <v/>
      </c>
      <c r="R86" s="1" t="str">
        <f t="shared" si="11"/>
        <v/>
      </c>
      <c r="S86" s="1" t="str">
        <f>IF(OR($E86="",$F86=""),"",HYPERLINK(IF(OR(_xlfn.SINGLE(JobState)="MI",_xlfn.SINGLE(JobState)=""),"https://fema.maps.arcgis.com/apps/mapviewer/index.html?url=https%3A%2F%2Fmdotgis.state.mi.us%2Farcgis%2Frest%2Fservices%2FWidget%2FNextGenPrFinderPub%2FFeatureServer%2F353&amp;find="&amp;$F86&amp;"%2C"&amp;$E86&amp;"&amp;marker="&amp;$F86&amp;","&amp;$E86&amp;",4326&amp;level=16",IF(_xlfn.SINGLE(JobState)="IN","https://fema.maps.arcgis.com/apps/mapviewer/index.html?url=https%3A%2F%2Fgisdata.in.gov%2Fserver%2Frest%2Fservices%2FHosted%2FLRSE_Functional_Class%2FFeatureServer%2F22&amp;find="&amp;$F86&amp;"%2C"&amp;$E86&amp;"&amp;marker="&amp;$F86&amp;","&amp;$E86&amp;",4326&amp;level=16",IF(_xlfn.SINGLE(JobState)="WI","https://fema.maps.arcgis.com/apps/mapviewer/index.html?url=https%3A%2F%2Fservices5.arcgis.com%2F0pgGLzT0Nh7FVjon%2Farcgis%2Frest%2Fservices%2FFFCL_gdb%2FFeatureServer%2F3&amp;find="&amp;$F86&amp;"%2C"&amp;$E86&amp;"&amp;marker="&amp;$F86&amp;","&amp;$E86&amp;",4326&amp;level=16","https://fema.maps.arcgis.com/apps/mapviewer/index.html?find="&amp;$F86&amp;"%2C"&amp;$E86&amp;"&amp;marker="&amp;$F86&amp;","&amp;$E86&amp;",4326&amp;level=16"))),"Open"))</f>
        <v/>
      </c>
      <c r="T86" s="4"/>
      <c r="U86" s="4"/>
      <c r="V86" s="4"/>
      <c r="W86" s="4"/>
      <c r="X86" s="4"/>
      <c r="Y86" s="4"/>
      <c r="Z86" s="4"/>
      <c r="AA86" s="4"/>
      <c r="AB86" s="1" t="str">
        <f>IF(OR(_xlfn.SINGLE(JobAgolMap)="", $E86="", $F86=""),"",HYPERLINK(_xlfn.SINGLE(JobAgolMap)&amp;IF(ISNUMBER(FIND("?",_xlfn.SINGLE(JobAgolMap))),"&amp;","?")&amp;"center="&amp;$F86&amp;","&amp;$E86&amp;"&amp;level=16&amp;marker="&amp;$F86&amp;","&amp;$E86,"Open"))</f>
        <v/>
      </c>
    </row>
    <row r="87" spans="1:28" x14ac:dyDescent="0.45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4"/>
      <c r="M87" s="1" t="str">
        <f t="shared" si="6"/>
        <v/>
      </c>
      <c r="N87" s="1" t="str">
        <f t="shared" si="7"/>
        <v/>
      </c>
      <c r="O87" s="1" t="str">
        <f t="shared" si="8"/>
        <v/>
      </c>
      <c r="P87" s="1" t="str">
        <f t="shared" si="9"/>
        <v/>
      </c>
      <c r="Q87" s="1" t="str">
        <f t="shared" si="10"/>
        <v/>
      </c>
      <c r="R87" s="1" t="str">
        <f t="shared" si="11"/>
        <v/>
      </c>
      <c r="S87" s="1" t="str">
        <f>IF(OR($E87="",$F87=""),"",HYPERLINK(IF(OR(_xlfn.SINGLE(JobState)="MI",_xlfn.SINGLE(JobState)=""),"https://fema.maps.arcgis.com/apps/mapviewer/index.html?url=https%3A%2F%2Fmdotgis.state.mi.us%2Farcgis%2Frest%2Fservices%2FWidget%2FNextGenPrFinderPub%2FFeatureServer%2F353&amp;find="&amp;$F87&amp;"%2C"&amp;$E87&amp;"&amp;marker="&amp;$F87&amp;","&amp;$E87&amp;",4326&amp;level=16",IF(_xlfn.SINGLE(JobState)="IN","https://fema.maps.arcgis.com/apps/mapviewer/index.html?url=https%3A%2F%2Fgisdata.in.gov%2Fserver%2Frest%2Fservices%2FHosted%2FLRSE_Functional_Class%2FFeatureServer%2F22&amp;find="&amp;$F87&amp;"%2C"&amp;$E87&amp;"&amp;marker="&amp;$F87&amp;","&amp;$E87&amp;",4326&amp;level=16",IF(_xlfn.SINGLE(JobState)="WI","https://fema.maps.arcgis.com/apps/mapviewer/index.html?url=https%3A%2F%2Fservices5.arcgis.com%2F0pgGLzT0Nh7FVjon%2Farcgis%2Frest%2Fservices%2FFFCL_gdb%2FFeatureServer%2F3&amp;find="&amp;$F87&amp;"%2C"&amp;$E87&amp;"&amp;marker="&amp;$F87&amp;","&amp;$E87&amp;",4326&amp;level=16","https://fema.maps.arcgis.com/apps/mapviewer/index.html?find="&amp;$F87&amp;"%2C"&amp;$E87&amp;"&amp;marker="&amp;$F87&amp;","&amp;$E87&amp;",4326&amp;level=16"))),"Open"))</f>
        <v/>
      </c>
      <c r="T87" s="4"/>
      <c r="U87" s="4"/>
      <c r="V87" s="4"/>
      <c r="W87" s="4"/>
      <c r="X87" s="4"/>
      <c r="Y87" s="4"/>
      <c r="Z87" s="4"/>
      <c r="AA87" s="4"/>
      <c r="AB87" s="1" t="str">
        <f>IF(OR(_xlfn.SINGLE(JobAgolMap)="", $E87="", $F87=""),"",HYPERLINK(_xlfn.SINGLE(JobAgolMap)&amp;IF(ISNUMBER(FIND("?",_xlfn.SINGLE(JobAgolMap))),"&amp;","?")&amp;"center="&amp;$F87&amp;","&amp;$E87&amp;"&amp;level=16&amp;marker="&amp;$F87&amp;","&amp;$E87,"Open"))</f>
        <v/>
      </c>
    </row>
    <row r="88" spans="1:28" x14ac:dyDescent="0.4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4"/>
      <c r="M88" s="1" t="str">
        <f t="shared" si="6"/>
        <v/>
      </c>
      <c r="N88" s="1" t="str">
        <f t="shared" si="7"/>
        <v/>
      </c>
      <c r="O88" s="1" t="str">
        <f t="shared" si="8"/>
        <v/>
      </c>
      <c r="P88" s="1" t="str">
        <f t="shared" si="9"/>
        <v/>
      </c>
      <c r="Q88" s="1" t="str">
        <f t="shared" si="10"/>
        <v/>
      </c>
      <c r="R88" s="1" t="str">
        <f t="shared" si="11"/>
        <v/>
      </c>
      <c r="S88" s="1" t="str">
        <f>IF(OR($E88="",$F88=""),"",HYPERLINK(IF(OR(_xlfn.SINGLE(JobState)="MI",_xlfn.SINGLE(JobState)=""),"https://fema.maps.arcgis.com/apps/mapviewer/index.html?url=https%3A%2F%2Fmdotgis.state.mi.us%2Farcgis%2Frest%2Fservices%2FWidget%2FNextGenPrFinderPub%2FFeatureServer%2F353&amp;find="&amp;$F88&amp;"%2C"&amp;$E88&amp;"&amp;marker="&amp;$F88&amp;","&amp;$E88&amp;",4326&amp;level=16",IF(_xlfn.SINGLE(JobState)="IN","https://fema.maps.arcgis.com/apps/mapviewer/index.html?url=https%3A%2F%2Fgisdata.in.gov%2Fserver%2Frest%2Fservices%2FHosted%2FLRSE_Functional_Class%2FFeatureServer%2F22&amp;find="&amp;$F88&amp;"%2C"&amp;$E88&amp;"&amp;marker="&amp;$F88&amp;","&amp;$E88&amp;",4326&amp;level=16",IF(_xlfn.SINGLE(JobState)="WI","https://fema.maps.arcgis.com/apps/mapviewer/index.html?url=https%3A%2F%2Fservices5.arcgis.com%2F0pgGLzT0Nh7FVjon%2Farcgis%2Frest%2Fservices%2FFFCL_gdb%2FFeatureServer%2F3&amp;find="&amp;$F88&amp;"%2C"&amp;$E88&amp;"&amp;marker="&amp;$F88&amp;","&amp;$E88&amp;",4326&amp;level=16","https://fema.maps.arcgis.com/apps/mapviewer/index.html?find="&amp;$F88&amp;"%2C"&amp;$E88&amp;"&amp;marker="&amp;$F88&amp;","&amp;$E88&amp;",4326&amp;level=16"))),"Open"))</f>
        <v/>
      </c>
      <c r="T88" s="4"/>
      <c r="U88" s="4"/>
      <c r="V88" s="4"/>
      <c r="W88" s="4"/>
      <c r="X88" s="4"/>
      <c r="Y88" s="4"/>
      <c r="Z88" s="4"/>
      <c r="AA88" s="4"/>
      <c r="AB88" s="1" t="str">
        <f>IF(OR(_xlfn.SINGLE(JobAgolMap)="", $E88="", $F88=""),"",HYPERLINK(_xlfn.SINGLE(JobAgolMap)&amp;IF(ISNUMBER(FIND("?",_xlfn.SINGLE(JobAgolMap))),"&amp;","?")&amp;"center="&amp;$F88&amp;","&amp;$E88&amp;"&amp;level=16&amp;marker="&amp;$F88&amp;","&amp;$E88,"Open"))</f>
        <v/>
      </c>
    </row>
    <row r="89" spans="1:28" x14ac:dyDescent="0.45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4"/>
      <c r="M89" s="1" t="str">
        <f t="shared" si="6"/>
        <v/>
      </c>
      <c r="N89" s="1" t="str">
        <f t="shared" si="7"/>
        <v/>
      </c>
      <c r="O89" s="1" t="str">
        <f t="shared" si="8"/>
        <v/>
      </c>
      <c r="P89" s="1" t="str">
        <f t="shared" si="9"/>
        <v/>
      </c>
      <c r="Q89" s="1" t="str">
        <f t="shared" si="10"/>
        <v/>
      </c>
      <c r="R89" s="1" t="str">
        <f t="shared" si="11"/>
        <v/>
      </c>
      <c r="S89" s="1" t="str">
        <f>IF(OR($E89="",$F89=""),"",HYPERLINK(IF(OR(_xlfn.SINGLE(JobState)="MI",_xlfn.SINGLE(JobState)=""),"https://fema.maps.arcgis.com/apps/mapviewer/index.html?url=https%3A%2F%2Fmdotgis.state.mi.us%2Farcgis%2Frest%2Fservices%2FWidget%2FNextGenPrFinderPub%2FFeatureServer%2F353&amp;find="&amp;$F89&amp;"%2C"&amp;$E89&amp;"&amp;marker="&amp;$F89&amp;","&amp;$E89&amp;",4326&amp;level=16",IF(_xlfn.SINGLE(JobState)="IN","https://fema.maps.arcgis.com/apps/mapviewer/index.html?url=https%3A%2F%2Fgisdata.in.gov%2Fserver%2Frest%2Fservices%2FHosted%2FLRSE_Functional_Class%2FFeatureServer%2F22&amp;find="&amp;$F89&amp;"%2C"&amp;$E89&amp;"&amp;marker="&amp;$F89&amp;","&amp;$E89&amp;",4326&amp;level=16",IF(_xlfn.SINGLE(JobState)="WI","https://fema.maps.arcgis.com/apps/mapviewer/index.html?url=https%3A%2F%2Fservices5.arcgis.com%2F0pgGLzT0Nh7FVjon%2Farcgis%2Frest%2Fservices%2FFFCL_gdb%2FFeatureServer%2F3&amp;find="&amp;$F89&amp;"%2C"&amp;$E89&amp;"&amp;marker="&amp;$F89&amp;","&amp;$E89&amp;",4326&amp;level=16","https://fema.maps.arcgis.com/apps/mapviewer/index.html?find="&amp;$F89&amp;"%2C"&amp;$E89&amp;"&amp;marker="&amp;$F89&amp;","&amp;$E89&amp;",4326&amp;level=16"))),"Open"))</f>
        <v/>
      </c>
      <c r="T89" s="4"/>
      <c r="U89" s="4"/>
      <c r="V89" s="4"/>
      <c r="W89" s="4"/>
      <c r="X89" s="4"/>
      <c r="Y89" s="4"/>
      <c r="Z89" s="4"/>
      <c r="AA89" s="4"/>
      <c r="AB89" s="1" t="str">
        <f>IF(OR(_xlfn.SINGLE(JobAgolMap)="", $E89="", $F89=""),"",HYPERLINK(_xlfn.SINGLE(JobAgolMap)&amp;IF(ISNUMBER(FIND("?",_xlfn.SINGLE(JobAgolMap))),"&amp;","?")&amp;"center="&amp;$F89&amp;","&amp;$E89&amp;"&amp;level=16&amp;marker="&amp;$F89&amp;","&amp;$E89,"Open"))</f>
        <v/>
      </c>
    </row>
    <row r="90" spans="1:28" x14ac:dyDescent="0.45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4"/>
      <c r="M90" s="1" t="str">
        <f t="shared" si="6"/>
        <v/>
      </c>
      <c r="N90" s="1" t="str">
        <f t="shared" si="7"/>
        <v/>
      </c>
      <c r="O90" s="1" t="str">
        <f t="shared" si="8"/>
        <v/>
      </c>
      <c r="P90" s="1" t="str">
        <f t="shared" si="9"/>
        <v/>
      </c>
      <c r="Q90" s="1" t="str">
        <f t="shared" si="10"/>
        <v/>
      </c>
      <c r="R90" s="1" t="str">
        <f t="shared" si="11"/>
        <v/>
      </c>
      <c r="S90" s="1" t="str">
        <f>IF(OR($E90="",$F90=""),"",HYPERLINK(IF(OR(_xlfn.SINGLE(JobState)="MI",_xlfn.SINGLE(JobState)=""),"https://fema.maps.arcgis.com/apps/mapviewer/index.html?url=https%3A%2F%2Fmdotgis.state.mi.us%2Farcgis%2Frest%2Fservices%2FWidget%2FNextGenPrFinderPub%2FFeatureServer%2F353&amp;find="&amp;$F90&amp;"%2C"&amp;$E90&amp;"&amp;marker="&amp;$F90&amp;","&amp;$E90&amp;",4326&amp;level=16",IF(_xlfn.SINGLE(JobState)="IN","https://fema.maps.arcgis.com/apps/mapviewer/index.html?url=https%3A%2F%2Fgisdata.in.gov%2Fserver%2Frest%2Fservices%2FHosted%2FLRSE_Functional_Class%2FFeatureServer%2F22&amp;find="&amp;$F90&amp;"%2C"&amp;$E90&amp;"&amp;marker="&amp;$F90&amp;","&amp;$E90&amp;",4326&amp;level=16",IF(_xlfn.SINGLE(JobState)="WI","https://fema.maps.arcgis.com/apps/mapviewer/index.html?url=https%3A%2F%2Fservices5.arcgis.com%2F0pgGLzT0Nh7FVjon%2Farcgis%2Frest%2Fservices%2FFFCL_gdb%2FFeatureServer%2F3&amp;find="&amp;$F90&amp;"%2C"&amp;$E90&amp;"&amp;marker="&amp;$F90&amp;","&amp;$E90&amp;",4326&amp;level=16","https://fema.maps.arcgis.com/apps/mapviewer/index.html?find="&amp;$F90&amp;"%2C"&amp;$E90&amp;"&amp;marker="&amp;$F90&amp;","&amp;$E90&amp;",4326&amp;level=16"))),"Open"))</f>
        <v/>
      </c>
      <c r="T90" s="4"/>
      <c r="U90" s="4"/>
      <c r="V90" s="4"/>
      <c r="W90" s="4"/>
      <c r="X90" s="4"/>
      <c r="Y90" s="4"/>
      <c r="Z90" s="4"/>
      <c r="AA90" s="4"/>
      <c r="AB90" s="1" t="str">
        <f>IF(OR(_xlfn.SINGLE(JobAgolMap)="", $E90="", $F90=""),"",HYPERLINK(_xlfn.SINGLE(JobAgolMap)&amp;IF(ISNUMBER(FIND("?",_xlfn.SINGLE(JobAgolMap))),"&amp;","?")&amp;"center="&amp;$F90&amp;","&amp;$E90&amp;"&amp;level=16&amp;marker="&amp;$F90&amp;","&amp;$E90,"Open"))</f>
        <v/>
      </c>
    </row>
    <row r="91" spans="1:28" x14ac:dyDescent="0.45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4"/>
      <c r="M91" s="1" t="str">
        <f t="shared" si="6"/>
        <v/>
      </c>
      <c r="N91" s="1" t="str">
        <f t="shared" si="7"/>
        <v/>
      </c>
      <c r="O91" s="1" t="str">
        <f t="shared" si="8"/>
        <v/>
      </c>
      <c r="P91" s="1" t="str">
        <f t="shared" si="9"/>
        <v/>
      </c>
      <c r="Q91" s="1" t="str">
        <f t="shared" si="10"/>
        <v/>
      </c>
      <c r="R91" s="1" t="str">
        <f t="shared" si="11"/>
        <v/>
      </c>
      <c r="S91" s="1" t="str">
        <f>IF(OR($E91="",$F91=""),"",HYPERLINK(IF(OR(_xlfn.SINGLE(JobState)="MI",_xlfn.SINGLE(JobState)=""),"https://fema.maps.arcgis.com/apps/mapviewer/index.html?url=https%3A%2F%2Fmdotgis.state.mi.us%2Farcgis%2Frest%2Fservices%2FWidget%2FNextGenPrFinderPub%2FFeatureServer%2F353&amp;find="&amp;$F91&amp;"%2C"&amp;$E91&amp;"&amp;marker="&amp;$F91&amp;","&amp;$E91&amp;",4326&amp;level=16",IF(_xlfn.SINGLE(JobState)="IN","https://fema.maps.arcgis.com/apps/mapviewer/index.html?url=https%3A%2F%2Fgisdata.in.gov%2Fserver%2Frest%2Fservices%2FHosted%2FLRSE_Functional_Class%2FFeatureServer%2F22&amp;find="&amp;$F91&amp;"%2C"&amp;$E91&amp;"&amp;marker="&amp;$F91&amp;","&amp;$E91&amp;",4326&amp;level=16",IF(_xlfn.SINGLE(JobState)="WI","https://fema.maps.arcgis.com/apps/mapviewer/index.html?url=https%3A%2F%2Fservices5.arcgis.com%2F0pgGLzT0Nh7FVjon%2Farcgis%2Frest%2Fservices%2FFFCL_gdb%2FFeatureServer%2F3&amp;find="&amp;$F91&amp;"%2C"&amp;$E91&amp;"&amp;marker="&amp;$F91&amp;","&amp;$E91&amp;",4326&amp;level=16","https://fema.maps.arcgis.com/apps/mapviewer/index.html?find="&amp;$F91&amp;"%2C"&amp;$E91&amp;"&amp;marker="&amp;$F91&amp;","&amp;$E91&amp;",4326&amp;level=16"))),"Open"))</f>
        <v/>
      </c>
      <c r="T91" s="4"/>
      <c r="U91" s="4"/>
      <c r="V91" s="4"/>
      <c r="W91" s="4"/>
      <c r="X91" s="4"/>
      <c r="Y91" s="4"/>
      <c r="Z91" s="4"/>
      <c r="AA91" s="4"/>
      <c r="AB91" s="1" t="str">
        <f>IF(OR(_xlfn.SINGLE(JobAgolMap)="", $E91="", $F91=""),"",HYPERLINK(_xlfn.SINGLE(JobAgolMap)&amp;IF(ISNUMBER(FIND("?",_xlfn.SINGLE(JobAgolMap))),"&amp;","?")&amp;"center="&amp;$F91&amp;","&amp;$E91&amp;"&amp;level=16&amp;marker="&amp;$F91&amp;","&amp;$E91,"Open"))</f>
        <v/>
      </c>
    </row>
    <row r="92" spans="1:28" x14ac:dyDescent="0.45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4"/>
      <c r="M92" s="1" t="str">
        <f t="shared" si="6"/>
        <v/>
      </c>
      <c r="N92" s="1" t="str">
        <f t="shared" si="7"/>
        <v/>
      </c>
      <c r="O92" s="1" t="str">
        <f t="shared" si="8"/>
        <v/>
      </c>
      <c r="P92" s="1" t="str">
        <f t="shared" si="9"/>
        <v/>
      </c>
      <c r="Q92" s="1" t="str">
        <f t="shared" si="10"/>
        <v/>
      </c>
      <c r="R92" s="1" t="str">
        <f t="shared" si="11"/>
        <v/>
      </c>
      <c r="S92" s="1" t="str">
        <f>IF(OR($E92="",$F92=""),"",HYPERLINK(IF(OR(_xlfn.SINGLE(JobState)="MI",_xlfn.SINGLE(JobState)=""),"https://fema.maps.arcgis.com/apps/mapviewer/index.html?url=https%3A%2F%2Fmdotgis.state.mi.us%2Farcgis%2Frest%2Fservices%2FWidget%2FNextGenPrFinderPub%2FFeatureServer%2F353&amp;find="&amp;$F92&amp;"%2C"&amp;$E92&amp;"&amp;marker="&amp;$F92&amp;","&amp;$E92&amp;",4326&amp;level=16",IF(_xlfn.SINGLE(JobState)="IN","https://fema.maps.arcgis.com/apps/mapviewer/index.html?url=https%3A%2F%2Fgisdata.in.gov%2Fserver%2Frest%2Fservices%2FHosted%2FLRSE_Functional_Class%2FFeatureServer%2F22&amp;find="&amp;$F92&amp;"%2C"&amp;$E92&amp;"&amp;marker="&amp;$F92&amp;","&amp;$E92&amp;",4326&amp;level=16",IF(_xlfn.SINGLE(JobState)="WI","https://fema.maps.arcgis.com/apps/mapviewer/index.html?url=https%3A%2F%2Fservices5.arcgis.com%2F0pgGLzT0Nh7FVjon%2Farcgis%2Frest%2Fservices%2FFFCL_gdb%2FFeatureServer%2F3&amp;find="&amp;$F92&amp;"%2C"&amp;$E92&amp;"&amp;marker="&amp;$F92&amp;","&amp;$E92&amp;",4326&amp;level=16","https://fema.maps.arcgis.com/apps/mapviewer/index.html?find="&amp;$F92&amp;"%2C"&amp;$E92&amp;"&amp;marker="&amp;$F92&amp;","&amp;$E92&amp;",4326&amp;level=16"))),"Open"))</f>
        <v/>
      </c>
      <c r="T92" s="4"/>
      <c r="U92" s="4"/>
      <c r="V92" s="4"/>
      <c r="W92" s="4"/>
      <c r="X92" s="4"/>
      <c r="Y92" s="4"/>
      <c r="Z92" s="4"/>
      <c r="AA92" s="4"/>
      <c r="AB92" s="1" t="str">
        <f>IF(OR(_xlfn.SINGLE(JobAgolMap)="", $E92="", $F92=""),"",HYPERLINK(_xlfn.SINGLE(JobAgolMap)&amp;IF(ISNUMBER(FIND("?",_xlfn.SINGLE(JobAgolMap))),"&amp;","?")&amp;"center="&amp;$F92&amp;","&amp;$E92&amp;"&amp;level=16&amp;marker="&amp;$F92&amp;","&amp;$E92,"Open"))</f>
        <v/>
      </c>
    </row>
    <row r="93" spans="1:28" x14ac:dyDescent="0.45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4"/>
      <c r="M93" s="1" t="str">
        <f t="shared" si="6"/>
        <v/>
      </c>
      <c r="N93" s="1" t="str">
        <f t="shared" si="7"/>
        <v/>
      </c>
      <c r="O93" s="1" t="str">
        <f t="shared" si="8"/>
        <v/>
      </c>
      <c r="P93" s="1" t="str">
        <f t="shared" si="9"/>
        <v/>
      </c>
      <c r="Q93" s="1" t="str">
        <f t="shared" si="10"/>
        <v/>
      </c>
      <c r="R93" s="1" t="str">
        <f t="shared" si="11"/>
        <v/>
      </c>
      <c r="S93" s="1" t="str">
        <f>IF(OR($E93="",$F93=""),"",HYPERLINK(IF(OR(_xlfn.SINGLE(JobState)="MI",_xlfn.SINGLE(JobState)=""),"https://fema.maps.arcgis.com/apps/mapviewer/index.html?url=https%3A%2F%2Fmdotgis.state.mi.us%2Farcgis%2Frest%2Fservices%2FWidget%2FNextGenPrFinderPub%2FFeatureServer%2F353&amp;find="&amp;$F93&amp;"%2C"&amp;$E93&amp;"&amp;marker="&amp;$F93&amp;","&amp;$E93&amp;",4326&amp;level=16",IF(_xlfn.SINGLE(JobState)="IN","https://fema.maps.arcgis.com/apps/mapviewer/index.html?url=https%3A%2F%2Fgisdata.in.gov%2Fserver%2Frest%2Fservices%2FHosted%2FLRSE_Functional_Class%2FFeatureServer%2F22&amp;find="&amp;$F93&amp;"%2C"&amp;$E93&amp;"&amp;marker="&amp;$F93&amp;","&amp;$E93&amp;",4326&amp;level=16",IF(_xlfn.SINGLE(JobState)="WI","https://fema.maps.arcgis.com/apps/mapviewer/index.html?url=https%3A%2F%2Fservices5.arcgis.com%2F0pgGLzT0Nh7FVjon%2Farcgis%2Frest%2Fservices%2FFFCL_gdb%2FFeatureServer%2F3&amp;find="&amp;$F93&amp;"%2C"&amp;$E93&amp;"&amp;marker="&amp;$F93&amp;","&amp;$E93&amp;",4326&amp;level=16","https://fema.maps.arcgis.com/apps/mapviewer/index.html?find="&amp;$F93&amp;"%2C"&amp;$E93&amp;"&amp;marker="&amp;$F93&amp;","&amp;$E93&amp;",4326&amp;level=16"))),"Open"))</f>
        <v/>
      </c>
      <c r="T93" s="4"/>
      <c r="U93" s="4"/>
      <c r="V93" s="4"/>
      <c r="W93" s="4"/>
      <c r="X93" s="4"/>
      <c r="Y93" s="4"/>
      <c r="Z93" s="4"/>
      <c r="AA93" s="4"/>
      <c r="AB93" s="1" t="str">
        <f>IF(OR(_xlfn.SINGLE(JobAgolMap)="", $E93="", $F93=""),"",HYPERLINK(_xlfn.SINGLE(JobAgolMap)&amp;IF(ISNUMBER(FIND("?",_xlfn.SINGLE(JobAgolMap))),"&amp;","?")&amp;"center="&amp;$F93&amp;","&amp;$E93&amp;"&amp;level=16&amp;marker="&amp;$F93&amp;","&amp;$E93,"Open"))</f>
        <v/>
      </c>
    </row>
    <row r="94" spans="1:28" x14ac:dyDescent="0.45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4"/>
      <c r="M94" s="1" t="str">
        <f t="shared" si="6"/>
        <v/>
      </c>
      <c r="N94" s="1" t="str">
        <f t="shared" si="7"/>
        <v/>
      </c>
      <c r="O94" s="1" t="str">
        <f t="shared" si="8"/>
        <v/>
      </c>
      <c r="P94" s="1" t="str">
        <f t="shared" si="9"/>
        <v/>
      </c>
      <c r="Q94" s="1" t="str">
        <f t="shared" si="10"/>
        <v/>
      </c>
      <c r="R94" s="1" t="str">
        <f t="shared" si="11"/>
        <v/>
      </c>
      <c r="S94" s="1" t="str">
        <f>IF(OR($E94="",$F94=""),"",HYPERLINK(IF(OR(_xlfn.SINGLE(JobState)="MI",_xlfn.SINGLE(JobState)=""),"https://fema.maps.arcgis.com/apps/mapviewer/index.html?url=https%3A%2F%2Fmdotgis.state.mi.us%2Farcgis%2Frest%2Fservices%2FWidget%2FNextGenPrFinderPub%2FFeatureServer%2F353&amp;find="&amp;$F94&amp;"%2C"&amp;$E94&amp;"&amp;marker="&amp;$F94&amp;","&amp;$E94&amp;",4326&amp;level=16",IF(_xlfn.SINGLE(JobState)="IN","https://fema.maps.arcgis.com/apps/mapviewer/index.html?url=https%3A%2F%2Fgisdata.in.gov%2Fserver%2Frest%2Fservices%2FHosted%2FLRSE_Functional_Class%2FFeatureServer%2F22&amp;find="&amp;$F94&amp;"%2C"&amp;$E94&amp;"&amp;marker="&amp;$F94&amp;","&amp;$E94&amp;",4326&amp;level=16",IF(_xlfn.SINGLE(JobState)="WI","https://fema.maps.arcgis.com/apps/mapviewer/index.html?url=https%3A%2F%2Fservices5.arcgis.com%2F0pgGLzT0Nh7FVjon%2Farcgis%2Frest%2Fservices%2FFFCL_gdb%2FFeatureServer%2F3&amp;find="&amp;$F94&amp;"%2C"&amp;$E94&amp;"&amp;marker="&amp;$F94&amp;","&amp;$E94&amp;",4326&amp;level=16","https://fema.maps.arcgis.com/apps/mapviewer/index.html?find="&amp;$F94&amp;"%2C"&amp;$E94&amp;"&amp;marker="&amp;$F94&amp;","&amp;$E94&amp;",4326&amp;level=16"))),"Open"))</f>
        <v/>
      </c>
      <c r="T94" s="4"/>
      <c r="U94" s="4"/>
      <c r="V94" s="4"/>
      <c r="W94" s="4"/>
      <c r="X94" s="4"/>
      <c r="Y94" s="4"/>
      <c r="Z94" s="4"/>
      <c r="AA94" s="4"/>
      <c r="AB94" s="1" t="str">
        <f>IF(OR(_xlfn.SINGLE(JobAgolMap)="", $E94="", $F94=""),"",HYPERLINK(_xlfn.SINGLE(JobAgolMap)&amp;IF(ISNUMBER(FIND("?",_xlfn.SINGLE(JobAgolMap))),"&amp;","?")&amp;"center="&amp;$F94&amp;","&amp;$E94&amp;"&amp;level=16&amp;marker="&amp;$F94&amp;","&amp;$E94,"Open"))</f>
        <v/>
      </c>
    </row>
    <row r="95" spans="1:28" x14ac:dyDescent="0.45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4"/>
      <c r="M95" s="1" t="str">
        <f t="shared" si="6"/>
        <v/>
      </c>
      <c r="N95" s="1" t="str">
        <f t="shared" si="7"/>
        <v/>
      </c>
      <c r="O95" s="1" t="str">
        <f t="shared" si="8"/>
        <v/>
      </c>
      <c r="P95" s="1" t="str">
        <f t="shared" si="9"/>
        <v/>
      </c>
      <c r="Q95" s="1" t="str">
        <f t="shared" si="10"/>
        <v/>
      </c>
      <c r="R95" s="1" t="str">
        <f t="shared" si="11"/>
        <v/>
      </c>
      <c r="S95" s="1" t="str">
        <f>IF(OR($E95="",$F95=""),"",HYPERLINK(IF(OR(_xlfn.SINGLE(JobState)="MI",_xlfn.SINGLE(JobState)=""),"https://fema.maps.arcgis.com/apps/mapviewer/index.html?url=https%3A%2F%2Fmdotgis.state.mi.us%2Farcgis%2Frest%2Fservices%2FWidget%2FNextGenPrFinderPub%2FFeatureServer%2F353&amp;find="&amp;$F95&amp;"%2C"&amp;$E95&amp;"&amp;marker="&amp;$F95&amp;","&amp;$E95&amp;",4326&amp;level=16",IF(_xlfn.SINGLE(JobState)="IN","https://fema.maps.arcgis.com/apps/mapviewer/index.html?url=https%3A%2F%2Fgisdata.in.gov%2Fserver%2Frest%2Fservices%2FHosted%2FLRSE_Functional_Class%2FFeatureServer%2F22&amp;find="&amp;$F95&amp;"%2C"&amp;$E95&amp;"&amp;marker="&amp;$F95&amp;","&amp;$E95&amp;",4326&amp;level=16",IF(_xlfn.SINGLE(JobState)="WI","https://fema.maps.arcgis.com/apps/mapviewer/index.html?url=https%3A%2F%2Fservices5.arcgis.com%2F0pgGLzT0Nh7FVjon%2Farcgis%2Frest%2Fservices%2FFFCL_gdb%2FFeatureServer%2F3&amp;find="&amp;$F95&amp;"%2C"&amp;$E95&amp;"&amp;marker="&amp;$F95&amp;","&amp;$E95&amp;",4326&amp;level=16","https://fema.maps.arcgis.com/apps/mapviewer/index.html?find="&amp;$F95&amp;"%2C"&amp;$E95&amp;"&amp;marker="&amp;$F95&amp;","&amp;$E95&amp;",4326&amp;level=16"))),"Open"))</f>
        <v/>
      </c>
      <c r="T95" s="4"/>
      <c r="U95" s="4"/>
      <c r="V95" s="4"/>
      <c r="W95" s="4"/>
      <c r="X95" s="4"/>
      <c r="Y95" s="4"/>
      <c r="Z95" s="4"/>
      <c r="AA95" s="4"/>
      <c r="AB95" s="1" t="str">
        <f>IF(OR(_xlfn.SINGLE(JobAgolMap)="", $E95="", $F95=""),"",HYPERLINK(_xlfn.SINGLE(JobAgolMap)&amp;IF(ISNUMBER(FIND("?",_xlfn.SINGLE(JobAgolMap))),"&amp;","?")&amp;"center="&amp;$F95&amp;","&amp;$E95&amp;"&amp;level=16&amp;marker="&amp;$F95&amp;","&amp;$E95,"Open"))</f>
        <v/>
      </c>
    </row>
    <row r="96" spans="1:28" x14ac:dyDescent="0.45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4"/>
      <c r="M96" s="1" t="str">
        <f t="shared" si="6"/>
        <v/>
      </c>
      <c r="N96" s="1" t="str">
        <f t="shared" si="7"/>
        <v/>
      </c>
      <c r="O96" s="1" t="str">
        <f t="shared" si="8"/>
        <v/>
      </c>
      <c r="P96" s="1" t="str">
        <f t="shared" si="9"/>
        <v/>
      </c>
      <c r="Q96" s="1" t="str">
        <f t="shared" si="10"/>
        <v/>
      </c>
      <c r="R96" s="1" t="str">
        <f t="shared" si="11"/>
        <v/>
      </c>
      <c r="S96" s="1" t="str">
        <f>IF(OR($E96="",$F96=""),"",HYPERLINK(IF(OR(_xlfn.SINGLE(JobState)="MI",_xlfn.SINGLE(JobState)=""),"https://fema.maps.arcgis.com/apps/mapviewer/index.html?url=https%3A%2F%2Fmdotgis.state.mi.us%2Farcgis%2Frest%2Fservices%2FWidget%2FNextGenPrFinderPub%2FFeatureServer%2F353&amp;find="&amp;$F96&amp;"%2C"&amp;$E96&amp;"&amp;marker="&amp;$F96&amp;","&amp;$E96&amp;",4326&amp;level=16",IF(_xlfn.SINGLE(JobState)="IN","https://fema.maps.arcgis.com/apps/mapviewer/index.html?url=https%3A%2F%2Fgisdata.in.gov%2Fserver%2Frest%2Fservices%2FHosted%2FLRSE_Functional_Class%2FFeatureServer%2F22&amp;find="&amp;$F96&amp;"%2C"&amp;$E96&amp;"&amp;marker="&amp;$F96&amp;","&amp;$E96&amp;",4326&amp;level=16",IF(_xlfn.SINGLE(JobState)="WI","https://fema.maps.arcgis.com/apps/mapviewer/index.html?url=https%3A%2F%2Fservices5.arcgis.com%2F0pgGLzT0Nh7FVjon%2Farcgis%2Frest%2Fservices%2FFFCL_gdb%2FFeatureServer%2F3&amp;find="&amp;$F96&amp;"%2C"&amp;$E96&amp;"&amp;marker="&amp;$F96&amp;","&amp;$E96&amp;",4326&amp;level=16","https://fema.maps.arcgis.com/apps/mapviewer/index.html?find="&amp;$F96&amp;"%2C"&amp;$E96&amp;"&amp;marker="&amp;$F96&amp;","&amp;$E96&amp;",4326&amp;level=16"))),"Open"))</f>
        <v/>
      </c>
      <c r="T96" s="4"/>
      <c r="U96" s="4"/>
      <c r="V96" s="4"/>
      <c r="W96" s="4"/>
      <c r="X96" s="4"/>
      <c r="Y96" s="4"/>
      <c r="Z96" s="4"/>
      <c r="AA96" s="4"/>
      <c r="AB96" s="1" t="str">
        <f>IF(OR(_xlfn.SINGLE(JobAgolMap)="", $E96="", $F96=""),"",HYPERLINK(_xlfn.SINGLE(JobAgolMap)&amp;IF(ISNUMBER(FIND("?",_xlfn.SINGLE(JobAgolMap))),"&amp;","?")&amp;"center="&amp;$F96&amp;","&amp;$E96&amp;"&amp;level=16&amp;marker="&amp;$F96&amp;","&amp;$E96,"Open"))</f>
        <v/>
      </c>
    </row>
    <row r="97" spans="1:28" x14ac:dyDescent="0.45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4"/>
      <c r="M97" s="1" t="str">
        <f t="shared" si="6"/>
        <v/>
      </c>
      <c r="N97" s="1" t="str">
        <f t="shared" si="7"/>
        <v/>
      </c>
      <c r="O97" s="1" t="str">
        <f t="shared" si="8"/>
        <v/>
      </c>
      <c r="P97" s="1" t="str">
        <f t="shared" si="9"/>
        <v/>
      </c>
      <c r="Q97" s="1" t="str">
        <f t="shared" si="10"/>
        <v/>
      </c>
      <c r="R97" s="1" t="str">
        <f t="shared" si="11"/>
        <v/>
      </c>
      <c r="S97" s="1" t="str">
        <f>IF(OR($E97="",$F97=""),"",HYPERLINK(IF(OR(_xlfn.SINGLE(JobState)="MI",_xlfn.SINGLE(JobState)=""),"https://fema.maps.arcgis.com/apps/mapviewer/index.html?url=https%3A%2F%2Fmdotgis.state.mi.us%2Farcgis%2Frest%2Fservices%2FWidget%2FNextGenPrFinderPub%2FFeatureServer%2F353&amp;find="&amp;$F97&amp;"%2C"&amp;$E97&amp;"&amp;marker="&amp;$F97&amp;","&amp;$E97&amp;",4326&amp;level=16",IF(_xlfn.SINGLE(JobState)="IN","https://fema.maps.arcgis.com/apps/mapviewer/index.html?url=https%3A%2F%2Fgisdata.in.gov%2Fserver%2Frest%2Fservices%2FHosted%2FLRSE_Functional_Class%2FFeatureServer%2F22&amp;find="&amp;$F97&amp;"%2C"&amp;$E97&amp;"&amp;marker="&amp;$F97&amp;","&amp;$E97&amp;",4326&amp;level=16",IF(_xlfn.SINGLE(JobState)="WI","https://fema.maps.arcgis.com/apps/mapviewer/index.html?url=https%3A%2F%2Fservices5.arcgis.com%2F0pgGLzT0Nh7FVjon%2Farcgis%2Frest%2Fservices%2FFFCL_gdb%2FFeatureServer%2F3&amp;find="&amp;$F97&amp;"%2C"&amp;$E97&amp;"&amp;marker="&amp;$F97&amp;","&amp;$E97&amp;",4326&amp;level=16","https://fema.maps.arcgis.com/apps/mapviewer/index.html?find="&amp;$F97&amp;"%2C"&amp;$E97&amp;"&amp;marker="&amp;$F97&amp;","&amp;$E97&amp;",4326&amp;level=16"))),"Open"))</f>
        <v/>
      </c>
      <c r="T97" s="4"/>
      <c r="U97" s="4"/>
      <c r="V97" s="4"/>
      <c r="W97" s="4"/>
      <c r="X97" s="4"/>
      <c r="Y97" s="4"/>
      <c r="Z97" s="4"/>
      <c r="AA97" s="4"/>
      <c r="AB97" s="1" t="str">
        <f>IF(OR(_xlfn.SINGLE(JobAgolMap)="", $E97="", $F97=""),"",HYPERLINK(_xlfn.SINGLE(JobAgolMap)&amp;IF(ISNUMBER(FIND("?",_xlfn.SINGLE(JobAgolMap))),"&amp;","?")&amp;"center="&amp;$F97&amp;","&amp;$E97&amp;"&amp;level=16&amp;marker="&amp;$F97&amp;","&amp;$E97,"Open"))</f>
        <v/>
      </c>
    </row>
    <row r="98" spans="1:28" x14ac:dyDescent="0.45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4"/>
      <c r="M98" s="1" t="str">
        <f t="shared" si="6"/>
        <v/>
      </c>
      <c r="N98" s="1" t="str">
        <f t="shared" si="7"/>
        <v/>
      </c>
      <c r="O98" s="1" t="str">
        <f t="shared" si="8"/>
        <v/>
      </c>
      <c r="P98" s="1" t="str">
        <f t="shared" si="9"/>
        <v/>
      </c>
      <c r="Q98" s="1" t="str">
        <f t="shared" si="10"/>
        <v/>
      </c>
      <c r="R98" s="1" t="str">
        <f t="shared" si="11"/>
        <v/>
      </c>
      <c r="S98" s="1" t="str">
        <f>IF(OR($E98="",$F98=""),"",HYPERLINK(IF(OR(_xlfn.SINGLE(JobState)="MI",_xlfn.SINGLE(JobState)=""),"https://fema.maps.arcgis.com/apps/mapviewer/index.html?url=https%3A%2F%2Fmdotgis.state.mi.us%2Farcgis%2Frest%2Fservices%2FWidget%2FNextGenPrFinderPub%2FFeatureServer%2F353&amp;find="&amp;$F98&amp;"%2C"&amp;$E98&amp;"&amp;marker="&amp;$F98&amp;","&amp;$E98&amp;",4326&amp;level=16",IF(_xlfn.SINGLE(JobState)="IN","https://fema.maps.arcgis.com/apps/mapviewer/index.html?url=https%3A%2F%2Fgisdata.in.gov%2Fserver%2Frest%2Fservices%2FHosted%2FLRSE_Functional_Class%2FFeatureServer%2F22&amp;find="&amp;$F98&amp;"%2C"&amp;$E98&amp;"&amp;marker="&amp;$F98&amp;","&amp;$E98&amp;",4326&amp;level=16",IF(_xlfn.SINGLE(JobState)="WI","https://fema.maps.arcgis.com/apps/mapviewer/index.html?url=https%3A%2F%2Fservices5.arcgis.com%2F0pgGLzT0Nh7FVjon%2Farcgis%2Frest%2Fservices%2FFFCL_gdb%2FFeatureServer%2F3&amp;find="&amp;$F98&amp;"%2C"&amp;$E98&amp;"&amp;marker="&amp;$F98&amp;","&amp;$E98&amp;",4326&amp;level=16","https://fema.maps.arcgis.com/apps/mapviewer/index.html?find="&amp;$F98&amp;"%2C"&amp;$E98&amp;"&amp;marker="&amp;$F98&amp;","&amp;$E98&amp;",4326&amp;level=16"))),"Open"))</f>
        <v/>
      </c>
      <c r="T98" s="4"/>
      <c r="U98" s="4"/>
      <c r="V98" s="4"/>
      <c r="W98" s="4"/>
      <c r="X98" s="4"/>
      <c r="Y98" s="4"/>
      <c r="Z98" s="4"/>
      <c r="AA98" s="4"/>
      <c r="AB98" s="1" t="str">
        <f>IF(OR(_xlfn.SINGLE(JobAgolMap)="", $E98="", $F98=""),"",HYPERLINK(_xlfn.SINGLE(JobAgolMap)&amp;IF(ISNUMBER(FIND("?",_xlfn.SINGLE(JobAgolMap))),"&amp;","?")&amp;"center="&amp;$F98&amp;","&amp;$E98&amp;"&amp;level=16&amp;marker="&amp;$F98&amp;","&amp;$E98,"Open"))</f>
        <v/>
      </c>
    </row>
    <row r="99" spans="1:28" x14ac:dyDescent="0.45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4"/>
      <c r="M99" s="1" t="str">
        <f t="shared" si="6"/>
        <v/>
      </c>
      <c r="N99" s="1" t="str">
        <f t="shared" si="7"/>
        <v/>
      </c>
      <c r="O99" s="1" t="str">
        <f t="shared" si="8"/>
        <v/>
      </c>
      <c r="P99" s="1" t="str">
        <f t="shared" si="9"/>
        <v/>
      </c>
      <c r="Q99" s="1" t="str">
        <f t="shared" si="10"/>
        <v/>
      </c>
      <c r="R99" s="1" t="str">
        <f t="shared" si="11"/>
        <v/>
      </c>
      <c r="S99" s="1" t="str">
        <f>IF(OR($E99="",$F99=""),"",HYPERLINK(IF(OR(_xlfn.SINGLE(JobState)="MI",_xlfn.SINGLE(JobState)=""),"https://fema.maps.arcgis.com/apps/mapviewer/index.html?url=https%3A%2F%2Fmdotgis.state.mi.us%2Farcgis%2Frest%2Fservices%2FWidget%2FNextGenPrFinderPub%2FFeatureServer%2F353&amp;find="&amp;$F99&amp;"%2C"&amp;$E99&amp;"&amp;marker="&amp;$F99&amp;","&amp;$E99&amp;",4326&amp;level=16",IF(_xlfn.SINGLE(JobState)="IN","https://fema.maps.arcgis.com/apps/mapviewer/index.html?url=https%3A%2F%2Fgisdata.in.gov%2Fserver%2Frest%2Fservices%2FHosted%2FLRSE_Functional_Class%2FFeatureServer%2F22&amp;find="&amp;$F99&amp;"%2C"&amp;$E99&amp;"&amp;marker="&amp;$F99&amp;","&amp;$E99&amp;",4326&amp;level=16",IF(_xlfn.SINGLE(JobState)="WI","https://fema.maps.arcgis.com/apps/mapviewer/index.html?url=https%3A%2F%2Fservices5.arcgis.com%2F0pgGLzT0Nh7FVjon%2Farcgis%2Frest%2Fservices%2FFFCL_gdb%2FFeatureServer%2F3&amp;find="&amp;$F99&amp;"%2C"&amp;$E99&amp;"&amp;marker="&amp;$F99&amp;","&amp;$E99&amp;",4326&amp;level=16","https://fema.maps.arcgis.com/apps/mapviewer/index.html?find="&amp;$F99&amp;"%2C"&amp;$E99&amp;"&amp;marker="&amp;$F99&amp;","&amp;$E99&amp;",4326&amp;level=16"))),"Open"))</f>
        <v/>
      </c>
      <c r="T99" s="4"/>
      <c r="U99" s="4"/>
      <c r="V99" s="4"/>
      <c r="W99" s="4"/>
      <c r="X99" s="4"/>
      <c r="Y99" s="4"/>
      <c r="Z99" s="4"/>
      <c r="AA99" s="4"/>
      <c r="AB99" s="1" t="str">
        <f>IF(OR(_xlfn.SINGLE(JobAgolMap)="", $E99="", $F99=""),"",HYPERLINK(_xlfn.SINGLE(JobAgolMap)&amp;IF(ISNUMBER(FIND("?",_xlfn.SINGLE(JobAgolMap))),"&amp;","?")&amp;"center="&amp;$F99&amp;","&amp;$E99&amp;"&amp;level=16&amp;marker="&amp;$F99&amp;","&amp;$E99,"Open"))</f>
        <v/>
      </c>
    </row>
    <row r="100" spans="1:28" x14ac:dyDescent="0.45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4"/>
      <c r="M100" s="1" t="str">
        <f t="shared" si="6"/>
        <v/>
      </c>
      <c r="N100" s="1" t="str">
        <f t="shared" si="7"/>
        <v/>
      </c>
      <c r="O100" s="1" t="str">
        <f t="shared" si="8"/>
        <v/>
      </c>
      <c r="P100" s="1" t="str">
        <f t="shared" si="9"/>
        <v/>
      </c>
      <c r="Q100" s="1" t="str">
        <f t="shared" si="10"/>
        <v/>
      </c>
      <c r="R100" s="1" t="str">
        <f t="shared" si="11"/>
        <v/>
      </c>
      <c r="S100" s="1" t="str">
        <f>IF(OR($E100="",$F100=""),"",HYPERLINK(IF(OR(_xlfn.SINGLE(JobState)="MI",_xlfn.SINGLE(JobState)=""),"https://fema.maps.arcgis.com/apps/mapviewer/index.html?url=https%3A%2F%2Fmdotgis.state.mi.us%2Farcgis%2Frest%2Fservices%2FWidget%2FNextGenPrFinderPub%2FFeatureServer%2F353&amp;find="&amp;$F100&amp;"%2C"&amp;$E100&amp;"&amp;marker="&amp;$F100&amp;","&amp;$E100&amp;",4326&amp;level=16",IF(_xlfn.SINGLE(JobState)="IN","https://fema.maps.arcgis.com/apps/mapviewer/index.html?url=https%3A%2F%2Fgisdata.in.gov%2Fserver%2Frest%2Fservices%2FHosted%2FLRSE_Functional_Class%2FFeatureServer%2F22&amp;find="&amp;$F100&amp;"%2C"&amp;$E100&amp;"&amp;marker="&amp;$F100&amp;","&amp;$E100&amp;",4326&amp;level=16",IF(_xlfn.SINGLE(JobState)="WI","https://fema.maps.arcgis.com/apps/mapviewer/index.html?url=https%3A%2F%2Fservices5.arcgis.com%2F0pgGLzT0Nh7FVjon%2Farcgis%2Frest%2Fservices%2FFFCL_gdb%2FFeatureServer%2F3&amp;find="&amp;$F100&amp;"%2C"&amp;$E100&amp;"&amp;marker="&amp;$F100&amp;","&amp;$E100&amp;",4326&amp;level=16","https://fema.maps.arcgis.com/apps/mapviewer/index.html?find="&amp;$F100&amp;"%2C"&amp;$E100&amp;"&amp;marker="&amp;$F100&amp;","&amp;$E100&amp;",4326&amp;level=16"))),"Open"))</f>
        <v/>
      </c>
      <c r="T100" s="4"/>
      <c r="U100" s="4"/>
      <c r="V100" s="4"/>
      <c r="W100" s="4"/>
      <c r="X100" s="4"/>
      <c r="Y100" s="4"/>
      <c r="Z100" s="4"/>
      <c r="AA100" s="4"/>
      <c r="AB100" s="1" t="str">
        <f>IF(OR(_xlfn.SINGLE(JobAgolMap)="", $E100="", $F100=""),"",HYPERLINK(_xlfn.SINGLE(JobAgolMap)&amp;IF(ISNUMBER(FIND("?",_xlfn.SINGLE(JobAgolMap))),"&amp;","?")&amp;"center="&amp;$F100&amp;","&amp;$E100&amp;"&amp;level=16&amp;marker="&amp;$F100&amp;","&amp;$E100,"Open"))</f>
        <v/>
      </c>
    </row>
    <row r="101" spans="1:28" x14ac:dyDescent="0.45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4"/>
      <c r="M101" s="1" t="str">
        <f t="shared" si="6"/>
        <v/>
      </c>
      <c r="N101" s="1" t="str">
        <f t="shared" si="7"/>
        <v/>
      </c>
      <c r="O101" s="1" t="str">
        <f t="shared" si="8"/>
        <v/>
      </c>
      <c r="P101" s="1" t="str">
        <f t="shared" si="9"/>
        <v/>
      </c>
      <c r="Q101" s="1" t="str">
        <f t="shared" si="10"/>
        <v/>
      </c>
      <c r="R101" s="1" t="str">
        <f t="shared" si="11"/>
        <v/>
      </c>
      <c r="S101" s="1" t="str">
        <f>IF(OR($E101="",$F101=""),"",HYPERLINK(IF(OR(_xlfn.SINGLE(JobState)="MI",_xlfn.SINGLE(JobState)=""),"https://fema.maps.arcgis.com/apps/mapviewer/index.html?url=https%3A%2F%2Fmdotgis.state.mi.us%2Farcgis%2Frest%2Fservices%2FWidget%2FNextGenPrFinderPub%2FFeatureServer%2F353&amp;find="&amp;$F101&amp;"%2C"&amp;$E101&amp;"&amp;marker="&amp;$F101&amp;","&amp;$E101&amp;",4326&amp;level=16",IF(_xlfn.SINGLE(JobState)="IN","https://fema.maps.arcgis.com/apps/mapviewer/index.html?url=https%3A%2F%2Fgisdata.in.gov%2Fserver%2Frest%2Fservices%2FHosted%2FLRSE_Functional_Class%2FFeatureServer%2F22&amp;find="&amp;$F101&amp;"%2C"&amp;$E101&amp;"&amp;marker="&amp;$F101&amp;","&amp;$E101&amp;",4326&amp;level=16",IF(_xlfn.SINGLE(JobState)="WI","https://fema.maps.arcgis.com/apps/mapviewer/index.html?url=https%3A%2F%2Fservices5.arcgis.com%2F0pgGLzT0Nh7FVjon%2Farcgis%2Frest%2Fservices%2FFFCL_gdb%2FFeatureServer%2F3&amp;find="&amp;$F101&amp;"%2C"&amp;$E101&amp;"&amp;marker="&amp;$F101&amp;","&amp;$E101&amp;",4326&amp;level=16","https://fema.maps.arcgis.com/apps/mapviewer/index.html?find="&amp;$F101&amp;"%2C"&amp;$E101&amp;"&amp;marker="&amp;$F101&amp;","&amp;$E101&amp;",4326&amp;level=16"))),"Open"))</f>
        <v/>
      </c>
      <c r="T101" s="4"/>
      <c r="U101" s="4"/>
      <c r="V101" s="4"/>
      <c r="W101" s="4"/>
      <c r="X101" s="4"/>
      <c r="Y101" s="4"/>
      <c r="Z101" s="4"/>
      <c r="AA101" s="4"/>
      <c r="AB101" s="1" t="str">
        <f>IF(OR(_xlfn.SINGLE(JobAgolMap)="", $E101="", $F101=""),"",HYPERLINK(_xlfn.SINGLE(JobAgolMap)&amp;IF(ISNUMBER(FIND("?",_xlfn.SINGLE(JobAgolMap))),"&amp;","?")&amp;"center="&amp;$F101&amp;","&amp;$E101&amp;"&amp;level=16&amp;marker="&amp;$F101&amp;","&amp;$E101,"Open"))</f>
        <v/>
      </c>
    </row>
    <row r="102" spans="1:28" x14ac:dyDescent="0.45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4"/>
      <c r="M102" s="1" t="str">
        <f t="shared" si="6"/>
        <v/>
      </c>
      <c r="N102" s="1" t="str">
        <f t="shared" si="7"/>
        <v/>
      </c>
      <c r="O102" s="1" t="str">
        <f t="shared" si="8"/>
        <v/>
      </c>
      <c r="P102" s="1" t="str">
        <f t="shared" si="9"/>
        <v/>
      </c>
      <c r="Q102" s="1" t="str">
        <f t="shared" si="10"/>
        <v/>
      </c>
      <c r="R102" s="1" t="str">
        <f t="shared" si="11"/>
        <v/>
      </c>
      <c r="S102" s="1" t="str">
        <f>IF(OR($E102="",$F102=""),"",HYPERLINK(IF(OR(_xlfn.SINGLE(JobState)="MI",_xlfn.SINGLE(JobState)=""),"https://fema.maps.arcgis.com/apps/mapviewer/index.html?url=https%3A%2F%2Fmdotgis.state.mi.us%2Farcgis%2Frest%2Fservices%2FWidget%2FNextGenPrFinderPub%2FFeatureServer%2F353&amp;find="&amp;$F102&amp;"%2C"&amp;$E102&amp;"&amp;marker="&amp;$F102&amp;","&amp;$E102&amp;",4326&amp;level=16",IF(_xlfn.SINGLE(JobState)="IN","https://fema.maps.arcgis.com/apps/mapviewer/index.html?url=https%3A%2F%2Fgisdata.in.gov%2Fserver%2Frest%2Fservices%2FHosted%2FLRSE_Functional_Class%2FFeatureServer%2F22&amp;find="&amp;$F102&amp;"%2C"&amp;$E102&amp;"&amp;marker="&amp;$F102&amp;","&amp;$E102&amp;",4326&amp;level=16",IF(_xlfn.SINGLE(JobState)="WI","https://fema.maps.arcgis.com/apps/mapviewer/index.html?url=https%3A%2F%2Fservices5.arcgis.com%2F0pgGLzT0Nh7FVjon%2Farcgis%2Frest%2Fservices%2FFFCL_gdb%2FFeatureServer%2F3&amp;find="&amp;$F102&amp;"%2C"&amp;$E102&amp;"&amp;marker="&amp;$F102&amp;","&amp;$E102&amp;",4326&amp;level=16","https://fema.maps.arcgis.com/apps/mapviewer/index.html?find="&amp;$F102&amp;"%2C"&amp;$E102&amp;"&amp;marker="&amp;$F102&amp;","&amp;$E102&amp;",4326&amp;level=16"))),"Open"))</f>
        <v/>
      </c>
      <c r="T102" s="4"/>
      <c r="U102" s="4"/>
      <c r="V102" s="4"/>
      <c r="W102" s="4"/>
      <c r="X102" s="4"/>
      <c r="Y102" s="4"/>
      <c r="Z102" s="4"/>
      <c r="AA102" s="4"/>
      <c r="AB102" s="1" t="str">
        <f>IF(OR(_xlfn.SINGLE(JobAgolMap)="", $E102="", $F102=""),"",HYPERLINK(_xlfn.SINGLE(JobAgolMap)&amp;IF(ISNUMBER(FIND("?",_xlfn.SINGLE(JobAgolMap))),"&amp;","?")&amp;"center="&amp;$F102&amp;","&amp;$E102&amp;"&amp;level=16&amp;marker="&amp;$F102&amp;","&amp;$E102,"Open"))</f>
        <v/>
      </c>
    </row>
    <row r="103" spans="1:28" x14ac:dyDescent="0.45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4"/>
      <c r="M103" s="1" t="str">
        <f t="shared" si="6"/>
        <v/>
      </c>
      <c r="N103" s="1" t="str">
        <f t="shared" si="7"/>
        <v/>
      </c>
      <c r="O103" s="1" t="str">
        <f t="shared" si="8"/>
        <v/>
      </c>
      <c r="P103" s="1" t="str">
        <f t="shared" si="9"/>
        <v/>
      </c>
      <c r="Q103" s="1" t="str">
        <f t="shared" si="10"/>
        <v/>
      </c>
      <c r="R103" s="1" t="str">
        <f t="shared" si="11"/>
        <v/>
      </c>
      <c r="S103" s="1" t="str">
        <f>IF(OR($E103="",$F103=""),"",HYPERLINK(IF(OR(_xlfn.SINGLE(JobState)="MI",_xlfn.SINGLE(JobState)=""),"https://fema.maps.arcgis.com/apps/mapviewer/index.html?url=https%3A%2F%2Fmdotgis.state.mi.us%2Farcgis%2Frest%2Fservices%2FWidget%2FNextGenPrFinderPub%2FFeatureServer%2F353&amp;find="&amp;$F103&amp;"%2C"&amp;$E103&amp;"&amp;marker="&amp;$F103&amp;","&amp;$E103&amp;",4326&amp;level=16",IF(_xlfn.SINGLE(JobState)="IN","https://fema.maps.arcgis.com/apps/mapviewer/index.html?url=https%3A%2F%2Fgisdata.in.gov%2Fserver%2Frest%2Fservices%2FHosted%2FLRSE_Functional_Class%2FFeatureServer%2F22&amp;find="&amp;$F103&amp;"%2C"&amp;$E103&amp;"&amp;marker="&amp;$F103&amp;","&amp;$E103&amp;",4326&amp;level=16",IF(_xlfn.SINGLE(JobState)="WI","https://fema.maps.arcgis.com/apps/mapviewer/index.html?url=https%3A%2F%2Fservices5.arcgis.com%2F0pgGLzT0Nh7FVjon%2Farcgis%2Frest%2Fservices%2FFFCL_gdb%2FFeatureServer%2F3&amp;find="&amp;$F103&amp;"%2C"&amp;$E103&amp;"&amp;marker="&amp;$F103&amp;","&amp;$E103&amp;",4326&amp;level=16","https://fema.maps.arcgis.com/apps/mapviewer/index.html?find="&amp;$F103&amp;"%2C"&amp;$E103&amp;"&amp;marker="&amp;$F103&amp;","&amp;$E103&amp;",4326&amp;level=16"))),"Open"))</f>
        <v/>
      </c>
      <c r="T103" s="4"/>
      <c r="U103" s="4"/>
      <c r="V103" s="4"/>
      <c r="W103" s="4"/>
      <c r="X103" s="4"/>
      <c r="Y103" s="4"/>
      <c r="Z103" s="4"/>
      <c r="AA103" s="4"/>
      <c r="AB103" s="1" t="str">
        <f>IF(OR(_xlfn.SINGLE(JobAgolMap)="", $E103="", $F103=""),"",HYPERLINK(_xlfn.SINGLE(JobAgolMap)&amp;IF(ISNUMBER(FIND("?",_xlfn.SINGLE(JobAgolMap))),"&amp;","?")&amp;"center="&amp;$F103&amp;","&amp;$E103&amp;"&amp;level=16&amp;marker="&amp;$F103&amp;","&amp;$E103,"Open"))</f>
        <v/>
      </c>
    </row>
    <row r="104" spans="1:28" x14ac:dyDescent="0.45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4"/>
      <c r="M104" s="1" t="str">
        <f t="shared" si="6"/>
        <v/>
      </c>
      <c r="N104" s="1" t="str">
        <f t="shared" si="7"/>
        <v/>
      </c>
      <c r="O104" s="1" t="str">
        <f t="shared" si="8"/>
        <v/>
      </c>
      <c r="P104" s="1" t="str">
        <f t="shared" si="9"/>
        <v/>
      </c>
      <c r="Q104" s="1" t="str">
        <f t="shared" si="10"/>
        <v/>
      </c>
      <c r="R104" s="1" t="str">
        <f t="shared" si="11"/>
        <v/>
      </c>
      <c r="S104" s="1" t="str">
        <f>IF(OR($E104="",$F104=""),"",HYPERLINK(IF(OR(_xlfn.SINGLE(JobState)="MI",_xlfn.SINGLE(JobState)=""),"https://fema.maps.arcgis.com/apps/mapviewer/index.html?url=https%3A%2F%2Fmdotgis.state.mi.us%2Farcgis%2Frest%2Fservices%2FWidget%2FNextGenPrFinderPub%2FFeatureServer%2F353&amp;find="&amp;$F104&amp;"%2C"&amp;$E104&amp;"&amp;marker="&amp;$F104&amp;","&amp;$E104&amp;",4326&amp;level=16",IF(_xlfn.SINGLE(JobState)="IN","https://fema.maps.arcgis.com/apps/mapviewer/index.html?url=https%3A%2F%2Fgisdata.in.gov%2Fserver%2Frest%2Fservices%2FHosted%2FLRSE_Functional_Class%2FFeatureServer%2F22&amp;find="&amp;$F104&amp;"%2C"&amp;$E104&amp;"&amp;marker="&amp;$F104&amp;","&amp;$E104&amp;",4326&amp;level=16",IF(_xlfn.SINGLE(JobState)="WI","https://fema.maps.arcgis.com/apps/mapviewer/index.html?url=https%3A%2F%2Fservices5.arcgis.com%2F0pgGLzT0Nh7FVjon%2Farcgis%2Frest%2Fservices%2FFFCL_gdb%2FFeatureServer%2F3&amp;find="&amp;$F104&amp;"%2C"&amp;$E104&amp;"&amp;marker="&amp;$F104&amp;","&amp;$E104&amp;",4326&amp;level=16","https://fema.maps.arcgis.com/apps/mapviewer/index.html?find="&amp;$F104&amp;"%2C"&amp;$E104&amp;"&amp;marker="&amp;$F104&amp;","&amp;$E104&amp;",4326&amp;level=16"))),"Open"))</f>
        <v/>
      </c>
      <c r="T104" s="4"/>
      <c r="U104" s="4"/>
      <c r="V104" s="4"/>
      <c r="W104" s="4"/>
      <c r="X104" s="4"/>
      <c r="Y104" s="4"/>
      <c r="Z104" s="4"/>
      <c r="AA104" s="4"/>
      <c r="AB104" s="1" t="str">
        <f>IF(OR(_xlfn.SINGLE(JobAgolMap)="", $E104="", $F104=""),"",HYPERLINK(_xlfn.SINGLE(JobAgolMap)&amp;IF(ISNUMBER(FIND("?",_xlfn.SINGLE(JobAgolMap))),"&amp;","?")&amp;"center="&amp;$F104&amp;","&amp;$E104&amp;"&amp;level=16&amp;marker="&amp;$F104&amp;","&amp;$E104,"Open"))</f>
        <v/>
      </c>
    </row>
    <row r="105" spans="1:28" x14ac:dyDescent="0.45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4"/>
      <c r="M105" s="1" t="str">
        <f t="shared" si="6"/>
        <v/>
      </c>
      <c r="N105" s="1" t="str">
        <f t="shared" si="7"/>
        <v/>
      </c>
      <c r="O105" s="1" t="str">
        <f t="shared" si="8"/>
        <v/>
      </c>
      <c r="P105" s="1" t="str">
        <f t="shared" si="9"/>
        <v/>
      </c>
      <c r="Q105" s="1" t="str">
        <f t="shared" si="10"/>
        <v/>
      </c>
      <c r="R105" s="1" t="str">
        <f t="shared" si="11"/>
        <v/>
      </c>
      <c r="S105" s="1" t="str">
        <f>IF(OR($E105="",$F105=""),"",HYPERLINK(IF(OR(_xlfn.SINGLE(JobState)="MI",_xlfn.SINGLE(JobState)=""),"https://fema.maps.arcgis.com/apps/mapviewer/index.html?url=https%3A%2F%2Fmdotgis.state.mi.us%2Farcgis%2Frest%2Fservices%2FWidget%2FNextGenPrFinderPub%2FFeatureServer%2F353&amp;find="&amp;$F105&amp;"%2C"&amp;$E105&amp;"&amp;marker="&amp;$F105&amp;","&amp;$E105&amp;",4326&amp;level=16",IF(_xlfn.SINGLE(JobState)="IN","https://fema.maps.arcgis.com/apps/mapviewer/index.html?url=https%3A%2F%2Fgisdata.in.gov%2Fserver%2Frest%2Fservices%2FHosted%2FLRSE_Functional_Class%2FFeatureServer%2F22&amp;find="&amp;$F105&amp;"%2C"&amp;$E105&amp;"&amp;marker="&amp;$F105&amp;","&amp;$E105&amp;",4326&amp;level=16",IF(_xlfn.SINGLE(JobState)="WI","https://fema.maps.arcgis.com/apps/mapviewer/index.html?url=https%3A%2F%2Fservices5.arcgis.com%2F0pgGLzT0Nh7FVjon%2Farcgis%2Frest%2Fservices%2FFFCL_gdb%2FFeatureServer%2F3&amp;find="&amp;$F105&amp;"%2C"&amp;$E105&amp;"&amp;marker="&amp;$F105&amp;","&amp;$E105&amp;",4326&amp;level=16","https://fema.maps.arcgis.com/apps/mapviewer/index.html?find="&amp;$F105&amp;"%2C"&amp;$E105&amp;"&amp;marker="&amp;$F105&amp;","&amp;$E105&amp;",4326&amp;level=16"))),"Open"))</f>
        <v/>
      </c>
      <c r="T105" s="4"/>
      <c r="U105" s="4"/>
      <c r="V105" s="4"/>
      <c r="W105" s="4"/>
      <c r="X105" s="4"/>
      <c r="Y105" s="4"/>
      <c r="Z105" s="4"/>
      <c r="AA105" s="4"/>
      <c r="AB105" s="1" t="str">
        <f>IF(OR(_xlfn.SINGLE(JobAgolMap)="", $E105="", $F105=""),"",HYPERLINK(_xlfn.SINGLE(JobAgolMap)&amp;IF(ISNUMBER(FIND("?",_xlfn.SINGLE(JobAgolMap))),"&amp;","?")&amp;"center="&amp;$F105&amp;","&amp;$E105&amp;"&amp;level=16&amp;marker="&amp;$F105&amp;","&amp;$E105,"Open"))</f>
        <v/>
      </c>
    </row>
    <row r="106" spans="1:28" x14ac:dyDescent="0.45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4"/>
      <c r="M106" s="1" t="str">
        <f t="shared" si="6"/>
        <v/>
      </c>
      <c r="N106" s="1" t="str">
        <f t="shared" si="7"/>
        <v/>
      </c>
      <c r="O106" s="1" t="str">
        <f t="shared" si="8"/>
        <v/>
      </c>
      <c r="P106" s="1" t="str">
        <f t="shared" si="9"/>
        <v/>
      </c>
      <c r="Q106" s="1" t="str">
        <f t="shared" si="10"/>
        <v/>
      </c>
      <c r="R106" s="1" t="str">
        <f t="shared" si="11"/>
        <v/>
      </c>
      <c r="S106" s="1" t="str">
        <f>IF(OR($E106="",$F106=""),"",HYPERLINK(IF(OR(_xlfn.SINGLE(JobState)="MI",_xlfn.SINGLE(JobState)=""),"https://fema.maps.arcgis.com/apps/mapviewer/index.html?url=https%3A%2F%2Fmdotgis.state.mi.us%2Farcgis%2Frest%2Fservices%2FWidget%2FNextGenPrFinderPub%2FFeatureServer%2F353&amp;find="&amp;$F106&amp;"%2C"&amp;$E106&amp;"&amp;marker="&amp;$F106&amp;","&amp;$E106&amp;",4326&amp;level=16",IF(_xlfn.SINGLE(JobState)="IN","https://fema.maps.arcgis.com/apps/mapviewer/index.html?url=https%3A%2F%2Fgisdata.in.gov%2Fserver%2Frest%2Fservices%2FHosted%2FLRSE_Functional_Class%2FFeatureServer%2F22&amp;find="&amp;$F106&amp;"%2C"&amp;$E106&amp;"&amp;marker="&amp;$F106&amp;","&amp;$E106&amp;",4326&amp;level=16",IF(_xlfn.SINGLE(JobState)="WI","https://fema.maps.arcgis.com/apps/mapviewer/index.html?url=https%3A%2F%2Fservices5.arcgis.com%2F0pgGLzT0Nh7FVjon%2Farcgis%2Frest%2Fservices%2FFFCL_gdb%2FFeatureServer%2F3&amp;find="&amp;$F106&amp;"%2C"&amp;$E106&amp;"&amp;marker="&amp;$F106&amp;","&amp;$E106&amp;",4326&amp;level=16","https://fema.maps.arcgis.com/apps/mapviewer/index.html?find="&amp;$F106&amp;"%2C"&amp;$E106&amp;"&amp;marker="&amp;$F106&amp;","&amp;$E106&amp;",4326&amp;level=16"))),"Open"))</f>
        <v/>
      </c>
      <c r="T106" s="4"/>
      <c r="U106" s="4"/>
      <c r="V106" s="4"/>
      <c r="W106" s="4"/>
      <c r="X106" s="4"/>
      <c r="Y106" s="4"/>
      <c r="Z106" s="4"/>
      <c r="AA106" s="4"/>
      <c r="AB106" s="1" t="str">
        <f>IF(OR(_xlfn.SINGLE(JobAgolMap)="", $E106="", $F106=""),"",HYPERLINK(_xlfn.SINGLE(JobAgolMap)&amp;IF(ISNUMBER(FIND("?",_xlfn.SINGLE(JobAgolMap))),"&amp;","?")&amp;"center="&amp;$F106&amp;","&amp;$E106&amp;"&amp;level=16&amp;marker="&amp;$F106&amp;","&amp;$E106,"Open"))</f>
        <v/>
      </c>
    </row>
    <row r="107" spans="1:28" x14ac:dyDescent="0.45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4"/>
      <c r="M107" s="1" t="str">
        <f t="shared" si="6"/>
        <v/>
      </c>
      <c r="N107" s="1" t="str">
        <f t="shared" si="7"/>
        <v/>
      </c>
      <c r="O107" s="1" t="str">
        <f t="shared" si="8"/>
        <v/>
      </c>
      <c r="P107" s="1" t="str">
        <f t="shared" si="9"/>
        <v/>
      </c>
      <c r="Q107" s="1" t="str">
        <f t="shared" si="10"/>
        <v/>
      </c>
      <c r="R107" s="1" t="str">
        <f t="shared" si="11"/>
        <v/>
      </c>
      <c r="S107" s="1" t="str">
        <f>IF(OR($E107="",$F107=""),"",HYPERLINK(IF(OR(_xlfn.SINGLE(JobState)="MI",_xlfn.SINGLE(JobState)=""),"https://fema.maps.arcgis.com/apps/mapviewer/index.html?url=https%3A%2F%2Fmdotgis.state.mi.us%2Farcgis%2Frest%2Fservices%2FWidget%2FNextGenPrFinderPub%2FFeatureServer%2F353&amp;find="&amp;$F107&amp;"%2C"&amp;$E107&amp;"&amp;marker="&amp;$F107&amp;","&amp;$E107&amp;",4326&amp;level=16",IF(_xlfn.SINGLE(JobState)="IN","https://fema.maps.arcgis.com/apps/mapviewer/index.html?url=https%3A%2F%2Fgisdata.in.gov%2Fserver%2Frest%2Fservices%2FHosted%2FLRSE_Functional_Class%2FFeatureServer%2F22&amp;find="&amp;$F107&amp;"%2C"&amp;$E107&amp;"&amp;marker="&amp;$F107&amp;","&amp;$E107&amp;",4326&amp;level=16",IF(_xlfn.SINGLE(JobState)="WI","https://fema.maps.arcgis.com/apps/mapviewer/index.html?url=https%3A%2F%2Fservices5.arcgis.com%2F0pgGLzT0Nh7FVjon%2Farcgis%2Frest%2Fservices%2FFFCL_gdb%2FFeatureServer%2F3&amp;find="&amp;$F107&amp;"%2C"&amp;$E107&amp;"&amp;marker="&amp;$F107&amp;","&amp;$E107&amp;",4326&amp;level=16","https://fema.maps.arcgis.com/apps/mapviewer/index.html?find="&amp;$F107&amp;"%2C"&amp;$E107&amp;"&amp;marker="&amp;$F107&amp;","&amp;$E107&amp;",4326&amp;level=16"))),"Open"))</f>
        <v/>
      </c>
      <c r="T107" s="4"/>
      <c r="U107" s="4"/>
      <c r="V107" s="4"/>
      <c r="W107" s="4"/>
      <c r="X107" s="4"/>
      <c r="Y107" s="4"/>
      <c r="Z107" s="4"/>
      <c r="AA107" s="4"/>
      <c r="AB107" s="1" t="str">
        <f>IF(OR(_xlfn.SINGLE(JobAgolMap)="", $E107="", $F107=""),"",HYPERLINK(_xlfn.SINGLE(JobAgolMap)&amp;IF(ISNUMBER(FIND("?",_xlfn.SINGLE(JobAgolMap))),"&amp;","?")&amp;"center="&amp;$F107&amp;","&amp;$E107&amp;"&amp;level=16&amp;marker="&amp;$F107&amp;","&amp;$E107,"Open"))</f>
        <v/>
      </c>
    </row>
    <row r="108" spans="1:28" x14ac:dyDescent="0.45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4"/>
      <c r="M108" s="1" t="str">
        <f t="shared" si="6"/>
        <v/>
      </c>
      <c r="N108" s="1" t="str">
        <f t="shared" si="7"/>
        <v/>
      </c>
      <c r="O108" s="1" t="str">
        <f t="shared" si="8"/>
        <v/>
      </c>
      <c r="P108" s="1" t="str">
        <f t="shared" si="9"/>
        <v/>
      </c>
      <c r="Q108" s="1" t="str">
        <f t="shared" si="10"/>
        <v/>
      </c>
      <c r="R108" s="1" t="str">
        <f t="shared" si="11"/>
        <v/>
      </c>
      <c r="S108" s="1" t="str">
        <f>IF(OR($E108="",$F108=""),"",HYPERLINK(IF(OR(_xlfn.SINGLE(JobState)="MI",_xlfn.SINGLE(JobState)=""),"https://fema.maps.arcgis.com/apps/mapviewer/index.html?url=https%3A%2F%2Fmdotgis.state.mi.us%2Farcgis%2Frest%2Fservices%2FWidget%2FNextGenPrFinderPub%2FFeatureServer%2F353&amp;find="&amp;$F108&amp;"%2C"&amp;$E108&amp;"&amp;marker="&amp;$F108&amp;","&amp;$E108&amp;",4326&amp;level=16",IF(_xlfn.SINGLE(JobState)="IN","https://fema.maps.arcgis.com/apps/mapviewer/index.html?url=https%3A%2F%2Fgisdata.in.gov%2Fserver%2Frest%2Fservices%2FHosted%2FLRSE_Functional_Class%2FFeatureServer%2F22&amp;find="&amp;$F108&amp;"%2C"&amp;$E108&amp;"&amp;marker="&amp;$F108&amp;","&amp;$E108&amp;",4326&amp;level=16",IF(_xlfn.SINGLE(JobState)="WI","https://fema.maps.arcgis.com/apps/mapviewer/index.html?url=https%3A%2F%2Fservices5.arcgis.com%2F0pgGLzT0Nh7FVjon%2Farcgis%2Frest%2Fservices%2FFFCL_gdb%2FFeatureServer%2F3&amp;find="&amp;$F108&amp;"%2C"&amp;$E108&amp;"&amp;marker="&amp;$F108&amp;","&amp;$E108&amp;",4326&amp;level=16","https://fema.maps.arcgis.com/apps/mapviewer/index.html?find="&amp;$F108&amp;"%2C"&amp;$E108&amp;"&amp;marker="&amp;$F108&amp;","&amp;$E108&amp;",4326&amp;level=16"))),"Open"))</f>
        <v/>
      </c>
      <c r="T108" s="4"/>
      <c r="U108" s="4"/>
      <c r="V108" s="4"/>
      <c r="W108" s="4"/>
      <c r="X108" s="4"/>
      <c r="Y108" s="4"/>
      <c r="Z108" s="4"/>
      <c r="AA108" s="4"/>
      <c r="AB108" s="1" t="str">
        <f>IF(OR(_xlfn.SINGLE(JobAgolMap)="", $E108="", $F108=""),"",HYPERLINK(_xlfn.SINGLE(JobAgolMap)&amp;IF(ISNUMBER(FIND("?",_xlfn.SINGLE(JobAgolMap))),"&amp;","?")&amp;"center="&amp;$F108&amp;","&amp;$E108&amp;"&amp;level=16&amp;marker="&amp;$F108&amp;","&amp;$E108,"Open"))</f>
        <v/>
      </c>
    </row>
    <row r="109" spans="1:28" x14ac:dyDescent="0.45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4"/>
      <c r="M109" s="1" t="str">
        <f t="shared" si="6"/>
        <v/>
      </c>
      <c r="N109" s="1" t="str">
        <f t="shared" si="7"/>
        <v/>
      </c>
      <c r="O109" s="1" t="str">
        <f t="shared" si="8"/>
        <v/>
      </c>
      <c r="P109" s="1" t="str">
        <f t="shared" si="9"/>
        <v/>
      </c>
      <c r="Q109" s="1" t="str">
        <f t="shared" si="10"/>
        <v/>
      </c>
      <c r="R109" s="1" t="str">
        <f t="shared" si="11"/>
        <v/>
      </c>
      <c r="S109" s="1" t="str">
        <f>IF(OR($E109="",$F109=""),"",HYPERLINK(IF(OR(_xlfn.SINGLE(JobState)="MI",_xlfn.SINGLE(JobState)=""),"https://fema.maps.arcgis.com/apps/mapviewer/index.html?url=https%3A%2F%2Fmdotgis.state.mi.us%2Farcgis%2Frest%2Fservices%2FWidget%2FNextGenPrFinderPub%2FFeatureServer%2F353&amp;find="&amp;$F109&amp;"%2C"&amp;$E109&amp;"&amp;marker="&amp;$F109&amp;","&amp;$E109&amp;",4326&amp;level=16",IF(_xlfn.SINGLE(JobState)="IN","https://fema.maps.arcgis.com/apps/mapviewer/index.html?url=https%3A%2F%2Fgisdata.in.gov%2Fserver%2Frest%2Fservices%2FHosted%2FLRSE_Functional_Class%2FFeatureServer%2F22&amp;find="&amp;$F109&amp;"%2C"&amp;$E109&amp;"&amp;marker="&amp;$F109&amp;","&amp;$E109&amp;",4326&amp;level=16",IF(_xlfn.SINGLE(JobState)="WI","https://fema.maps.arcgis.com/apps/mapviewer/index.html?url=https%3A%2F%2Fservices5.arcgis.com%2F0pgGLzT0Nh7FVjon%2Farcgis%2Frest%2Fservices%2FFFCL_gdb%2FFeatureServer%2F3&amp;find="&amp;$F109&amp;"%2C"&amp;$E109&amp;"&amp;marker="&amp;$F109&amp;","&amp;$E109&amp;",4326&amp;level=16","https://fema.maps.arcgis.com/apps/mapviewer/index.html?find="&amp;$F109&amp;"%2C"&amp;$E109&amp;"&amp;marker="&amp;$F109&amp;","&amp;$E109&amp;",4326&amp;level=16"))),"Open"))</f>
        <v/>
      </c>
      <c r="T109" s="4"/>
      <c r="U109" s="4"/>
      <c r="V109" s="4"/>
      <c r="W109" s="4"/>
      <c r="X109" s="4"/>
      <c r="Y109" s="4"/>
      <c r="Z109" s="4"/>
      <c r="AA109" s="4"/>
      <c r="AB109" s="1" t="str">
        <f>IF(OR(_xlfn.SINGLE(JobAgolMap)="", $E109="", $F109=""),"",HYPERLINK(_xlfn.SINGLE(JobAgolMap)&amp;IF(ISNUMBER(FIND("?",_xlfn.SINGLE(JobAgolMap))),"&amp;","?")&amp;"center="&amp;$F109&amp;","&amp;$E109&amp;"&amp;level=16&amp;marker="&amp;$F109&amp;","&amp;$E109,"Open"))</f>
        <v/>
      </c>
    </row>
    <row r="110" spans="1:28" x14ac:dyDescent="0.45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4"/>
      <c r="M110" s="1" t="str">
        <f t="shared" si="6"/>
        <v/>
      </c>
      <c r="N110" s="1" t="str">
        <f t="shared" si="7"/>
        <v/>
      </c>
      <c r="O110" s="1" t="str">
        <f t="shared" si="8"/>
        <v/>
      </c>
      <c r="P110" s="1" t="str">
        <f t="shared" si="9"/>
        <v/>
      </c>
      <c r="Q110" s="1" t="str">
        <f t="shared" si="10"/>
        <v/>
      </c>
      <c r="R110" s="1" t="str">
        <f t="shared" si="11"/>
        <v/>
      </c>
      <c r="S110" s="1" t="str">
        <f>IF(OR($E110="",$F110=""),"",HYPERLINK(IF(OR(_xlfn.SINGLE(JobState)="MI",_xlfn.SINGLE(JobState)=""),"https://fema.maps.arcgis.com/apps/mapviewer/index.html?url=https%3A%2F%2Fmdotgis.state.mi.us%2Farcgis%2Frest%2Fservices%2FWidget%2FNextGenPrFinderPub%2FFeatureServer%2F353&amp;find="&amp;$F110&amp;"%2C"&amp;$E110&amp;"&amp;marker="&amp;$F110&amp;","&amp;$E110&amp;",4326&amp;level=16",IF(_xlfn.SINGLE(JobState)="IN","https://fema.maps.arcgis.com/apps/mapviewer/index.html?url=https%3A%2F%2Fgisdata.in.gov%2Fserver%2Frest%2Fservices%2FHosted%2FLRSE_Functional_Class%2FFeatureServer%2F22&amp;find="&amp;$F110&amp;"%2C"&amp;$E110&amp;"&amp;marker="&amp;$F110&amp;","&amp;$E110&amp;",4326&amp;level=16",IF(_xlfn.SINGLE(JobState)="WI","https://fema.maps.arcgis.com/apps/mapviewer/index.html?url=https%3A%2F%2Fservices5.arcgis.com%2F0pgGLzT0Nh7FVjon%2Farcgis%2Frest%2Fservices%2FFFCL_gdb%2FFeatureServer%2F3&amp;find="&amp;$F110&amp;"%2C"&amp;$E110&amp;"&amp;marker="&amp;$F110&amp;","&amp;$E110&amp;",4326&amp;level=16","https://fema.maps.arcgis.com/apps/mapviewer/index.html?find="&amp;$F110&amp;"%2C"&amp;$E110&amp;"&amp;marker="&amp;$F110&amp;","&amp;$E110&amp;",4326&amp;level=16"))),"Open"))</f>
        <v/>
      </c>
      <c r="T110" s="4"/>
      <c r="U110" s="4"/>
      <c r="V110" s="4"/>
      <c r="W110" s="4"/>
      <c r="X110" s="4"/>
      <c r="Y110" s="4"/>
      <c r="Z110" s="4"/>
      <c r="AA110" s="4"/>
      <c r="AB110" s="1" t="str">
        <f>IF(OR(_xlfn.SINGLE(JobAgolMap)="", $E110="", $F110=""),"",HYPERLINK(_xlfn.SINGLE(JobAgolMap)&amp;IF(ISNUMBER(FIND("?",_xlfn.SINGLE(JobAgolMap))),"&amp;","?")&amp;"center="&amp;$F110&amp;","&amp;$E110&amp;"&amp;level=16&amp;marker="&amp;$F110&amp;","&amp;$E110,"Open"))</f>
        <v/>
      </c>
    </row>
    <row r="111" spans="1:28" x14ac:dyDescent="0.45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4"/>
      <c r="M111" s="1" t="str">
        <f t="shared" si="6"/>
        <v/>
      </c>
      <c r="N111" s="1" t="str">
        <f t="shared" si="7"/>
        <v/>
      </c>
      <c r="O111" s="1" t="str">
        <f t="shared" si="8"/>
        <v/>
      </c>
      <c r="P111" s="1" t="str">
        <f t="shared" si="9"/>
        <v/>
      </c>
      <c r="Q111" s="1" t="str">
        <f t="shared" si="10"/>
        <v/>
      </c>
      <c r="R111" s="1" t="str">
        <f t="shared" si="11"/>
        <v/>
      </c>
      <c r="S111" s="1" t="str">
        <f>IF(OR($E111="",$F111=""),"",HYPERLINK(IF(OR(_xlfn.SINGLE(JobState)="MI",_xlfn.SINGLE(JobState)=""),"https://fema.maps.arcgis.com/apps/mapviewer/index.html?url=https%3A%2F%2Fmdotgis.state.mi.us%2Farcgis%2Frest%2Fservices%2FWidget%2FNextGenPrFinderPub%2FFeatureServer%2F353&amp;find="&amp;$F111&amp;"%2C"&amp;$E111&amp;"&amp;marker="&amp;$F111&amp;","&amp;$E111&amp;",4326&amp;level=16",IF(_xlfn.SINGLE(JobState)="IN","https://fema.maps.arcgis.com/apps/mapviewer/index.html?url=https%3A%2F%2Fgisdata.in.gov%2Fserver%2Frest%2Fservices%2FHosted%2FLRSE_Functional_Class%2FFeatureServer%2F22&amp;find="&amp;$F111&amp;"%2C"&amp;$E111&amp;"&amp;marker="&amp;$F111&amp;","&amp;$E111&amp;",4326&amp;level=16",IF(_xlfn.SINGLE(JobState)="WI","https://fema.maps.arcgis.com/apps/mapviewer/index.html?url=https%3A%2F%2Fservices5.arcgis.com%2F0pgGLzT0Nh7FVjon%2Farcgis%2Frest%2Fservices%2FFFCL_gdb%2FFeatureServer%2F3&amp;find="&amp;$F111&amp;"%2C"&amp;$E111&amp;"&amp;marker="&amp;$F111&amp;","&amp;$E111&amp;",4326&amp;level=16","https://fema.maps.arcgis.com/apps/mapviewer/index.html?find="&amp;$F111&amp;"%2C"&amp;$E111&amp;"&amp;marker="&amp;$F111&amp;","&amp;$E111&amp;",4326&amp;level=16"))),"Open"))</f>
        <v/>
      </c>
      <c r="T111" s="4"/>
      <c r="U111" s="4"/>
      <c r="V111" s="4"/>
      <c r="W111" s="4"/>
      <c r="X111" s="4"/>
      <c r="Y111" s="4"/>
      <c r="Z111" s="4"/>
      <c r="AA111" s="4"/>
      <c r="AB111" s="1" t="str">
        <f>IF(OR(_xlfn.SINGLE(JobAgolMap)="", $E111="", $F111=""),"",HYPERLINK(_xlfn.SINGLE(JobAgolMap)&amp;IF(ISNUMBER(FIND("?",_xlfn.SINGLE(JobAgolMap))),"&amp;","?")&amp;"center="&amp;$F111&amp;","&amp;$E111&amp;"&amp;level=16&amp;marker="&amp;$F111&amp;","&amp;$E111,"Open"))</f>
        <v/>
      </c>
    </row>
    <row r="112" spans="1:28" x14ac:dyDescent="0.45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4"/>
      <c r="M112" s="1" t="str">
        <f t="shared" si="6"/>
        <v/>
      </c>
      <c r="N112" s="1" t="str">
        <f t="shared" si="7"/>
        <v/>
      </c>
      <c r="O112" s="1" t="str">
        <f t="shared" si="8"/>
        <v/>
      </c>
      <c r="P112" s="1" t="str">
        <f t="shared" si="9"/>
        <v/>
      </c>
      <c r="Q112" s="1" t="str">
        <f t="shared" si="10"/>
        <v/>
      </c>
      <c r="R112" s="1" t="str">
        <f t="shared" si="11"/>
        <v/>
      </c>
      <c r="S112" s="1" t="str">
        <f>IF(OR($E112="",$F112=""),"",HYPERLINK(IF(OR(_xlfn.SINGLE(JobState)="MI",_xlfn.SINGLE(JobState)=""),"https://fema.maps.arcgis.com/apps/mapviewer/index.html?url=https%3A%2F%2Fmdotgis.state.mi.us%2Farcgis%2Frest%2Fservices%2FWidget%2FNextGenPrFinderPub%2FFeatureServer%2F353&amp;find="&amp;$F112&amp;"%2C"&amp;$E112&amp;"&amp;marker="&amp;$F112&amp;","&amp;$E112&amp;",4326&amp;level=16",IF(_xlfn.SINGLE(JobState)="IN","https://fema.maps.arcgis.com/apps/mapviewer/index.html?url=https%3A%2F%2Fgisdata.in.gov%2Fserver%2Frest%2Fservices%2FHosted%2FLRSE_Functional_Class%2FFeatureServer%2F22&amp;find="&amp;$F112&amp;"%2C"&amp;$E112&amp;"&amp;marker="&amp;$F112&amp;","&amp;$E112&amp;",4326&amp;level=16",IF(_xlfn.SINGLE(JobState)="WI","https://fema.maps.arcgis.com/apps/mapviewer/index.html?url=https%3A%2F%2Fservices5.arcgis.com%2F0pgGLzT0Nh7FVjon%2Farcgis%2Frest%2Fservices%2FFFCL_gdb%2FFeatureServer%2F3&amp;find="&amp;$F112&amp;"%2C"&amp;$E112&amp;"&amp;marker="&amp;$F112&amp;","&amp;$E112&amp;",4326&amp;level=16","https://fema.maps.arcgis.com/apps/mapviewer/index.html?find="&amp;$F112&amp;"%2C"&amp;$E112&amp;"&amp;marker="&amp;$F112&amp;","&amp;$E112&amp;",4326&amp;level=16"))),"Open"))</f>
        <v/>
      </c>
      <c r="T112" s="4"/>
      <c r="U112" s="4"/>
      <c r="V112" s="4"/>
      <c r="W112" s="4"/>
      <c r="X112" s="4"/>
      <c r="Y112" s="4"/>
      <c r="Z112" s="4"/>
      <c r="AA112" s="4"/>
      <c r="AB112" s="1" t="str">
        <f>IF(OR(_xlfn.SINGLE(JobAgolMap)="", $E112="", $F112=""),"",HYPERLINK(_xlfn.SINGLE(JobAgolMap)&amp;IF(ISNUMBER(FIND("?",_xlfn.SINGLE(JobAgolMap))),"&amp;","?")&amp;"center="&amp;$F112&amp;","&amp;$E112&amp;"&amp;level=16&amp;marker="&amp;$F112&amp;","&amp;$E112,"Open"))</f>
        <v/>
      </c>
    </row>
    <row r="113" spans="1:28" x14ac:dyDescent="0.45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4"/>
      <c r="M113" s="1" t="str">
        <f t="shared" si="6"/>
        <v/>
      </c>
      <c r="N113" s="1" t="str">
        <f t="shared" si="7"/>
        <v/>
      </c>
      <c r="O113" s="1" t="str">
        <f t="shared" si="8"/>
        <v/>
      </c>
      <c r="P113" s="1" t="str">
        <f t="shared" si="9"/>
        <v/>
      </c>
      <c r="Q113" s="1" t="str">
        <f t="shared" si="10"/>
        <v/>
      </c>
      <c r="R113" s="1" t="str">
        <f t="shared" si="11"/>
        <v/>
      </c>
      <c r="S113" s="1" t="str">
        <f>IF(OR($E113="",$F113=""),"",HYPERLINK(IF(OR(_xlfn.SINGLE(JobState)="MI",_xlfn.SINGLE(JobState)=""),"https://fema.maps.arcgis.com/apps/mapviewer/index.html?url=https%3A%2F%2Fmdotgis.state.mi.us%2Farcgis%2Frest%2Fservices%2FWidget%2FNextGenPrFinderPub%2FFeatureServer%2F353&amp;find="&amp;$F113&amp;"%2C"&amp;$E113&amp;"&amp;marker="&amp;$F113&amp;","&amp;$E113&amp;",4326&amp;level=16",IF(_xlfn.SINGLE(JobState)="IN","https://fema.maps.arcgis.com/apps/mapviewer/index.html?url=https%3A%2F%2Fgisdata.in.gov%2Fserver%2Frest%2Fservices%2FHosted%2FLRSE_Functional_Class%2FFeatureServer%2F22&amp;find="&amp;$F113&amp;"%2C"&amp;$E113&amp;"&amp;marker="&amp;$F113&amp;","&amp;$E113&amp;",4326&amp;level=16",IF(_xlfn.SINGLE(JobState)="WI","https://fema.maps.arcgis.com/apps/mapviewer/index.html?url=https%3A%2F%2Fservices5.arcgis.com%2F0pgGLzT0Nh7FVjon%2Farcgis%2Frest%2Fservices%2FFFCL_gdb%2FFeatureServer%2F3&amp;find="&amp;$F113&amp;"%2C"&amp;$E113&amp;"&amp;marker="&amp;$F113&amp;","&amp;$E113&amp;",4326&amp;level=16","https://fema.maps.arcgis.com/apps/mapviewer/index.html?find="&amp;$F113&amp;"%2C"&amp;$E113&amp;"&amp;marker="&amp;$F113&amp;","&amp;$E113&amp;",4326&amp;level=16"))),"Open"))</f>
        <v/>
      </c>
      <c r="T113" s="4"/>
      <c r="U113" s="4"/>
      <c r="V113" s="4"/>
      <c r="W113" s="4"/>
      <c r="X113" s="4"/>
      <c r="Y113" s="4"/>
      <c r="Z113" s="4"/>
      <c r="AA113" s="4"/>
      <c r="AB113" s="1" t="str">
        <f>IF(OR(_xlfn.SINGLE(JobAgolMap)="", $E113="", $F113=""),"",HYPERLINK(_xlfn.SINGLE(JobAgolMap)&amp;IF(ISNUMBER(FIND("?",_xlfn.SINGLE(JobAgolMap))),"&amp;","?")&amp;"center="&amp;$F113&amp;","&amp;$E113&amp;"&amp;level=16&amp;marker="&amp;$F113&amp;","&amp;$E113,"Open"))</f>
        <v/>
      </c>
    </row>
    <row r="114" spans="1:28" x14ac:dyDescent="0.45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4"/>
      <c r="M114" s="1" t="str">
        <f t="shared" si="6"/>
        <v/>
      </c>
      <c r="N114" s="1" t="str">
        <f t="shared" si="7"/>
        <v/>
      </c>
      <c r="O114" s="1" t="str">
        <f t="shared" si="8"/>
        <v/>
      </c>
      <c r="P114" s="1" t="str">
        <f t="shared" si="9"/>
        <v/>
      </c>
      <c r="Q114" s="1" t="str">
        <f t="shared" si="10"/>
        <v/>
      </c>
      <c r="R114" s="1" t="str">
        <f t="shared" si="11"/>
        <v/>
      </c>
      <c r="S114" s="1" t="str">
        <f>IF(OR($E114="",$F114=""),"",HYPERLINK(IF(OR(_xlfn.SINGLE(JobState)="MI",_xlfn.SINGLE(JobState)=""),"https://fema.maps.arcgis.com/apps/mapviewer/index.html?url=https%3A%2F%2Fmdotgis.state.mi.us%2Farcgis%2Frest%2Fservices%2FWidget%2FNextGenPrFinderPub%2FFeatureServer%2F353&amp;find="&amp;$F114&amp;"%2C"&amp;$E114&amp;"&amp;marker="&amp;$F114&amp;","&amp;$E114&amp;",4326&amp;level=16",IF(_xlfn.SINGLE(JobState)="IN","https://fema.maps.arcgis.com/apps/mapviewer/index.html?url=https%3A%2F%2Fgisdata.in.gov%2Fserver%2Frest%2Fservices%2FHosted%2FLRSE_Functional_Class%2FFeatureServer%2F22&amp;find="&amp;$F114&amp;"%2C"&amp;$E114&amp;"&amp;marker="&amp;$F114&amp;","&amp;$E114&amp;",4326&amp;level=16",IF(_xlfn.SINGLE(JobState)="WI","https://fema.maps.arcgis.com/apps/mapviewer/index.html?url=https%3A%2F%2Fservices5.arcgis.com%2F0pgGLzT0Nh7FVjon%2Farcgis%2Frest%2Fservices%2FFFCL_gdb%2FFeatureServer%2F3&amp;find="&amp;$F114&amp;"%2C"&amp;$E114&amp;"&amp;marker="&amp;$F114&amp;","&amp;$E114&amp;",4326&amp;level=16","https://fema.maps.arcgis.com/apps/mapviewer/index.html?find="&amp;$F114&amp;"%2C"&amp;$E114&amp;"&amp;marker="&amp;$F114&amp;","&amp;$E114&amp;",4326&amp;level=16"))),"Open"))</f>
        <v/>
      </c>
      <c r="T114" s="4"/>
      <c r="U114" s="4"/>
      <c r="V114" s="4"/>
      <c r="W114" s="4"/>
      <c r="X114" s="4"/>
      <c r="Y114" s="4"/>
      <c r="Z114" s="4"/>
      <c r="AA114" s="4"/>
      <c r="AB114" s="1" t="str">
        <f>IF(OR(_xlfn.SINGLE(JobAgolMap)="", $E114="", $F114=""),"",HYPERLINK(_xlfn.SINGLE(JobAgolMap)&amp;IF(ISNUMBER(FIND("?",_xlfn.SINGLE(JobAgolMap))),"&amp;","?")&amp;"center="&amp;$F114&amp;","&amp;$E114&amp;"&amp;level=16&amp;marker="&amp;$F114&amp;","&amp;$E114,"Open"))</f>
        <v/>
      </c>
    </row>
    <row r="115" spans="1:28" x14ac:dyDescent="0.45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4"/>
      <c r="M115" s="1" t="str">
        <f t="shared" si="6"/>
        <v/>
      </c>
      <c r="N115" s="1" t="str">
        <f t="shared" si="7"/>
        <v/>
      </c>
      <c r="O115" s="1" t="str">
        <f t="shared" si="8"/>
        <v/>
      </c>
      <c r="P115" s="1" t="str">
        <f t="shared" si="9"/>
        <v/>
      </c>
      <c r="Q115" s="1" t="str">
        <f t="shared" si="10"/>
        <v/>
      </c>
      <c r="R115" s="1" t="str">
        <f t="shared" si="11"/>
        <v/>
      </c>
      <c r="S115" s="1" t="str">
        <f>IF(OR($E115="",$F115=""),"",HYPERLINK(IF(OR(_xlfn.SINGLE(JobState)="MI",_xlfn.SINGLE(JobState)=""),"https://fema.maps.arcgis.com/apps/mapviewer/index.html?url=https%3A%2F%2Fmdotgis.state.mi.us%2Farcgis%2Frest%2Fservices%2FWidget%2FNextGenPrFinderPub%2FFeatureServer%2F353&amp;find="&amp;$F115&amp;"%2C"&amp;$E115&amp;"&amp;marker="&amp;$F115&amp;","&amp;$E115&amp;",4326&amp;level=16",IF(_xlfn.SINGLE(JobState)="IN","https://fema.maps.arcgis.com/apps/mapviewer/index.html?url=https%3A%2F%2Fgisdata.in.gov%2Fserver%2Frest%2Fservices%2FHosted%2FLRSE_Functional_Class%2FFeatureServer%2F22&amp;find="&amp;$F115&amp;"%2C"&amp;$E115&amp;"&amp;marker="&amp;$F115&amp;","&amp;$E115&amp;",4326&amp;level=16",IF(_xlfn.SINGLE(JobState)="WI","https://fema.maps.arcgis.com/apps/mapviewer/index.html?url=https%3A%2F%2Fservices5.arcgis.com%2F0pgGLzT0Nh7FVjon%2Farcgis%2Frest%2Fservices%2FFFCL_gdb%2FFeatureServer%2F3&amp;find="&amp;$F115&amp;"%2C"&amp;$E115&amp;"&amp;marker="&amp;$F115&amp;","&amp;$E115&amp;",4326&amp;level=16","https://fema.maps.arcgis.com/apps/mapviewer/index.html?find="&amp;$F115&amp;"%2C"&amp;$E115&amp;"&amp;marker="&amp;$F115&amp;","&amp;$E115&amp;",4326&amp;level=16"))),"Open"))</f>
        <v/>
      </c>
      <c r="T115" s="4"/>
      <c r="U115" s="4"/>
      <c r="V115" s="4"/>
      <c r="W115" s="4"/>
      <c r="X115" s="4"/>
      <c r="Y115" s="4"/>
      <c r="Z115" s="4"/>
      <c r="AA115" s="4"/>
      <c r="AB115" s="1" t="str">
        <f>IF(OR(_xlfn.SINGLE(JobAgolMap)="", $E115="", $F115=""),"",HYPERLINK(_xlfn.SINGLE(JobAgolMap)&amp;IF(ISNUMBER(FIND("?",_xlfn.SINGLE(JobAgolMap))),"&amp;","?")&amp;"center="&amp;$F115&amp;","&amp;$E115&amp;"&amp;level=16&amp;marker="&amp;$F115&amp;","&amp;$E115,"Open"))</f>
        <v/>
      </c>
    </row>
    <row r="116" spans="1:28" x14ac:dyDescent="0.45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4"/>
      <c r="M116" s="1" t="str">
        <f t="shared" si="6"/>
        <v/>
      </c>
      <c r="N116" s="1" t="str">
        <f t="shared" si="7"/>
        <v/>
      </c>
      <c r="O116" s="1" t="str">
        <f t="shared" si="8"/>
        <v/>
      </c>
      <c r="P116" s="1" t="str">
        <f t="shared" si="9"/>
        <v/>
      </c>
      <c r="Q116" s="1" t="str">
        <f t="shared" si="10"/>
        <v/>
      </c>
      <c r="R116" s="1" t="str">
        <f t="shared" si="11"/>
        <v/>
      </c>
      <c r="S116" s="1" t="str">
        <f>IF(OR($E116="",$F116=""),"",HYPERLINK(IF(OR(_xlfn.SINGLE(JobState)="MI",_xlfn.SINGLE(JobState)=""),"https://fema.maps.arcgis.com/apps/mapviewer/index.html?url=https%3A%2F%2Fmdotgis.state.mi.us%2Farcgis%2Frest%2Fservices%2FWidget%2FNextGenPrFinderPub%2FFeatureServer%2F353&amp;find="&amp;$F116&amp;"%2C"&amp;$E116&amp;"&amp;marker="&amp;$F116&amp;","&amp;$E116&amp;",4326&amp;level=16",IF(_xlfn.SINGLE(JobState)="IN","https://fema.maps.arcgis.com/apps/mapviewer/index.html?url=https%3A%2F%2Fgisdata.in.gov%2Fserver%2Frest%2Fservices%2FHosted%2FLRSE_Functional_Class%2FFeatureServer%2F22&amp;find="&amp;$F116&amp;"%2C"&amp;$E116&amp;"&amp;marker="&amp;$F116&amp;","&amp;$E116&amp;",4326&amp;level=16",IF(_xlfn.SINGLE(JobState)="WI","https://fema.maps.arcgis.com/apps/mapviewer/index.html?url=https%3A%2F%2Fservices5.arcgis.com%2F0pgGLzT0Nh7FVjon%2Farcgis%2Frest%2Fservices%2FFFCL_gdb%2FFeatureServer%2F3&amp;find="&amp;$F116&amp;"%2C"&amp;$E116&amp;"&amp;marker="&amp;$F116&amp;","&amp;$E116&amp;",4326&amp;level=16","https://fema.maps.arcgis.com/apps/mapviewer/index.html?find="&amp;$F116&amp;"%2C"&amp;$E116&amp;"&amp;marker="&amp;$F116&amp;","&amp;$E116&amp;",4326&amp;level=16"))),"Open"))</f>
        <v/>
      </c>
      <c r="T116" s="4"/>
      <c r="U116" s="4"/>
      <c r="V116" s="4"/>
      <c r="W116" s="4"/>
      <c r="X116" s="4"/>
      <c r="Y116" s="4"/>
      <c r="Z116" s="4"/>
      <c r="AA116" s="4"/>
      <c r="AB116" s="1" t="str">
        <f>IF(OR(_xlfn.SINGLE(JobAgolMap)="", $E116="", $F116=""),"",HYPERLINK(_xlfn.SINGLE(JobAgolMap)&amp;IF(ISNUMBER(FIND("?",_xlfn.SINGLE(JobAgolMap))),"&amp;","?")&amp;"center="&amp;$F116&amp;","&amp;$E116&amp;"&amp;level=16&amp;marker="&amp;$F116&amp;","&amp;$E116,"Open"))</f>
        <v/>
      </c>
    </row>
    <row r="117" spans="1:28" x14ac:dyDescent="0.45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4"/>
      <c r="M117" s="1" t="str">
        <f t="shared" si="6"/>
        <v/>
      </c>
      <c r="N117" s="1" t="str">
        <f t="shared" si="7"/>
        <v/>
      </c>
      <c r="O117" s="1" t="str">
        <f t="shared" si="8"/>
        <v/>
      </c>
      <c r="P117" s="1" t="str">
        <f t="shared" si="9"/>
        <v/>
      </c>
      <c r="Q117" s="1" t="str">
        <f t="shared" si="10"/>
        <v/>
      </c>
      <c r="R117" s="1" t="str">
        <f t="shared" si="11"/>
        <v/>
      </c>
      <c r="S117" s="1" t="str">
        <f>IF(OR($E117="",$F117=""),"",HYPERLINK(IF(OR(_xlfn.SINGLE(JobState)="MI",_xlfn.SINGLE(JobState)=""),"https://fema.maps.arcgis.com/apps/mapviewer/index.html?url=https%3A%2F%2Fmdotgis.state.mi.us%2Farcgis%2Frest%2Fservices%2FWidget%2FNextGenPrFinderPub%2FFeatureServer%2F353&amp;find="&amp;$F117&amp;"%2C"&amp;$E117&amp;"&amp;marker="&amp;$F117&amp;","&amp;$E117&amp;",4326&amp;level=16",IF(_xlfn.SINGLE(JobState)="IN","https://fema.maps.arcgis.com/apps/mapviewer/index.html?url=https%3A%2F%2Fgisdata.in.gov%2Fserver%2Frest%2Fservices%2FHosted%2FLRSE_Functional_Class%2FFeatureServer%2F22&amp;find="&amp;$F117&amp;"%2C"&amp;$E117&amp;"&amp;marker="&amp;$F117&amp;","&amp;$E117&amp;",4326&amp;level=16",IF(_xlfn.SINGLE(JobState)="WI","https://fema.maps.arcgis.com/apps/mapviewer/index.html?url=https%3A%2F%2Fservices5.arcgis.com%2F0pgGLzT0Nh7FVjon%2Farcgis%2Frest%2Fservices%2FFFCL_gdb%2FFeatureServer%2F3&amp;find="&amp;$F117&amp;"%2C"&amp;$E117&amp;"&amp;marker="&amp;$F117&amp;","&amp;$E117&amp;",4326&amp;level=16","https://fema.maps.arcgis.com/apps/mapviewer/index.html?find="&amp;$F117&amp;"%2C"&amp;$E117&amp;"&amp;marker="&amp;$F117&amp;","&amp;$E117&amp;",4326&amp;level=16"))),"Open"))</f>
        <v/>
      </c>
      <c r="T117" s="4"/>
      <c r="U117" s="4"/>
      <c r="V117" s="4"/>
      <c r="W117" s="4"/>
      <c r="X117" s="4"/>
      <c r="Y117" s="4"/>
      <c r="Z117" s="4"/>
      <c r="AA117" s="4"/>
      <c r="AB117" s="1" t="str">
        <f>IF(OR(_xlfn.SINGLE(JobAgolMap)="", $E117="", $F117=""),"",HYPERLINK(_xlfn.SINGLE(JobAgolMap)&amp;IF(ISNUMBER(FIND("?",_xlfn.SINGLE(JobAgolMap))),"&amp;","?")&amp;"center="&amp;$F117&amp;","&amp;$E117&amp;"&amp;level=16&amp;marker="&amp;$F117&amp;","&amp;$E117,"Open"))</f>
        <v/>
      </c>
    </row>
    <row r="118" spans="1:28" x14ac:dyDescent="0.45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4"/>
      <c r="M118" s="1" t="str">
        <f t="shared" si="6"/>
        <v/>
      </c>
      <c r="N118" s="1" t="str">
        <f t="shared" si="7"/>
        <v/>
      </c>
      <c r="O118" s="1" t="str">
        <f t="shared" si="8"/>
        <v/>
      </c>
      <c r="P118" s="1" t="str">
        <f t="shared" si="9"/>
        <v/>
      </c>
      <c r="Q118" s="1" t="str">
        <f t="shared" si="10"/>
        <v/>
      </c>
      <c r="R118" s="1" t="str">
        <f t="shared" si="11"/>
        <v/>
      </c>
      <c r="S118" s="1" t="str">
        <f>IF(OR($E118="",$F118=""),"",HYPERLINK(IF(OR(_xlfn.SINGLE(JobState)="MI",_xlfn.SINGLE(JobState)=""),"https://fema.maps.arcgis.com/apps/mapviewer/index.html?url=https%3A%2F%2Fmdotgis.state.mi.us%2Farcgis%2Frest%2Fservices%2FWidget%2FNextGenPrFinderPub%2FFeatureServer%2F353&amp;find="&amp;$F118&amp;"%2C"&amp;$E118&amp;"&amp;marker="&amp;$F118&amp;","&amp;$E118&amp;",4326&amp;level=16",IF(_xlfn.SINGLE(JobState)="IN","https://fema.maps.arcgis.com/apps/mapviewer/index.html?url=https%3A%2F%2Fgisdata.in.gov%2Fserver%2Frest%2Fservices%2FHosted%2FLRSE_Functional_Class%2FFeatureServer%2F22&amp;find="&amp;$F118&amp;"%2C"&amp;$E118&amp;"&amp;marker="&amp;$F118&amp;","&amp;$E118&amp;",4326&amp;level=16",IF(_xlfn.SINGLE(JobState)="WI","https://fema.maps.arcgis.com/apps/mapviewer/index.html?url=https%3A%2F%2Fservices5.arcgis.com%2F0pgGLzT0Nh7FVjon%2Farcgis%2Frest%2Fservices%2FFFCL_gdb%2FFeatureServer%2F3&amp;find="&amp;$F118&amp;"%2C"&amp;$E118&amp;"&amp;marker="&amp;$F118&amp;","&amp;$E118&amp;",4326&amp;level=16","https://fema.maps.arcgis.com/apps/mapviewer/index.html?find="&amp;$F118&amp;"%2C"&amp;$E118&amp;"&amp;marker="&amp;$F118&amp;","&amp;$E118&amp;",4326&amp;level=16"))),"Open"))</f>
        <v/>
      </c>
      <c r="T118" s="4"/>
      <c r="U118" s="4"/>
      <c r="V118" s="4"/>
      <c r="W118" s="4"/>
      <c r="X118" s="4"/>
      <c r="Y118" s="4"/>
      <c r="Z118" s="4"/>
      <c r="AA118" s="4"/>
      <c r="AB118" s="1" t="str">
        <f>IF(OR(_xlfn.SINGLE(JobAgolMap)="", $E118="", $F118=""),"",HYPERLINK(_xlfn.SINGLE(JobAgolMap)&amp;IF(ISNUMBER(FIND("?",_xlfn.SINGLE(JobAgolMap))),"&amp;","?")&amp;"center="&amp;$F118&amp;","&amp;$E118&amp;"&amp;level=16&amp;marker="&amp;$F118&amp;","&amp;$E118,"Open"))</f>
        <v/>
      </c>
    </row>
    <row r="119" spans="1:28" x14ac:dyDescent="0.45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4"/>
      <c r="M119" s="1" t="str">
        <f t="shared" si="6"/>
        <v/>
      </c>
      <c r="N119" s="1" t="str">
        <f t="shared" si="7"/>
        <v/>
      </c>
      <c r="O119" s="1" t="str">
        <f t="shared" si="8"/>
        <v/>
      </c>
      <c r="P119" s="1" t="str">
        <f t="shared" si="9"/>
        <v/>
      </c>
      <c r="Q119" s="1" t="str">
        <f t="shared" si="10"/>
        <v/>
      </c>
      <c r="R119" s="1" t="str">
        <f t="shared" si="11"/>
        <v/>
      </c>
      <c r="S119" s="1" t="str">
        <f>IF(OR($E119="",$F119=""),"",HYPERLINK(IF(OR(_xlfn.SINGLE(JobState)="MI",_xlfn.SINGLE(JobState)=""),"https://fema.maps.arcgis.com/apps/mapviewer/index.html?url=https%3A%2F%2Fmdotgis.state.mi.us%2Farcgis%2Frest%2Fservices%2FWidget%2FNextGenPrFinderPub%2FFeatureServer%2F353&amp;find="&amp;$F119&amp;"%2C"&amp;$E119&amp;"&amp;marker="&amp;$F119&amp;","&amp;$E119&amp;",4326&amp;level=16",IF(_xlfn.SINGLE(JobState)="IN","https://fema.maps.arcgis.com/apps/mapviewer/index.html?url=https%3A%2F%2Fgisdata.in.gov%2Fserver%2Frest%2Fservices%2FHosted%2FLRSE_Functional_Class%2FFeatureServer%2F22&amp;find="&amp;$F119&amp;"%2C"&amp;$E119&amp;"&amp;marker="&amp;$F119&amp;","&amp;$E119&amp;",4326&amp;level=16",IF(_xlfn.SINGLE(JobState)="WI","https://fema.maps.arcgis.com/apps/mapviewer/index.html?url=https%3A%2F%2Fservices5.arcgis.com%2F0pgGLzT0Nh7FVjon%2Farcgis%2Frest%2Fservices%2FFFCL_gdb%2FFeatureServer%2F3&amp;find="&amp;$F119&amp;"%2C"&amp;$E119&amp;"&amp;marker="&amp;$F119&amp;","&amp;$E119&amp;",4326&amp;level=16","https://fema.maps.arcgis.com/apps/mapviewer/index.html?find="&amp;$F119&amp;"%2C"&amp;$E119&amp;"&amp;marker="&amp;$F119&amp;","&amp;$E119&amp;",4326&amp;level=16"))),"Open"))</f>
        <v/>
      </c>
      <c r="T119" s="4"/>
      <c r="U119" s="4"/>
      <c r="V119" s="4"/>
      <c r="W119" s="4"/>
      <c r="X119" s="4"/>
      <c r="Y119" s="4"/>
      <c r="Z119" s="4"/>
      <c r="AA119" s="4"/>
      <c r="AB119" s="1" t="str">
        <f>IF(OR(_xlfn.SINGLE(JobAgolMap)="", $E119="", $F119=""),"",HYPERLINK(_xlfn.SINGLE(JobAgolMap)&amp;IF(ISNUMBER(FIND("?",_xlfn.SINGLE(JobAgolMap))),"&amp;","?")&amp;"center="&amp;$F119&amp;","&amp;$E119&amp;"&amp;level=16&amp;marker="&amp;$F119&amp;","&amp;$E119,"Open"))</f>
        <v/>
      </c>
    </row>
    <row r="120" spans="1:28" x14ac:dyDescent="0.45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4"/>
      <c r="M120" s="1" t="str">
        <f t="shared" si="6"/>
        <v/>
      </c>
      <c r="N120" s="1" t="str">
        <f t="shared" si="7"/>
        <v/>
      </c>
      <c r="O120" s="1" t="str">
        <f t="shared" si="8"/>
        <v/>
      </c>
      <c r="P120" s="1" t="str">
        <f t="shared" si="9"/>
        <v/>
      </c>
      <c r="Q120" s="1" t="str">
        <f t="shared" si="10"/>
        <v/>
      </c>
      <c r="R120" s="1" t="str">
        <f t="shared" si="11"/>
        <v/>
      </c>
      <c r="S120" s="1" t="str">
        <f>IF(OR($E120="",$F120=""),"",HYPERLINK(IF(OR(_xlfn.SINGLE(JobState)="MI",_xlfn.SINGLE(JobState)=""),"https://fema.maps.arcgis.com/apps/mapviewer/index.html?url=https%3A%2F%2Fmdotgis.state.mi.us%2Farcgis%2Frest%2Fservices%2FWidget%2FNextGenPrFinderPub%2FFeatureServer%2F353&amp;find="&amp;$F120&amp;"%2C"&amp;$E120&amp;"&amp;marker="&amp;$F120&amp;","&amp;$E120&amp;",4326&amp;level=16",IF(_xlfn.SINGLE(JobState)="IN","https://fema.maps.arcgis.com/apps/mapviewer/index.html?url=https%3A%2F%2Fgisdata.in.gov%2Fserver%2Frest%2Fservices%2FHosted%2FLRSE_Functional_Class%2FFeatureServer%2F22&amp;find="&amp;$F120&amp;"%2C"&amp;$E120&amp;"&amp;marker="&amp;$F120&amp;","&amp;$E120&amp;",4326&amp;level=16",IF(_xlfn.SINGLE(JobState)="WI","https://fema.maps.arcgis.com/apps/mapviewer/index.html?url=https%3A%2F%2Fservices5.arcgis.com%2F0pgGLzT0Nh7FVjon%2Farcgis%2Frest%2Fservices%2FFFCL_gdb%2FFeatureServer%2F3&amp;find="&amp;$F120&amp;"%2C"&amp;$E120&amp;"&amp;marker="&amp;$F120&amp;","&amp;$E120&amp;",4326&amp;level=16","https://fema.maps.arcgis.com/apps/mapviewer/index.html?find="&amp;$F120&amp;"%2C"&amp;$E120&amp;"&amp;marker="&amp;$F120&amp;","&amp;$E120&amp;",4326&amp;level=16"))),"Open"))</f>
        <v/>
      </c>
      <c r="T120" s="4"/>
      <c r="U120" s="4"/>
      <c r="V120" s="4"/>
      <c r="W120" s="4"/>
      <c r="X120" s="4"/>
      <c r="Y120" s="4"/>
      <c r="Z120" s="4"/>
      <c r="AA120" s="4"/>
      <c r="AB120" s="1" t="str">
        <f>IF(OR(_xlfn.SINGLE(JobAgolMap)="", $E120="", $F120=""),"",HYPERLINK(_xlfn.SINGLE(JobAgolMap)&amp;IF(ISNUMBER(FIND("?",_xlfn.SINGLE(JobAgolMap))),"&amp;","?")&amp;"center="&amp;$F120&amp;","&amp;$E120&amp;"&amp;level=16&amp;marker="&amp;$F120&amp;","&amp;$E120,"Open"))</f>
        <v/>
      </c>
    </row>
    <row r="121" spans="1:28" x14ac:dyDescent="0.45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4"/>
      <c r="M121" s="1" t="str">
        <f t="shared" si="6"/>
        <v/>
      </c>
      <c r="N121" s="1" t="str">
        <f t="shared" si="7"/>
        <v/>
      </c>
      <c r="O121" s="1" t="str">
        <f t="shared" si="8"/>
        <v/>
      </c>
      <c r="P121" s="1" t="str">
        <f t="shared" si="9"/>
        <v/>
      </c>
      <c r="Q121" s="1" t="str">
        <f t="shared" si="10"/>
        <v/>
      </c>
      <c r="R121" s="1" t="str">
        <f t="shared" si="11"/>
        <v/>
      </c>
      <c r="S121" s="1" t="str">
        <f>IF(OR($E121="",$F121=""),"",HYPERLINK(IF(OR(_xlfn.SINGLE(JobState)="MI",_xlfn.SINGLE(JobState)=""),"https://fema.maps.arcgis.com/apps/mapviewer/index.html?url=https%3A%2F%2Fmdotgis.state.mi.us%2Farcgis%2Frest%2Fservices%2FWidget%2FNextGenPrFinderPub%2FFeatureServer%2F353&amp;find="&amp;$F121&amp;"%2C"&amp;$E121&amp;"&amp;marker="&amp;$F121&amp;","&amp;$E121&amp;",4326&amp;level=16",IF(_xlfn.SINGLE(JobState)="IN","https://fema.maps.arcgis.com/apps/mapviewer/index.html?url=https%3A%2F%2Fgisdata.in.gov%2Fserver%2Frest%2Fservices%2FHosted%2FLRSE_Functional_Class%2FFeatureServer%2F22&amp;find="&amp;$F121&amp;"%2C"&amp;$E121&amp;"&amp;marker="&amp;$F121&amp;","&amp;$E121&amp;",4326&amp;level=16",IF(_xlfn.SINGLE(JobState)="WI","https://fema.maps.arcgis.com/apps/mapviewer/index.html?url=https%3A%2F%2Fservices5.arcgis.com%2F0pgGLzT0Nh7FVjon%2Farcgis%2Frest%2Fservices%2FFFCL_gdb%2FFeatureServer%2F3&amp;find="&amp;$F121&amp;"%2C"&amp;$E121&amp;"&amp;marker="&amp;$F121&amp;","&amp;$E121&amp;",4326&amp;level=16","https://fema.maps.arcgis.com/apps/mapviewer/index.html?find="&amp;$F121&amp;"%2C"&amp;$E121&amp;"&amp;marker="&amp;$F121&amp;","&amp;$E121&amp;",4326&amp;level=16"))),"Open"))</f>
        <v/>
      </c>
      <c r="T121" s="4"/>
      <c r="U121" s="4"/>
      <c r="V121" s="4"/>
      <c r="W121" s="4"/>
      <c r="X121" s="4"/>
      <c r="Y121" s="4"/>
      <c r="Z121" s="4"/>
      <c r="AA121" s="4"/>
      <c r="AB121" s="1" t="str">
        <f>IF(OR(_xlfn.SINGLE(JobAgolMap)="", $E121="", $F121=""),"",HYPERLINK(_xlfn.SINGLE(JobAgolMap)&amp;IF(ISNUMBER(FIND("?",_xlfn.SINGLE(JobAgolMap))),"&amp;","?")&amp;"center="&amp;$F121&amp;","&amp;$E121&amp;"&amp;level=16&amp;marker="&amp;$F121&amp;","&amp;$E121,"Open"))</f>
        <v/>
      </c>
    </row>
    <row r="122" spans="1:28" x14ac:dyDescent="0.45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4"/>
      <c r="M122" s="1" t="str">
        <f t="shared" si="6"/>
        <v/>
      </c>
      <c r="N122" s="1" t="str">
        <f t="shared" si="7"/>
        <v/>
      </c>
      <c r="O122" s="1" t="str">
        <f t="shared" si="8"/>
        <v/>
      </c>
      <c r="P122" s="1" t="str">
        <f t="shared" si="9"/>
        <v/>
      </c>
      <c r="Q122" s="1" t="str">
        <f t="shared" si="10"/>
        <v/>
      </c>
      <c r="R122" s="1" t="str">
        <f t="shared" si="11"/>
        <v/>
      </c>
      <c r="S122" s="1" t="str">
        <f>IF(OR($E122="",$F122=""),"",HYPERLINK(IF(OR(_xlfn.SINGLE(JobState)="MI",_xlfn.SINGLE(JobState)=""),"https://fema.maps.arcgis.com/apps/mapviewer/index.html?url=https%3A%2F%2Fmdotgis.state.mi.us%2Farcgis%2Frest%2Fservices%2FWidget%2FNextGenPrFinderPub%2FFeatureServer%2F353&amp;find="&amp;$F122&amp;"%2C"&amp;$E122&amp;"&amp;marker="&amp;$F122&amp;","&amp;$E122&amp;",4326&amp;level=16",IF(_xlfn.SINGLE(JobState)="IN","https://fema.maps.arcgis.com/apps/mapviewer/index.html?url=https%3A%2F%2Fgisdata.in.gov%2Fserver%2Frest%2Fservices%2FHosted%2FLRSE_Functional_Class%2FFeatureServer%2F22&amp;find="&amp;$F122&amp;"%2C"&amp;$E122&amp;"&amp;marker="&amp;$F122&amp;","&amp;$E122&amp;",4326&amp;level=16",IF(_xlfn.SINGLE(JobState)="WI","https://fema.maps.arcgis.com/apps/mapviewer/index.html?url=https%3A%2F%2Fservices5.arcgis.com%2F0pgGLzT0Nh7FVjon%2Farcgis%2Frest%2Fservices%2FFFCL_gdb%2FFeatureServer%2F3&amp;find="&amp;$F122&amp;"%2C"&amp;$E122&amp;"&amp;marker="&amp;$F122&amp;","&amp;$E122&amp;",4326&amp;level=16","https://fema.maps.arcgis.com/apps/mapviewer/index.html?find="&amp;$F122&amp;"%2C"&amp;$E122&amp;"&amp;marker="&amp;$F122&amp;","&amp;$E122&amp;",4326&amp;level=16"))),"Open"))</f>
        <v/>
      </c>
      <c r="T122" s="4"/>
      <c r="U122" s="4"/>
      <c r="V122" s="4"/>
      <c r="W122" s="4"/>
      <c r="X122" s="4"/>
      <c r="Y122" s="4"/>
      <c r="Z122" s="4"/>
      <c r="AA122" s="4"/>
      <c r="AB122" s="1" t="str">
        <f>IF(OR(_xlfn.SINGLE(JobAgolMap)="", $E122="", $F122=""),"",HYPERLINK(_xlfn.SINGLE(JobAgolMap)&amp;IF(ISNUMBER(FIND("?",_xlfn.SINGLE(JobAgolMap))),"&amp;","?")&amp;"center="&amp;$F122&amp;","&amp;$E122&amp;"&amp;level=16&amp;marker="&amp;$F122&amp;","&amp;$E122,"Open"))</f>
        <v/>
      </c>
    </row>
    <row r="123" spans="1:28" x14ac:dyDescent="0.45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4"/>
      <c r="M123" s="1" t="str">
        <f t="shared" si="6"/>
        <v/>
      </c>
      <c r="N123" s="1" t="str">
        <f t="shared" si="7"/>
        <v/>
      </c>
      <c r="O123" s="1" t="str">
        <f t="shared" si="8"/>
        <v/>
      </c>
      <c r="P123" s="1" t="str">
        <f t="shared" si="9"/>
        <v/>
      </c>
      <c r="Q123" s="1" t="str">
        <f t="shared" si="10"/>
        <v/>
      </c>
      <c r="R123" s="1" t="str">
        <f t="shared" si="11"/>
        <v/>
      </c>
      <c r="S123" s="1" t="str">
        <f>IF(OR($E123="",$F123=""),"",HYPERLINK(IF(OR(_xlfn.SINGLE(JobState)="MI",_xlfn.SINGLE(JobState)=""),"https://fema.maps.arcgis.com/apps/mapviewer/index.html?url=https%3A%2F%2Fmdotgis.state.mi.us%2Farcgis%2Frest%2Fservices%2FWidget%2FNextGenPrFinderPub%2FFeatureServer%2F353&amp;find="&amp;$F123&amp;"%2C"&amp;$E123&amp;"&amp;marker="&amp;$F123&amp;","&amp;$E123&amp;",4326&amp;level=16",IF(_xlfn.SINGLE(JobState)="IN","https://fema.maps.arcgis.com/apps/mapviewer/index.html?url=https%3A%2F%2Fgisdata.in.gov%2Fserver%2Frest%2Fservices%2FHosted%2FLRSE_Functional_Class%2FFeatureServer%2F22&amp;find="&amp;$F123&amp;"%2C"&amp;$E123&amp;"&amp;marker="&amp;$F123&amp;","&amp;$E123&amp;",4326&amp;level=16",IF(_xlfn.SINGLE(JobState)="WI","https://fema.maps.arcgis.com/apps/mapviewer/index.html?url=https%3A%2F%2Fservices5.arcgis.com%2F0pgGLzT0Nh7FVjon%2Farcgis%2Frest%2Fservices%2FFFCL_gdb%2FFeatureServer%2F3&amp;find="&amp;$F123&amp;"%2C"&amp;$E123&amp;"&amp;marker="&amp;$F123&amp;","&amp;$E123&amp;",4326&amp;level=16","https://fema.maps.arcgis.com/apps/mapviewer/index.html?find="&amp;$F123&amp;"%2C"&amp;$E123&amp;"&amp;marker="&amp;$F123&amp;","&amp;$E123&amp;",4326&amp;level=16"))),"Open"))</f>
        <v/>
      </c>
      <c r="T123" s="4"/>
      <c r="U123" s="4"/>
      <c r="V123" s="4"/>
      <c r="W123" s="4"/>
      <c r="X123" s="4"/>
      <c r="Y123" s="4"/>
      <c r="Z123" s="4"/>
      <c r="AA123" s="4"/>
      <c r="AB123" s="1" t="str">
        <f>IF(OR(_xlfn.SINGLE(JobAgolMap)="", $E123="", $F123=""),"",HYPERLINK(_xlfn.SINGLE(JobAgolMap)&amp;IF(ISNUMBER(FIND("?",_xlfn.SINGLE(JobAgolMap))),"&amp;","?")&amp;"center="&amp;$F123&amp;","&amp;$E123&amp;"&amp;level=16&amp;marker="&amp;$F123&amp;","&amp;$E123,"Open"))</f>
        <v/>
      </c>
    </row>
    <row r="124" spans="1:28" x14ac:dyDescent="0.45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4"/>
      <c r="M124" s="1" t="str">
        <f t="shared" si="6"/>
        <v/>
      </c>
      <c r="N124" s="1" t="str">
        <f t="shared" si="7"/>
        <v/>
      </c>
      <c r="O124" s="1" t="str">
        <f t="shared" si="8"/>
        <v/>
      </c>
      <c r="P124" s="1" t="str">
        <f t="shared" si="9"/>
        <v/>
      </c>
      <c r="Q124" s="1" t="str">
        <f t="shared" si="10"/>
        <v/>
      </c>
      <c r="R124" s="1" t="str">
        <f t="shared" si="11"/>
        <v/>
      </c>
      <c r="S124" s="1" t="str">
        <f>IF(OR($E124="",$F124=""),"",HYPERLINK(IF(OR(_xlfn.SINGLE(JobState)="MI",_xlfn.SINGLE(JobState)=""),"https://fema.maps.arcgis.com/apps/mapviewer/index.html?url=https%3A%2F%2Fmdotgis.state.mi.us%2Farcgis%2Frest%2Fservices%2FWidget%2FNextGenPrFinderPub%2FFeatureServer%2F353&amp;find="&amp;$F124&amp;"%2C"&amp;$E124&amp;"&amp;marker="&amp;$F124&amp;","&amp;$E124&amp;",4326&amp;level=16",IF(_xlfn.SINGLE(JobState)="IN","https://fema.maps.arcgis.com/apps/mapviewer/index.html?url=https%3A%2F%2Fgisdata.in.gov%2Fserver%2Frest%2Fservices%2FHosted%2FLRSE_Functional_Class%2FFeatureServer%2F22&amp;find="&amp;$F124&amp;"%2C"&amp;$E124&amp;"&amp;marker="&amp;$F124&amp;","&amp;$E124&amp;",4326&amp;level=16",IF(_xlfn.SINGLE(JobState)="WI","https://fema.maps.arcgis.com/apps/mapviewer/index.html?url=https%3A%2F%2Fservices5.arcgis.com%2F0pgGLzT0Nh7FVjon%2Farcgis%2Frest%2Fservices%2FFFCL_gdb%2FFeatureServer%2F3&amp;find="&amp;$F124&amp;"%2C"&amp;$E124&amp;"&amp;marker="&amp;$F124&amp;","&amp;$E124&amp;",4326&amp;level=16","https://fema.maps.arcgis.com/apps/mapviewer/index.html?find="&amp;$F124&amp;"%2C"&amp;$E124&amp;"&amp;marker="&amp;$F124&amp;","&amp;$E124&amp;",4326&amp;level=16"))),"Open"))</f>
        <v/>
      </c>
      <c r="T124" s="4"/>
      <c r="U124" s="4"/>
      <c r="V124" s="4"/>
      <c r="W124" s="4"/>
      <c r="X124" s="4"/>
      <c r="Y124" s="4"/>
      <c r="Z124" s="4"/>
      <c r="AA124" s="4"/>
      <c r="AB124" s="1" t="str">
        <f>IF(OR(_xlfn.SINGLE(JobAgolMap)="", $E124="", $F124=""),"",HYPERLINK(_xlfn.SINGLE(JobAgolMap)&amp;IF(ISNUMBER(FIND("?",_xlfn.SINGLE(JobAgolMap))),"&amp;","?")&amp;"center="&amp;$F124&amp;","&amp;$E124&amp;"&amp;level=16&amp;marker="&amp;$F124&amp;","&amp;$E124,"Open"))</f>
        <v/>
      </c>
    </row>
    <row r="125" spans="1:28" x14ac:dyDescent="0.45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4"/>
      <c r="M125" s="1" t="str">
        <f t="shared" si="6"/>
        <v/>
      </c>
      <c r="N125" s="1" t="str">
        <f t="shared" si="7"/>
        <v/>
      </c>
      <c r="O125" s="1" t="str">
        <f t="shared" si="8"/>
        <v/>
      </c>
      <c r="P125" s="1" t="str">
        <f t="shared" si="9"/>
        <v/>
      </c>
      <c r="Q125" s="1" t="str">
        <f t="shared" si="10"/>
        <v/>
      </c>
      <c r="R125" s="1" t="str">
        <f t="shared" si="11"/>
        <v/>
      </c>
      <c r="S125" s="1" t="str">
        <f>IF(OR($E125="",$F125=""),"",HYPERLINK(IF(OR(_xlfn.SINGLE(JobState)="MI",_xlfn.SINGLE(JobState)=""),"https://fema.maps.arcgis.com/apps/mapviewer/index.html?url=https%3A%2F%2Fmdotgis.state.mi.us%2Farcgis%2Frest%2Fservices%2FWidget%2FNextGenPrFinderPub%2FFeatureServer%2F353&amp;find="&amp;$F125&amp;"%2C"&amp;$E125&amp;"&amp;marker="&amp;$F125&amp;","&amp;$E125&amp;",4326&amp;level=16",IF(_xlfn.SINGLE(JobState)="IN","https://fema.maps.arcgis.com/apps/mapviewer/index.html?url=https%3A%2F%2Fgisdata.in.gov%2Fserver%2Frest%2Fservices%2FHosted%2FLRSE_Functional_Class%2FFeatureServer%2F22&amp;find="&amp;$F125&amp;"%2C"&amp;$E125&amp;"&amp;marker="&amp;$F125&amp;","&amp;$E125&amp;",4326&amp;level=16",IF(_xlfn.SINGLE(JobState)="WI","https://fema.maps.arcgis.com/apps/mapviewer/index.html?url=https%3A%2F%2Fservices5.arcgis.com%2F0pgGLzT0Nh7FVjon%2Farcgis%2Frest%2Fservices%2FFFCL_gdb%2FFeatureServer%2F3&amp;find="&amp;$F125&amp;"%2C"&amp;$E125&amp;"&amp;marker="&amp;$F125&amp;","&amp;$E125&amp;",4326&amp;level=16","https://fema.maps.arcgis.com/apps/mapviewer/index.html?find="&amp;$F125&amp;"%2C"&amp;$E125&amp;"&amp;marker="&amp;$F125&amp;","&amp;$E125&amp;",4326&amp;level=16"))),"Open"))</f>
        <v/>
      </c>
      <c r="T125" s="4"/>
      <c r="U125" s="4"/>
      <c r="V125" s="4"/>
      <c r="W125" s="4"/>
      <c r="X125" s="4"/>
      <c r="Y125" s="4"/>
      <c r="Z125" s="4"/>
      <c r="AA125" s="4"/>
      <c r="AB125" s="1" t="str">
        <f>IF(OR(_xlfn.SINGLE(JobAgolMap)="", $E125="", $F125=""),"",HYPERLINK(_xlfn.SINGLE(JobAgolMap)&amp;IF(ISNUMBER(FIND("?",_xlfn.SINGLE(JobAgolMap))),"&amp;","?")&amp;"center="&amp;$F125&amp;","&amp;$E125&amp;"&amp;level=16&amp;marker="&amp;$F125&amp;","&amp;$E125,"Open"))</f>
        <v/>
      </c>
    </row>
    <row r="126" spans="1:28" x14ac:dyDescent="0.45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4"/>
      <c r="M126" s="1" t="str">
        <f t="shared" si="6"/>
        <v/>
      </c>
      <c r="N126" s="1" t="str">
        <f t="shared" si="7"/>
        <v/>
      </c>
      <c r="O126" s="1" t="str">
        <f t="shared" si="8"/>
        <v/>
      </c>
      <c r="P126" s="1" t="str">
        <f t="shared" si="9"/>
        <v/>
      </c>
      <c r="Q126" s="1" t="str">
        <f t="shared" si="10"/>
        <v/>
      </c>
      <c r="R126" s="1" t="str">
        <f t="shared" si="11"/>
        <v/>
      </c>
      <c r="S126" s="1" t="str">
        <f>IF(OR($E126="",$F126=""),"",HYPERLINK(IF(OR(_xlfn.SINGLE(JobState)="MI",_xlfn.SINGLE(JobState)=""),"https://fema.maps.arcgis.com/apps/mapviewer/index.html?url=https%3A%2F%2Fmdotgis.state.mi.us%2Farcgis%2Frest%2Fservices%2FWidget%2FNextGenPrFinderPub%2FFeatureServer%2F353&amp;find="&amp;$F126&amp;"%2C"&amp;$E126&amp;"&amp;marker="&amp;$F126&amp;","&amp;$E126&amp;",4326&amp;level=16",IF(_xlfn.SINGLE(JobState)="IN","https://fema.maps.arcgis.com/apps/mapviewer/index.html?url=https%3A%2F%2Fgisdata.in.gov%2Fserver%2Frest%2Fservices%2FHosted%2FLRSE_Functional_Class%2FFeatureServer%2F22&amp;find="&amp;$F126&amp;"%2C"&amp;$E126&amp;"&amp;marker="&amp;$F126&amp;","&amp;$E126&amp;",4326&amp;level=16",IF(_xlfn.SINGLE(JobState)="WI","https://fema.maps.arcgis.com/apps/mapviewer/index.html?url=https%3A%2F%2Fservices5.arcgis.com%2F0pgGLzT0Nh7FVjon%2Farcgis%2Frest%2Fservices%2FFFCL_gdb%2FFeatureServer%2F3&amp;find="&amp;$F126&amp;"%2C"&amp;$E126&amp;"&amp;marker="&amp;$F126&amp;","&amp;$E126&amp;",4326&amp;level=16","https://fema.maps.arcgis.com/apps/mapviewer/index.html?find="&amp;$F126&amp;"%2C"&amp;$E126&amp;"&amp;marker="&amp;$F126&amp;","&amp;$E126&amp;",4326&amp;level=16"))),"Open"))</f>
        <v/>
      </c>
      <c r="T126" s="4"/>
      <c r="U126" s="4"/>
      <c r="V126" s="4"/>
      <c r="W126" s="4"/>
      <c r="X126" s="4"/>
      <c r="Y126" s="4"/>
      <c r="Z126" s="4"/>
      <c r="AA126" s="4"/>
      <c r="AB126" s="1" t="str">
        <f>IF(OR(_xlfn.SINGLE(JobAgolMap)="", $E126="", $F126=""),"",HYPERLINK(_xlfn.SINGLE(JobAgolMap)&amp;IF(ISNUMBER(FIND("?",_xlfn.SINGLE(JobAgolMap))),"&amp;","?")&amp;"center="&amp;$F126&amp;","&amp;$E126&amp;"&amp;level=16&amp;marker="&amp;$F126&amp;","&amp;$E126,"Open"))</f>
        <v/>
      </c>
    </row>
    <row r="127" spans="1:28" x14ac:dyDescent="0.45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4"/>
      <c r="M127" s="1" t="str">
        <f t="shared" si="6"/>
        <v/>
      </c>
      <c r="N127" s="1" t="str">
        <f t="shared" si="7"/>
        <v/>
      </c>
      <c r="O127" s="1" t="str">
        <f t="shared" si="8"/>
        <v/>
      </c>
      <c r="P127" s="1" t="str">
        <f t="shared" si="9"/>
        <v/>
      </c>
      <c r="Q127" s="1" t="str">
        <f t="shared" si="10"/>
        <v/>
      </c>
      <c r="R127" s="1" t="str">
        <f t="shared" si="11"/>
        <v/>
      </c>
      <c r="S127" s="1" t="str">
        <f>IF(OR($E127="",$F127=""),"",HYPERLINK(IF(OR(_xlfn.SINGLE(JobState)="MI",_xlfn.SINGLE(JobState)=""),"https://fema.maps.arcgis.com/apps/mapviewer/index.html?url=https%3A%2F%2Fmdotgis.state.mi.us%2Farcgis%2Frest%2Fservices%2FWidget%2FNextGenPrFinderPub%2FFeatureServer%2F353&amp;find="&amp;$F127&amp;"%2C"&amp;$E127&amp;"&amp;marker="&amp;$F127&amp;","&amp;$E127&amp;",4326&amp;level=16",IF(_xlfn.SINGLE(JobState)="IN","https://fema.maps.arcgis.com/apps/mapviewer/index.html?url=https%3A%2F%2Fgisdata.in.gov%2Fserver%2Frest%2Fservices%2FHosted%2FLRSE_Functional_Class%2FFeatureServer%2F22&amp;find="&amp;$F127&amp;"%2C"&amp;$E127&amp;"&amp;marker="&amp;$F127&amp;","&amp;$E127&amp;",4326&amp;level=16",IF(_xlfn.SINGLE(JobState)="WI","https://fema.maps.arcgis.com/apps/mapviewer/index.html?url=https%3A%2F%2Fservices5.arcgis.com%2F0pgGLzT0Nh7FVjon%2Farcgis%2Frest%2Fservices%2FFFCL_gdb%2FFeatureServer%2F3&amp;find="&amp;$F127&amp;"%2C"&amp;$E127&amp;"&amp;marker="&amp;$F127&amp;","&amp;$E127&amp;",4326&amp;level=16","https://fema.maps.arcgis.com/apps/mapviewer/index.html?find="&amp;$F127&amp;"%2C"&amp;$E127&amp;"&amp;marker="&amp;$F127&amp;","&amp;$E127&amp;",4326&amp;level=16"))),"Open"))</f>
        <v/>
      </c>
      <c r="T127" s="4"/>
      <c r="U127" s="4"/>
      <c r="V127" s="4"/>
      <c r="W127" s="4"/>
      <c r="X127" s="4"/>
      <c r="Y127" s="4"/>
      <c r="Z127" s="4"/>
      <c r="AA127" s="4"/>
      <c r="AB127" s="1" t="str">
        <f>IF(OR(_xlfn.SINGLE(JobAgolMap)="", $E127="", $F127=""),"",HYPERLINK(_xlfn.SINGLE(JobAgolMap)&amp;IF(ISNUMBER(FIND("?",_xlfn.SINGLE(JobAgolMap))),"&amp;","?")&amp;"center="&amp;$F127&amp;","&amp;$E127&amp;"&amp;level=16&amp;marker="&amp;$F127&amp;","&amp;$E127,"Open"))</f>
        <v/>
      </c>
    </row>
    <row r="128" spans="1:28" x14ac:dyDescent="0.45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4"/>
      <c r="M128" s="1" t="str">
        <f t="shared" si="6"/>
        <v/>
      </c>
      <c r="N128" s="1" t="str">
        <f t="shared" si="7"/>
        <v/>
      </c>
      <c r="O128" s="1" t="str">
        <f t="shared" si="8"/>
        <v/>
      </c>
      <c r="P128" s="1" t="str">
        <f t="shared" si="9"/>
        <v/>
      </c>
      <c r="Q128" s="1" t="str">
        <f t="shared" si="10"/>
        <v/>
      </c>
      <c r="R128" s="1" t="str">
        <f t="shared" si="11"/>
        <v/>
      </c>
      <c r="S128" s="1" t="str">
        <f>IF(OR($E128="",$F128=""),"",HYPERLINK(IF(OR(_xlfn.SINGLE(JobState)="MI",_xlfn.SINGLE(JobState)=""),"https://fema.maps.arcgis.com/apps/mapviewer/index.html?url=https%3A%2F%2Fmdotgis.state.mi.us%2Farcgis%2Frest%2Fservices%2FWidget%2FNextGenPrFinderPub%2FFeatureServer%2F353&amp;find="&amp;$F128&amp;"%2C"&amp;$E128&amp;"&amp;marker="&amp;$F128&amp;","&amp;$E128&amp;",4326&amp;level=16",IF(_xlfn.SINGLE(JobState)="IN","https://fema.maps.arcgis.com/apps/mapviewer/index.html?url=https%3A%2F%2Fgisdata.in.gov%2Fserver%2Frest%2Fservices%2FHosted%2FLRSE_Functional_Class%2FFeatureServer%2F22&amp;find="&amp;$F128&amp;"%2C"&amp;$E128&amp;"&amp;marker="&amp;$F128&amp;","&amp;$E128&amp;",4326&amp;level=16",IF(_xlfn.SINGLE(JobState)="WI","https://fema.maps.arcgis.com/apps/mapviewer/index.html?url=https%3A%2F%2Fservices5.arcgis.com%2F0pgGLzT0Nh7FVjon%2Farcgis%2Frest%2Fservices%2FFFCL_gdb%2FFeatureServer%2F3&amp;find="&amp;$F128&amp;"%2C"&amp;$E128&amp;"&amp;marker="&amp;$F128&amp;","&amp;$E128&amp;",4326&amp;level=16","https://fema.maps.arcgis.com/apps/mapviewer/index.html?find="&amp;$F128&amp;"%2C"&amp;$E128&amp;"&amp;marker="&amp;$F128&amp;","&amp;$E128&amp;",4326&amp;level=16"))),"Open"))</f>
        <v/>
      </c>
      <c r="T128" s="4"/>
      <c r="U128" s="4"/>
      <c r="V128" s="4"/>
      <c r="W128" s="4"/>
      <c r="X128" s="4"/>
      <c r="Y128" s="4"/>
      <c r="Z128" s="4"/>
      <c r="AA128" s="4"/>
      <c r="AB128" s="1" t="str">
        <f>IF(OR(_xlfn.SINGLE(JobAgolMap)="", $E128="", $F128=""),"",HYPERLINK(_xlfn.SINGLE(JobAgolMap)&amp;IF(ISNUMBER(FIND("?",_xlfn.SINGLE(JobAgolMap))),"&amp;","?")&amp;"center="&amp;$F128&amp;","&amp;$E128&amp;"&amp;level=16&amp;marker="&amp;$F128&amp;","&amp;$E128,"Open"))</f>
        <v/>
      </c>
    </row>
    <row r="129" spans="1:28" x14ac:dyDescent="0.45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4"/>
      <c r="M129" s="1" t="str">
        <f t="shared" si="6"/>
        <v/>
      </c>
      <c r="N129" s="1" t="str">
        <f t="shared" si="7"/>
        <v/>
      </c>
      <c r="O129" s="1" t="str">
        <f t="shared" si="8"/>
        <v/>
      </c>
      <c r="P129" s="1" t="str">
        <f t="shared" si="9"/>
        <v/>
      </c>
      <c r="Q129" s="1" t="str">
        <f t="shared" si="10"/>
        <v/>
      </c>
      <c r="R129" s="1" t="str">
        <f t="shared" si="11"/>
        <v/>
      </c>
      <c r="S129" s="1" t="str">
        <f>IF(OR($E129="",$F129=""),"",HYPERLINK(IF(OR(_xlfn.SINGLE(JobState)="MI",_xlfn.SINGLE(JobState)=""),"https://fema.maps.arcgis.com/apps/mapviewer/index.html?url=https%3A%2F%2Fmdotgis.state.mi.us%2Farcgis%2Frest%2Fservices%2FWidget%2FNextGenPrFinderPub%2FFeatureServer%2F353&amp;find="&amp;$F129&amp;"%2C"&amp;$E129&amp;"&amp;marker="&amp;$F129&amp;","&amp;$E129&amp;",4326&amp;level=16",IF(_xlfn.SINGLE(JobState)="IN","https://fema.maps.arcgis.com/apps/mapviewer/index.html?url=https%3A%2F%2Fgisdata.in.gov%2Fserver%2Frest%2Fservices%2FHosted%2FLRSE_Functional_Class%2FFeatureServer%2F22&amp;find="&amp;$F129&amp;"%2C"&amp;$E129&amp;"&amp;marker="&amp;$F129&amp;","&amp;$E129&amp;",4326&amp;level=16",IF(_xlfn.SINGLE(JobState)="WI","https://fema.maps.arcgis.com/apps/mapviewer/index.html?url=https%3A%2F%2Fservices5.arcgis.com%2F0pgGLzT0Nh7FVjon%2Farcgis%2Frest%2Fservices%2FFFCL_gdb%2FFeatureServer%2F3&amp;find="&amp;$F129&amp;"%2C"&amp;$E129&amp;"&amp;marker="&amp;$F129&amp;","&amp;$E129&amp;",4326&amp;level=16","https://fema.maps.arcgis.com/apps/mapviewer/index.html?find="&amp;$F129&amp;"%2C"&amp;$E129&amp;"&amp;marker="&amp;$F129&amp;","&amp;$E129&amp;",4326&amp;level=16"))),"Open"))</f>
        <v/>
      </c>
      <c r="T129" s="4"/>
      <c r="U129" s="4"/>
      <c r="V129" s="4"/>
      <c r="W129" s="4"/>
      <c r="X129" s="4"/>
      <c r="Y129" s="4"/>
      <c r="Z129" s="4"/>
      <c r="AA129" s="4"/>
      <c r="AB129" s="1" t="str">
        <f>IF(OR(_xlfn.SINGLE(JobAgolMap)="", $E129="", $F129=""),"",HYPERLINK(_xlfn.SINGLE(JobAgolMap)&amp;IF(ISNUMBER(FIND("?",_xlfn.SINGLE(JobAgolMap))),"&amp;","?")&amp;"center="&amp;$F129&amp;","&amp;$E129&amp;"&amp;level=16&amp;marker="&amp;$F129&amp;","&amp;$E129,"Open"))</f>
        <v/>
      </c>
    </row>
    <row r="130" spans="1:28" x14ac:dyDescent="0.45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4"/>
      <c r="M130" s="1" t="str">
        <f t="shared" si="6"/>
        <v/>
      </c>
      <c r="N130" s="1" t="str">
        <f t="shared" si="7"/>
        <v/>
      </c>
      <c r="O130" s="1" t="str">
        <f t="shared" si="8"/>
        <v/>
      </c>
      <c r="P130" s="1" t="str">
        <f t="shared" si="9"/>
        <v/>
      </c>
      <c r="Q130" s="1" t="str">
        <f t="shared" si="10"/>
        <v/>
      </c>
      <c r="R130" s="1" t="str">
        <f t="shared" si="11"/>
        <v/>
      </c>
      <c r="S130" s="1" t="str">
        <f>IF(OR($E130="",$F130=""),"",HYPERLINK(IF(OR(_xlfn.SINGLE(JobState)="MI",_xlfn.SINGLE(JobState)=""),"https://fema.maps.arcgis.com/apps/mapviewer/index.html?url=https%3A%2F%2Fmdotgis.state.mi.us%2Farcgis%2Frest%2Fservices%2FWidget%2FNextGenPrFinderPub%2FFeatureServer%2F353&amp;find="&amp;$F130&amp;"%2C"&amp;$E130&amp;"&amp;marker="&amp;$F130&amp;","&amp;$E130&amp;",4326&amp;level=16",IF(_xlfn.SINGLE(JobState)="IN","https://fema.maps.arcgis.com/apps/mapviewer/index.html?url=https%3A%2F%2Fgisdata.in.gov%2Fserver%2Frest%2Fservices%2FHosted%2FLRSE_Functional_Class%2FFeatureServer%2F22&amp;find="&amp;$F130&amp;"%2C"&amp;$E130&amp;"&amp;marker="&amp;$F130&amp;","&amp;$E130&amp;",4326&amp;level=16",IF(_xlfn.SINGLE(JobState)="WI","https://fema.maps.arcgis.com/apps/mapviewer/index.html?url=https%3A%2F%2Fservices5.arcgis.com%2F0pgGLzT0Nh7FVjon%2Farcgis%2Frest%2Fservices%2FFFCL_gdb%2FFeatureServer%2F3&amp;find="&amp;$F130&amp;"%2C"&amp;$E130&amp;"&amp;marker="&amp;$F130&amp;","&amp;$E130&amp;",4326&amp;level=16","https://fema.maps.arcgis.com/apps/mapviewer/index.html?find="&amp;$F130&amp;"%2C"&amp;$E130&amp;"&amp;marker="&amp;$F130&amp;","&amp;$E130&amp;",4326&amp;level=16"))),"Open"))</f>
        <v/>
      </c>
      <c r="T130" s="4"/>
      <c r="U130" s="4"/>
      <c r="V130" s="4"/>
      <c r="W130" s="4"/>
      <c r="X130" s="4"/>
      <c r="Y130" s="4"/>
      <c r="Z130" s="4"/>
      <c r="AA130" s="4"/>
      <c r="AB130" s="1" t="str">
        <f>IF(OR(_xlfn.SINGLE(JobAgolMap)="", $E130="", $F130=""),"",HYPERLINK(_xlfn.SINGLE(JobAgolMap)&amp;IF(ISNUMBER(FIND("?",_xlfn.SINGLE(JobAgolMap))),"&amp;","?")&amp;"center="&amp;$F130&amp;","&amp;$E130&amp;"&amp;level=16&amp;marker="&amp;$F130&amp;","&amp;$E130,"Open"))</f>
        <v/>
      </c>
    </row>
    <row r="131" spans="1:28" x14ac:dyDescent="0.45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4"/>
      <c r="M131" s="1" t="str">
        <f t="shared" ref="M131:M194" si="12">IF(OR($E131="",$F131=""),"",HYPERLINK("https://www.google.com/maps?q="&amp;$E131&amp;","&amp;$F131&amp;"","Map"))</f>
        <v/>
      </c>
      <c r="N131" s="1" t="str">
        <f t="shared" ref="N131:N194" si="13">IF(OR($E131="",$F131=""),"",HYPERLINK("https://www.google.com/maps?q&amp;layer=c&amp;cbll="&amp;$E131&amp;","&amp;$F131&amp;"","Street"))</f>
        <v/>
      </c>
      <c r="O131" s="1" t="str">
        <f t="shared" ref="O131:O194" si="14">IF(OR($E131="",$F131=""),"",HYPERLINK("https://www.bing.com/maps?cp="&amp;$E131&amp;"~"&amp;$F131&amp;"&amp;lvl=18&amp;style=h","Bing"))</f>
        <v/>
      </c>
      <c r="P131" s="1" t="str">
        <f t="shared" ref="P131:P194" si="15">IF(OR($E131="",$F131=""),"",HYPERLINK("https://earth.google.com/web/search/"&amp;$E131&amp;","&amp;$F131&amp;"","Earth"))</f>
        <v/>
      </c>
      <c r="Q131" s="1" t="str">
        <f t="shared" ref="Q131:Q194" si="16">IF(OR($E131="",$F131=""),"",HYPERLINK("https://fema.maps.arcgis.com/apps/mapviewer/index.html?find="&amp;$F131&amp;"%2C"&amp;$E131&amp;"&amp;marker="&amp;$F131&amp;","&amp;$E131&amp;",4326&amp;level=16","FEMA"))</f>
        <v/>
      </c>
      <c r="R131" s="1" t="str">
        <f t="shared" ref="R131:R194" si="17">IF(OR($E131="",$F131=""),"",HYPERLINK("https://msc.fema.gov/portal/firmette?latitude="&amp;$E131&amp;"&amp;longitude="&amp;$F131&amp;"","FIRMette"))</f>
        <v/>
      </c>
      <c r="S131" s="1" t="str">
        <f>IF(OR($E131="",$F131=""),"",HYPERLINK(IF(OR(_xlfn.SINGLE(JobState)="MI",_xlfn.SINGLE(JobState)=""),"https://fema.maps.arcgis.com/apps/mapviewer/index.html?url=https%3A%2F%2Fmdotgis.state.mi.us%2Farcgis%2Frest%2Fservices%2FWidget%2FNextGenPrFinderPub%2FFeatureServer%2F353&amp;find="&amp;$F131&amp;"%2C"&amp;$E131&amp;"&amp;marker="&amp;$F131&amp;","&amp;$E131&amp;",4326&amp;level=16",IF(_xlfn.SINGLE(JobState)="IN","https://fema.maps.arcgis.com/apps/mapviewer/index.html?url=https%3A%2F%2Fgisdata.in.gov%2Fserver%2Frest%2Fservices%2FHosted%2FLRSE_Functional_Class%2FFeatureServer%2F22&amp;find="&amp;$F131&amp;"%2C"&amp;$E131&amp;"&amp;marker="&amp;$F131&amp;","&amp;$E131&amp;",4326&amp;level=16",IF(_xlfn.SINGLE(JobState)="WI","https://fema.maps.arcgis.com/apps/mapviewer/index.html?url=https%3A%2F%2Fservices5.arcgis.com%2F0pgGLzT0Nh7FVjon%2Farcgis%2Frest%2Fservices%2FFFCL_gdb%2FFeatureServer%2F3&amp;find="&amp;$F131&amp;"%2C"&amp;$E131&amp;"&amp;marker="&amp;$F131&amp;","&amp;$E131&amp;",4326&amp;level=16","https://fema.maps.arcgis.com/apps/mapviewer/index.html?find="&amp;$F131&amp;"%2C"&amp;$E131&amp;"&amp;marker="&amp;$F131&amp;","&amp;$E131&amp;",4326&amp;level=16"))),"Open"))</f>
        <v/>
      </c>
      <c r="T131" s="4"/>
      <c r="U131" s="4"/>
      <c r="V131" s="4"/>
      <c r="W131" s="4"/>
      <c r="X131" s="4"/>
      <c r="Y131" s="4"/>
      <c r="Z131" s="4"/>
      <c r="AA131" s="4"/>
      <c r="AB131" s="1" t="str">
        <f>IF(OR(_xlfn.SINGLE(JobAgolMap)="", $E131="", $F131=""),"",HYPERLINK(_xlfn.SINGLE(JobAgolMap)&amp;IF(ISNUMBER(FIND("?",_xlfn.SINGLE(JobAgolMap))),"&amp;","?")&amp;"center="&amp;$F131&amp;","&amp;$E131&amp;"&amp;level=16&amp;marker="&amp;$F131&amp;","&amp;$E131,"Open"))</f>
        <v/>
      </c>
    </row>
    <row r="132" spans="1:28" x14ac:dyDescent="0.45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4"/>
      <c r="M132" s="1" t="str">
        <f t="shared" si="12"/>
        <v/>
      </c>
      <c r="N132" s="1" t="str">
        <f t="shared" si="13"/>
        <v/>
      </c>
      <c r="O132" s="1" t="str">
        <f t="shared" si="14"/>
        <v/>
      </c>
      <c r="P132" s="1" t="str">
        <f t="shared" si="15"/>
        <v/>
      </c>
      <c r="Q132" s="1" t="str">
        <f t="shared" si="16"/>
        <v/>
      </c>
      <c r="R132" s="1" t="str">
        <f t="shared" si="17"/>
        <v/>
      </c>
      <c r="S132" s="1" t="str">
        <f>IF(OR($E132="",$F132=""),"",HYPERLINK(IF(OR(_xlfn.SINGLE(JobState)="MI",_xlfn.SINGLE(JobState)=""),"https://fema.maps.arcgis.com/apps/mapviewer/index.html?url=https%3A%2F%2Fmdotgis.state.mi.us%2Farcgis%2Frest%2Fservices%2FWidget%2FNextGenPrFinderPub%2FFeatureServer%2F353&amp;find="&amp;$F132&amp;"%2C"&amp;$E132&amp;"&amp;marker="&amp;$F132&amp;","&amp;$E132&amp;",4326&amp;level=16",IF(_xlfn.SINGLE(JobState)="IN","https://fema.maps.arcgis.com/apps/mapviewer/index.html?url=https%3A%2F%2Fgisdata.in.gov%2Fserver%2Frest%2Fservices%2FHosted%2FLRSE_Functional_Class%2FFeatureServer%2F22&amp;find="&amp;$F132&amp;"%2C"&amp;$E132&amp;"&amp;marker="&amp;$F132&amp;","&amp;$E132&amp;",4326&amp;level=16",IF(_xlfn.SINGLE(JobState)="WI","https://fema.maps.arcgis.com/apps/mapviewer/index.html?url=https%3A%2F%2Fservices5.arcgis.com%2F0pgGLzT0Nh7FVjon%2Farcgis%2Frest%2Fservices%2FFFCL_gdb%2FFeatureServer%2F3&amp;find="&amp;$F132&amp;"%2C"&amp;$E132&amp;"&amp;marker="&amp;$F132&amp;","&amp;$E132&amp;",4326&amp;level=16","https://fema.maps.arcgis.com/apps/mapviewer/index.html?find="&amp;$F132&amp;"%2C"&amp;$E132&amp;"&amp;marker="&amp;$F132&amp;","&amp;$E132&amp;",4326&amp;level=16"))),"Open"))</f>
        <v/>
      </c>
      <c r="T132" s="4"/>
      <c r="U132" s="4"/>
      <c r="V132" s="4"/>
      <c r="W132" s="4"/>
      <c r="X132" s="4"/>
      <c r="Y132" s="4"/>
      <c r="Z132" s="4"/>
      <c r="AA132" s="4"/>
      <c r="AB132" s="1" t="str">
        <f>IF(OR(_xlfn.SINGLE(JobAgolMap)="", $E132="", $F132=""),"",HYPERLINK(_xlfn.SINGLE(JobAgolMap)&amp;IF(ISNUMBER(FIND("?",_xlfn.SINGLE(JobAgolMap))),"&amp;","?")&amp;"center="&amp;$F132&amp;","&amp;$E132&amp;"&amp;level=16&amp;marker="&amp;$F132&amp;","&amp;$E132,"Open"))</f>
        <v/>
      </c>
    </row>
    <row r="133" spans="1:28" x14ac:dyDescent="0.45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4"/>
      <c r="M133" s="1" t="str">
        <f t="shared" si="12"/>
        <v/>
      </c>
      <c r="N133" s="1" t="str">
        <f t="shared" si="13"/>
        <v/>
      </c>
      <c r="O133" s="1" t="str">
        <f t="shared" si="14"/>
        <v/>
      </c>
      <c r="P133" s="1" t="str">
        <f t="shared" si="15"/>
        <v/>
      </c>
      <c r="Q133" s="1" t="str">
        <f t="shared" si="16"/>
        <v/>
      </c>
      <c r="R133" s="1" t="str">
        <f t="shared" si="17"/>
        <v/>
      </c>
      <c r="S133" s="1" t="str">
        <f>IF(OR($E133="",$F133=""),"",HYPERLINK(IF(OR(_xlfn.SINGLE(JobState)="MI",_xlfn.SINGLE(JobState)=""),"https://fema.maps.arcgis.com/apps/mapviewer/index.html?url=https%3A%2F%2Fmdotgis.state.mi.us%2Farcgis%2Frest%2Fservices%2FWidget%2FNextGenPrFinderPub%2FFeatureServer%2F353&amp;find="&amp;$F133&amp;"%2C"&amp;$E133&amp;"&amp;marker="&amp;$F133&amp;","&amp;$E133&amp;",4326&amp;level=16",IF(_xlfn.SINGLE(JobState)="IN","https://fema.maps.arcgis.com/apps/mapviewer/index.html?url=https%3A%2F%2Fgisdata.in.gov%2Fserver%2Frest%2Fservices%2FHosted%2FLRSE_Functional_Class%2FFeatureServer%2F22&amp;find="&amp;$F133&amp;"%2C"&amp;$E133&amp;"&amp;marker="&amp;$F133&amp;","&amp;$E133&amp;",4326&amp;level=16",IF(_xlfn.SINGLE(JobState)="WI","https://fema.maps.arcgis.com/apps/mapviewer/index.html?url=https%3A%2F%2Fservices5.arcgis.com%2F0pgGLzT0Nh7FVjon%2Farcgis%2Frest%2Fservices%2FFFCL_gdb%2FFeatureServer%2F3&amp;find="&amp;$F133&amp;"%2C"&amp;$E133&amp;"&amp;marker="&amp;$F133&amp;","&amp;$E133&amp;",4326&amp;level=16","https://fema.maps.arcgis.com/apps/mapviewer/index.html?find="&amp;$F133&amp;"%2C"&amp;$E133&amp;"&amp;marker="&amp;$F133&amp;","&amp;$E133&amp;",4326&amp;level=16"))),"Open"))</f>
        <v/>
      </c>
      <c r="T133" s="4"/>
      <c r="U133" s="4"/>
      <c r="V133" s="4"/>
      <c r="W133" s="4"/>
      <c r="X133" s="4"/>
      <c r="Y133" s="4"/>
      <c r="Z133" s="4"/>
      <c r="AA133" s="4"/>
      <c r="AB133" s="1" t="str">
        <f>IF(OR(_xlfn.SINGLE(JobAgolMap)="", $E133="", $F133=""),"",HYPERLINK(_xlfn.SINGLE(JobAgolMap)&amp;IF(ISNUMBER(FIND("?",_xlfn.SINGLE(JobAgolMap))),"&amp;","?")&amp;"center="&amp;$F133&amp;","&amp;$E133&amp;"&amp;level=16&amp;marker="&amp;$F133&amp;","&amp;$E133,"Open"))</f>
        <v/>
      </c>
    </row>
    <row r="134" spans="1:28" x14ac:dyDescent="0.45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4"/>
      <c r="M134" s="1" t="str">
        <f t="shared" si="12"/>
        <v/>
      </c>
      <c r="N134" s="1" t="str">
        <f t="shared" si="13"/>
        <v/>
      </c>
      <c r="O134" s="1" t="str">
        <f t="shared" si="14"/>
        <v/>
      </c>
      <c r="P134" s="1" t="str">
        <f t="shared" si="15"/>
        <v/>
      </c>
      <c r="Q134" s="1" t="str">
        <f t="shared" si="16"/>
        <v/>
      </c>
      <c r="R134" s="1" t="str">
        <f t="shared" si="17"/>
        <v/>
      </c>
      <c r="S134" s="1" t="str">
        <f>IF(OR($E134="",$F134=""),"",HYPERLINK(IF(OR(_xlfn.SINGLE(JobState)="MI",_xlfn.SINGLE(JobState)=""),"https://fema.maps.arcgis.com/apps/mapviewer/index.html?url=https%3A%2F%2Fmdotgis.state.mi.us%2Farcgis%2Frest%2Fservices%2FWidget%2FNextGenPrFinderPub%2FFeatureServer%2F353&amp;find="&amp;$F134&amp;"%2C"&amp;$E134&amp;"&amp;marker="&amp;$F134&amp;","&amp;$E134&amp;",4326&amp;level=16",IF(_xlfn.SINGLE(JobState)="IN","https://fema.maps.arcgis.com/apps/mapviewer/index.html?url=https%3A%2F%2Fgisdata.in.gov%2Fserver%2Frest%2Fservices%2FHosted%2FLRSE_Functional_Class%2FFeatureServer%2F22&amp;find="&amp;$F134&amp;"%2C"&amp;$E134&amp;"&amp;marker="&amp;$F134&amp;","&amp;$E134&amp;",4326&amp;level=16",IF(_xlfn.SINGLE(JobState)="WI","https://fema.maps.arcgis.com/apps/mapviewer/index.html?url=https%3A%2F%2Fservices5.arcgis.com%2F0pgGLzT0Nh7FVjon%2Farcgis%2Frest%2Fservices%2FFFCL_gdb%2FFeatureServer%2F3&amp;find="&amp;$F134&amp;"%2C"&amp;$E134&amp;"&amp;marker="&amp;$F134&amp;","&amp;$E134&amp;",4326&amp;level=16","https://fema.maps.arcgis.com/apps/mapviewer/index.html?find="&amp;$F134&amp;"%2C"&amp;$E134&amp;"&amp;marker="&amp;$F134&amp;","&amp;$E134&amp;",4326&amp;level=16"))),"Open"))</f>
        <v/>
      </c>
      <c r="T134" s="4"/>
      <c r="U134" s="4"/>
      <c r="V134" s="4"/>
      <c r="W134" s="4"/>
      <c r="X134" s="4"/>
      <c r="Y134" s="4"/>
      <c r="Z134" s="4"/>
      <c r="AA134" s="4"/>
      <c r="AB134" s="1" t="str">
        <f>IF(OR(_xlfn.SINGLE(JobAgolMap)="", $E134="", $F134=""),"",HYPERLINK(_xlfn.SINGLE(JobAgolMap)&amp;IF(ISNUMBER(FIND("?",_xlfn.SINGLE(JobAgolMap))),"&amp;","?")&amp;"center="&amp;$F134&amp;","&amp;$E134&amp;"&amp;level=16&amp;marker="&amp;$F134&amp;","&amp;$E134,"Open"))</f>
        <v/>
      </c>
    </row>
    <row r="135" spans="1:28" x14ac:dyDescent="0.45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4"/>
      <c r="M135" s="1" t="str">
        <f t="shared" si="12"/>
        <v/>
      </c>
      <c r="N135" s="1" t="str">
        <f t="shared" si="13"/>
        <v/>
      </c>
      <c r="O135" s="1" t="str">
        <f t="shared" si="14"/>
        <v/>
      </c>
      <c r="P135" s="1" t="str">
        <f t="shared" si="15"/>
        <v/>
      </c>
      <c r="Q135" s="1" t="str">
        <f t="shared" si="16"/>
        <v/>
      </c>
      <c r="R135" s="1" t="str">
        <f t="shared" si="17"/>
        <v/>
      </c>
      <c r="S135" s="1" t="str">
        <f>IF(OR($E135="",$F135=""),"",HYPERLINK(IF(OR(_xlfn.SINGLE(JobState)="MI",_xlfn.SINGLE(JobState)=""),"https://fema.maps.arcgis.com/apps/mapviewer/index.html?url=https%3A%2F%2Fmdotgis.state.mi.us%2Farcgis%2Frest%2Fservices%2FWidget%2FNextGenPrFinderPub%2FFeatureServer%2F353&amp;find="&amp;$F135&amp;"%2C"&amp;$E135&amp;"&amp;marker="&amp;$F135&amp;","&amp;$E135&amp;",4326&amp;level=16",IF(_xlfn.SINGLE(JobState)="IN","https://fema.maps.arcgis.com/apps/mapviewer/index.html?url=https%3A%2F%2Fgisdata.in.gov%2Fserver%2Frest%2Fservices%2FHosted%2FLRSE_Functional_Class%2FFeatureServer%2F22&amp;find="&amp;$F135&amp;"%2C"&amp;$E135&amp;"&amp;marker="&amp;$F135&amp;","&amp;$E135&amp;",4326&amp;level=16",IF(_xlfn.SINGLE(JobState)="WI","https://fema.maps.arcgis.com/apps/mapviewer/index.html?url=https%3A%2F%2Fservices5.arcgis.com%2F0pgGLzT0Nh7FVjon%2Farcgis%2Frest%2Fservices%2FFFCL_gdb%2FFeatureServer%2F3&amp;find="&amp;$F135&amp;"%2C"&amp;$E135&amp;"&amp;marker="&amp;$F135&amp;","&amp;$E135&amp;",4326&amp;level=16","https://fema.maps.arcgis.com/apps/mapviewer/index.html?find="&amp;$F135&amp;"%2C"&amp;$E135&amp;"&amp;marker="&amp;$F135&amp;","&amp;$E135&amp;",4326&amp;level=16"))),"Open"))</f>
        <v/>
      </c>
      <c r="T135" s="4"/>
      <c r="U135" s="4"/>
      <c r="V135" s="4"/>
      <c r="W135" s="4"/>
      <c r="X135" s="4"/>
      <c r="Y135" s="4"/>
      <c r="Z135" s="4"/>
      <c r="AA135" s="4"/>
      <c r="AB135" s="1" t="str">
        <f>IF(OR(_xlfn.SINGLE(JobAgolMap)="", $E135="", $F135=""),"",HYPERLINK(_xlfn.SINGLE(JobAgolMap)&amp;IF(ISNUMBER(FIND("?",_xlfn.SINGLE(JobAgolMap))),"&amp;","?")&amp;"center="&amp;$F135&amp;","&amp;$E135&amp;"&amp;level=16&amp;marker="&amp;$F135&amp;","&amp;$E135,"Open"))</f>
        <v/>
      </c>
    </row>
    <row r="136" spans="1:28" x14ac:dyDescent="0.45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4"/>
      <c r="M136" s="1" t="str">
        <f t="shared" si="12"/>
        <v/>
      </c>
      <c r="N136" s="1" t="str">
        <f t="shared" si="13"/>
        <v/>
      </c>
      <c r="O136" s="1" t="str">
        <f t="shared" si="14"/>
        <v/>
      </c>
      <c r="P136" s="1" t="str">
        <f t="shared" si="15"/>
        <v/>
      </c>
      <c r="Q136" s="1" t="str">
        <f t="shared" si="16"/>
        <v/>
      </c>
      <c r="R136" s="1" t="str">
        <f t="shared" si="17"/>
        <v/>
      </c>
      <c r="S136" s="1" t="str">
        <f>IF(OR($E136="",$F136=""),"",HYPERLINK(IF(OR(_xlfn.SINGLE(JobState)="MI",_xlfn.SINGLE(JobState)=""),"https://fema.maps.arcgis.com/apps/mapviewer/index.html?url=https%3A%2F%2Fmdotgis.state.mi.us%2Farcgis%2Frest%2Fservices%2FWidget%2FNextGenPrFinderPub%2FFeatureServer%2F353&amp;find="&amp;$F136&amp;"%2C"&amp;$E136&amp;"&amp;marker="&amp;$F136&amp;","&amp;$E136&amp;",4326&amp;level=16",IF(_xlfn.SINGLE(JobState)="IN","https://fema.maps.arcgis.com/apps/mapviewer/index.html?url=https%3A%2F%2Fgisdata.in.gov%2Fserver%2Frest%2Fservices%2FHosted%2FLRSE_Functional_Class%2FFeatureServer%2F22&amp;find="&amp;$F136&amp;"%2C"&amp;$E136&amp;"&amp;marker="&amp;$F136&amp;","&amp;$E136&amp;",4326&amp;level=16",IF(_xlfn.SINGLE(JobState)="WI","https://fema.maps.arcgis.com/apps/mapviewer/index.html?url=https%3A%2F%2Fservices5.arcgis.com%2F0pgGLzT0Nh7FVjon%2Farcgis%2Frest%2Fservices%2FFFCL_gdb%2FFeatureServer%2F3&amp;find="&amp;$F136&amp;"%2C"&amp;$E136&amp;"&amp;marker="&amp;$F136&amp;","&amp;$E136&amp;",4326&amp;level=16","https://fema.maps.arcgis.com/apps/mapviewer/index.html?find="&amp;$F136&amp;"%2C"&amp;$E136&amp;"&amp;marker="&amp;$F136&amp;","&amp;$E136&amp;",4326&amp;level=16"))),"Open"))</f>
        <v/>
      </c>
      <c r="T136" s="4"/>
      <c r="U136" s="4"/>
      <c r="V136" s="4"/>
      <c r="W136" s="4"/>
      <c r="X136" s="4"/>
      <c r="Y136" s="4"/>
      <c r="Z136" s="4"/>
      <c r="AA136" s="4"/>
      <c r="AB136" s="1" t="str">
        <f>IF(OR(_xlfn.SINGLE(JobAgolMap)="", $E136="", $F136=""),"",HYPERLINK(_xlfn.SINGLE(JobAgolMap)&amp;IF(ISNUMBER(FIND("?",_xlfn.SINGLE(JobAgolMap))),"&amp;","?")&amp;"center="&amp;$F136&amp;","&amp;$E136&amp;"&amp;level=16&amp;marker="&amp;$F136&amp;","&amp;$E136,"Open"))</f>
        <v/>
      </c>
    </row>
    <row r="137" spans="1:28" x14ac:dyDescent="0.45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4"/>
      <c r="M137" s="1" t="str">
        <f t="shared" si="12"/>
        <v/>
      </c>
      <c r="N137" s="1" t="str">
        <f t="shared" si="13"/>
        <v/>
      </c>
      <c r="O137" s="1" t="str">
        <f t="shared" si="14"/>
        <v/>
      </c>
      <c r="P137" s="1" t="str">
        <f t="shared" si="15"/>
        <v/>
      </c>
      <c r="Q137" s="1" t="str">
        <f t="shared" si="16"/>
        <v/>
      </c>
      <c r="R137" s="1" t="str">
        <f t="shared" si="17"/>
        <v/>
      </c>
      <c r="S137" s="1" t="str">
        <f>IF(OR($E137="",$F137=""),"",HYPERLINK(IF(OR(_xlfn.SINGLE(JobState)="MI",_xlfn.SINGLE(JobState)=""),"https://fema.maps.arcgis.com/apps/mapviewer/index.html?url=https%3A%2F%2Fmdotgis.state.mi.us%2Farcgis%2Frest%2Fservices%2FWidget%2FNextGenPrFinderPub%2FFeatureServer%2F353&amp;find="&amp;$F137&amp;"%2C"&amp;$E137&amp;"&amp;marker="&amp;$F137&amp;","&amp;$E137&amp;",4326&amp;level=16",IF(_xlfn.SINGLE(JobState)="IN","https://fema.maps.arcgis.com/apps/mapviewer/index.html?url=https%3A%2F%2Fgisdata.in.gov%2Fserver%2Frest%2Fservices%2FHosted%2FLRSE_Functional_Class%2FFeatureServer%2F22&amp;find="&amp;$F137&amp;"%2C"&amp;$E137&amp;"&amp;marker="&amp;$F137&amp;","&amp;$E137&amp;",4326&amp;level=16",IF(_xlfn.SINGLE(JobState)="WI","https://fema.maps.arcgis.com/apps/mapviewer/index.html?url=https%3A%2F%2Fservices5.arcgis.com%2F0pgGLzT0Nh7FVjon%2Farcgis%2Frest%2Fservices%2FFFCL_gdb%2FFeatureServer%2F3&amp;find="&amp;$F137&amp;"%2C"&amp;$E137&amp;"&amp;marker="&amp;$F137&amp;","&amp;$E137&amp;",4326&amp;level=16","https://fema.maps.arcgis.com/apps/mapviewer/index.html?find="&amp;$F137&amp;"%2C"&amp;$E137&amp;"&amp;marker="&amp;$F137&amp;","&amp;$E137&amp;",4326&amp;level=16"))),"Open"))</f>
        <v/>
      </c>
      <c r="T137" s="4"/>
      <c r="U137" s="4"/>
      <c r="V137" s="4"/>
      <c r="W137" s="4"/>
      <c r="X137" s="4"/>
      <c r="Y137" s="4"/>
      <c r="Z137" s="4"/>
      <c r="AA137" s="4"/>
      <c r="AB137" s="1" t="str">
        <f>IF(OR(_xlfn.SINGLE(JobAgolMap)="", $E137="", $F137=""),"",HYPERLINK(_xlfn.SINGLE(JobAgolMap)&amp;IF(ISNUMBER(FIND("?",_xlfn.SINGLE(JobAgolMap))),"&amp;","?")&amp;"center="&amp;$F137&amp;","&amp;$E137&amp;"&amp;level=16&amp;marker="&amp;$F137&amp;","&amp;$E137,"Open"))</f>
        <v/>
      </c>
    </row>
    <row r="138" spans="1:28" x14ac:dyDescent="0.45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4"/>
      <c r="M138" s="1" t="str">
        <f t="shared" si="12"/>
        <v/>
      </c>
      <c r="N138" s="1" t="str">
        <f t="shared" si="13"/>
        <v/>
      </c>
      <c r="O138" s="1" t="str">
        <f t="shared" si="14"/>
        <v/>
      </c>
      <c r="P138" s="1" t="str">
        <f t="shared" si="15"/>
        <v/>
      </c>
      <c r="Q138" s="1" t="str">
        <f t="shared" si="16"/>
        <v/>
      </c>
      <c r="R138" s="1" t="str">
        <f t="shared" si="17"/>
        <v/>
      </c>
      <c r="S138" s="1" t="str">
        <f>IF(OR($E138="",$F138=""),"",HYPERLINK(IF(OR(_xlfn.SINGLE(JobState)="MI",_xlfn.SINGLE(JobState)=""),"https://fema.maps.arcgis.com/apps/mapviewer/index.html?url=https%3A%2F%2Fmdotgis.state.mi.us%2Farcgis%2Frest%2Fservices%2FWidget%2FNextGenPrFinderPub%2FFeatureServer%2F353&amp;find="&amp;$F138&amp;"%2C"&amp;$E138&amp;"&amp;marker="&amp;$F138&amp;","&amp;$E138&amp;",4326&amp;level=16",IF(_xlfn.SINGLE(JobState)="IN","https://fema.maps.arcgis.com/apps/mapviewer/index.html?url=https%3A%2F%2Fgisdata.in.gov%2Fserver%2Frest%2Fservices%2FHosted%2FLRSE_Functional_Class%2FFeatureServer%2F22&amp;find="&amp;$F138&amp;"%2C"&amp;$E138&amp;"&amp;marker="&amp;$F138&amp;","&amp;$E138&amp;",4326&amp;level=16",IF(_xlfn.SINGLE(JobState)="WI","https://fema.maps.arcgis.com/apps/mapviewer/index.html?url=https%3A%2F%2Fservices5.arcgis.com%2F0pgGLzT0Nh7FVjon%2Farcgis%2Frest%2Fservices%2FFFCL_gdb%2FFeatureServer%2F3&amp;find="&amp;$F138&amp;"%2C"&amp;$E138&amp;"&amp;marker="&amp;$F138&amp;","&amp;$E138&amp;",4326&amp;level=16","https://fema.maps.arcgis.com/apps/mapviewer/index.html?find="&amp;$F138&amp;"%2C"&amp;$E138&amp;"&amp;marker="&amp;$F138&amp;","&amp;$E138&amp;",4326&amp;level=16"))),"Open"))</f>
        <v/>
      </c>
      <c r="T138" s="4"/>
      <c r="U138" s="4"/>
      <c r="V138" s="4"/>
      <c r="W138" s="4"/>
      <c r="X138" s="4"/>
      <c r="Y138" s="4"/>
      <c r="Z138" s="4"/>
      <c r="AA138" s="4"/>
      <c r="AB138" s="1" t="str">
        <f>IF(OR(_xlfn.SINGLE(JobAgolMap)="", $E138="", $F138=""),"",HYPERLINK(_xlfn.SINGLE(JobAgolMap)&amp;IF(ISNUMBER(FIND("?",_xlfn.SINGLE(JobAgolMap))),"&amp;","?")&amp;"center="&amp;$F138&amp;","&amp;$E138&amp;"&amp;level=16&amp;marker="&amp;$F138&amp;","&amp;$E138,"Open"))</f>
        <v/>
      </c>
    </row>
    <row r="139" spans="1:28" x14ac:dyDescent="0.45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4"/>
      <c r="M139" s="1" t="str">
        <f t="shared" si="12"/>
        <v/>
      </c>
      <c r="N139" s="1" t="str">
        <f t="shared" si="13"/>
        <v/>
      </c>
      <c r="O139" s="1" t="str">
        <f t="shared" si="14"/>
        <v/>
      </c>
      <c r="P139" s="1" t="str">
        <f t="shared" si="15"/>
        <v/>
      </c>
      <c r="Q139" s="1" t="str">
        <f t="shared" si="16"/>
        <v/>
      </c>
      <c r="R139" s="1" t="str">
        <f t="shared" si="17"/>
        <v/>
      </c>
      <c r="S139" s="1" t="str">
        <f>IF(OR($E139="",$F139=""),"",HYPERLINK(IF(OR(_xlfn.SINGLE(JobState)="MI",_xlfn.SINGLE(JobState)=""),"https://fema.maps.arcgis.com/apps/mapviewer/index.html?url=https%3A%2F%2Fmdotgis.state.mi.us%2Farcgis%2Frest%2Fservices%2FWidget%2FNextGenPrFinderPub%2FFeatureServer%2F353&amp;find="&amp;$F139&amp;"%2C"&amp;$E139&amp;"&amp;marker="&amp;$F139&amp;","&amp;$E139&amp;",4326&amp;level=16",IF(_xlfn.SINGLE(JobState)="IN","https://fema.maps.arcgis.com/apps/mapviewer/index.html?url=https%3A%2F%2Fgisdata.in.gov%2Fserver%2Frest%2Fservices%2FHosted%2FLRSE_Functional_Class%2FFeatureServer%2F22&amp;find="&amp;$F139&amp;"%2C"&amp;$E139&amp;"&amp;marker="&amp;$F139&amp;","&amp;$E139&amp;",4326&amp;level=16",IF(_xlfn.SINGLE(JobState)="WI","https://fema.maps.arcgis.com/apps/mapviewer/index.html?url=https%3A%2F%2Fservices5.arcgis.com%2F0pgGLzT0Nh7FVjon%2Farcgis%2Frest%2Fservices%2FFFCL_gdb%2FFeatureServer%2F3&amp;find="&amp;$F139&amp;"%2C"&amp;$E139&amp;"&amp;marker="&amp;$F139&amp;","&amp;$E139&amp;",4326&amp;level=16","https://fema.maps.arcgis.com/apps/mapviewer/index.html?find="&amp;$F139&amp;"%2C"&amp;$E139&amp;"&amp;marker="&amp;$F139&amp;","&amp;$E139&amp;",4326&amp;level=16"))),"Open"))</f>
        <v/>
      </c>
      <c r="T139" s="4"/>
      <c r="U139" s="4"/>
      <c r="V139" s="4"/>
      <c r="W139" s="4"/>
      <c r="X139" s="4"/>
      <c r="Y139" s="4"/>
      <c r="Z139" s="4"/>
      <c r="AA139" s="4"/>
      <c r="AB139" s="1" t="str">
        <f>IF(OR(_xlfn.SINGLE(JobAgolMap)="", $E139="", $F139=""),"",HYPERLINK(_xlfn.SINGLE(JobAgolMap)&amp;IF(ISNUMBER(FIND("?",_xlfn.SINGLE(JobAgolMap))),"&amp;","?")&amp;"center="&amp;$F139&amp;","&amp;$E139&amp;"&amp;level=16&amp;marker="&amp;$F139&amp;","&amp;$E139,"Open"))</f>
        <v/>
      </c>
    </row>
    <row r="140" spans="1:28" x14ac:dyDescent="0.45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4"/>
      <c r="M140" s="1" t="str">
        <f t="shared" si="12"/>
        <v/>
      </c>
      <c r="N140" s="1" t="str">
        <f t="shared" si="13"/>
        <v/>
      </c>
      <c r="O140" s="1" t="str">
        <f t="shared" si="14"/>
        <v/>
      </c>
      <c r="P140" s="1" t="str">
        <f t="shared" si="15"/>
        <v/>
      </c>
      <c r="Q140" s="1" t="str">
        <f t="shared" si="16"/>
        <v/>
      </c>
      <c r="R140" s="1" t="str">
        <f t="shared" si="17"/>
        <v/>
      </c>
      <c r="S140" s="1" t="str">
        <f>IF(OR($E140="",$F140=""),"",HYPERLINK(IF(OR(_xlfn.SINGLE(JobState)="MI",_xlfn.SINGLE(JobState)=""),"https://fema.maps.arcgis.com/apps/mapviewer/index.html?url=https%3A%2F%2Fmdotgis.state.mi.us%2Farcgis%2Frest%2Fservices%2FWidget%2FNextGenPrFinderPub%2FFeatureServer%2F353&amp;find="&amp;$F140&amp;"%2C"&amp;$E140&amp;"&amp;marker="&amp;$F140&amp;","&amp;$E140&amp;",4326&amp;level=16",IF(_xlfn.SINGLE(JobState)="IN","https://fema.maps.arcgis.com/apps/mapviewer/index.html?url=https%3A%2F%2Fgisdata.in.gov%2Fserver%2Frest%2Fservices%2FHosted%2FLRSE_Functional_Class%2FFeatureServer%2F22&amp;find="&amp;$F140&amp;"%2C"&amp;$E140&amp;"&amp;marker="&amp;$F140&amp;","&amp;$E140&amp;",4326&amp;level=16",IF(_xlfn.SINGLE(JobState)="WI","https://fema.maps.arcgis.com/apps/mapviewer/index.html?url=https%3A%2F%2Fservices5.arcgis.com%2F0pgGLzT0Nh7FVjon%2Farcgis%2Frest%2Fservices%2FFFCL_gdb%2FFeatureServer%2F3&amp;find="&amp;$F140&amp;"%2C"&amp;$E140&amp;"&amp;marker="&amp;$F140&amp;","&amp;$E140&amp;",4326&amp;level=16","https://fema.maps.arcgis.com/apps/mapviewer/index.html?find="&amp;$F140&amp;"%2C"&amp;$E140&amp;"&amp;marker="&amp;$F140&amp;","&amp;$E140&amp;",4326&amp;level=16"))),"Open"))</f>
        <v/>
      </c>
      <c r="T140" s="4"/>
      <c r="U140" s="4"/>
      <c r="V140" s="4"/>
      <c r="W140" s="4"/>
      <c r="X140" s="4"/>
      <c r="Y140" s="4"/>
      <c r="Z140" s="4"/>
      <c r="AA140" s="4"/>
      <c r="AB140" s="1" t="str">
        <f>IF(OR(_xlfn.SINGLE(JobAgolMap)="", $E140="", $F140=""),"",HYPERLINK(_xlfn.SINGLE(JobAgolMap)&amp;IF(ISNUMBER(FIND("?",_xlfn.SINGLE(JobAgolMap))),"&amp;","?")&amp;"center="&amp;$F140&amp;","&amp;$E140&amp;"&amp;level=16&amp;marker="&amp;$F140&amp;","&amp;$E140,"Open"))</f>
        <v/>
      </c>
    </row>
    <row r="141" spans="1:28" x14ac:dyDescent="0.45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4"/>
      <c r="M141" s="1" t="str">
        <f t="shared" si="12"/>
        <v/>
      </c>
      <c r="N141" s="1" t="str">
        <f t="shared" si="13"/>
        <v/>
      </c>
      <c r="O141" s="1" t="str">
        <f t="shared" si="14"/>
        <v/>
      </c>
      <c r="P141" s="1" t="str">
        <f t="shared" si="15"/>
        <v/>
      </c>
      <c r="Q141" s="1" t="str">
        <f t="shared" si="16"/>
        <v/>
      </c>
      <c r="R141" s="1" t="str">
        <f t="shared" si="17"/>
        <v/>
      </c>
      <c r="S141" s="1" t="str">
        <f>IF(OR($E141="",$F141=""),"",HYPERLINK(IF(OR(_xlfn.SINGLE(JobState)="MI",_xlfn.SINGLE(JobState)=""),"https://fema.maps.arcgis.com/apps/mapviewer/index.html?url=https%3A%2F%2Fmdotgis.state.mi.us%2Farcgis%2Frest%2Fservices%2FWidget%2FNextGenPrFinderPub%2FFeatureServer%2F353&amp;find="&amp;$F141&amp;"%2C"&amp;$E141&amp;"&amp;marker="&amp;$F141&amp;","&amp;$E141&amp;",4326&amp;level=16",IF(_xlfn.SINGLE(JobState)="IN","https://fema.maps.arcgis.com/apps/mapviewer/index.html?url=https%3A%2F%2Fgisdata.in.gov%2Fserver%2Frest%2Fservices%2FHosted%2FLRSE_Functional_Class%2FFeatureServer%2F22&amp;find="&amp;$F141&amp;"%2C"&amp;$E141&amp;"&amp;marker="&amp;$F141&amp;","&amp;$E141&amp;",4326&amp;level=16",IF(_xlfn.SINGLE(JobState)="WI","https://fema.maps.arcgis.com/apps/mapviewer/index.html?url=https%3A%2F%2Fservices5.arcgis.com%2F0pgGLzT0Nh7FVjon%2Farcgis%2Frest%2Fservices%2FFFCL_gdb%2FFeatureServer%2F3&amp;find="&amp;$F141&amp;"%2C"&amp;$E141&amp;"&amp;marker="&amp;$F141&amp;","&amp;$E141&amp;",4326&amp;level=16","https://fema.maps.arcgis.com/apps/mapviewer/index.html?find="&amp;$F141&amp;"%2C"&amp;$E141&amp;"&amp;marker="&amp;$F141&amp;","&amp;$E141&amp;",4326&amp;level=16"))),"Open"))</f>
        <v/>
      </c>
      <c r="T141" s="4"/>
      <c r="U141" s="4"/>
      <c r="V141" s="4"/>
      <c r="W141" s="4"/>
      <c r="X141" s="4"/>
      <c r="Y141" s="4"/>
      <c r="Z141" s="4"/>
      <c r="AA141" s="4"/>
      <c r="AB141" s="1" t="str">
        <f>IF(OR(_xlfn.SINGLE(JobAgolMap)="", $E141="", $F141=""),"",HYPERLINK(_xlfn.SINGLE(JobAgolMap)&amp;IF(ISNUMBER(FIND("?",_xlfn.SINGLE(JobAgolMap))),"&amp;","?")&amp;"center="&amp;$F141&amp;","&amp;$E141&amp;"&amp;level=16&amp;marker="&amp;$F141&amp;","&amp;$E141,"Open"))</f>
        <v/>
      </c>
    </row>
    <row r="142" spans="1:28" x14ac:dyDescent="0.45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4"/>
      <c r="M142" s="1" t="str">
        <f t="shared" si="12"/>
        <v/>
      </c>
      <c r="N142" s="1" t="str">
        <f t="shared" si="13"/>
        <v/>
      </c>
      <c r="O142" s="1" t="str">
        <f t="shared" si="14"/>
        <v/>
      </c>
      <c r="P142" s="1" t="str">
        <f t="shared" si="15"/>
        <v/>
      </c>
      <c r="Q142" s="1" t="str">
        <f t="shared" si="16"/>
        <v/>
      </c>
      <c r="R142" s="1" t="str">
        <f t="shared" si="17"/>
        <v/>
      </c>
      <c r="S142" s="1" t="str">
        <f>IF(OR($E142="",$F142=""),"",HYPERLINK(IF(OR(_xlfn.SINGLE(JobState)="MI",_xlfn.SINGLE(JobState)=""),"https://fema.maps.arcgis.com/apps/mapviewer/index.html?url=https%3A%2F%2Fmdotgis.state.mi.us%2Farcgis%2Frest%2Fservices%2FWidget%2FNextGenPrFinderPub%2FFeatureServer%2F353&amp;find="&amp;$F142&amp;"%2C"&amp;$E142&amp;"&amp;marker="&amp;$F142&amp;","&amp;$E142&amp;",4326&amp;level=16",IF(_xlfn.SINGLE(JobState)="IN","https://fema.maps.arcgis.com/apps/mapviewer/index.html?url=https%3A%2F%2Fgisdata.in.gov%2Fserver%2Frest%2Fservices%2FHosted%2FLRSE_Functional_Class%2FFeatureServer%2F22&amp;find="&amp;$F142&amp;"%2C"&amp;$E142&amp;"&amp;marker="&amp;$F142&amp;","&amp;$E142&amp;",4326&amp;level=16",IF(_xlfn.SINGLE(JobState)="WI","https://fema.maps.arcgis.com/apps/mapviewer/index.html?url=https%3A%2F%2Fservices5.arcgis.com%2F0pgGLzT0Nh7FVjon%2Farcgis%2Frest%2Fservices%2FFFCL_gdb%2FFeatureServer%2F3&amp;find="&amp;$F142&amp;"%2C"&amp;$E142&amp;"&amp;marker="&amp;$F142&amp;","&amp;$E142&amp;",4326&amp;level=16","https://fema.maps.arcgis.com/apps/mapviewer/index.html?find="&amp;$F142&amp;"%2C"&amp;$E142&amp;"&amp;marker="&amp;$F142&amp;","&amp;$E142&amp;",4326&amp;level=16"))),"Open"))</f>
        <v/>
      </c>
      <c r="T142" s="4"/>
      <c r="U142" s="4"/>
      <c r="V142" s="4"/>
      <c r="W142" s="4"/>
      <c r="X142" s="4"/>
      <c r="Y142" s="4"/>
      <c r="Z142" s="4"/>
      <c r="AA142" s="4"/>
      <c r="AB142" s="1" t="str">
        <f>IF(OR(_xlfn.SINGLE(JobAgolMap)="", $E142="", $F142=""),"",HYPERLINK(_xlfn.SINGLE(JobAgolMap)&amp;IF(ISNUMBER(FIND("?",_xlfn.SINGLE(JobAgolMap))),"&amp;","?")&amp;"center="&amp;$F142&amp;","&amp;$E142&amp;"&amp;level=16&amp;marker="&amp;$F142&amp;","&amp;$E142,"Open"))</f>
        <v/>
      </c>
    </row>
    <row r="143" spans="1:28" x14ac:dyDescent="0.45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4"/>
      <c r="M143" s="1" t="str">
        <f t="shared" si="12"/>
        <v/>
      </c>
      <c r="N143" s="1" t="str">
        <f t="shared" si="13"/>
        <v/>
      </c>
      <c r="O143" s="1" t="str">
        <f t="shared" si="14"/>
        <v/>
      </c>
      <c r="P143" s="1" t="str">
        <f t="shared" si="15"/>
        <v/>
      </c>
      <c r="Q143" s="1" t="str">
        <f t="shared" si="16"/>
        <v/>
      </c>
      <c r="R143" s="1" t="str">
        <f t="shared" si="17"/>
        <v/>
      </c>
      <c r="S143" s="1" t="str">
        <f>IF(OR($E143="",$F143=""),"",HYPERLINK(IF(OR(_xlfn.SINGLE(JobState)="MI",_xlfn.SINGLE(JobState)=""),"https://fema.maps.arcgis.com/apps/mapviewer/index.html?url=https%3A%2F%2Fmdotgis.state.mi.us%2Farcgis%2Frest%2Fservices%2FWidget%2FNextGenPrFinderPub%2FFeatureServer%2F353&amp;find="&amp;$F143&amp;"%2C"&amp;$E143&amp;"&amp;marker="&amp;$F143&amp;","&amp;$E143&amp;",4326&amp;level=16",IF(_xlfn.SINGLE(JobState)="IN","https://fema.maps.arcgis.com/apps/mapviewer/index.html?url=https%3A%2F%2Fgisdata.in.gov%2Fserver%2Frest%2Fservices%2FHosted%2FLRSE_Functional_Class%2FFeatureServer%2F22&amp;find="&amp;$F143&amp;"%2C"&amp;$E143&amp;"&amp;marker="&amp;$F143&amp;","&amp;$E143&amp;",4326&amp;level=16",IF(_xlfn.SINGLE(JobState)="WI","https://fema.maps.arcgis.com/apps/mapviewer/index.html?url=https%3A%2F%2Fservices5.arcgis.com%2F0pgGLzT0Nh7FVjon%2Farcgis%2Frest%2Fservices%2FFFCL_gdb%2FFeatureServer%2F3&amp;find="&amp;$F143&amp;"%2C"&amp;$E143&amp;"&amp;marker="&amp;$F143&amp;","&amp;$E143&amp;",4326&amp;level=16","https://fema.maps.arcgis.com/apps/mapviewer/index.html?find="&amp;$F143&amp;"%2C"&amp;$E143&amp;"&amp;marker="&amp;$F143&amp;","&amp;$E143&amp;",4326&amp;level=16"))),"Open"))</f>
        <v/>
      </c>
      <c r="T143" s="4"/>
      <c r="U143" s="4"/>
      <c r="V143" s="4"/>
      <c r="W143" s="4"/>
      <c r="X143" s="4"/>
      <c r="Y143" s="4"/>
      <c r="Z143" s="4"/>
      <c r="AA143" s="4"/>
      <c r="AB143" s="1" t="str">
        <f>IF(OR(_xlfn.SINGLE(JobAgolMap)="", $E143="", $F143=""),"",HYPERLINK(_xlfn.SINGLE(JobAgolMap)&amp;IF(ISNUMBER(FIND("?",_xlfn.SINGLE(JobAgolMap))),"&amp;","?")&amp;"center="&amp;$F143&amp;","&amp;$E143&amp;"&amp;level=16&amp;marker="&amp;$F143&amp;","&amp;$E143,"Open"))</f>
        <v/>
      </c>
    </row>
    <row r="144" spans="1:28" x14ac:dyDescent="0.45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4"/>
      <c r="M144" s="1" t="str">
        <f t="shared" si="12"/>
        <v/>
      </c>
      <c r="N144" s="1" t="str">
        <f t="shared" si="13"/>
        <v/>
      </c>
      <c r="O144" s="1" t="str">
        <f t="shared" si="14"/>
        <v/>
      </c>
      <c r="P144" s="1" t="str">
        <f t="shared" si="15"/>
        <v/>
      </c>
      <c r="Q144" s="1" t="str">
        <f t="shared" si="16"/>
        <v/>
      </c>
      <c r="R144" s="1" t="str">
        <f t="shared" si="17"/>
        <v/>
      </c>
      <c r="S144" s="1" t="str">
        <f>IF(OR($E144="",$F144=""),"",HYPERLINK(IF(OR(_xlfn.SINGLE(JobState)="MI",_xlfn.SINGLE(JobState)=""),"https://fema.maps.arcgis.com/apps/mapviewer/index.html?url=https%3A%2F%2Fmdotgis.state.mi.us%2Farcgis%2Frest%2Fservices%2FWidget%2FNextGenPrFinderPub%2FFeatureServer%2F353&amp;find="&amp;$F144&amp;"%2C"&amp;$E144&amp;"&amp;marker="&amp;$F144&amp;","&amp;$E144&amp;",4326&amp;level=16",IF(_xlfn.SINGLE(JobState)="IN","https://fema.maps.arcgis.com/apps/mapviewer/index.html?url=https%3A%2F%2Fgisdata.in.gov%2Fserver%2Frest%2Fservices%2FHosted%2FLRSE_Functional_Class%2FFeatureServer%2F22&amp;find="&amp;$F144&amp;"%2C"&amp;$E144&amp;"&amp;marker="&amp;$F144&amp;","&amp;$E144&amp;",4326&amp;level=16",IF(_xlfn.SINGLE(JobState)="WI","https://fema.maps.arcgis.com/apps/mapviewer/index.html?url=https%3A%2F%2Fservices5.arcgis.com%2F0pgGLzT0Nh7FVjon%2Farcgis%2Frest%2Fservices%2FFFCL_gdb%2FFeatureServer%2F3&amp;find="&amp;$F144&amp;"%2C"&amp;$E144&amp;"&amp;marker="&amp;$F144&amp;","&amp;$E144&amp;",4326&amp;level=16","https://fema.maps.arcgis.com/apps/mapviewer/index.html?find="&amp;$F144&amp;"%2C"&amp;$E144&amp;"&amp;marker="&amp;$F144&amp;","&amp;$E144&amp;",4326&amp;level=16"))),"Open"))</f>
        <v/>
      </c>
      <c r="T144" s="4"/>
      <c r="U144" s="4"/>
      <c r="V144" s="4"/>
      <c r="W144" s="4"/>
      <c r="X144" s="4"/>
      <c r="Y144" s="4"/>
      <c r="Z144" s="4"/>
      <c r="AA144" s="4"/>
      <c r="AB144" s="1" t="str">
        <f>IF(OR(_xlfn.SINGLE(JobAgolMap)="", $E144="", $F144=""),"",HYPERLINK(_xlfn.SINGLE(JobAgolMap)&amp;IF(ISNUMBER(FIND("?",_xlfn.SINGLE(JobAgolMap))),"&amp;","?")&amp;"center="&amp;$F144&amp;","&amp;$E144&amp;"&amp;level=16&amp;marker="&amp;$F144&amp;","&amp;$E144,"Open"))</f>
        <v/>
      </c>
    </row>
    <row r="145" spans="1:28" x14ac:dyDescent="0.45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4"/>
      <c r="M145" s="1" t="str">
        <f t="shared" si="12"/>
        <v/>
      </c>
      <c r="N145" s="1" t="str">
        <f t="shared" si="13"/>
        <v/>
      </c>
      <c r="O145" s="1" t="str">
        <f t="shared" si="14"/>
        <v/>
      </c>
      <c r="P145" s="1" t="str">
        <f t="shared" si="15"/>
        <v/>
      </c>
      <c r="Q145" s="1" t="str">
        <f t="shared" si="16"/>
        <v/>
      </c>
      <c r="R145" s="1" t="str">
        <f t="shared" si="17"/>
        <v/>
      </c>
      <c r="S145" s="1" t="str">
        <f>IF(OR($E145="",$F145=""),"",HYPERLINK(IF(OR(_xlfn.SINGLE(JobState)="MI",_xlfn.SINGLE(JobState)=""),"https://fema.maps.arcgis.com/apps/mapviewer/index.html?url=https%3A%2F%2Fmdotgis.state.mi.us%2Farcgis%2Frest%2Fservices%2FWidget%2FNextGenPrFinderPub%2FFeatureServer%2F353&amp;find="&amp;$F145&amp;"%2C"&amp;$E145&amp;"&amp;marker="&amp;$F145&amp;","&amp;$E145&amp;",4326&amp;level=16",IF(_xlfn.SINGLE(JobState)="IN","https://fema.maps.arcgis.com/apps/mapviewer/index.html?url=https%3A%2F%2Fgisdata.in.gov%2Fserver%2Frest%2Fservices%2FHosted%2FLRSE_Functional_Class%2FFeatureServer%2F22&amp;find="&amp;$F145&amp;"%2C"&amp;$E145&amp;"&amp;marker="&amp;$F145&amp;","&amp;$E145&amp;",4326&amp;level=16",IF(_xlfn.SINGLE(JobState)="WI","https://fema.maps.arcgis.com/apps/mapviewer/index.html?url=https%3A%2F%2Fservices5.arcgis.com%2F0pgGLzT0Nh7FVjon%2Farcgis%2Frest%2Fservices%2FFFCL_gdb%2FFeatureServer%2F3&amp;find="&amp;$F145&amp;"%2C"&amp;$E145&amp;"&amp;marker="&amp;$F145&amp;","&amp;$E145&amp;",4326&amp;level=16","https://fema.maps.arcgis.com/apps/mapviewer/index.html?find="&amp;$F145&amp;"%2C"&amp;$E145&amp;"&amp;marker="&amp;$F145&amp;","&amp;$E145&amp;",4326&amp;level=16"))),"Open"))</f>
        <v/>
      </c>
      <c r="T145" s="4"/>
      <c r="U145" s="4"/>
      <c r="V145" s="4"/>
      <c r="W145" s="4"/>
      <c r="X145" s="4"/>
      <c r="Y145" s="4"/>
      <c r="Z145" s="4"/>
      <c r="AA145" s="4"/>
      <c r="AB145" s="1" t="str">
        <f>IF(OR(_xlfn.SINGLE(JobAgolMap)="", $E145="", $F145=""),"",HYPERLINK(_xlfn.SINGLE(JobAgolMap)&amp;IF(ISNUMBER(FIND("?",_xlfn.SINGLE(JobAgolMap))),"&amp;","?")&amp;"center="&amp;$F145&amp;","&amp;$E145&amp;"&amp;level=16&amp;marker="&amp;$F145&amp;","&amp;$E145,"Open"))</f>
        <v/>
      </c>
    </row>
    <row r="146" spans="1:28" x14ac:dyDescent="0.45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4"/>
      <c r="M146" s="1" t="str">
        <f t="shared" si="12"/>
        <v/>
      </c>
      <c r="N146" s="1" t="str">
        <f t="shared" si="13"/>
        <v/>
      </c>
      <c r="O146" s="1" t="str">
        <f t="shared" si="14"/>
        <v/>
      </c>
      <c r="P146" s="1" t="str">
        <f t="shared" si="15"/>
        <v/>
      </c>
      <c r="Q146" s="1" t="str">
        <f t="shared" si="16"/>
        <v/>
      </c>
      <c r="R146" s="1" t="str">
        <f t="shared" si="17"/>
        <v/>
      </c>
      <c r="S146" s="1" t="str">
        <f>IF(OR($E146="",$F146=""),"",HYPERLINK(IF(OR(_xlfn.SINGLE(JobState)="MI",_xlfn.SINGLE(JobState)=""),"https://fema.maps.arcgis.com/apps/mapviewer/index.html?url=https%3A%2F%2Fmdotgis.state.mi.us%2Farcgis%2Frest%2Fservices%2FWidget%2FNextGenPrFinderPub%2FFeatureServer%2F353&amp;find="&amp;$F146&amp;"%2C"&amp;$E146&amp;"&amp;marker="&amp;$F146&amp;","&amp;$E146&amp;",4326&amp;level=16",IF(_xlfn.SINGLE(JobState)="IN","https://fema.maps.arcgis.com/apps/mapviewer/index.html?url=https%3A%2F%2Fgisdata.in.gov%2Fserver%2Frest%2Fservices%2FHosted%2FLRSE_Functional_Class%2FFeatureServer%2F22&amp;find="&amp;$F146&amp;"%2C"&amp;$E146&amp;"&amp;marker="&amp;$F146&amp;","&amp;$E146&amp;",4326&amp;level=16",IF(_xlfn.SINGLE(JobState)="WI","https://fema.maps.arcgis.com/apps/mapviewer/index.html?url=https%3A%2F%2Fservices5.arcgis.com%2F0pgGLzT0Nh7FVjon%2Farcgis%2Frest%2Fservices%2FFFCL_gdb%2FFeatureServer%2F3&amp;find="&amp;$F146&amp;"%2C"&amp;$E146&amp;"&amp;marker="&amp;$F146&amp;","&amp;$E146&amp;",4326&amp;level=16","https://fema.maps.arcgis.com/apps/mapviewer/index.html?find="&amp;$F146&amp;"%2C"&amp;$E146&amp;"&amp;marker="&amp;$F146&amp;","&amp;$E146&amp;",4326&amp;level=16"))),"Open"))</f>
        <v/>
      </c>
      <c r="T146" s="4"/>
      <c r="U146" s="4"/>
      <c r="V146" s="4"/>
      <c r="W146" s="4"/>
      <c r="X146" s="4"/>
      <c r="Y146" s="4"/>
      <c r="Z146" s="4"/>
      <c r="AA146" s="4"/>
      <c r="AB146" s="1" t="str">
        <f>IF(OR(_xlfn.SINGLE(JobAgolMap)="", $E146="", $F146=""),"",HYPERLINK(_xlfn.SINGLE(JobAgolMap)&amp;IF(ISNUMBER(FIND("?",_xlfn.SINGLE(JobAgolMap))),"&amp;","?")&amp;"center="&amp;$F146&amp;","&amp;$E146&amp;"&amp;level=16&amp;marker="&amp;$F146&amp;","&amp;$E146,"Open"))</f>
        <v/>
      </c>
    </row>
    <row r="147" spans="1:28" x14ac:dyDescent="0.45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4"/>
      <c r="M147" s="1" t="str">
        <f t="shared" si="12"/>
        <v/>
      </c>
      <c r="N147" s="1" t="str">
        <f t="shared" si="13"/>
        <v/>
      </c>
      <c r="O147" s="1" t="str">
        <f t="shared" si="14"/>
        <v/>
      </c>
      <c r="P147" s="1" t="str">
        <f t="shared" si="15"/>
        <v/>
      </c>
      <c r="Q147" s="1" t="str">
        <f t="shared" si="16"/>
        <v/>
      </c>
      <c r="R147" s="1" t="str">
        <f t="shared" si="17"/>
        <v/>
      </c>
      <c r="S147" s="1" t="str">
        <f>IF(OR($E147="",$F147=""),"",HYPERLINK(IF(OR(_xlfn.SINGLE(JobState)="MI",_xlfn.SINGLE(JobState)=""),"https://fema.maps.arcgis.com/apps/mapviewer/index.html?url=https%3A%2F%2Fmdotgis.state.mi.us%2Farcgis%2Frest%2Fservices%2FWidget%2FNextGenPrFinderPub%2FFeatureServer%2F353&amp;find="&amp;$F147&amp;"%2C"&amp;$E147&amp;"&amp;marker="&amp;$F147&amp;","&amp;$E147&amp;",4326&amp;level=16",IF(_xlfn.SINGLE(JobState)="IN","https://fema.maps.arcgis.com/apps/mapviewer/index.html?url=https%3A%2F%2Fgisdata.in.gov%2Fserver%2Frest%2Fservices%2FHosted%2FLRSE_Functional_Class%2FFeatureServer%2F22&amp;find="&amp;$F147&amp;"%2C"&amp;$E147&amp;"&amp;marker="&amp;$F147&amp;","&amp;$E147&amp;",4326&amp;level=16",IF(_xlfn.SINGLE(JobState)="WI","https://fema.maps.arcgis.com/apps/mapviewer/index.html?url=https%3A%2F%2Fservices5.arcgis.com%2F0pgGLzT0Nh7FVjon%2Farcgis%2Frest%2Fservices%2FFFCL_gdb%2FFeatureServer%2F3&amp;find="&amp;$F147&amp;"%2C"&amp;$E147&amp;"&amp;marker="&amp;$F147&amp;","&amp;$E147&amp;",4326&amp;level=16","https://fema.maps.arcgis.com/apps/mapviewer/index.html?find="&amp;$F147&amp;"%2C"&amp;$E147&amp;"&amp;marker="&amp;$F147&amp;","&amp;$E147&amp;",4326&amp;level=16"))),"Open"))</f>
        <v/>
      </c>
      <c r="T147" s="4"/>
      <c r="U147" s="4"/>
      <c r="V147" s="4"/>
      <c r="W147" s="4"/>
      <c r="X147" s="4"/>
      <c r="Y147" s="4"/>
      <c r="Z147" s="4"/>
      <c r="AA147" s="4"/>
      <c r="AB147" s="1" t="str">
        <f>IF(OR(_xlfn.SINGLE(JobAgolMap)="", $E147="", $F147=""),"",HYPERLINK(_xlfn.SINGLE(JobAgolMap)&amp;IF(ISNUMBER(FIND("?",_xlfn.SINGLE(JobAgolMap))),"&amp;","?")&amp;"center="&amp;$F147&amp;","&amp;$E147&amp;"&amp;level=16&amp;marker="&amp;$F147&amp;","&amp;$E147,"Open"))</f>
        <v/>
      </c>
    </row>
    <row r="148" spans="1:28" x14ac:dyDescent="0.45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4"/>
      <c r="M148" s="1" t="str">
        <f t="shared" si="12"/>
        <v/>
      </c>
      <c r="N148" s="1" t="str">
        <f t="shared" si="13"/>
        <v/>
      </c>
      <c r="O148" s="1" t="str">
        <f t="shared" si="14"/>
        <v/>
      </c>
      <c r="P148" s="1" t="str">
        <f t="shared" si="15"/>
        <v/>
      </c>
      <c r="Q148" s="1" t="str">
        <f t="shared" si="16"/>
        <v/>
      </c>
      <c r="R148" s="1" t="str">
        <f t="shared" si="17"/>
        <v/>
      </c>
      <c r="S148" s="1" t="str">
        <f>IF(OR($E148="",$F148=""),"",HYPERLINK(IF(OR(_xlfn.SINGLE(JobState)="MI",_xlfn.SINGLE(JobState)=""),"https://fema.maps.arcgis.com/apps/mapviewer/index.html?url=https%3A%2F%2Fmdotgis.state.mi.us%2Farcgis%2Frest%2Fservices%2FWidget%2FNextGenPrFinderPub%2FFeatureServer%2F353&amp;find="&amp;$F148&amp;"%2C"&amp;$E148&amp;"&amp;marker="&amp;$F148&amp;","&amp;$E148&amp;",4326&amp;level=16",IF(_xlfn.SINGLE(JobState)="IN","https://fema.maps.arcgis.com/apps/mapviewer/index.html?url=https%3A%2F%2Fgisdata.in.gov%2Fserver%2Frest%2Fservices%2FHosted%2FLRSE_Functional_Class%2FFeatureServer%2F22&amp;find="&amp;$F148&amp;"%2C"&amp;$E148&amp;"&amp;marker="&amp;$F148&amp;","&amp;$E148&amp;",4326&amp;level=16",IF(_xlfn.SINGLE(JobState)="WI","https://fema.maps.arcgis.com/apps/mapviewer/index.html?url=https%3A%2F%2Fservices5.arcgis.com%2F0pgGLzT0Nh7FVjon%2Farcgis%2Frest%2Fservices%2FFFCL_gdb%2FFeatureServer%2F3&amp;find="&amp;$F148&amp;"%2C"&amp;$E148&amp;"&amp;marker="&amp;$F148&amp;","&amp;$E148&amp;",4326&amp;level=16","https://fema.maps.arcgis.com/apps/mapviewer/index.html?find="&amp;$F148&amp;"%2C"&amp;$E148&amp;"&amp;marker="&amp;$F148&amp;","&amp;$E148&amp;",4326&amp;level=16"))),"Open"))</f>
        <v/>
      </c>
      <c r="T148" s="4"/>
      <c r="U148" s="4"/>
      <c r="V148" s="4"/>
      <c r="W148" s="4"/>
      <c r="X148" s="4"/>
      <c r="Y148" s="4"/>
      <c r="Z148" s="4"/>
      <c r="AA148" s="4"/>
      <c r="AB148" s="1" t="str">
        <f>IF(OR(_xlfn.SINGLE(JobAgolMap)="", $E148="", $F148=""),"",HYPERLINK(_xlfn.SINGLE(JobAgolMap)&amp;IF(ISNUMBER(FIND("?",_xlfn.SINGLE(JobAgolMap))),"&amp;","?")&amp;"center="&amp;$F148&amp;","&amp;$E148&amp;"&amp;level=16&amp;marker="&amp;$F148&amp;","&amp;$E148,"Open"))</f>
        <v/>
      </c>
    </row>
    <row r="149" spans="1:28" x14ac:dyDescent="0.45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4"/>
      <c r="M149" s="1" t="str">
        <f t="shared" si="12"/>
        <v/>
      </c>
      <c r="N149" s="1" t="str">
        <f t="shared" si="13"/>
        <v/>
      </c>
      <c r="O149" s="1" t="str">
        <f t="shared" si="14"/>
        <v/>
      </c>
      <c r="P149" s="1" t="str">
        <f t="shared" si="15"/>
        <v/>
      </c>
      <c r="Q149" s="1" t="str">
        <f t="shared" si="16"/>
        <v/>
      </c>
      <c r="R149" s="1" t="str">
        <f t="shared" si="17"/>
        <v/>
      </c>
      <c r="S149" s="1" t="str">
        <f>IF(OR($E149="",$F149=""),"",HYPERLINK(IF(OR(_xlfn.SINGLE(JobState)="MI",_xlfn.SINGLE(JobState)=""),"https://fema.maps.arcgis.com/apps/mapviewer/index.html?url=https%3A%2F%2Fmdotgis.state.mi.us%2Farcgis%2Frest%2Fservices%2FWidget%2FNextGenPrFinderPub%2FFeatureServer%2F353&amp;find="&amp;$F149&amp;"%2C"&amp;$E149&amp;"&amp;marker="&amp;$F149&amp;","&amp;$E149&amp;",4326&amp;level=16",IF(_xlfn.SINGLE(JobState)="IN","https://fema.maps.arcgis.com/apps/mapviewer/index.html?url=https%3A%2F%2Fgisdata.in.gov%2Fserver%2Frest%2Fservices%2FHosted%2FLRSE_Functional_Class%2FFeatureServer%2F22&amp;find="&amp;$F149&amp;"%2C"&amp;$E149&amp;"&amp;marker="&amp;$F149&amp;","&amp;$E149&amp;",4326&amp;level=16",IF(_xlfn.SINGLE(JobState)="WI","https://fema.maps.arcgis.com/apps/mapviewer/index.html?url=https%3A%2F%2Fservices5.arcgis.com%2F0pgGLzT0Nh7FVjon%2Farcgis%2Frest%2Fservices%2FFFCL_gdb%2FFeatureServer%2F3&amp;find="&amp;$F149&amp;"%2C"&amp;$E149&amp;"&amp;marker="&amp;$F149&amp;","&amp;$E149&amp;",4326&amp;level=16","https://fema.maps.arcgis.com/apps/mapviewer/index.html?find="&amp;$F149&amp;"%2C"&amp;$E149&amp;"&amp;marker="&amp;$F149&amp;","&amp;$E149&amp;",4326&amp;level=16"))),"Open"))</f>
        <v/>
      </c>
      <c r="T149" s="4"/>
      <c r="U149" s="4"/>
      <c r="V149" s="4"/>
      <c r="W149" s="4"/>
      <c r="X149" s="4"/>
      <c r="Y149" s="4"/>
      <c r="Z149" s="4"/>
      <c r="AA149" s="4"/>
      <c r="AB149" s="1" t="str">
        <f>IF(OR(_xlfn.SINGLE(JobAgolMap)="", $E149="", $F149=""),"",HYPERLINK(_xlfn.SINGLE(JobAgolMap)&amp;IF(ISNUMBER(FIND("?",_xlfn.SINGLE(JobAgolMap))),"&amp;","?")&amp;"center="&amp;$F149&amp;","&amp;$E149&amp;"&amp;level=16&amp;marker="&amp;$F149&amp;","&amp;$E149,"Open"))</f>
        <v/>
      </c>
    </row>
    <row r="150" spans="1:28" x14ac:dyDescent="0.45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4"/>
      <c r="M150" s="1" t="str">
        <f t="shared" si="12"/>
        <v/>
      </c>
      <c r="N150" s="1" t="str">
        <f t="shared" si="13"/>
        <v/>
      </c>
      <c r="O150" s="1" t="str">
        <f t="shared" si="14"/>
        <v/>
      </c>
      <c r="P150" s="1" t="str">
        <f t="shared" si="15"/>
        <v/>
      </c>
      <c r="Q150" s="1" t="str">
        <f t="shared" si="16"/>
        <v/>
      </c>
      <c r="R150" s="1" t="str">
        <f t="shared" si="17"/>
        <v/>
      </c>
      <c r="S150" s="1" t="str">
        <f>IF(OR($E150="",$F150=""),"",HYPERLINK(IF(OR(_xlfn.SINGLE(JobState)="MI",_xlfn.SINGLE(JobState)=""),"https://fema.maps.arcgis.com/apps/mapviewer/index.html?url=https%3A%2F%2Fmdotgis.state.mi.us%2Farcgis%2Frest%2Fservices%2FWidget%2FNextGenPrFinderPub%2FFeatureServer%2F353&amp;find="&amp;$F150&amp;"%2C"&amp;$E150&amp;"&amp;marker="&amp;$F150&amp;","&amp;$E150&amp;",4326&amp;level=16",IF(_xlfn.SINGLE(JobState)="IN","https://fema.maps.arcgis.com/apps/mapviewer/index.html?url=https%3A%2F%2Fgisdata.in.gov%2Fserver%2Frest%2Fservices%2FHosted%2FLRSE_Functional_Class%2FFeatureServer%2F22&amp;find="&amp;$F150&amp;"%2C"&amp;$E150&amp;"&amp;marker="&amp;$F150&amp;","&amp;$E150&amp;",4326&amp;level=16",IF(_xlfn.SINGLE(JobState)="WI","https://fema.maps.arcgis.com/apps/mapviewer/index.html?url=https%3A%2F%2Fservices5.arcgis.com%2F0pgGLzT0Nh7FVjon%2Farcgis%2Frest%2Fservices%2FFFCL_gdb%2FFeatureServer%2F3&amp;find="&amp;$F150&amp;"%2C"&amp;$E150&amp;"&amp;marker="&amp;$F150&amp;","&amp;$E150&amp;",4326&amp;level=16","https://fema.maps.arcgis.com/apps/mapviewer/index.html?find="&amp;$F150&amp;"%2C"&amp;$E150&amp;"&amp;marker="&amp;$F150&amp;","&amp;$E150&amp;",4326&amp;level=16"))),"Open"))</f>
        <v/>
      </c>
      <c r="T150" s="4"/>
      <c r="U150" s="4"/>
      <c r="V150" s="4"/>
      <c r="W150" s="4"/>
      <c r="X150" s="4"/>
      <c r="Y150" s="4"/>
      <c r="Z150" s="4"/>
      <c r="AA150" s="4"/>
      <c r="AB150" s="1" t="str">
        <f>IF(OR(_xlfn.SINGLE(JobAgolMap)="", $E150="", $F150=""),"",HYPERLINK(_xlfn.SINGLE(JobAgolMap)&amp;IF(ISNUMBER(FIND("?",_xlfn.SINGLE(JobAgolMap))),"&amp;","?")&amp;"center="&amp;$F150&amp;","&amp;$E150&amp;"&amp;level=16&amp;marker="&amp;$F150&amp;","&amp;$E150,"Open"))</f>
        <v/>
      </c>
    </row>
    <row r="151" spans="1:28" x14ac:dyDescent="0.45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4"/>
      <c r="M151" s="1" t="str">
        <f t="shared" si="12"/>
        <v/>
      </c>
      <c r="N151" s="1" t="str">
        <f t="shared" si="13"/>
        <v/>
      </c>
      <c r="O151" s="1" t="str">
        <f t="shared" si="14"/>
        <v/>
      </c>
      <c r="P151" s="1" t="str">
        <f t="shared" si="15"/>
        <v/>
      </c>
      <c r="Q151" s="1" t="str">
        <f t="shared" si="16"/>
        <v/>
      </c>
      <c r="R151" s="1" t="str">
        <f t="shared" si="17"/>
        <v/>
      </c>
      <c r="S151" s="1" t="str">
        <f>IF(OR($E151="",$F151=""),"",HYPERLINK(IF(OR(_xlfn.SINGLE(JobState)="MI",_xlfn.SINGLE(JobState)=""),"https://fema.maps.arcgis.com/apps/mapviewer/index.html?url=https%3A%2F%2Fmdotgis.state.mi.us%2Farcgis%2Frest%2Fservices%2FWidget%2FNextGenPrFinderPub%2FFeatureServer%2F353&amp;find="&amp;$F151&amp;"%2C"&amp;$E151&amp;"&amp;marker="&amp;$F151&amp;","&amp;$E151&amp;",4326&amp;level=16",IF(_xlfn.SINGLE(JobState)="IN","https://fema.maps.arcgis.com/apps/mapviewer/index.html?url=https%3A%2F%2Fgisdata.in.gov%2Fserver%2Frest%2Fservices%2FHosted%2FLRSE_Functional_Class%2FFeatureServer%2F22&amp;find="&amp;$F151&amp;"%2C"&amp;$E151&amp;"&amp;marker="&amp;$F151&amp;","&amp;$E151&amp;",4326&amp;level=16",IF(_xlfn.SINGLE(JobState)="WI","https://fema.maps.arcgis.com/apps/mapviewer/index.html?url=https%3A%2F%2Fservices5.arcgis.com%2F0pgGLzT0Nh7FVjon%2Farcgis%2Frest%2Fservices%2FFFCL_gdb%2FFeatureServer%2F3&amp;find="&amp;$F151&amp;"%2C"&amp;$E151&amp;"&amp;marker="&amp;$F151&amp;","&amp;$E151&amp;",4326&amp;level=16","https://fema.maps.arcgis.com/apps/mapviewer/index.html?find="&amp;$F151&amp;"%2C"&amp;$E151&amp;"&amp;marker="&amp;$F151&amp;","&amp;$E151&amp;",4326&amp;level=16"))),"Open"))</f>
        <v/>
      </c>
      <c r="T151" s="4"/>
      <c r="U151" s="4"/>
      <c r="V151" s="4"/>
      <c r="W151" s="4"/>
      <c r="X151" s="4"/>
      <c r="Y151" s="4"/>
      <c r="Z151" s="4"/>
      <c r="AA151" s="4"/>
      <c r="AB151" s="1" t="str">
        <f>IF(OR(_xlfn.SINGLE(JobAgolMap)="", $E151="", $F151=""),"",HYPERLINK(_xlfn.SINGLE(JobAgolMap)&amp;IF(ISNUMBER(FIND("?",_xlfn.SINGLE(JobAgolMap))),"&amp;","?")&amp;"center="&amp;$F151&amp;","&amp;$E151&amp;"&amp;level=16&amp;marker="&amp;$F151&amp;","&amp;$E151,"Open"))</f>
        <v/>
      </c>
    </row>
    <row r="152" spans="1:28" x14ac:dyDescent="0.45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4"/>
      <c r="M152" s="1" t="str">
        <f t="shared" si="12"/>
        <v/>
      </c>
      <c r="N152" s="1" t="str">
        <f t="shared" si="13"/>
        <v/>
      </c>
      <c r="O152" s="1" t="str">
        <f t="shared" si="14"/>
        <v/>
      </c>
      <c r="P152" s="1" t="str">
        <f t="shared" si="15"/>
        <v/>
      </c>
      <c r="Q152" s="1" t="str">
        <f t="shared" si="16"/>
        <v/>
      </c>
      <c r="R152" s="1" t="str">
        <f t="shared" si="17"/>
        <v/>
      </c>
      <c r="S152" s="1" t="str">
        <f>IF(OR($E152="",$F152=""),"",HYPERLINK(IF(OR(_xlfn.SINGLE(JobState)="MI",_xlfn.SINGLE(JobState)=""),"https://fema.maps.arcgis.com/apps/mapviewer/index.html?url=https%3A%2F%2Fmdotgis.state.mi.us%2Farcgis%2Frest%2Fservices%2FWidget%2FNextGenPrFinderPub%2FFeatureServer%2F353&amp;find="&amp;$F152&amp;"%2C"&amp;$E152&amp;"&amp;marker="&amp;$F152&amp;","&amp;$E152&amp;",4326&amp;level=16",IF(_xlfn.SINGLE(JobState)="IN","https://fema.maps.arcgis.com/apps/mapviewer/index.html?url=https%3A%2F%2Fgisdata.in.gov%2Fserver%2Frest%2Fservices%2FHosted%2FLRSE_Functional_Class%2FFeatureServer%2F22&amp;find="&amp;$F152&amp;"%2C"&amp;$E152&amp;"&amp;marker="&amp;$F152&amp;","&amp;$E152&amp;",4326&amp;level=16",IF(_xlfn.SINGLE(JobState)="WI","https://fema.maps.arcgis.com/apps/mapviewer/index.html?url=https%3A%2F%2Fservices5.arcgis.com%2F0pgGLzT0Nh7FVjon%2Farcgis%2Frest%2Fservices%2FFFCL_gdb%2FFeatureServer%2F3&amp;find="&amp;$F152&amp;"%2C"&amp;$E152&amp;"&amp;marker="&amp;$F152&amp;","&amp;$E152&amp;",4326&amp;level=16","https://fema.maps.arcgis.com/apps/mapviewer/index.html?find="&amp;$F152&amp;"%2C"&amp;$E152&amp;"&amp;marker="&amp;$F152&amp;","&amp;$E152&amp;",4326&amp;level=16"))),"Open"))</f>
        <v/>
      </c>
      <c r="T152" s="4"/>
      <c r="U152" s="4"/>
      <c r="V152" s="4"/>
      <c r="W152" s="4"/>
      <c r="X152" s="4"/>
      <c r="Y152" s="4"/>
      <c r="Z152" s="4"/>
      <c r="AA152" s="4"/>
      <c r="AB152" s="1" t="str">
        <f>IF(OR(_xlfn.SINGLE(JobAgolMap)="", $E152="", $F152=""),"",HYPERLINK(_xlfn.SINGLE(JobAgolMap)&amp;IF(ISNUMBER(FIND("?",_xlfn.SINGLE(JobAgolMap))),"&amp;","?")&amp;"center="&amp;$F152&amp;","&amp;$E152&amp;"&amp;level=16&amp;marker="&amp;$F152&amp;","&amp;$E152,"Open"))</f>
        <v/>
      </c>
    </row>
    <row r="153" spans="1:28" x14ac:dyDescent="0.45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4"/>
      <c r="M153" s="1" t="str">
        <f t="shared" si="12"/>
        <v/>
      </c>
      <c r="N153" s="1" t="str">
        <f t="shared" si="13"/>
        <v/>
      </c>
      <c r="O153" s="1" t="str">
        <f t="shared" si="14"/>
        <v/>
      </c>
      <c r="P153" s="1" t="str">
        <f t="shared" si="15"/>
        <v/>
      </c>
      <c r="Q153" s="1" t="str">
        <f t="shared" si="16"/>
        <v/>
      </c>
      <c r="R153" s="1" t="str">
        <f t="shared" si="17"/>
        <v/>
      </c>
      <c r="S153" s="1" t="str">
        <f>IF(OR($E153="",$F153=""),"",HYPERLINK(IF(OR(_xlfn.SINGLE(JobState)="MI",_xlfn.SINGLE(JobState)=""),"https://fema.maps.arcgis.com/apps/mapviewer/index.html?url=https%3A%2F%2Fmdotgis.state.mi.us%2Farcgis%2Frest%2Fservices%2FWidget%2FNextGenPrFinderPub%2FFeatureServer%2F353&amp;find="&amp;$F153&amp;"%2C"&amp;$E153&amp;"&amp;marker="&amp;$F153&amp;","&amp;$E153&amp;",4326&amp;level=16",IF(_xlfn.SINGLE(JobState)="IN","https://fema.maps.arcgis.com/apps/mapviewer/index.html?url=https%3A%2F%2Fgisdata.in.gov%2Fserver%2Frest%2Fservices%2FHosted%2FLRSE_Functional_Class%2FFeatureServer%2F22&amp;find="&amp;$F153&amp;"%2C"&amp;$E153&amp;"&amp;marker="&amp;$F153&amp;","&amp;$E153&amp;",4326&amp;level=16",IF(_xlfn.SINGLE(JobState)="WI","https://fema.maps.arcgis.com/apps/mapviewer/index.html?url=https%3A%2F%2Fservices5.arcgis.com%2F0pgGLzT0Nh7FVjon%2Farcgis%2Frest%2Fservices%2FFFCL_gdb%2FFeatureServer%2F3&amp;find="&amp;$F153&amp;"%2C"&amp;$E153&amp;"&amp;marker="&amp;$F153&amp;","&amp;$E153&amp;",4326&amp;level=16","https://fema.maps.arcgis.com/apps/mapviewer/index.html?find="&amp;$F153&amp;"%2C"&amp;$E153&amp;"&amp;marker="&amp;$F153&amp;","&amp;$E153&amp;",4326&amp;level=16"))),"Open"))</f>
        <v/>
      </c>
      <c r="T153" s="4"/>
      <c r="U153" s="4"/>
      <c r="V153" s="4"/>
      <c r="W153" s="4"/>
      <c r="X153" s="4"/>
      <c r="Y153" s="4"/>
      <c r="Z153" s="4"/>
      <c r="AA153" s="4"/>
      <c r="AB153" s="1" t="str">
        <f>IF(OR(_xlfn.SINGLE(JobAgolMap)="", $E153="", $F153=""),"",HYPERLINK(_xlfn.SINGLE(JobAgolMap)&amp;IF(ISNUMBER(FIND("?",_xlfn.SINGLE(JobAgolMap))),"&amp;","?")&amp;"center="&amp;$F153&amp;","&amp;$E153&amp;"&amp;level=16&amp;marker="&amp;$F153&amp;","&amp;$E153,"Open"))</f>
        <v/>
      </c>
    </row>
    <row r="154" spans="1:28" x14ac:dyDescent="0.45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4"/>
      <c r="M154" s="1" t="str">
        <f t="shared" si="12"/>
        <v/>
      </c>
      <c r="N154" s="1" t="str">
        <f t="shared" si="13"/>
        <v/>
      </c>
      <c r="O154" s="1" t="str">
        <f t="shared" si="14"/>
        <v/>
      </c>
      <c r="P154" s="1" t="str">
        <f t="shared" si="15"/>
        <v/>
      </c>
      <c r="Q154" s="1" t="str">
        <f t="shared" si="16"/>
        <v/>
      </c>
      <c r="R154" s="1" t="str">
        <f t="shared" si="17"/>
        <v/>
      </c>
      <c r="S154" s="1" t="str">
        <f>IF(OR($E154="",$F154=""),"",HYPERLINK(IF(OR(_xlfn.SINGLE(JobState)="MI",_xlfn.SINGLE(JobState)=""),"https://fema.maps.arcgis.com/apps/mapviewer/index.html?url=https%3A%2F%2Fmdotgis.state.mi.us%2Farcgis%2Frest%2Fservices%2FWidget%2FNextGenPrFinderPub%2FFeatureServer%2F353&amp;find="&amp;$F154&amp;"%2C"&amp;$E154&amp;"&amp;marker="&amp;$F154&amp;","&amp;$E154&amp;",4326&amp;level=16",IF(_xlfn.SINGLE(JobState)="IN","https://fema.maps.arcgis.com/apps/mapviewer/index.html?url=https%3A%2F%2Fgisdata.in.gov%2Fserver%2Frest%2Fservices%2FHosted%2FLRSE_Functional_Class%2FFeatureServer%2F22&amp;find="&amp;$F154&amp;"%2C"&amp;$E154&amp;"&amp;marker="&amp;$F154&amp;","&amp;$E154&amp;",4326&amp;level=16",IF(_xlfn.SINGLE(JobState)="WI","https://fema.maps.arcgis.com/apps/mapviewer/index.html?url=https%3A%2F%2Fservices5.arcgis.com%2F0pgGLzT0Nh7FVjon%2Farcgis%2Frest%2Fservices%2FFFCL_gdb%2FFeatureServer%2F3&amp;find="&amp;$F154&amp;"%2C"&amp;$E154&amp;"&amp;marker="&amp;$F154&amp;","&amp;$E154&amp;",4326&amp;level=16","https://fema.maps.arcgis.com/apps/mapviewer/index.html?find="&amp;$F154&amp;"%2C"&amp;$E154&amp;"&amp;marker="&amp;$F154&amp;","&amp;$E154&amp;",4326&amp;level=16"))),"Open"))</f>
        <v/>
      </c>
      <c r="T154" s="4"/>
      <c r="U154" s="4"/>
      <c r="V154" s="4"/>
      <c r="W154" s="4"/>
      <c r="X154" s="4"/>
      <c r="Y154" s="4"/>
      <c r="Z154" s="4"/>
      <c r="AA154" s="4"/>
      <c r="AB154" s="1" t="str">
        <f>IF(OR(_xlfn.SINGLE(JobAgolMap)="", $E154="", $F154=""),"",HYPERLINK(_xlfn.SINGLE(JobAgolMap)&amp;IF(ISNUMBER(FIND("?",_xlfn.SINGLE(JobAgolMap))),"&amp;","?")&amp;"center="&amp;$F154&amp;","&amp;$E154&amp;"&amp;level=16&amp;marker="&amp;$F154&amp;","&amp;$E154,"Open"))</f>
        <v/>
      </c>
    </row>
    <row r="155" spans="1:28" x14ac:dyDescent="0.45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4"/>
      <c r="M155" s="1" t="str">
        <f t="shared" si="12"/>
        <v/>
      </c>
      <c r="N155" s="1" t="str">
        <f t="shared" si="13"/>
        <v/>
      </c>
      <c r="O155" s="1" t="str">
        <f t="shared" si="14"/>
        <v/>
      </c>
      <c r="P155" s="1" t="str">
        <f t="shared" si="15"/>
        <v/>
      </c>
      <c r="Q155" s="1" t="str">
        <f t="shared" si="16"/>
        <v/>
      </c>
      <c r="R155" s="1" t="str">
        <f t="shared" si="17"/>
        <v/>
      </c>
      <c r="S155" s="1" t="str">
        <f>IF(OR($E155="",$F155=""),"",HYPERLINK(IF(OR(_xlfn.SINGLE(JobState)="MI",_xlfn.SINGLE(JobState)=""),"https://fema.maps.arcgis.com/apps/mapviewer/index.html?url=https%3A%2F%2Fmdotgis.state.mi.us%2Farcgis%2Frest%2Fservices%2FWidget%2FNextGenPrFinderPub%2FFeatureServer%2F353&amp;find="&amp;$F155&amp;"%2C"&amp;$E155&amp;"&amp;marker="&amp;$F155&amp;","&amp;$E155&amp;",4326&amp;level=16",IF(_xlfn.SINGLE(JobState)="IN","https://fema.maps.arcgis.com/apps/mapviewer/index.html?url=https%3A%2F%2Fgisdata.in.gov%2Fserver%2Frest%2Fservices%2FHosted%2FLRSE_Functional_Class%2FFeatureServer%2F22&amp;find="&amp;$F155&amp;"%2C"&amp;$E155&amp;"&amp;marker="&amp;$F155&amp;","&amp;$E155&amp;",4326&amp;level=16",IF(_xlfn.SINGLE(JobState)="WI","https://fema.maps.arcgis.com/apps/mapviewer/index.html?url=https%3A%2F%2Fservices5.arcgis.com%2F0pgGLzT0Nh7FVjon%2Farcgis%2Frest%2Fservices%2FFFCL_gdb%2FFeatureServer%2F3&amp;find="&amp;$F155&amp;"%2C"&amp;$E155&amp;"&amp;marker="&amp;$F155&amp;","&amp;$E155&amp;",4326&amp;level=16","https://fema.maps.arcgis.com/apps/mapviewer/index.html?find="&amp;$F155&amp;"%2C"&amp;$E155&amp;"&amp;marker="&amp;$F155&amp;","&amp;$E155&amp;",4326&amp;level=16"))),"Open"))</f>
        <v/>
      </c>
      <c r="T155" s="4"/>
      <c r="U155" s="4"/>
      <c r="V155" s="4"/>
      <c r="W155" s="4"/>
      <c r="X155" s="4"/>
      <c r="Y155" s="4"/>
      <c r="Z155" s="4"/>
      <c r="AA155" s="4"/>
      <c r="AB155" s="1" t="str">
        <f>IF(OR(_xlfn.SINGLE(JobAgolMap)="", $E155="", $F155=""),"",HYPERLINK(_xlfn.SINGLE(JobAgolMap)&amp;IF(ISNUMBER(FIND("?",_xlfn.SINGLE(JobAgolMap))),"&amp;","?")&amp;"center="&amp;$F155&amp;","&amp;$E155&amp;"&amp;level=16&amp;marker="&amp;$F155&amp;","&amp;$E155,"Open"))</f>
        <v/>
      </c>
    </row>
    <row r="156" spans="1:28" x14ac:dyDescent="0.45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4"/>
      <c r="M156" s="1" t="str">
        <f t="shared" si="12"/>
        <v/>
      </c>
      <c r="N156" s="1" t="str">
        <f t="shared" si="13"/>
        <v/>
      </c>
      <c r="O156" s="1" t="str">
        <f t="shared" si="14"/>
        <v/>
      </c>
      <c r="P156" s="1" t="str">
        <f t="shared" si="15"/>
        <v/>
      </c>
      <c r="Q156" s="1" t="str">
        <f t="shared" si="16"/>
        <v/>
      </c>
      <c r="R156" s="1" t="str">
        <f t="shared" si="17"/>
        <v/>
      </c>
      <c r="S156" s="1" t="str">
        <f>IF(OR($E156="",$F156=""),"",HYPERLINK(IF(OR(_xlfn.SINGLE(JobState)="MI",_xlfn.SINGLE(JobState)=""),"https://fema.maps.arcgis.com/apps/mapviewer/index.html?url=https%3A%2F%2Fmdotgis.state.mi.us%2Farcgis%2Frest%2Fservices%2FWidget%2FNextGenPrFinderPub%2FFeatureServer%2F353&amp;find="&amp;$F156&amp;"%2C"&amp;$E156&amp;"&amp;marker="&amp;$F156&amp;","&amp;$E156&amp;",4326&amp;level=16",IF(_xlfn.SINGLE(JobState)="IN","https://fema.maps.arcgis.com/apps/mapviewer/index.html?url=https%3A%2F%2Fgisdata.in.gov%2Fserver%2Frest%2Fservices%2FHosted%2FLRSE_Functional_Class%2FFeatureServer%2F22&amp;find="&amp;$F156&amp;"%2C"&amp;$E156&amp;"&amp;marker="&amp;$F156&amp;","&amp;$E156&amp;",4326&amp;level=16",IF(_xlfn.SINGLE(JobState)="WI","https://fema.maps.arcgis.com/apps/mapviewer/index.html?url=https%3A%2F%2Fservices5.arcgis.com%2F0pgGLzT0Nh7FVjon%2Farcgis%2Frest%2Fservices%2FFFCL_gdb%2FFeatureServer%2F3&amp;find="&amp;$F156&amp;"%2C"&amp;$E156&amp;"&amp;marker="&amp;$F156&amp;","&amp;$E156&amp;",4326&amp;level=16","https://fema.maps.arcgis.com/apps/mapviewer/index.html?find="&amp;$F156&amp;"%2C"&amp;$E156&amp;"&amp;marker="&amp;$F156&amp;","&amp;$E156&amp;",4326&amp;level=16"))),"Open"))</f>
        <v/>
      </c>
      <c r="T156" s="4"/>
      <c r="U156" s="4"/>
      <c r="V156" s="4"/>
      <c r="W156" s="4"/>
      <c r="X156" s="4"/>
      <c r="Y156" s="4"/>
      <c r="Z156" s="4"/>
      <c r="AA156" s="4"/>
      <c r="AB156" s="1" t="str">
        <f>IF(OR(_xlfn.SINGLE(JobAgolMap)="", $E156="", $F156=""),"",HYPERLINK(_xlfn.SINGLE(JobAgolMap)&amp;IF(ISNUMBER(FIND("?",_xlfn.SINGLE(JobAgolMap))),"&amp;","?")&amp;"center="&amp;$F156&amp;","&amp;$E156&amp;"&amp;level=16&amp;marker="&amp;$F156&amp;","&amp;$E156,"Open"))</f>
        <v/>
      </c>
    </row>
    <row r="157" spans="1:28" x14ac:dyDescent="0.45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4"/>
      <c r="M157" s="1" t="str">
        <f t="shared" si="12"/>
        <v/>
      </c>
      <c r="N157" s="1" t="str">
        <f t="shared" si="13"/>
        <v/>
      </c>
      <c r="O157" s="1" t="str">
        <f t="shared" si="14"/>
        <v/>
      </c>
      <c r="P157" s="1" t="str">
        <f t="shared" si="15"/>
        <v/>
      </c>
      <c r="Q157" s="1" t="str">
        <f t="shared" si="16"/>
        <v/>
      </c>
      <c r="R157" s="1" t="str">
        <f t="shared" si="17"/>
        <v/>
      </c>
      <c r="S157" s="1" t="str">
        <f>IF(OR($E157="",$F157=""),"",HYPERLINK(IF(OR(_xlfn.SINGLE(JobState)="MI",_xlfn.SINGLE(JobState)=""),"https://fema.maps.arcgis.com/apps/mapviewer/index.html?url=https%3A%2F%2Fmdotgis.state.mi.us%2Farcgis%2Frest%2Fservices%2FWidget%2FNextGenPrFinderPub%2FFeatureServer%2F353&amp;find="&amp;$F157&amp;"%2C"&amp;$E157&amp;"&amp;marker="&amp;$F157&amp;","&amp;$E157&amp;",4326&amp;level=16",IF(_xlfn.SINGLE(JobState)="IN","https://fema.maps.arcgis.com/apps/mapviewer/index.html?url=https%3A%2F%2Fgisdata.in.gov%2Fserver%2Frest%2Fservices%2FHosted%2FLRSE_Functional_Class%2FFeatureServer%2F22&amp;find="&amp;$F157&amp;"%2C"&amp;$E157&amp;"&amp;marker="&amp;$F157&amp;","&amp;$E157&amp;",4326&amp;level=16",IF(_xlfn.SINGLE(JobState)="WI","https://fema.maps.arcgis.com/apps/mapviewer/index.html?url=https%3A%2F%2Fservices5.arcgis.com%2F0pgGLzT0Nh7FVjon%2Farcgis%2Frest%2Fservices%2FFFCL_gdb%2FFeatureServer%2F3&amp;find="&amp;$F157&amp;"%2C"&amp;$E157&amp;"&amp;marker="&amp;$F157&amp;","&amp;$E157&amp;",4326&amp;level=16","https://fema.maps.arcgis.com/apps/mapviewer/index.html?find="&amp;$F157&amp;"%2C"&amp;$E157&amp;"&amp;marker="&amp;$F157&amp;","&amp;$E157&amp;",4326&amp;level=16"))),"Open"))</f>
        <v/>
      </c>
      <c r="T157" s="4"/>
      <c r="U157" s="4"/>
      <c r="V157" s="4"/>
      <c r="W157" s="4"/>
      <c r="X157" s="4"/>
      <c r="Y157" s="4"/>
      <c r="Z157" s="4"/>
      <c r="AA157" s="4"/>
      <c r="AB157" s="1" t="str">
        <f>IF(OR(_xlfn.SINGLE(JobAgolMap)="", $E157="", $F157=""),"",HYPERLINK(_xlfn.SINGLE(JobAgolMap)&amp;IF(ISNUMBER(FIND("?",_xlfn.SINGLE(JobAgolMap))),"&amp;","?")&amp;"center="&amp;$F157&amp;","&amp;$E157&amp;"&amp;level=16&amp;marker="&amp;$F157&amp;","&amp;$E157,"Open"))</f>
        <v/>
      </c>
    </row>
    <row r="158" spans="1:28" x14ac:dyDescent="0.45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4"/>
      <c r="M158" s="1" t="str">
        <f t="shared" si="12"/>
        <v/>
      </c>
      <c r="N158" s="1" t="str">
        <f t="shared" si="13"/>
        <v/>
      </c>
      <c r="O158" s="1" t="str">
        <f t="shared" si="14"/>
        <v/>
      </c>
      <c r="P158" s="1" t="str">
        <f t="shared" si="15"/>
        <v/>
      </c>
      <c r="Q158" s="1" t="str">
        <f t="shared" si="16"/>
        <v/>
      </c>
      <c r="R158" s="1" t="str">
        <f t="shared" si="17"/>
        <v/>
      </c>
      <c r="S158" s="1" t="str">
        <f>IF(OR($E158="",$F158=""),"",HYPERLINK(IF(OR(_xlfn.SINGLE(JobState)="MI",_xlfn.SINGLE(JobState)=""),"https://fema.maps.arcgis.com/apps/mapviewer/index.html?url=https%3A%2F%2Fmdotgis.state.mi.us%2Farcgis%2Frest%2Fservices%2FWidget%2FNextGenPrFinderPub%2FFeatureServer%2F353&amp;find="&amp;$F158&amp;"%2C"&amp;$E158&amp;"&amp;marker="&amp;$F158&amp;","&amp;$E158&amp;",4326&amp;level=16",IF(_xlfn.SINGLE(JobState)="IN","https://fema.maps.arcgis.com/apps/mapviewer/index.html?url=https%3A%2F%2Fgisdata.in.gov%2Fserver%2Frest%2Fservices%2FHosted%2FLRSE_Functional_Class%2FFeatureServer%2F22&amp;find="&amp;$F158&amp;"%2C"&amp;$E158&amp;"&amp;marker="&amp;$F158&amp;","&amp;$E158&amp;",4326&amp;level=16",IF(_xlfn.SINGLE(JobState)="WI","https://fema.maps.arcgis.com/apps/mapviewer/index.html?url=https%3A%2F%2Fservices5.arcgis.com%2F0pgGLzT0Nh7FVjon%2Farcgis%2Frest%2Fservices%2FFFCL_gdb%2FFeatureServer%2F3&amp;find="&amp;$F158&amp;"%2C"&amp;$E158&amp;"&amp;marker="&amp;$F158&amp;","&amp;$E158&amp;",4326&amp;level=16","https://fema.maps.arcgis.com/apps/mapviewer/index.html?find="&amp;$F158&amp;"%2C"&amp;$E158&amp;"&amp;marker="&amp;$F158&amp;","&amp;$E158&amp;",4326&amp;level=16"))),"Open"))</f>
        <v/>
      </c>
      <c r="T158" s="4"/>
      <c r="U158" s="4"/>
      <c r="V158" s="4"/>
      <c r="W158" s="4"/>
      <c r="X158" s="4"/>
      <c r="Y158" s="4"/>
      <c r="Z158" s="4"/>
      <c r="AA158" s="4"/>
      <c r="AB158" s="1" t="str">
        <f>IF(OR(_xlfn.SINGLE(JobAgolMap)="", $E158="", $F158=""),"",HYPERLINK(_xlfn.SINGLE(JobAgolMap)&amp;IF(ISNUMBER(FIND("?",_xlfn.SINGLE(JobAgolMap))),"&amp;","?")&amp;"center="&amp;$F158&amp;","&amp;$E158&amp;"&amp;level=16&amp;marker="&amp;$F158&amp;","&amp;$E158,"Open"))</f>
        <v/>
      </c>
    </row>
    <row r="159" spans="1:28" x14ac:dyDescent="0.45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4"/>
      <c r="M159" s="1" t="str">
        <f t="shared" si="12"/>
        <v/>
      </c>
      <c r="N159" s="1" t="str">
        <f t="shared" si="13"/>
        <v/>
      </c>
      <c r="O159" s="1" t="str">
        <f t="shared" si="14"/>
        <v/>
      </c>
      <c r="P159" s="1" t="str">
        <f t="shared" si="15"/>
        <v/>
      </c>
      <c r="Q159" s="1" t="str">
        <f t="shared" si="16"/>
        <v/>
      </c>
      <c r="R159" s="1" t="str">
        <f t="shared" si="17"/>
        <v/>
      </c>
      <c r="S159" s="1" t="str">
        <f>IF(OR($E159="",$F159=""),"",HYPERLINK(IF(OR(_xlfn.SINGLE(JobState)="MI",_xlfn.SINGLE(JobState)=""),"https://fema.maps.arcgis.com/apps/mapviewer/index.html?url=https%3A%2F%2Fmdotgis.state.mi.us%2Farcgis%2Frest%2Fservices%2FWidget%2FNextGenPrFinderPub%2FFeatureServer%2F353&amp;find="&amp;$F159&amp;"%2C"&amp;$E159&amp;"&amp;marker="&amp;$F159&amp;","&amp;$E159&amp;",4326&amp;level=16",IF(_xlfn.SINGLE(JobState)="IN","https://fema.maps.arcgis.com/apps/mapviewer/index.html?url=https%3A%2F%2Fgisdata.in.gov%2Fserver%2Frest%2Fservices%2FHosted%2FLRSE_Functional_Class%2FFeatureServer%2F22&amp;find="&amp;$F159&amp;"%2C"&amp;$E159&amp;"&amp;marker="&amp;$F159&amp;","&amp;$E159&amp;",4326&amp;level=16",IF(_xlfn.SINGLE(JobState)="WI","https://fema.maps.arcgis.com/apps/mapviewer/index.html?url=https%3A%2F%2Fservices5.arcgis.com%2F0pgGLzT0Nh7FVjon%2Farcgis%2Frest%2Fservices%2FFFCL_gdb%2FFeatureServer%2F3&amp;find="&amp;$F159&amp;"%2C"&amp;$E159&amp;"&amp;marker="&amp;$F159&amp;","&amp;$E159&amp;",4326&amp;level=16","https://fema.maps.arcgis.com/apps/mapviewer/index.html?find="&amp;$F159&amp;"%2C"&amp;$E159&amp;"&amp;marker="&amp;$F159&amp;","&amp;$E159&amp;",4326&amp;level=16"))),"Open"))</f>
        <v/>
      </c>
      <c r="T159" s="4"/>
      <c r="U159" s="4"/>
      <c r="V159" s="4"/>
      <c r="W159" s="4"/>
      <c r="X159" s="4"/>
      <c r="Y159" s="4"/>
      <c r="Z159" s="4"/>
      <c r="AA159" s="4"/>
      <c r="AB159" s="1" t="str">
        <f>IF(OR(_xlfn.SINGLE(JobAgolMap)="", $E159="", $F159=""),"",HYPERLINK(_xlfn.SINGLE(JobAgolMap)&amp;IF(ISNUMBER(FIND("?",_xlfn.SINGLE(JobAgolMap))),"&amp;","?")&amp;"center="&amp;$F159&amp;","&amp;$E159&amp;"&amp;level=16&amp;marker="&amp;$F159&amp;","&amp;$E159,"Open"))</f>
        <v/>
      </c>
    </row>
    <row r="160" spans="1:28" x14ac:dyDescent="0.45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4"/>
      <c r="M160" s="1" t="str">
        <f t="shared" si="12"/>
        <v/>
      </c>
      <c r="N160" s="1" t="str">
        <f t="shared" si="13"/>
        <v/>
      </c>
      <c r="O160" s="1" t="str">
        <f t="shared" si="14"/>
        <v/>
      </c>
      <c r="P160" s="1" t="str">
        <f t="shared" si="15"/>
        <v/>
      </c>
      <c r="Q160" s="1" t="str">
        <f t="shared" si="16"/>
        <v/>
      </c>
      <c r="R160" s="1" t="str">
        <f t="shared" si="17"/>
        <v/>
      </c>
      <c r="S160" s="1" t="str">
        <f>IF(OR($E160="",$F160=""),"",HYPERLINK(IF(OR(_xlfn.SINGLE(JobState)="MI",_xlfn.SINGLE(JobState)=""),"https://fema.maps.arcgis.com/apps/mapviewer/index.html?url=https%3A%2F%2Fmdotgis.state.mi.us%2Farcgis%2Frest%2Fservices%2FWidget%2FNextGenPrFinderPub%2FFeatureServer%2F353&amp;find="&amp;$F160&amp;"%2C"&amp;$E160&amp;"&amp;marker="&amp;$F160&amp;","&amp;$E160&amp;",4326&amp;level=16",IF(_xlfn.SINGLE(JobState)="IN","https://fema.maps.arcgis.com/apps/mapviewer/index.html?url=https%3A%2F%2Fgisdata.in.gov%2Fserver%2Frest%2Fservices%2FHosted%2FLRSE_Functional_Class%2FFeatureServer%2F22&amp;find="&amp;$F160&amp;"%2C"&amp;$E160&amp;"&amp;marker="&amp;$F160&amp;","&amp;$E160&amp;",4326&amp;level=16",IF(_xlfn.SINGLE(JobState)="WI","https://fema.maps.arcgis.com/apps/mapviewer/index.html?url=https%3A%2F%2Fservices5.arcgis.com%2F0pgGLzT0Nh7FVjon%2Farcgis%2Frest%2Fservices%2FFFCL_gdb%2FFeatureServer%2F3&amp;find="&amp;$F160&amp;"%2C"&amp;$E160&amp;"&amp;marker="&amp;$F160&amp;","&amp;$E160&amp;",4326&amp;level=16","https://fema.maps.arcgis.com/apps/mapviewer/index.html?find="&amp;$F160&amp;"%2C"&amp;$E160&amp;"&amp;marker="&amp;$F160&amp;","&amp;$E160&amp;",4326&amp;level=16"))),"Open"))</f>
        <v/>
      </c>
      <c r="T160" s="4"/>
      <c r="U160" s="4"/>
      <c r="V160" s="4"/>
      <c r="W160" s="4"/>
      <c r="X160" s="4"/>
      <c r="Y160" s="4"/>
      <c r="Z160" s="4"/>
      <c r="AA160" s="4"/>
      <c r="AB160" s="1" t="str">
        <f>IF(OR(_xlfn.SINGLE(JobAgolMap)="", $E160="", $F160=""),"",HYPERLINK(_xlfn.SINGLE(JobAgolMap)&amp;IF(ISNUMBER(FIND("?",_xlfn.SINGLE(JobAgolMap))),"&amp;","?")&amp;"center="&amp;$F160&amp;","&amp;$E160&amp;"&amp;level=16&amp;marker="&amp;$F160&amp;","&amp;$E160,"Open"))</f>
        <v/>
      </c>
    </row>
    <row r="161" spans="1:28" x14ac:dyDescent="0.45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4"/>
      <c r="M161" s="1" t="str">
        <f t="shared" si="12"/>
        <v/>
      </c>
      <c r="N161" s="1" t="str">
        <f t="shared" si="13"/>
        <v/>
      </c>
      <c r="O161" s="1" t="str">
        <f t="shared" si="14"/>
        <v/>
      </c>
      <c r="P161" s="1" t="str">
        <f t="shared" si="15"/>
        <v/>
      </c>
      <c r="Q161" s="1" t="str">
        <f t="shared" si="16"/>
        <v/>
      </c>
      <c r="R161" s="1" t="str">
        <f t="shared" si="17"/>
        <v/>
      </c>
      <c r="S161" s="1" t="str">
        <f>IF(OR($E161="",$F161=""),"",HYPERLINK(IF(OR(_xlfn.SINGLE(JobState)="MI",_xlfn.SINGLE(JobState)=""),"https://fema.maps.arcgis.com/apps/mapviewer/index.html?url=https%3A%2F%2Fmdotgis.state.mi.us%2Farcgis%2Frest%2Fservices%2FWidget%2FNextGenPrFinderPub%2FFeatureServer%2F353&amp;find="&amp;$F161&amp;"%2C"&amp;$E161&amp;"&amp;marker="&amp;$F161&amp;","&amp;$E161&amp;",4326&amp;level=16",IF(_xlfn.SINGLE(JobState)="IN","https://fema.maps.arcgis.com/apps/mapviewer/index.html?url=https%3A%2F%2Fgisdata.in.gov%2Fserver%2Frest%2Fservices%2FHosted%2FLRSE_Functional_Class%2FFeatureServer%2F22&amp;find="&amp;$F161&amp;"%2C"&amp;$E161&amp;"&amp;marker="&amp;$F161&amp;","&amp;$E161&amp;",4326&amp;level=16",IF(_xlfn.SINGLE(JobState)="WI","https://fema.maps.arcgis.com/apps/mapviewer/index.html?url=https%3A%2F%2Fservices5.arcgis.com%2F0pgGLzT0Nh7FVjon%2Farcgis%2Frest%2Fservices%2FFFCL_gdb%2FFeatureServer%2F3&amp;find="&amp;$F161&amp;"%2C"&amp;$E161&amp;"&amp;marker="&amp;$F161&amp;","&amp;$E161&amp;",4326&amp;level=16","https://fema.maps.arcgis.com/apps/mapviewer/index.html?find="&amp;$F161&amp;"%2C"&amp;$E161&amp;"&amp;marker="&amp;$F161&amp;","&amp;$E161&amp;",4326&amp;level=16"))),"Open"))</f>
        <v/>
      </c>
      <c r="T161" s="4"/>
      <c r="U161" s="4"/>
      <c r="V161" s="4"/>
      <c r="W161" s="4"/>
      <c r="X161" s="4"/>
      <c r="Y161" s="4"/>
      <c r="Z161" s="4"/>
      <c r="AA161" s="4"/>
      <c r="AB161" s="1" t="str">
        <f>IF(OR(_xlfn.SINGLE(JobAgolMap)="", $E161="", $F161=""),"",HYPERLINK(_xlfn.SINGLE(JobAgolMap)&amp;IF(ISNUMBER(FIND("?",_xlfn.SINGLE(JobAgolMap))),"&amp;","?")&amp;"center="&amp;$F161&amp;","&amp;$E161&amp;"&amp;level=16&amp;marker="&amp;$F161&amp;","&amp;$E161,"Open"))</f>
        <v/>
      </c>
    </row>
    <row r="162" spans="1:28" x14ac:dyDescent="0.45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4"/>
      <c r="M162" s="1" t="str">
        <f t="shared" si="12"/>
        <v/>
      </c>
      <c r="N162" s="1" t="str">
        <f t="shared" si="13"/>
        <v/>
      </c>
      <c r="O162" s="1" t="str">
        <f t="shared" si="14"/>
        <v/>
      </c>
      <c r="P162" s="1" t="str">
        <f t="shared" si="15"/>
        <v/>
      </c>
      <c r="Q162" s="1" t="str">
        <f t="shared" si="16"/>
        <v/>
      </c>
      <c r="R162" s="1" t="str">
        <f t="shared" si="17"/>
        <v/>
      </c>
      <c r="S162" s="1" t="str">
        <f>IF(OR($E162="",$F162=""),"",HYPERLINK(IF(OR(_xlfn.SINGLE(JobState)="MI",_xlfn.SINGLE(JobState)=""),"https://fema.maps.arcgis.com/apps/mapviewer/index.html?url=https%3A%2F%2Fmdotgis.state.mi.us%2Farcgis%2Frest%2Fservices%2FWidget%2FNextGenPrFinderPub%2FFeatureServer%2F353&amp;find="&amp;$F162&amp;"%2C"&amp;$E162&amp;"&amp;marker="&amp;$F162&amp;","&amp;$E162&amp;",4326&amp;level=16",IF(_xlfn.SINGLE(JobState)="IN","https://fema.maps.arcgis.com/apps/mapviewer/index.html?url=https%3A%2F%2Fgisdata.in.gov%2Fserver%2Frest%2Fservices%2FHosted%2FLRSE_Functional_Class%2FFeatureServer%2F22&amp;find="&amp;$F162&amp;"%2C"&amp;$E162&amp;"&amp;marker="&amp;$F162&amp;","&amp;$E162&amp;",4326&amp;level=16",IF(_xlfn.SINGLE(JobState)="WI","https://fema.maps.arcgis.com/apps/mapviewer/index.html?url=https%3A%2F%2Fservices5.arcgis.com%2F0pgGLzT0Nh7FVjon%2Farcgis%2Frest%2Fservices%2FFFCL_gdb%2FFeatureServer%2F3&amp;find="&amp;$F162&amp;"%2C"&amp;$E162&amp;"&amp;marker="&amp;$F162&amp;","&amp;$E162&amp;",4326&amp;level=16","https://fema.maps.arcgis.com/apps/mapviewer/index.html?find="&amp;$F162&amp;"%2C"&amp;$E162&amp;"&amp;marker="&amp;$F162&amp;","&amp;$E162&amp;",4326&amp;level=16"))),"Open"))</f>
        <v/>
      </c>
      <c r="T162" s="4"/>
      <c r="U162" s="4"/>
      <c r="V162" s="4"/>
      <c r="W162" s="4"/>
      <c r="X162" s="4"/>
      <c r="Y162" s="4"/>
      <c r="Z162" s="4"/>
      <c r="AA162" s="4"/>
      <c r="AB162" s="1" t="str">
        <f>IF(OR(_xlfn.SINGLE(JobAgolMap)="", $E162="", $F162=""),"",HYPERLINK(_xlfn.SINGLE(JobAgolMap)&amp;IF(ISNUMBER(FIND("?",_xlfn.SINGLE(JobAgolMap))),"&amp;","?")&amp;"center="&amp;$F162&amp;","&amp;$E162&amp;"&amp;level=16&amp;marker="&amp;$F162&amp;","&amp;$E162,"Open"))</f>
        <v/>
      </c>
    </row>
    <row r="163" spans="1:28" x14ac:dyDescent="0.45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4"/>
      <c r="M163" s="1" t="str">
        <f t="shared" si="12"/>
        <v/>
      </c>
      <c r="N163" s="1" t="str">
        <f t="shared" si="13"/>
        <v/>
      </c>
      <c r="O163" s="1" t="str">
        <f t="shared" si="14"/>
        <v/>
      </c>
      <c r="P163" s="1" t="str">
        <f t="shared" si="15"/>
        <v/>
      </c>
      <c r="Q163" s="1" t="str">
        <f t="shared" si="16"/>
        <v/>
      </c>
      <c r="R163" s="1" t="str">
        <f t="shared" si="17"/>
        <v/>
      </c>
      <c r="S163" s="1" t="str">
        <f>IF(OR($E163="",$F163=""),"",HYPERLINK(IF(OR(_xlfn.SINGLE(JobState)="MI",_xlfn.SINGLE(JobState)=""),"https://fema.maps.arcgis.com/apps/mapviewer/index.html?url=https%3A%2F%2Fmdotgis.state.mi.us%2Farcgis%2Frest%2Fservices%2FWidget%2FNextGenPrFinderPub%2FFeatureServer%2F353&amp;find="&amp;$F163&amp;"%2C"&amp;$E163&amp;"&amp;marker="&amp;$F163&amp;","&amp;$E163&amp;",4326&amp;level=16",IF(_xlfn.SINGLE(JobState)="IN","https://fema.maps.arcgis.com/apps/mapviewer/index.html?url=https%3A%2F%2Fgisdata.in.gov%2Fserver%2Frest%2Fservices%2FHosted%2FLRSE_Functional_Class%2FFeatureServer%2F22&amp;find="&amp;$F163&amp;"%2C"&amp;$E163&amp;"&amp;marker="&amp;$F163&amp;","&amp;$E163&amp;",4326&amp;level=16",IF(_xlfn.SINGLE(JobState)="WI","https://fema.maps.arcgis.com/apps/mapviewer/index.html?url=https%3A%2F%2Fservices5.arcgis.com%2F0pgGLzT0Nh7FVjon%2Farcgis%2Frest%2Fservices%2FFFCL_gdb%2FFeatureServer%2F3&amp;find="&amp;$F163&amp;"%2C"&amp;$E163&amp;"&amp;marker="&amp;$F163&amp;","&amp;$E163&amp;",4326&amp;level=16","https://fema.maps.arcgis.com/apps/mapviewer/index.html?find="&amp;$F163&amp;"%2C"&amp;$E163&amp;"&amp;marker="&amp;$F163&amp;","&amp;$E163&amp;",4326&amp;level=16"))),"Open"))</f>
        <v/>
      </c>
      <c r="T163" s="4"/>
      <c r="U163" s="4"/>
      <c r="V163" s="4"/>
      <c r="W163" s="4"/>
      <c r="X163" s="4"/>
      <c r="Y163" s="4"/>
      <c r="Z163" s="4"/>
      <c r="AA163" s="4"/>
      <c r="AB163" s="1" t="str">
        <f>IF(OR(_xlfn.SINGLE(JobAgolMap)="", $E163="", $F163=""),"",HYPERLINK(_xlfn.SINGLE(JobAgolMap)&amp;IF(ISNUMBER(FIND("?",_xlfn.SINGLE(JobAgolMap))),"&amp;","?")&amp;"center="&amp;$F163&amp;","&amp;$E163&amp;"&amp;level=16&amp;marker="&amp;$F163&amp;","&amp;$E163,"Open"))</f>
        <v/>
      </c>
    </row>
    <row r="164" spans="1:28" x14ac:dyDescent="0.45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4"/>
      <c r="M164" s="1" t="str">
        <f t="shared" si="12"/>
        <v/>
      </c>
      <c r="N164" s="1" t="str">
        <f t="shared" si="13"/>
        <v/>
      </c>
      <c r="O164" s="1" t="str">
        <f t="shared" si="14"/>
        <v/>
      </c>
      <c r="P164" s="1" t="str">
        <f t="shared" si="15"/>
        <v/>
      </c>
      <c r="Q164" s="1" t="str">
        <f t="shared" si="16"/>
        <v/>
      </c>
      <c r="R164" s="1" t="str">
        <f t="shared" si="17"/>
        <v/>
      </c>
      <c r="S164" s="1" t="str">
        <f>IF(OR($E164="",$F164=""),"",HYPERLINK(IF(OR(_xlfn.SINGLE(JobState)="MI",_xlfn.SINGLE(JobState)=""),"https://fema.maps.arcgis.com/apps/mapviewer/index.html?url=https%3A%2F%2Fmdotgis.state.mi.us%2Farcgis%2Frest%2Fservices%2FWidget%2FNextGenPrFinderPub%2FFeatureServer%2F353&amp;find="&amp;$F164&amp;"%2C"&amp;$E164&amp;"&amp;marker="&amp;$F164&amp;","&amp;$E164&amp;",4326&amp;level=16",IF(_xlfn.SINGLE(JobState)="IN","https://fema.maps.arcgis.com/apps/mapviewer/index.html?url=https%3A%2F%2Fgisdata.in.gov%2Fserver%2Frest%2Fservices%2FHosted%2FLRSE_Functional_Class%2FFeatureServer%2F22&amp;find="&amp;$F164&amp;"%2C"&amp;$E164&amp;"&amp;marker="&amp;$F164&amp;","&amp;$E164&amp;",4326&amp;level=16",IF(_xlfn.SINGLE(JobState)="WI","https://fema.maps.arcgis.com/apps/mapviewer/index.html?url=https%3A%2F%2Fservices5.arcgis.com%2F0pgGLzT0Nh7FVjon%2Farcgis%2Frest%2Fservices%2FFFCL_gdb%2FFeatureServer%2F3&amp;find="&amp;$F164&amp;"%2C"&amp;$E164&amp;"&amp;marker="&amp;$F164&amp;","&amp;$E164&amp;",4326&amp;level=16","https://fema.maps.arcgis.com/apps/mapviewer/index.html?find="&amp;$F164&amp;"%2C"&amp;$E164&amp;"&amp;marker="&amp;$F164&amp;","&amp;$E164&amp;",4326&amp;level=16"))),"Open"))</f>
        <v/>
      </c>
      <c r="T164" s="4"/>
      <c r="U164" s="4"/>
      <c r="V164" s="4"/>
      <c r="W164" s="4"/>
      <c r="X164" s="4"/>
      <c r="Y164" s="4"/>
      <c r="Z164" s="4"/>
      <c r="AA164" s="4"/>
      <c r="AB164" s="1" t="str">
        <f>IF(OR(_xlfn.SINGLE(JobAgolMap)="", $E164="", $F164=""),"",HYPERLINK(_xlfn.SINGLE(JobAgolMap)&amp;IF(ISNUMBER(FIND("?",_xlfn.SINGLE(JobAgolMap))),"&amp;","?")&amp;"center="&amp;$F164&amp;","&amp;$E164&amp;"&amp;level=16&amp;marker="&amp;$F164&amp;","&amp;$E164,"Open"))</f>
        <v/>
      </c>
    </row>
    <row r="165" spans="1:28" x14ac:dyDescent="0.45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4"/>
      <c r="M165" s="1" t="str">
        <f t="shared" si="12"/>
        <v/>
      </c>
      <c r="N165" s="1" t="str">
        <f t="shared" si="13"/>
        <v/>
      </c>
      <c r="O165" s="1" t="str">
        <f t="shared" si="14"/>
        <v/>
      </c>
      <c r="P165" s="1" t="str">
        <f t="shared" si="15"/>
        <v/>
      </c>
      <c r="Q165" s="1" t="str">
        <f t="shared" si="16"/>
        <v/>
      </c>
      <c r="R165" s="1" t="str">
        <f t="shared" si="17"/>
        <v/>
      </c>
      <c r="S165" s="1" t="str">
        <f>IF(OR($E165="",$F165=""),"",HYPERLINK(IF(OR(_xlfn.SINGLE(JobState)="MI",_xlfn.SINGLE(JobState)=""),"https://fema.maps.arcgis.com/apps/mapviewer/index.html?url=https%3A%2F%2Fmdotgis.state.mi.us%2Farcgis%2Frest%2Fservices%2FWidget%2FNextGenPrFinderPub%2FFeatureServer%2F353&amp;find="&amp;$F165&amp;"%2C"&amp;$E165&amp;"&amp;marker="&amp;$F165&amp;","&amp;$E165&amp;",4326&amp;level=16",IF(_xlfn.SINGLE(JobState)="IN","https://fema.maps.arcgis.com/apps/mapviewer/index.html?url=https%3A%2F%2Fgisdata.in.gov%2Fserver%2Frest%2Fservices%2FHosted%2FLRSE_Functional_Class%2FFeatureServer%2F22&amp;find="&amp;$F165&amp;"%2C"&amp;$E165&amp;"&amp;marker="&amp;$F165&amp;","&amp;$E165&amp;",4326&amp;level=16",IF(_xlfn.SINGLE(JobState)="WI","https://fema.maps.arcgis.com/apps/mapviewer/index.html?url=https%3A%2F%2Fservices5.arcgis.com%2F0pgGLzT0Nh7FVjon%2Farcgis%2Frest%2Fservices%2FFFCL_gdb%2FFeatureServer%2F3&amp;find="&amp;$F165&amp;"%2C"&amp;$E165&amp;"&amp;marker="&amp;$F165&amp;","&amp;$E165&amp;",4326&amp;level=16","https://fema.maps.arcgis.com/apps/mapviewer/index.html?find="&amp;$F165&amp;"%2C"&amp;$E165&amp;"&amp;marker="&amp;$F165&amp;","&amp;$E165&amp;",4326&amp;level=16"))),"Open"))</f>
        <v/>
      </c>
      <c r="T165" s="4"/>
      <c r="U165" s="4"/>
      <c r="V165" s="4"/>
      <c r="W165" s="4"/>
      <c r="X165" s="4"/>
      <c r="Y165" s="4"/>
      <c r="Z165" s="4"/>
      <c r="AA165" s="4"/>
      <c r="AB165" s="1" t="str">
        <f>IF(OR(_xlfn.SINGLE(JobAgolMap)="", $E165="", $F165=""),"",HYPERLINK(_xlfn.SINGLE(JobAgolMap)&amp;IF(ISNUMBER(FIND("?",_xlfn.SINGLE(JobAgolMap))),"&amp;","?")&amp;"center="&amp;$F165&amp;","&amp;$E165&amp;"&amp;level=16&amp;marker="&amp;$F165&amp;","&amp;$E165,"Open"))</f>
        <v/>
      </c>
    </row>
    <row r="166" spans="1:28" x14ac:dyDescent="0.45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4"/>
      <c r="M166" s="1" t="str">
        <f t="shared" si="12"/>
        <v/>
      </c>
      <c r="N166" s="1" t="str">
        <f t="shared" si="13"/>
        <v/>
      </c>
      <c r="O166" s="1" t="str">
        <f t="shared" si="14"/>
        <v/>
      </c>
      <c r="P166" s="1" t="str">
        <f t="shared" si="15"/>
        <v/>
      </c>
      <c r="Q166" s="1" t="str">
        <f t="shared" si="16"/>
        <v/>
      </c>
      <c r="R166" s="1" t="str">
        <f t="shared" si="17"/>
        <v/>
      </c>
      <c r="S166" s="1" t="str">
        <f>IF(OR($E166="",$F166=""),"",HYPERLINK(IF(OR(_xlfn.SINGLE(JobState)="MI",_xlfn.SINGLE(JobState)=""),"https://fema.maps.arcgis.com/apps/mapviewer/index.html?url=https%3A%2F%2Fmdotgis.state.mi.us%2Farcgis%2Frest%2Fservices%2FWidget%2FNextGenPrFinderPub%2FFeatureServer%2F353&amp;find="&amp;$F166&amp;"%2C"&amp;$E166&amp;"&amp;marker="&amp;$F166&amp;","&amp;$E166&amp;",4326&amp;level=16",IF(_xlfn.SINGLE(JobState)="IN","https://fema.maps.arcgis.com/apps/mapviewer/index.html?url=https%3A%2F%2Fgisdata.in.gov%2Fserver%2Frest%2Fservices%2FHosted%2FLRSE_Functional_Class%2FFeatureServer%2F22&amp;find="&amp;$F166&amp;"%2C"&amp;$E166&amp;"&amp;marker="&amp;$F166&amp;","&amp;$E166&amp;",4326&amp;level=16",IF(_xlfn.SINGLE(JobState)="WI","https://fema.maps.arcgis.com/apps/mapviewer/index.html?url=https%3A%2F%2Fservices5.arcgis.com%2F0pgGLzT0Nh7FVjon%2Farcgis%2Frest%2Fservices%2FFFCL_gdb%2FFeatureServer%2F3&amp;find="&amp;$F166&amp;"%2C"&amp;$E166&amp;"&amp;marker="&amp;$F166&amp;","&amp;$E166&amp;",4326&amp;level=16","https://fema.maps.arcgis.com/apps/mapviewer/index.html?find="&amp;$F166&amp;"%2C"&amp;$E166&amp;"&amp;marker="&amp;$F166&amp;","&amp;$E166&amp;",4326&amp;level=16"))),"Open"))</f>
        <v/>
      </c>
      <c r="T166" s="4"/>
      <c r="U166" s="4"/>
      <c r="V166" s="4"/>
      <c r="W166" s="4"/>
      <c r="X166" s="4"/>
      <c r="Y166" s="4"/>
      <c r="Z166" s="4"/>
      <c r="AA166" s="4"/>
      <c r="AB166" s="1" t="str">
        <f>IF(OR(_xlfn.SINGLE(JobAgolMap)="", $E166="", $F166=""),"",HYPERLINK(_xlfn.SINGLE(JobAgolMap)&amp;IF(ISNUMBER(FIND("?",_xlfn.SINGLE(JobAgolMap))),"&amp;","?")&amp;"center="&amp;$F166&amp;","&amp;$E166&amp;"&amp;level=16&amp;marker="&amp;$F166&amp;","&amp;$E166,"Open"))</f>
        <v/>
      </c>
    </row>
    <row r="167" spans="1:28" x14ac:dyDescent="0.45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4"/>
      <c r="M167" s="1" t="str">
        <f t="shared" si="12"/>
        <v/>
      </c>
      <c r="N167" s="1" t="str">
        <f t="shared" si="13"/>
        <v/>
      </c>
      <c r="O167" s="1" t="str">
        <f t="shared" si="14"/>
        <v/>
      </c>
      <c r="P167" s="1" t="str">
        <f t="shared" si="15"/>
        <v/>
      </c>
      <c r="Q167" s="1" t="str">
        <f t="shared" si="16"/>
        <v/>
      </c>
      <c r="R167" s="1" t="str">
        <f t="shared" si="17"/>
        <v/>
      </c>
      <c r="S167" s="1" t="str">
        <f>IF(OR($E167="",$F167=""),"",HYPERLINK(IF(OR(_xlfn.SINGLE(JobState)="MI",_xlfn.SINGLE(JobState)=""),"https://fema.maps.arcgis.com/apps/mapviewer/index.html?url=https%3A%2F%2Fmdotgis.state.mi.us%2Farcgis%2Frest%2Fservices%2FWidget%2FNextGenPrFinderPub%2FFeatureServer%2F353&amp;find="&amp;$F167&amp;"%2C"&amp;$E167&amp;"&amp;marker="&amp;$F167&amp;","&amp;$E167&amp;",4326&amp;level=16",IF(_xlfn.SINGLE(JobState)="IN","https://fema.maps.arcgis.com/apps/mapviewer/index.html?url=https%3A%2F%2Fgisdata.in.gov%2Fserver%2Frest%2Fservices%2FHosted%2FLRSE_Functional_Class%2FFeatureServer%2F22&amp;find="&amp;$F167&amp;"%2C"&amp;$E167&amp;"&amp;marker="&amp;$F167&amp;","&amp;$E167&amp;",4326&amp;level=16",IF(_xlfn.SINGLE(JobState)="WI","https://fema.maps.arcgis.com/apps/mapviewer/index.html?url=https%3A%2F%2Fservices5.arcgis.com%2F0pgGLzT0Nh7FVjon%2Farcgis%2Frest%2Fservices%2FFFCL_gdb%2FFeatureServer%2F3&amp;find="&amp;$F167&amp;"%2C"&amp;$E167&amp;"&amp;marker="&amp;$F167&amp;","&amp;$E167&amp;",4326&amp;level=16","https://fema.maps.arcgis.com/apps/mapviewer/index.html?find="&amp;$F167&amp;"%2C"&amp;$E167&amp;"&amp;marker="&amp;$F167&amp;","&amp;$E167&amp;",4326&amp;level=16"))),"Open"))</f>
        <v/>
      </c>
      <c r="T167" s="4"/>
      <c r="U167" s="4"/>
      <c r="V167" s="4"/>
      <c r="W167" s="4"/>
      <c r="X167" s="4"/>
      <c r="Y167" s="4"/>
      <c r="Z167" s="4"/>
      <c r="AA167" s="4"/>
      <c r="AB167" s="1" t="str">
        <f>IF(OR(_xlfn.SINGLE(JobAgolMap)="", $E167="", $F167=""),"",HYPERLINK(_xlfn.SINGLE(JobAgolMap)&amp;IF(ISNUMBER(FIND("?",_xlfn.SINGLE(JobAgolMap))),"&amp;","?")&amp;"center="&amp;$F167&amp;","&amp;$E167&amp;"&amp;level=16&amp;marker="&amp;$F167&amp;","&amp;$E167,"Open"))</f>
        <v/>
      </c>
    </row>
    <row r="168" spans="1:28" x14ac:dyDescent="0.45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4"/>
      <c r="M168" s="1" t="str">
        <f t="shared" si="12"/>
        <v/>
      </c>
      <c r="N168" s="1" t="str">
        <f t="shared" si="13"/>
        <v/>
      </c>
      <c r="O168" s="1" t="str">
        <f t="shared" si="14"/>
        <v/>
      </c>
      <c r="P168" s="1" t="str">
        <f t="shared" si="15"/>
        <v/>
      </c>
      <c r="Q168" s="1" t="str">
        <f t="shared" si="16"/>
        <v/>
      </c>
      <c r="R168" s="1" t="str">
        <f t="shared" si="17"/>
        <v/>
      </c>
      <c r="S168" s="1" t="str">
        <f>IF(OR($E168="",$F168=""),"",HYPERLINK(IF(OR(_xlfn.SINGLE(JobState)="MI",_xlfn.SINGLE(JobState)=""),"https://fema.maps.arcgis.com/apps/mapviewer/index.html?url=https%3A%2F%2Fmdotgis.state.mi.us%2Farcgis%2Frest%2Fservices%2FWidget%2FNextGenPrFinderPub%2FFeatureServer%2F353&amp;find="&amp;$F168&amp;"%2C"&amp;$E168&amp;"&amp;marker="&amp;$F168&amp;","&amp;$E168&amp;",4326&amp;level=16",IF(_xlfn.SINGLE(JobState)="IN","https://fema.maps.arcgis.com/apps/mapviewer/index.html?url=https%3A%2F%2Fgisdata.in.gov%2Fserver%2Frest%2Fservices%2FHosted%2FLRSE_Functional_Class%2FFeatureServer%2F22&amp;find="&amp;$F168&amp;"%2C"&amp;$E168&amp;"&amp;marker="&amp;$F168&amp;","&amp;$E168&amp;",4326&amp;level=16",IF(_xlfn.SINGLE(JobState)="WI","https://fema.maps.arcgis.com/apps/mapviewer/index.html?url=https%3A%2F%2Fservices5.arcgis.com%2F0pgGLzT0Nh7FVjon%2Farcgis%2Frest%2Fservices%2FFFCL_gdb%2FFeatureServer%2F3&amp;find="&amp;$F168&amp;"%2C"&amp;$E168&amp;"&amp;marker="&amp;$F168&amp;","&amp;$E168&amp;",4326&amp;level=16","https://fema.maps.arcgis.com/apps/mapviewer/index.html?find="&amp;$F168&amp;"%2C"&amp;$E168&amp;"&amp;marker="&amp;$F168&amp;","&amp;$E168&amp;",4326&amp;level=16"))),"Open"))</f>
        <v/>
      </c>
      <c r="T168" s="4"/>
      <c r="U168" s="4"/>
      <c r="V168" s="4"/>
      <c r="W168" s="4"/>
      <c r="X168" s="4"/>
      <c r="Y168" s="4"/>
      <c r="Z168" s="4"/>
      <c r="AA168" s="4"/>
      <c r="AB168" s="1" t="str">
        <f>IF(OR(_xlfn.SINGLE(JobAgolMap)="", $E168="", $F168=""),"",HYPERLINK(_xlfn.SINGLE(JobAgolMap)&amp;IF(ISNUMBER(FIND("?",_xlfn.SINGLE(JobAgolMap))),"&amp;","?")&amp;"center="&amp;$F168&amp;","&amp;$E168&amp;"&amp;level=16&amp;marker="&amp;$F168&amp;","&amp;$E168,"Open"))</f>
        <v/>
      </c>
    </row>
    <row r="169" spans="1:28" x14ac:dyDescent="0.45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4"/>
      <c r="M169" s="1" t="str">
        <f t="shared" si="12"/>
        <v/>
      </c>
      <c r="N169" s="1" t="str">
        <f t="shared" si="13"/>
        <v/>
      </c>
      <c r="O169" s="1" t="str">
        <f t="shared" si="14"/>
        <v/>
      </c>
      <c r="P169" s="1" t="str">
        <f t="shared" si="15"/>
        <v/>
      </c>
      <c r="Q169" s="1" t="str">
        <f t="shared" si="16"/>
        <v/>
      </c>
      <c r="R169" s="1" t="str">
        <f t="shared" si="17"/>
        <v/>
      </c>
      <c r="S169" s="1" t="str">
        <f>IF(OR($E169="",$F169=""),"",HYPERLINK(IF(OR(_xlfn.SINGLE(JobState)="MI",_xlfn.SINGLE(JobState)=""),"https://fema.maps.arcgis.com/apps/mapviewer/index.html?url=https%3A%2F%2Fmdotgis.state.mi.us%2Farcgis%2Frest%2Fservices%2FWidget%2FNextGenPrFinderPub%2FFeatureServer%2F353&amp;find="&amp;$F169&amp;"%2C"&amp;$E169&amp;"&amp;marker="&amp;$F169&amp;","&amp;$E169&amp;",4326&amp;level=16",IF(_xlfn.SINGLE(JobState)="IN","https://fema.maps.arcgis.com/apps/mapviewer/index.html?url=https%3A%2F%2Fgisdata.in.gov%2Fserver%2Frest%2Fservices%2FHosted%2FLRSE_Functional_Class%2FFeatureServer%2F22&amp;find="&amp;$F169&amp;"%2C"&amp;$E169&amp;"&amp;marker="&amp;$F169&amp;","&amp;$E169&amp;",4326&amp;level=16",IF(_xlfn.SINGLE(JobState)="WI","https://fema.maps.arcgis.com/apps/mapviewer/index.html?url=https%3A%2F%2Fservices5.arcgis.com%2F0pgGLzT0Nh7FVjon%2Farcgis%2Frest%2Fservices%2FFFCL_gdb%2FFeatureServer%2F3&amp;find="&amp;$F169&amp;"%2C"&amp;$E169&amp;"&amp;marker="&amp;$F169&amp;","&amp;$E169&amp;",4326&amp;level=16","https://fema.maps.arcgis.com/apps/mapviewer/index.html?find="&amp;$F169&amp;"%2C"&amp;$E169&amp;"&amp;marker="&amp;$F169&amp;","&amp;$E169&amp;",4326&amp;level=16"))),"Open"))</f>
        <v/>
      </c>
      <c r="T169" s="4"/>
      <c r="U169" s="4"/>
      <c r="V169" s="4"/>
      <c r="W169" s="4"/>
      <c r="X169" s="4"/>
      <c r="Y169" s="4"/>
      <c r="Z169" s="4"/>
      <c r="AA169" s="4"/>
      <c r="AB169" s="1" t="str">
        <f>IF(OR(_xlfn.SINGLE(JobAgolMap)="", $E169="", $F169=""),"",HYPERLINK(_xlfn.SINGLE(JobAgolMap)&amp;IF(ISNUMBER(FIND("?",_xlfn.SINGLE(JobAgolMap))),"&amp;","?")&amp;"center="&amp;$F169&amp;","&amp;$E169&amp;"&amp;level=16&amp;marker="&amp;$F169&amp;","&amp;$E169,"Open"))</f>
        <v/>
      </c>
    </row>
    <row r="170" spans="1:28" x14ac:dyDescent="0.45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4"/>
      <c r="M170" s="1" t="str">
        <f t="shared" si="12"/>
        <v/>
      </c>
      <c r="N170" s="1" t="str">
        <f t="shared" si="13"/>
        <v/>
      </c>
      <c r="O170" s="1" t="str">
        <f t="shared" si="14"/>
        <v/>
      </c>
      <c r="P170" s="1" t="str">
        <f t="shared" si="15"/>
        <v/>
      </c>
      <c r="Q170" s="1" t="str">
        <f t="shared" si="16"/>
        <v/>
      </c>
      <c r="R170" s="1" t="str">
        <f t="shared" si="17"/>
        <v/>
      </c>
      <c r="S170" s="1" t="str">
        <f>IF(OR($E170="",$F170=""),"",HYPERLINK(IF(OR(_xlfn.SINGLE(JobState)="MI",_xlfn.SINGLE(JobState)=""),"https://fema.maps.arcgis.com/apps/mapviewer/index.html?url=https%3A%2F%2Fmdotgis.state.mi.us%2Farcgis%2Frest%2Fservices%2FWidget%2FNextGenPrFinderPub%2FFeatureServer%2F353&amp;find="&amp;$F170&amp;"%2C"&amp;$E170&amp;"&amp;marker="&amp;$F170&amp;","&amp;$E170&amp;",4326&amp;level=16",IF(_xlfn.SINGLE(JobState)="IN","https://fema.maps.arcgis.com/apps/mapviewer/index.html?url=https%3A%2F%2Fgisdata.in.gov%2Fserver%2Frest%2Fservices%2FHosted%2FLRSE_Functional_Class%2FFeatureServer%2F22&amp;find="&amp;$F170&amp;"%2C"&amp;$E170&amp;"&amp;marker="&amp;$F170&amp;","&amp;$E170&amp;",4326&amp;level=16",IF(_xlfn.SINGLE(JobState)="WI","https://fema.maps.arcgis.com/apps/mapviewer/index.html?url=https%3A%2F%2Fservices5.arcgis.com%2F0pgGLzT0Nh7FVjon%2Farcgis%2Frest%2Fservices%2FFFCL_gdb%2FFeatureServer%2F3&amp;find="&amp;$F170&amp;"%2C"&amp;$E170&amp;"&amp;marker="&amp;$F170&amp;","&amp;$E170&amp;",4326&amp;level=16","https://fema.maps.arcgis.com/apps/mapviewer/index.html?find="&amp;$F170&amp;"%2C"&amp;$E170&amp;"&amp;marker="&amp;$F170&amp;","&amp;$E170&amp;",4326&amp;level=16"))),"Open"))</f>
        <v/>
      </c>
      <c r="T170" s="4"/>
      <c r="U170" s="4"/>
      <c r="V170" s="4"/>
      <c r="W170" s="4"/>
      <c r="X170" s="4"/>
      <c r="Y170" s="4"/>
      <c r="Z170" s="4"/>
      <c r="AA170" s="4"/>
      <c r="AB170" s="1" t="str">
        <f>IF(OR(_xlfn.SINGLE(JobAgolMap)="", $E170="", $F170=""),"",HYPERLINK(_xlfn.SINGLE(JobAgolMap)&amp;IF(ISNUMBER(FIND("?",_xlfn.SINGLE(JobAgolMap))),"&amp;","?")&amp;"center="&amp;$F170&amp;","&amp;$E170&amp;"&amp;level=16&amp;marker="&amp;$F170&amp;","&amp;$E170,"Open"))</f>
        <v/>
      </c>
    </row>
    <row r="171" spans="1:28" x14ac:dyDescent="0.45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4"/>
      <c r="M171" s="1" t="str">
        <f t="shared" si="12"/>
        <v/>
      </c>
      <c r="N171" s="1" t="str">
        <f t="shared" si="13"/>
        <v/>
      </c>
      <c r="O171" s="1" t="str">
        <f t="shared" si="14"/>
        <v/>
      </c>
      <c r="P171" s="1" t="str">
        <f t="shared" si="15"/>
        <v/>
      </c>
      <c r="Q171" s="1" t="str">
        <f t="shared" si="16"/>
        <v/>
      </c>
      <c r="R171" s="1" t="str">
        <f t="shared" si="17"/>
        <v/>
      </c>
      <c r="S171" s="1" t="str">
        <f>IF(OR($E171="",$F171=""),"",HYPERLINK(IF(OR(_xlfn.SINGLE(JobState)="MI",_xlfn.SINGLE(JobState)=""),"https://fema.maps.arcgis.com/apps/mapviewer/index.html?url=https%3A%2F%2Fmdotgis.state.mi.us%2Farcgis%2Frest%2Fservices%2FWidget%2FNextGenPrFinderPub%2FFeatureServer%2F353&amp;find="&amp;$F171&amp;"%2C"&amp;$E171&amp;"&amp;marker="&amp;$F171&amp;","&amp;$E171&amp;",4326&amp;level=16",IF(_xlfn.SINGLE(JobState)="IN","https://fema.maps.arcgis.com/apps/mapviewer/index.html?url=https%3A%2F%2Fgisdata.in.gov%2Fserver%2Frest%2Fservices%2FHosted%2FLRSE_Functional_Class%2FFeatureServer%2F22&amp;find="&amp;$F171&amp;"%2C"&amp;$E171&amp;"&amp;marker="&amp;$F171&amp;","&amp;$E171&amp;",4326&amp;level=16",IF(_xlfn.SINGLE(JobState)="WI","https://fema.maps.arcgis.com/apps/mapviewer/index.html?url=https%3A%2F%2Fservices5.arcgis.com%2F0pgGLzT0Nh7FVjon%2Farcgis%2Frest%2Fservices%2FFFCL_gdb%2FFeatureServer%2F3&amp;find="&amp;$F171&amp;"%2C"&amp;$E171&amp;"&amp;marker="&amp;$F171&amp;","&amp;$E171&amp;",4326&amp;level=16","https://fema.maps.arcgis.com/apps/mapviewer/index.html?find="&amp;$F171&amp;"%2C"&amp;$E171&amp;"&amp;marker="&amp;$F171&amp;","&amp;$E171&amp;",4326&amp;level=16"))),"Open"))</f>
        <v/>
      </c>
      <c r="T171" s="4"/>
      <c r="U171" s="4"/>
      <c r="V171" s="4"/>
      <c r="W171" s="4"/>
      <c r="X171" s="4"/>
      <c r="Y171" s="4"/>
      <c r="Z171" s="4"/>
      <c r="AA171" s="4"/>
      <c r="AB171" s="1" t="str">
        <f>IF(OR(_xlfn.SINGLE(JobAgolMap)="", $E171="", $F171=""),"",HYPERLINK(_xlfn.SINGLE(JobAgolMap)&amp;IF(ISNUMBER(FIND("?",_xlfn.SINGLE(JobAgolMap))),"&amp;","?")&amp;"center="&amp;$F171&amp;","&amp;$E171&amp;"&amp;level=16&amp;marker="&amp;$F171&amp;","&amp;$E171,"Open"))</f>
        <v/>
      </c>
    </row>
    <row r="172" spans="1:28" x14ac:dyDescent="0.45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4"/>
      <c r="M172" s="1" t="str">
        <f t="shared" si="12"/>
        <v/>
      </c>
      <c r="N172" s="1" t="str">
        <f t="shared" si="13"/>
        <v/>
      </c>
      <c r="O172" s="1" t="str">
        <f t="shared" si="14"/>
        <v/>
      </c>
      <c r="P172" s="1" t="str">
        <f t="shared" si="15"/>
        <v/>
      </c>
      <c r="Q172" s="1" t="str">
        <f t="shared" si="16"/>
        <v/>
      </c>
      <c r="R172" s="1" t="str">
        <f t="shared" si="17"/>
        <v/>
      </c>
      <c r="S172" s="1" t="str">
        <f>IF(OR($E172="",$F172=""),"",HYPERLINK(IF(OR(_xlfn.SINGLE(JobState)="MI",_xlfn.SINGLE(JobState)=""),"https://fema.maps.arcgis.com/apps/mapviewer/index.html?url=https%3A%2F%2Fmdotgis.state.mi.us%2Farcgis%2Frest%2Fservices%2FWidget%2FNextGenPrFinderPub%2FFeatureServer%2F353&amp;find="&amp;$F172&amp;"%2C"&amp;$E172&amp;"&amp;marker="&amp;$F172&amp;","&amp;$E172&amp;",4326&amp;level=16",IF(_xlfn.SINGLE(JobState)="IN","https://fema.maps.arcgis.com/apps/mapviewer/index.html?url=https%3A%2F%2Fgisdata.in.gov%2Fserver%2Frest%2Fservices%2FHosted%2FLRSE_Functional_Class%2FFeatureServer%2F22&amp;find="&amp;$F172&amp;"%2C"&amp;$E172&amp;"&amp;marker="&amp;$F172&amp;","&amp;$E172&amp;",4326&amp;level=16",IF(_xlfn.SINGLE(JobState)="WI","https://fema.maps.arcgis.com/apps/mapviewer/index.html?url=https%3A%2F%2Fservices5.arcgis.com%2F0pgGLzT0Nh7FVjon%2Farcgis%2Frest%2Fservices%2FFFCL_gdb%2FFeatureServer%2F3&amp;find="&amp;$F172&amp;"%2C"&amp;$E172&amp;"&amp;marker="&amp;$F172&amp;","&amp;$E172&amp;",4326&amp;level=16","https://fema.maps.arcgis.com/apps/mapviewer/index.html?find="&amp;$F172&amp;"%2C"&amp;$E172&amp;"&amp;marker="&amp;$F172&amp;","&amp;$E172&amp;",4326&amp;level=16"))),"Open"))</f>
        <v/>
      </c>
      <c r="T172" s="4"/>
      <c r="U172" s="4"/>
      <c r="V172" s="4"/>
      <c r="W172" s="4"/>
      <c r="X172" s="4"/>
      <c r="Y172" s="4"/>
      <c r="Z172" s="4"/>
      <c r="AA172" s="4"/>
      <c r="AB172" s="1" t="str">
        <f>IF(OR(_xlfn.SINGLE(JobAgolMap)="", $E172="", $F172=""),"",HYPERLINK(_xlfn.SINGLE(JobAgolMap)&amp;IF(ISNUMBER(FIND("?",_xlfn.SINGLE(JobAgolMap))),"&amp;","?")&amp;"center="&amp;$F172&amp;","&amp;$E172&amp;"&amp;level=16&amp;marker="&amp;$F172&amp;","&amp;$E172,"Open"))</f>
        <v/>
      </c>
    </row>
    <row r="173" spans="1:28" x14ac:dyDescent="0.45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4"/>
      <c r="M173" s="1" t="str">
        <f t="shared" si="12"/>
        <v/>
      </c>
      <c r="N173" s="1" t="str">
        <f t="shared" si="13"/>
        <v/>
      </c>
      <c r="O173" s="1" t="str">
        <f t="shared" si="14"/>
        <v/>
      </c>
      <c r="P173" s="1" t="str">
        <f t="shared" si="15"/>
        <v/>
      </c>
      <c r="Q173" s="1" t="str">
        <f t="shared" si="16"/>
        <v/>
      </c>
      <c r="R173" s="1" t="str">
        <f t="shared" si="17"/>
        <v/>
      </c>
      <c r="S173" s="1" t="str">
        <f>IF(OR($E173="",$F173=""),"",HYPERLINK(IF(OR(_xlfn.SINGLE(JobState)="MI",_xlfn.SINGLE(JobState)=""),"https://fema.maps.arcgis.com/apps/mapviewer/index.html?url=https%3A%2F%2Fmdotgis.state.mi.us%2Farcgis%2Frest%2Fservices%2FWidget%2FNextGenPrFinderPub%2FFeatureServer%2F353&amp;find="&amp;$F173&amp;"%2C"&amp;$E173&amp;"&amp;marker="&amp;$F173&amp;","&amp;$E173&amp;",4326&amp;level=16",IF(_xlfn.SINGLE(JobState)="IN","https://fema.maps.arcgis.com/apps/mapviewer/index.html?url=https%3A%2F%2Fgisdata.in.gov%2Fserver%2Frest%2Fservices%2FHosted%2FLRSE_Functional_Class%2FFeatureServer%2F22&amp;find="&amp;$F173&amp;"%2C"&amp;$E173&amp;"&amp;marker="&amp;$F173&amp;","&amp;$E173&amp;",4326&amp;level=16",IF(_xlfn.SINGLE(JobState)="WI","https://fema.maps.arcgis.com/apps/mapviewer/index.html?url=https%3A%2F%2Fservices5.arcgis.com%2F0pgGLzT0Nh7FVjon%2Farcgis%2Frest%2Fservices%2FFFCL_gdb%2FFeatureServer%2F3&amp;find="&amp;$F173&amp;"%2C"&amp;$E173&amp;"&amp;marker="&amp;$F173&amp;","&amp;$E173&amp;",4326&amp;level=16","https://fema.maps.arcgis.com/apps/mapviewer/index.html?find="&amp;$F173&amp;"%2C"&amp;$E173&amp;"&amp;marker="&amp;$F173&amp;","&amp;$E173&amp;",4326&amp;level=16"))),"Open"))</f>
        <v/>
      </c>
      <c r="T173" s="4"/>
      <c r="U173" s="4"/>
      <c r="V173" s="4"/>
      <c r="W173" s="4"/>
      <c r="X173" s="4"/>
      <c r="Y173" s="4"/>
      <c r="Z173" s="4"/>
      <c r="AA173" s="4"/>
      <c r="AB173" s="1" t="str">
        <f>IF(OR(_xlfn.SINGLE(JobAgolMap)="", $E173="", $F173=""),"",HYPERLINK(_xlfn.SINGLE(JobAgolMap)&amp;IF(ISNUMBER(FIND("?",_xlfn.SINGLE(JobAgolMap))),"&amp;","?")&amp;"center="&amp;$F173&amp;","&amp;$E173&amp;"&amp;level=16&amp;marker="&amp;$F173&amp;","&amp;$E173,"Open"))</f>
        <v/>
      </c>
    </row>
    <row r="174" spans="1:28" x14ac:dyDescent="0.45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4"/>
      <c r="M174" s="1" t="str">
        <f t="shared" si="12"/>
        <v/>
      </c>
      <c r="N174" s="1" t="str">
        <f t="shared" si="13"/>
        <v/>
      </c>
      <c r="O174" s="1" t="str">
        <f t="shared" si="14"/>
        <v/>
      </c>
      <c r="P174" s="1" t="str">
        <f t="shared" si="15"/>
        <v/>
      </c>
      <c r="Q174" s="1" t="str">
        <f t="shared" si="16"/>
        <v/>
      </c>
      <c r="R174" s="1" t="str">
        <f t="shared" si="17"/>
        <v/>
      </c>
      <c r="S174" s="1" t="str">
        <f>IF(OR($E174="",$F174=""),"",HYPERLINK(IF(OR(_xlfn.SINGLE(JobState)="MI",_xlfn.SINGLE(JobState)=""),"https://fema.maps.arcgis.com/apps/mapviewer/index.html?url=https%3A%2F%2Fmdotgis.state.mi.us%2Farcgis%2Frest%2Fservices%2FWidget%2FNextGenPrFinderPub%2FFeatureServer%2F353&amp;find="&amp;$F174&amp;"%2C"&amp;$E174&amp;"&amp;marker="&amp;$F174&amp;","&amp;$E174&amp;",4326&amp;level=16",IF(_xlfn.SINGLE(JobState)="IN","https://fema.maps.arcgis.com/apps/mapviewer/index.html?url=https%3A%2F%2Fgisdata.in.gov%2Fserver%2Frest%2Fservices%2FHosted%2FLRSE_Functional_Class%2FFeatureServer%2F22&amp;find="&amp;$F174&amp;"%2C"&amp;$E174&amp;"&amp;marker="&amp;$F174&amp;","&amp;$E174&amp;",4326&amp;level=16",IF(_xlfn.SINGLE(JobState)="WI","https://fema.maps.arcgis.com/apps/mapviewer/index.html?url=https%3A%2F%2Fservices5.arcgis.com%2F0pgGLzT0Nh7FVjon%2Farcgis%2Frest%2Fservices%2FFFCL_gdb%2FFeatureServer%2F3&amp;find="&amp;$F174&amp;"%2C"&amp;$E174&amp;"&amp;marker="&amp;$F174&amp;","&amp;$E174&amp;",4326&amp;level=16","https://fema.maps.arcgis.com/apps/mapviewer/index.html?find="&amp;$F174&amp;"%2C"&amp;$E174&amp;"&amp;marker="&amp;$F174&amp;","&amp;$E174&amp;",4326&amp;level=16"))),"Open"))</f>
        <v/>
      </c>
      <c r="T174" s="4"/>
      <c r="U174" s="4"/>
      <c r="V174" s="4"/>
      <c r="W174" s="4"/>
      <c r="X174" s="4"/>
      <c r="Y174" s="4"/>
      <c r="Z174" s="4"/>
      <c r="AA174" s="4"/>
      <c r="AB174" s="1" t="str">
        <f>IF(OR(_xlfn.SINGLE(JobAgolMap)="", $E174="", $F174=""),"",HYPERLINK(_xlfn.SINGLE(JobAgolMap)&amp;IF(ISNUMBER(FIND("?",_xlfn.SINGLE(JobAgolMap))),"&amp;","?")&amp;"center="&amp;$F174&amp;","&amp;$E174&amp;"&amp;level=16&amp;marker="&amp;$F174&amp;","&amp;$E174,"Open"))</f>
        <v/>
      </c>
    </row>
    <row r="175" spans="1:28" x14ac:dyDescent="0.45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4"/>
      <c r="M175" s="1" t="str">
        <f t="shared" si="12"/>
        <v/>
      </c>
      <c r="N175" s="1" t="str">
        <f t="shared" si="13"/>
        <v/>
      </c>
      <c r="O175" s="1" t="str">
        <f t="shared" si="14"/>
        <v/>
      </c>
      <c r="P175" s="1" t="str">
        <f t="shared" si="15"/>
        <v/>
      </c>
      <c r="Q175" s="1" t="str">
        <f t="shared" si="16"/>
        <v/>
      </c>
      <c r="R175" s="1" t="str">
        <f t="shared" si="17"/>
        <v/>
      </c>
      <c r="S175" s="1" t="str">
        <f>IF(OR($E175="",$F175=""),"",HYPERLINK(IF(OR(_xlfn.SINGLE(JobState)="MI",_xlfn.SINGLE(JobState)=""),"https://fema.maps.arcgis.com/apps/mapviewer/index.html?url=https%3A%2F%2Fmdotgis.state.mi.us%2Farcgis%2Frest%2Fservices%2FWidget%2FNextGenPrFinderPub%2FFeatureServer%2F353&amp;find="&amp;$F175&amp;"%2C"&amp;$E175&amp;"&amp;marker="&amp;$F175&amp;","&amp;$E175&amp;",4326&amp;level=16",IF(_xlfn.SINGLE(JobState)="IN","https://fema.maps.arcgis.com/apps/mapviewer/index.html?url=https%3A%2F%2Fgisdata.in.gov%2Fserver%2Frest%2Fservices%2FHosted%2FLRSE_Functional_Class%2FFeatureServer%2F22&amp;find="&amp;$F175&amp;"%2C"&amp;$E175&amp;"&amp;marker="&amp;$F175&amp;","&amp;$E175&amp;",4326&amp;level=16",IF(_xlfn.SINGLE(JobState)="WI","https://fema.maps.arcgis.com/apps/mapviewer/index.html?url=https%3A%2F%2Fservices5.arcgis.com%2F0pgGLzT0Nh7FVjon%2Farcgis%2Frest%2Fservices%2FFFCL_gdb%2FFeatureServer%2F3&amp;find="&amp;$F175&amp;"%2C"&amp;$E175&amp;"&amp;marker="&amp;$F175&amp;","&amp;$E175&amp;",4326&amp;level=16","https://fema.maps.arcgis.com/apps/mapviewer/index.html?find="&amp;$F175&amp;"%2C"&amp;$E175&amp;"&amp;marker="&amp;$F175&amp;","&amp;$E175&amp;",4326&amp;level=16"))),"Open"))</f>
        <v/>
      </c>
      <c r="T175" s="4"/>
      <c r="U175" s="4"/>
      <c r="V175" s="4"/>
      <c r="W175" s="4"/>
      <c r="X175" s="4"/>
      <c r="Y175" s="4"/>
      <c r="Z175" s="4"/>
      <c r="AA175" s="4"/>
      <c r="AB175" s="1" t="str">
        <f>IF(OR(_xlfn.SINGLE(JobAgolMap)="", $E175="", $F175=""),"",HYPERLINK(_xlfn.SINGLE(JobAgolMap)&amp;IF(ISNUMBER(FIND("?",_xlfn.SINGLE(JobAgolMap))),"&amp;","?")&amp;"center="&amp;$F175&amp;","&amp;$E175&amp;"&amp;level=16&amp;marker="&amp;$F175&amp;","&amp;$E175,"Open"))</f>
        <v/>
      </c>
    </row>
    <row r="176" spans="1:28" x14ac:dyDescent="0.45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4"/>
      <c r="M176" s="1" t="str">
        <f t="shared" si="12"/>
        <v/>
      </c>
      <c r="N176" s="1" t="str">
        <f t="shared" si="13"/>
        <v/>
      </c>
      <c r="O176" s="1" t="str">
        <f t="shared" si="14"/>
        <v/>
      </c>
      <c r="P176" s="1" t="str">
        <f t="shared" si="15"/>
        <v/>
      </c>
      <c r="Q176" s="1" t="str">
        <f t="shared" si="16"/>
        <v/>
      </c>
      <c r="R176" s="1" t="str">
        <f t="shared" si="17"/>
        <v/>
      </c>
      <c r="S176" s="1" t="str">
        <f>IF(OR($E176="",$F176=""),"",HYPERLINK(IF(OR(_xlfn.SINGLE(JobState)="MI",_xlfn.SINGLE(JobState)=""),"https://fema.maps.arcgis.com/apps/mapviewer/index.html?url=https%3A%2F%2Fmdotgis.state.mi.us%2Farcgis%2Frest%2Fservices%2FWidget%2FNextGenPrFinderPub%2FFeatureServer%2F353&amp;find="&amp;$F176&amp;"%2C"&amp;$E176&amp;"&amp;marker="&amp;$F176&amp;","&amp;$E176&amp;",4326&amp;level=16",IF(_xlfn.SINGLE(JobState)="IN","https://fema.maps.arcgis.com/apps/mapviewer/index.html?url=https%3A%2F%2Fgisdata.in.gov%2Fserver%2Frest%2Fservices%2FHosted%2FLRSE_Functional_Class%2FFeatureServer%2F22&amp;find="&amp;$F176&amp;"%2C"&amp;$E176&amp;"&amp;marker="&amp;$F176&amp;","&amp;$E176&amp;",4326&amp;level=16",IF(_xlfn.SINGLE(JobState)="WI","https://fema.maps.arcgis.com/apps/mapviewer/index.html?url=https%3A%2F%2Fservices5.arcgis.com%2F0pgGLzT0Nh7FVjon%2Farcgis%2Frest%2Fservices%2FFFCL_gdb%2FFeatureServer%2F3&amp;find="&amp;$F176&amp;"%2C"&amp;$E176&amp;"&amp;marker="&amp;$F176&amp;","&amp;$E176&amp;",4326&amp;level=16","https://fema.maps.arcgis.com/apps/mapviewer/index.html?find="&amp;$F176&amp;"%2C"&amp;$E176&amp;"&amp;marker="&amp;$F176&amp;","&amp;$E176&amp;",4326&amp;level=16"))),"Open"))</f>
        <v/>
      </c>
      <c r="T176" s="4"/>
      <c r="U176" s="4"/>
      <c r="V176" s="4"/>
      <c r="W176" s="4"/>
      <c r="X176" s="4"/>
      <c r="Y176" s="4"/>
      <c r="Z176" s="4"/>
      <c r="AA176" s="4"/>
      <c r="AB176" s="1" t="str">
        <f>IF(OR(_xlfn.SINGLE(JobAgolMap)="", $E176="", $F176=""),"",HYPERLINK(_xlfn.SINGLE(JobAgolMap)&amp;IF(ISNUMBER(FIND("?",_xlfn.SINGLE(JobAgolMap))),"&amp;","?")&amp;"center="&amp;$F176&amp;","&amp;$E176&amp;"&amp;level=16&amp;marker="&amp;$F176&amp;","&amp;$E176,"Open"))</f>
        <v/>
      </c>
    </row>
    <row r="177" spans="1:28" x14ac:dyDescent="0.45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4"/>
      <c r="M177" s="1" t="str">
        <f t="shared" si="12"/>
        <v/>
      </c>
      <c r="N177" s="1" t="str">
        <f t="shared" si="13"/>
        <v/>
      </c>
      <c r="O177" s="1" t="str">
        <f t="shared" si="14"/>
        <v/>
      </c>
      <c r="P177" s="1" t="str">
        <f t="shared" si="15"/>
        <v/>
      </c>
      <c r="Q177" s="1" t="str">
        <f t="shared" si="16"/>
        <v/>
      </c>
      <c r="R177" s="1" t="str">
        <f t="shared" si="17"/>
        <v/>
      </c>
      <c r="S177" s="1" t="str">
        <f>IF(OR($E177="",$F177=""),"",HYPERLINK(IF(OR(_xlfn.SINGLE(JobState)="MI",_xlfn.SINGLE(JobState)=""),"https://fema.maps.arcgis.com/apps/mapviewer/index.html?url=https%3A%2F%2Fmdotgis.state.mi.us%2Farcgis%2Frest%2Fservices%2FWidget%2FNextGenPrFinderPub%2FFeatureServer%2F353&amp;find="&amp;$F177&amp;"%2C"&amp;$E177&amp;"&amp;marker="&amp;$F177&amp;","&amp;$E177&amp;",4326&amp;level=16",IF(_xlfn.SINGLE(JobState)="IN","https://fema.maps.arcgis.com/apps/mapviewer/index.html?url=https%3A%2F%2Fgisdata.in.gov%2Fserver%2Frest%2Fservices%2FHosted%2FLRSE_Functional_Class%2FFeatureServer%2F22&amp;find="&amp;$F177&amp;"%2C"&amp;$E177&amp;"&amp;marker="&amp;$F177&amp;","&amp;$E177&amp;",4326&amp;level=16",IF(_xlfn.SINGLE(JobState)="WI","https://fema.maps.arcgis.com/apps/mapviewer/index.html?url=https%3A%2F%2Fservices5.arcgis.com%2F0pgGLzT0Nh7FVjon%2Farcgis%2Frest%2Fservices%2FFFCL_gdb%2FFeatureServer%2F3&amp;find="&amp;$F177&amp;"%2C"&amp;$E177&amp;"&amp;marker="&amp;$F177&amp;","&amp;$E177&amp;",4326&amp;level=16","https://fema.maps.arcgis.com/apps/mapviewer/index.html?find="&amp;$F177&amp;"%2C"&amp;$E177&amp;"&amp;marker="&amp;$F177&amp;","&amp;$E177&amp;",4326&amp;level=16"))),"Open"))</f>
        <v/>
      </c>
      <c r="T177" s="4"/>
      <c r="U177" s="4"/>
      <c r="V177" s="4"/>
      <c r="W177" s="4"/>
      <c r="X177" s="4"/>
      <c r="Y177" s="4"/>
      <c r="Z177" s="4"/>
      <c r="AA177" s="4"/>
      <c r="AB177" s="1" t="str">
        <f>IF(OR(_xlfn.SINGLE(JobAgolMap)="", $E177="", $F177=""),"",HYPERLINK(_xlfn.SINGLE(JobAgolMap)&amp;IF(ISNUMBER(FIND("?",_xlfn.SINGLE(JobAgolMap))),"&amp;","?")&amp;"center="&amp;$F177&amp;","&amp;$E177&amp;"&amp;level=16&amp;marker="&amp;$F177&amp;","&amp;$E177,"Open"))</f>
        <v/>
      </c>
    </row>
    <row r="178" spans="1:28" x14ac:dyDescent="0.45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4"/>
      <c r="M178" s="1" t="str">
        <f t="shared" si="12"/>
        <v/>
      </c>
      <c r="N178" s="1" t="str">
        <f t="shared" si="13"/>
        <v/>
      </c>
      <c r="O178" s="1" t="str">
        <f t="shared" si="14"/>
        <v/>
      </c>
      <c r="P178" s="1" t="str">
        <f t="shared" si="15"/>
        <v/>
      </c>
      <c r="Q178" s="1" t="str">
        <f t="shared" si="16"/>
        <v/>
      </c>
      <c r="R178" s="1" t="str">
        <f t="shared" si="17"/>
        <v/>
      </c>
      <c r="S178" s="1" t="str">
        <f>IF(OR($E178="",$F178=""),"",HYPERLINK(IF(OR(_xlfn.SINGLE(JobState)="MI",_xlfn.SINGLE(JobState)=""),"https://fema.maps.arcgis.com/apps/mapviewer/index.html?url=https%3A%2F%2Fmdotgis.state.mi.us%2Farcgis%2Frest%2Fservices%2FWidget%2FNextGenPrFinderPub%2FFeatureServer%2F353&amp;find="&amp;$F178&amp;"%2C"&amp;$E178&amp;"&amp;marker="&amp;$F178&amp;","&amp;$E178&amp;",4326&amp;level=16",IF(_xlfn.SINGLE(JobState)="IN","https://fema.maps.arcgis.com/apps/mapviewer/index.html?url=https%3A%2F%2Fgisdata.in.gov%2Fserver%2Frest%2Fservices%2FHosted%2FLRSE_Functional_Class%2FFeatureServer%2F22&amp;find="&amp;$F178&amp;"%2C"&amp;$E178&amp;"&amp;marker="&amp;$F178&amp;","&amp;$E178&amp;",4326&amp;level=16",IF(_xlfn.SINGLE(JobState)="WI","https://fema.maps.arcgis.com/apps/mapviewer/index.html?url=https%3A%2F%2Fservices5.arcgis.com%2F0pgGLzT0Nh7FVjon%2Farcgis%2Frest%2Fservices%2FFFCL_gdb%2FFeatureServer%2F3&amp;find="&amp;$F178&amp;"%2C"&amp;$E178&amp;"&amp;marker="&amp;$F178&amp;","&amp;$E178&amp;",4326&amp;level=16","https://fema.maps.arcgis.com/apps/mapviewer/index.html?find="&amp;$F178&amp;"%2C"&amp;$E178&amp;"&amp;marker="&amp;$F178&amp;","&amp;$E178&amp;",4326&amp;level=16"))),"Open"))</f>
        <v/>
      </c>
      <c r="T178" s="4"/>
      <c r="U178" s="4"/>
      <c r="V178" s="4"/>
      <c r="W178" s="4"/>
      <c r="X178" s="4"/>
      <c r="Y178" s="4"/>
      <c r="Z178" s="4"/>
      <c r="AA178" s="4"/>
      <c r="AB178" s="1" t="str">
        <f>IF(OR(_xlfn.SINGLE(JobAgolMap)="", $E178="", $F178=""),"",HYPERLINK(_xlfn.SINGLE(JobAgolMap)&amp;IF(ISNUMBER(FIND("?",_xlfn.SINGLE(JobAgolMap))),"&amp;","?")&amp;"center="&amp;$F178&amp;","&amp;$E178&amp;"&amp;level=16&amp;marker="&amp;$F178&amp;","&amp;$E178,"Open"))</f>
        <v/>
      </c>
    </row>
    <row r="179" spans="1:28" x14ac:dyDescent="0.45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4"/>
      <c r="M179" s="1" t="str">
        <f t="shared" si="12"/>
        <v/>
      </c>
      <c r="N179" s="1" t="str">
        <f t="shared" si="13"/>
        <v/>
      </c>
      <c r="O179" s="1" t="str">
        <f t="shared" si="14"/>
        <v/>
      </c>
      <c r="P179" s="1" t="str">
        <f t="shared" si="15"/>
        <v/>
      </c>
      <c r="Q179" s="1" t="str">
        <f t="shared" si="16"/>
        <v/>
      </c>
      <c r="R179" s="1" t="str">
        <f t="shared" si="17"/>
        <v/>
      </c>
      <c r="S179" s="1" t="str">
        <f>IF(OR($E179="",$F179=""),"",HYPERLINK(IF(OR(_xlfn.SINGLE(JobState)="MI",_xlfn.SINGLE(JobState)=""),"https://fema.maps.arcgis.com/apps/mapviewer/index.html?url=https%3A%2F%2Fmdotgis.state.mi.us%2Farcgis%2Frest%2Fservices%2FWidget%2FNextGenPrFinderPub%2FFeatureServer%2F353&amp;find="&amp;$F179&amp;"%2C"&amp;$E179&amp;"&amp;marker="&amp;$F179&amp;","&amp;$E179&amp;",4326&amp;level=16",IF(_xlfn.SINGLE(JobState)="IN","https://fema.maps.arcgis.com/apps/mapviewer/index.html?url=https%3A%2F%2Fgisdata.in.gov%2Fserver%2Frest%2Fservices%2FHosted%2FLRSE_Functional_Class%2FFeatureServer%2F22&amp;find="&amp;$F179&amp;"%2C"&amp;$E179&amp;"&amp;marker="&amp;$F179&amp;","&amp;$E179&amp;",4326&amp;level=16",IF(_xlfn.SINGLE(JobState)="WI","https://fema.maps.arcgis.com/apps/mapviewer/index.html?url=https%3A%2F%2Fservices5.arcgis.com%2F0pgGLzT0Nh7FVjon%2Farcgis%2Frest%2Fservices%2FFFCL_gdb%2FFeatureServer%2F3&amp;find="&amp;$F179&amp;"%2C"&amp;$E179&amp;"&amp;marker="&amp;$F179&amp;","&amp;$E179&amp;",4326&amp;level=16","https://fema.maps.arcgis.com/apps/mapviewer/index.html?find="&amp;$F179&amp;"%2C"&amp;$E179&amp;"&amp;marker="&amp;$F179&amp;","&amp;$E179&amp;",4326&amp;level=16"))),"Open"))</f>
        <v/>
      </c>
      <c r="T179" s="4"/>
      <c r="U179" s="4"/>
      <c r="V179" s="4"/>
      <c r="W179" s="4"/>
      <c r="X179" s="4"/>
      <c r="Y179" s="4"/>
      <c r="Z179" s="4"/>
      <c r="AA179" s="4"/>
      <c r="AB179" s="1" t="str">
        <f>IF(OR(_xlfn.SINGLE(JobAgolMap)="", $E179="", $F179=""),"",HYPERLINK(_xlfn.SINGLE(JobAgolMap)&amp;IF(ISNUMBER(FIND("?",_xlfn.SINGLE(JobAgolMap))),"&amp;","?")&amp;"center="&amp;$F179&amp;","&amp;$E179&amp;"&amp;level=16&amp;marker="&amp;$F179&amp;","&amp;$E179,"Open"))</f>
        <v/>
      </c>
    </row>
    <row r="180" spans="1:28" x14ac:dyDescent="0.45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4"/>
      <c r="M180" s="1" t="str">
        <f t="shared" si="12"/>
        <v/>
      </c>
      <c r="N180" s="1" t="str">
        <f t="shared" si="13"/>
        <v/>
      </c>
      <c r="O180" s="1" t="str">
        <f t="shared" si="14"/>
        <v/>
      </c>
      <c r="P180" s="1" t="str">
        <f t="shared" si="15"/>
        <v/>
      </c>
      <c r="Q180" s="1" t="str">
        <f t="shared" si="16"/>
        <v/>
      </c>
      <c r="R180" s="1" t="str">
        <f t="shared" si="17"/>
        <v/>
      </c>
      <c r="S180" s="1" t="str">
        <f>IF(OR($E180="",$F180=""),"",HYPERLINK(IF(OR(_xlfn.SINGLE(JobState)="MI",_xlfn.SINGLE(JobState)=""),"https://fema.maps.arcgis.com/apps/mapviewer/index.html?url=https%3A%2F%2Fmdotgis.state.mi.us%2Farcgis%2Frest%2Fservices%2FWidget%2FNextGenPrFinderPub%2FFeatureServer%2F353&amp;find="&amp;$F180&amp;"%2C"&amp;$E180&amp;"&amp;marker="&amp;$F180&amp;","&amp;$E180&amp;",4326&amp;level=16",IF(_xlfn.SINGLE(JobState)="IN","https://fema.maps.arcgis.com/apps/mapviewer/index.html?url=https%3A%2F%2Fgisdata.in.gov%2Fserver%2Frest%2Fservices%2FHosted%2FLRSE_Functional_Class%2FFeatureServer%2F22&amp;find="&amp;$F180&amp;"%2C"&amp;$E180&amp;"&amp;marker="&amp;$F180&amp;","&amp;$E180&amp;",4326&amp;level=16",IF(_xlfn.SINGLE(JobState)="WI","https://fema.maps.arcgis.com/apps/mapviewer/index.html?url=https%3A%2F%2Fservices5.arcgis.com%2F0pgGLzT0Nh7FVjon%2Farcgis%2Frest%2Fservices%2FFFCL_gdb%2FFeatureServer%2F3&amp;find="&amp;$F180&amp;"%2C"&amp;$E180&amp;"&amp;marker="&amp;$F180&amp;","&amp;$E180&amp;",4326&amp;level=16","https://fema.maps.arcgis.com/apps/mapviewer/index.html?find="&amp;$F180&amp;"%2C"&amp;$E180&amp;"&amp;marker="&amp;$F180&amp;","&amp;$E180&amp;",4326&amp;level=16"))),"Open"))</f>
        <v/>
      </c>
      <c r="T180" s="4"/>
      <c r="U180" s="4"/>
      <c r="V180" s="4"/>
      <c r="W180" s="4"/>
      <c r="X180" s="4"/>
      <c r="Y180" s="4"/>
      <c r="Z180" s="4"/>
      <c r="AA180" s="4"/>
      <c r="AB180" s="1" t="str">
        <f>IF(OR(_xlfn.SINGLE(JobAgolMap)="", $E180="", $F180=""),"",HYPERLINK(_xlfn.SINGLE(JobAgolMap)&amp;IF(ISNUMBER(FIND("?",_xlfn.SINGLE(JobAgolMap))),"&amp;","?")&amp;"center="&amp;$F180&amp;","&amp;$E180&amp;"&amp;level=16&amp;marker="&amp;$F180&amp;","&amp;$E180,"Open"))</f>
        <v/>
      </c>
    </row>
    <row r="181" spans="1:28" x14ac:dyDescent="0.45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4"/>
      <c r="M181" s="1" t="str">
        <f t="shared" si="12"/>
        <v/>
      </c>
      <c r="N181" s="1" t="str">
        <f t="shared" si="13"/>
        <v/>
      </c>
      <c r="O181" s="1" t="str">
        <f t="shared" si="14"/>
        <v/>
      </c>
      <c r="P181" s="1" t="str">
        <f t="shared" si="15"/>
        <v/>
      </c>
      <c r="Q181" s="1" t="str">
        <f t="shared" si="16"/>
        <v/>
      </c>
      <c r="R181" s="1" t="str">
        <f t="shared" si="17"/>
        <v/>
      </c>
      <c r="S181" s="1" t="str">
        <f>IF(OR($E181="",$F181=""),"",HYPERLINK(IF(OR(_xlfn.SINGLE(JobState)="MI",_xlfn.SINGLE(JobState)=""),"https://fema.maps.arcgis.com/apps/mapviewer/index.html?url=https%3A%2F%2Fmdotgis.state.mi.us%2Farcgis%2Frest%2Fservices%2FWidget%2FNextGenPrFinderPub%2FFeatureServer%2F353&amp;find="&amp;$F181&amp;"%2C"&amp;$E181&amp;"&amp;marker="&amp;$F181&amp;","&amp;$E181&amp;",4326&amp;level=16",IF(_xlfn.SINGLE(JobState)="IN","https://fema.maps.arcgis.com/apps/mapviewer/index.html?url=https%3A%2F%2Fgisdata.in.gov%2Fserver%2Frest%2Fservices%2FHosted%2FLRSE_Functional_Class%2FFeatureServer%2F22&amp;find="&amp;$F181&amp;"%2C"&amp;$E181&amp;"&amp;marker="&amp;$F181&amp;","&amp;$E181&amp;",4326&amp;level=16",IF(_xlfn.SINGLE(JobState)="WI","https://fema.maps.arcgis.com/apps/mapviewer/index.html?url=https%3A%2F%2Fservices5.arcgis.com%2F0pgGLzT0Nh7FVjon%2Farcgis%2Frest%2Fservices%2FFFCL_gdb%2FFeatureServer%2F3&amp;find="&amp;$F181&amp;"%2C"&amp;$E181&amp;"&amp;marker="&amp;$F181&amp;","&amp;$E181&amp;",4326&amp;level=16","https://fema.maps.arcgis.com/apps/mapviewer/index.html?find="&amp;$F181&amp;"%2C"&amp;$E181&amp;"&amp;marker="&amp;$F181&amp;","&amp;$E181&amp;",4326&amp;level=16"))),"Open"))</f>
        <v/>
      </c>
      <c r="T181" s="4"/>
      <c r="U181" s="4"/>
      <c r="V181" s="4"/>
      <c r="W181" s="4"/>
      <c r="X181" s="4"/>
      <c r="Y181" s="4"/>
      <c r="Z181" s="4"/>
      <c r="AA181" s="4"/>
      <c r="AB181" s="1" t="str">
        <f>IF(OR(_xlfn.SINGLE(JobAgolMap)="", $E181="", $F181=""),"",HYPERLINK(_xlfn.SINGLE(JobAgolMap)&amp;IF(ISNUMBER(FIND("?",_xlfn.SINGLE(JobAgolMap))),"&amp;","?")&amp;"center="&amp;$F181&amp;","&amp;$E181&amp;"&amp;level=16&amp;marker="&amp;$F181&amp;","&amp;$E181,"Open"))</f>
        <v/>
      </c>
    </row>
    <row r="182" spans="1:28" x14ac:dyDescent="0.45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4"/>
      <c r="M182" s="1" t="str">
        <f t="shared" si="12"/>
        <v/>
      </c>
      <c r="N182" s="1" t="str">
        <f t="shared" si="13"/>
        <v/>
      </c>
      <c r="O182" s="1" t="str">
        <f t="shared" si="14"/>
        <v/>
      </c>
      <c r="P182" s="1" t="str">
        <f t="shared" si="15"/>
        <v/>
      </c>
      <c r="Q182" s="1" t="str">
        <f t="shared" si="16"/>
        <v/>
      </c>
      <c r="R182" s="1" t="str">
        <f t="shared" si="17"/>
        <v/>
      </c>
      <c r="S182" s="1" t="str">
        <f>IF(OR($E182="",$F182=""),"",HYPERLINK(IF(OR(_xlfn.SINGLE(JobState)="MI",_xlfn.SINGLE(JobState)=""),"https://fema.maps.arcgis.com/apps/mapviewer/index.html?url=https%3A%2F%2Fmdotgis.state.mi.us%2Farcgis%2Frest%2Fservices%2FWidget%2FNextGenPrFinderPub%2FFeatureServer%2F353&amp;find="&amp;$F182&amp;"%2C"&amp;$E182&amp;"&amp;marker="&amp;$F182&amp;","&amp;$E182&amp;",4326&amp;level=16",IF(_xlfn.SINGLE(JobState)="IN","https://fema.maps.arcgis.com/apps/mapviewer/index.html?url=https%3A%2F%2Fgisdata.in.gov%2Fserver%2Frest%2Fservices%2FHosted%2FLRSE_Functional_Class%2FFeatureServer%2F22&amp;find="&amp;$F182&amp;"%2C"&amp;$E182&amp;"&amp;marker="&amp;$F182&amp;","&amp;$E182&amp;",4326&amp;level=16",IF(_xlfn.SINGLE(JobState)="WI","https://fema.maps.arcgis.com/apps/mapviewer/index.html?url=https%3A%2F%2Fservices5.arcgis.com%2F0pgGLzT0Nh7FVjon%2Farcgis%2Frest%2Fservices%2FFFCL_gdb%2FFeatureServer%2F3&amp;find="&amp;$F182&amp;"%2C"&amp;$E182&amp;"&amp;marker="&amp;$F182&amp;","&amp;$E182&amp;",4326&amp;level=16","https://fema.maps.arcgis.com/apps/mapviewer/index.html?find="&amp;$F182&amp;"%2C"&amp;$E182&amp;"&amp;marker="&amp;$F182&amp;","&amp;$E182&amp;",4326&amp;level=16"))),"Open"))</f>
        <v/>
      </c>
      <c r="T182" s="4"/>
      <c r="U182" s="4"/>
      <c r="V182" s="4"/>
      <c r="W182" s="4"/>
      <c r="X182" s="4"/>
      <c r="Y182" s="4"/>
      <c r="Z182" s="4"/>
      <c r="AA182" s="4"/>
      <c r="AB182" s="1" t="str">
        <f>IF(OR(_xlfn.SINGLE(JobAgolMap)="", $E182="", $F182=""),"",HYPERLINK(_xlfn.SINGLE(JobAgolMap)&amp;IF(ISNUMBER(FIND("?",_xlfn.SINGLE(JobAgolMap))),"&amp;","?")&amp;"center="&amp;$F182&amp;","&amp;$E182&amp;"&amp;level=16&amp;marker="&amp;$F182&amp;","&amp;$E182,"Open"))</f>
        <v/>
      </c>
    </row>
    <row r="183" spans="1:28" x14ac:dyDescent="0.45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4"/>
      <c r="M183" s="1" t="str">
        <f t="shared" si="12"/>
        <v/>
      </c>
      <c r="N183" s="1" t="str">
        <f t="shared" si="13"/>
        <v/>
      </c>
      <c r="O183" s="1" t="str">
        <f t="shared" si="14"/>
        <v/>
      </c>
      <c r="P183" s="1" t="str">
        <f t="shared" si="15"/>
        <v/>
      </c>
      <c r="Q183" s="1" t="str">
        <f t="shared" si="16"/>
        <v/>
      </c>
      <c r="R183" s="1" t="str">
        <f t="shared" si="17"/>
        <v/>
      </c>
      <c r="S183" s="1" t="str">
        <f>IF(OR($E183="",$F183=""),"",HYPERLINK(IF(OR(_xlfn.SINGLE(JobState)="MI",_xlfn.SINGLE(JobState)=""),"https://fema.maps.arcgis.com/apps/mapviewer/index.html?url=https%3A%2F%2Fmdotgis.state.mi.us%2Farcgis%2Frest%2Fservices%2FWidget%2FNextGenPrFinderPub%2FFeatureServer%2F353&amp;find="&amp;$F183&amp;"%2C"&amp;$E183&amp;"&amp;marker="&amp;$F183&amp;","&amp;$E183&amp;",4326&amp;level=16",IF(_xlfn.SINGLE(JobState)="IN","https://fema.maps.arcgis.com/apps/mapviewer/index.html?url=https%3A%2F%2Fgisdata.in.gov%2Fserver%2Frest%2Fservices%2FHosted%2FLRSE_Functional_Class%2FFeatureServer%2F22&amp;find="&amp;$F183&amp;"%2C"&amp;$E183&amp;"&amp;marker="&amp;$F183&amp;","&amp;$E183&amp;",4326&amp;level=16",IF(_xlfn.SINGLE(JobState)="WI","https://fema.maps.arcgis.com/apps/mapviewer/index.html?url=https%3A%2F%2Fservices5.arcgis.com%2F0pgGLzT0Nh7FVjon%2Farcgis%2Frest%2Fservices%2FFFCL_gdb%2FFeatureServer%2F3&amp;find="&amp;$F183&amp;"%2C"&amp;$E183&amp;"&amp;marker="&amp;$F183&amp;","&amp;$E183&amp;",4326&amp;level=16","https://fema.maps.arcgis.com/apps/mapviewer/index.html?find="&amp;$F183&amp;"%2C"&amp;$E183&amp;"&amp;marker="&amp;$F183&amp;","&amp;$E183&amp;",4326&amp;level=16"))),"Open"))</f>
        <v/>
      </c>
      <c r="T183" s="4"/>
      <c r="U183" s="4"/>
      <c r="V183" s="4"/>
      <c r="W183" s="4"/>
      <c r="X183" s="4"/>
      <c r="Y183" s="4"/>
      <c r="Z183" s="4"/>
      <c r="AA183" s="4"/>
      <c r="AB183" s="1" t="str">
        <f>IF(OR(_xlfn.SINGLE(JobAgolMap)="", $E183="", $F183=""),"",HYPERLINK(_xlfn.SINGLE(JobAgolMap)&amp;IF(ISNUMBER(FIND("?",_xlfn.SINGLE(JobAgolMap))),"&amp;","?")&amp;"center="&amp;$F183&amp;","&amp;$E183&amp;"&amp;level=16&amp;marker="&amp;$F183&amp;","&amp;$E183,"Open"))</f>
        <v/>
      </c>
    </row>
    <row r="184" spans="1:28" x14ac:dyDescent="0.45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4"/>
      <c r="M184" s="1" t="str">
        <f t="shared" si="12"/>
        <v/>
      </c>
      <c r="N184" s="1" t="str">
        <f t="shared" si="13"/>
        <v/>
      </c>
      <c r="O184" s="1" t="str">
        <f t="shared" si="14"/>
        <v/>
      </c>
      <c r="P184" s="1" t="str">
        <f t="shared" si="15"/>
        <v/>
      </c>
      <c r="Q184" s="1" t="str">
        <f t="shared" si="16"/>
        <v/>
      </c>
      <c r="R184" s="1" t="str">
        <f t="shared" si="17"/>
        <v/>
      </c>
      <c r="S184" s="1" t="str">
        <f>IF(OR($E184="",$F184=""),"",HYPERLINK(IF(OR(_xlfn.SINGLE(JobState)="MI",_xlfn.SINGLE(JobState)=""),"https://fema.maps.arcgis.com/apps/mapviewer/index.html?url=https%3A%2F%2Fmdotgis.state.mi.us%2Farcgis%2Frest%2Fservices%2FWidget%2FNextGenPrFinderPub%2FFeatureServer%2F353&amp;find="&amp;$F184&amp;"%2C"&amp;$E184&amp;"&amp;marker="&amp;$F184&amp;","&amp;$E184&amp;",4326&amp;level=16",IF(_xlfn.SINGLE(JobState)="IN","https://fema.maps.arcgis.com/apps/mapviewer/index.html?url=https%3A%2F%2Fgisdata.in.gov%2Fserver%2Frest%2Fservices%2FHosted%2FLRSE_Functional_Class%2FFeatureServer%2F22&amp;find="&amp;$F184&amp;"%2C"&amp;$E184&amp;"&amp;marker="&amp;$F184&amp;","&amp;$E184&amp;",4326&amp;level=16",IF(_xlfn.SINGLE(JobState)="WI","https://fema.maps.arcgis.com/apps/mapviewer/index.html?url=https%3A%2F%2Fservices5.arcgis.com%2F0pgGLzT0Nh7FVjon%2Farcgis%2Frest%2Fservices%2FFFCL_gdb%2FFeatureServer%2F3&amp;find="&amp;$F184&amp;"%2C"&amp;$E184&amp;"&amp;marker="&amp;$F184&amp;","&amp;$E184&amp;",4326&amp;level=16","https://fema.maps.arcgis.com/apps/mapviewer/index.html?find="&amp;$F184&amp;"%2C"&amp;$E184&amp;"&amp;marker="&amp;$F184&amp;","&amp;$E184&amp;",4326&amp;level=16"))),"Open"))</f>
        <v/>
      </c>
      <c r="T184" s="4"/>
      <c r="U184" s="4"/>
      <c r="V184" s="4"/>
      <c r="W184" s="4"/>
      <c r="X184" s="4"/>
      <c r="Y184" s="4"/>
      <c r="Z184" s="4"/>
      <c r="AA184" s="4"/>
      <c r="AB184" s="1" t="str">
        <f>IF(OR(_xlfn.SINGLE(JobAgolMap)="", $E184="", $F184=""),"",HYPERLINK(_xlfn.SINGLE(JobAgolMap)&amp;IF(ISNUMBER(FIND("?",_xlfn.SINGLE(JobAgolMap))),"&amp;","?")&amp;"center="&amp;$F184&amp;","&amp;$E184&amp;"&amp;level=16&amp;marker="&amp;$F184&amp;","&amp;$E184,"Open"))</f>
        <v/>
      </c>
    </row>
    <row r="185" spans="1:28" x14ac:dyDescent="0.45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4"/>
      <c r="M185" s="1" t="str">
        <f t="shared" si="12"/>
        <v/>
      </c>
      <c r="N185" s="1" t="str">
        <f t="shared" si="13"/>
        <v/>
      </c>
      <c r="O185" s="1" t="str">
        <f t="shared" si="14"/>
        <v/>
      </c>
      <c r="P185" s="1" t="str">
        <f t="shared" si="15"/>
        <v/>
      </c>
      <c r="Q185" s="1" t="str">
        <f t="shared" si="16"/>
        <v/>
      </c>
      <c r="R185" s="1" t="str">
        <f t="shared" si="17"/>
        <v/>
      </c>
      <c r="S185" s="1" t="str">
        <f>IF(OR($E185="",$F185=""),"",HYPERLINK(IF(OR(_xlfn.SINGLE(JobState)="MI",_xlfn.SINGLE(JobState)=""),"https://fema.maps.arcgis.com/apps/mapviewer/index.html?url=https%3A%2F%2Fmdotgis.state.mi.us%2Farcgis%2Frest%2Fservices%2FWidget%2FNextGenPrFinderPub%2FFeatureServer%2F353&amp;find="&amp;$F185&amp;"%2C"&amp;$E185&amp;"&amp;marker="&amp;$F185&amp;","&amp;$E185&amp;",4326&amp;level=16",IF(_xlfn.SINGLE(JobState)="IN","https://fema.maps.arcgis.com/apps/mapviewer/index.html?url=https%3A%2F%2Fgisdata.in.gov%2Fserver%2Frest%2Fservices%2FHosted%2FLRSE_Functional_Class%2FFeatureServer%2F22&amp;find="&amp;$F185&amp;"%2C"&amp;$E185&amp;"&amp;marker="&amp;$F185&amp;","&amp;$E185&amp;",4326&amp;level=16",IF(_xlfn.SINGLE(JobState)="WI","https://fema.maps.arcgis.com/apps/mapviewer/index.html?url=https%3A%2F%2Fservices5.arcgis.com%2F0pgGLzT0Nh7FVjon%2Farcgis%2Frest%2Fservices%2FFFCL_gdb%2FFeatureServer%2F3&amp;find="&amp;$F185&amp;"%2C"&amp;$E185&amp;"&amp;marker="&amp;$F185&amp;","&amp;$E185&amp;",4326&amp;level=16","https://fema.maps.arcgis.com/apps/mapviewer/index.html?find="&amp;$F185&amp;"%2C"&amp;$E185&amp;"&amp;marker="&amp;$F185&amp;","&amp;$E185&amp;",4326&amp;level=16"))),"Open"))</f>
        <v/>
      </c>
      <c r="T185" s="4"/>
      <c r="U185" s="4"/>
      <c r="V185" s="4"/>
      <c r="W185" s="4"/>
      <c r="X185" s="4"/>
      <c r="Y185" s="4"/>
      <c r="Z185" s="4"/>
      <c r="AA185" s="4"/>
      <c r="AB185" s="1" t="str">
        <f>IF(OR(_xlfn.SINGLE(JobAgolMap)="", $E185="", $F185=""),"",HYPERLINK(_xlfn.SINGLE(JobAgolMap)&amp;IF(ISNUMBER(FIND("?",_xlfn.SINGLE(JobAgolMap))),"&amp;","?")&amp;"center="&amp;$F185&amp;","&amp;$E185&amp;"&amp;level=16&amp;marker="&amp;$F185&amp;","&amp;$E185,"Open"))</f>
        <v/>
      </c>
    </row>
    <row r="186" spans="1:28" x14ac:dyDescent="0.45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4"/>
      <c r="M186" s="1" t="str">
        <f t="shared" si="12"/>
        <v/>
      </c>
      <c r="N186" s="1" t="str">
        <f t="shared" si="13"/>
        <v/>
      </c>
      <c r="O186" s="1" t="str">
        <f t="shared" si="14"/>
        <v/>
      </c>
      <c r="P186" s="1" t="str">
        <f t="shared" si="15"/>
        <v/>
      </c>
      <c r="Q186" s="1" t="str">
        <f t="shared" si="16"/>
        <v/>
      </c>
      <c r="R186" s="1" t="str">
        <f t="shared" si="17"/>
        <v/>
      </c>
      <c r="S186" s="1" t="str">
        <f>IF(OR($E186="",$F186=""),"",HYPERLINK(IF(OR(_xlfn.SINGLE(JobState)="MI",_xlfn.SINGLE(JobState)=""),"https://fema.maps.arcgis.com/apps/mapviewer/index.html?url=https%3A%2F%2Fmdotgis.state.mi.us%2Farcgis%2Frest%2Fservices%2FWidget%2FNextGenPrFinderPub%2FFeatureServer%2F353&amp;find="&amp;$F186&amp;"%2C"&amp;$E186&amp;"&amp;marker="&amp;$F186&amp;","&amp;$E186&amp;",4326&amp;level=16",IF(_xlfn.SINGLE(JobState)="IN","https://fema.maps.arcgis.com/apps/mapviewer/index.html?url=https%3A%2F%2Fgisdata.in.gov%2Fserver%2Frest%2Fservices%2FHosted%2FLRSE_Functional_Class%2FFeatureServer%2F22&amp;find="&amp;$F186&amp;"%2C"&amp;$E186&amp;"&amp;marker="&amp;$F186&amp;","&amp;$E186&amp;",4326&amp;level=16",IF(_xlfn.SINGLE(JobState)="WI","https://fema.maps.arcgis.com/apps/mapviewer/index.html?url=https%3A%2F%2Fservices5.arcgis.com%2F0pgGLzT0Nh7FVjon%2Farcgis%2Frest%2Fservices%2FFFCL_gdb%2FFeatureServer%2F3&amp;find="&amp;$F186&amp;"%2C"&amp;$E186&amp;"&amp;marker="&amp;$F186&amp;","&amp;$E186&amp;",4326&amp;level=16","https://fema.maps.arcgis.com/apps/mapviewer/index.html?find="&amp;$F186&amp;"%2C"&amp;$E186&amp;"&amp;marker="&amp;$F186&amp;","&amp;$E186&amp;",4326&amp;level=16"))),"Open"))</f>
        <v/>
      </c>
      <c r="T186" s="4"/>
      <c r="U186" s="4"/>
      <c r="V186" s="4"/>
      <c r="W186" s="4"/>
      <c r="X186" s="4"/>
      <c r="Y186" s="4"/>
      <c r="Z186" s="4"/>
      <c r="AA186" s="4"/>
      <c r="AB186" s="1" t="str">
        <f>IF(OR(_xlfn.SINGLE(JobAgolMap)="", $E186="", $F186=""),"",HYPERLINK(_xlfn.SINGLE(JobAgolMap)&amp;IF(ISNUMBER(FIND("?",_xlfn.SINGLE(JobAgolMap))),"&amp;","?")&amp;"center="&amp;$F186&amp;","&amp;$E186&amp;"&amp;level=16&amp;marker="&amp;$F186&amp;","&amp;$E186,"Open"))</f>
        <v/>
      </c>
    </row>
    <row r="187" spans="1:28" x14ac:dyDescent="0.45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4"/>
      <c r="M187" s="1" t="str">
        <f t="shared" si="12"/>
        <v/>
      </c>
      <c r="N187" s="1" t="str">
        <f t="shared" si="13"/>
        <v/>
      </c>
      <c r="O187" s="1" t="str">
        <f t="shared" si="14"/>
        <v/>
      </c>
      <c r="P187" s="1" t="str">
        <f t="shared" si="15"/>
        <v/>
      </c>
      <c r="Q187" s="1" t="str">
        <f t="shared" si="16"/>
        <v/>
      </c>
      <c r="R187" s="1" t="str">
        <f t="shared" si="17"/>
        <v/>
      </c>
      <c r="S187" s="1" t="str">
        <f>IF(OR($E187="",$F187=""),"",HYPERLINK(IF(OR(_xlfn.SINGLE(JobState)="MI",_xlfn.SINGLE(JobState)=""),"https://fema.maps.arcgis.com/apps/mapviewer/index.html?url=https%3A%2F%2Fmdotgis.state.mi.us%2Farcgis%2Frest%2Fservices%2FWidget%2FNextGenPrFinderPub%2FFeatureServer%2F353&amp;find="&amp;$F187&amp;"%2C"&amp;$E187&amp;"&amp;marker="&amp;$F187&amp;","&amp;$E187&amp;",4326&amp;level=16",IF(_xlfn.SINGLE(JobState)="IN","https://fema.maps.arcgis.com/apps/mapviewer/index.html?url=https%3A%2F%2Fgisdata.in.gov%2Fserver%2Frest%2Fservices%2FHosted%2FLRSE_Functional_Class%2FFeatureServer%2F22&amp;find="&amp;$F187&amp;"%2C"&amp;$E187&amp;"&amp;marker="&amp;$F187&amp;","&amp;$E187&amp;",4326&amp;level=16",IF(_xlfn.SINGLE(JobState)="WI","https://fema.maps.arcgis.com/apps/mapviewer/index.html?url=https%3A%2F%2Fservices5.arcgis.com%2F0pgGLzT0Nh7FVjon%2Farcgis%2Frest%2Fservices%2FFFCL_gdb%2FFeatureServer%2F3&amp;find="&amp;$F187&amp;"%2C"&amp;$E187&amp;"&amp;marker="&amp;$F187&amp;","&amp;$E187&amp;",4326&amp;level=16","https://fema.maps.arcgis.com/apps/mapviewer/index.html?find="&amp;$F187&amp;"%2C"&amp;$E187&amp;"&amp;marker="&amp;$F187&amp;","&amp;$E187&amp;",4326&amp;level=16"))),"Open"))</f>
        <v/>
      </c>
      <c r="T187" s="4"/>
      <c r="U187" s="4"/>
      <c r="V187" s="4"/>
      <c r="W187" s="4"/>
      <c r="X187" s="4"/>
      <c r="Y187" s="4"/>
      <c r="Z187" s="4"/>
      <c r="AA187" s="4"/>
      <c r="AB187" s="1" t="str">
        <f>IF(OR(_xlfn.SINGLE(JobAgolMap)="", $E187="", $F187=""),"",HYPERLINK(_xlfn.SINGLE(JobAgolMap)&amp;IF(ISNUMBER(FIND("?",_xlfn.SINGLE(JobAgolMap))),"&amp;","?")&amp;"center="&amp;$F187&amp;","&amp;$E187&amp;"&amp;level=16&amp;marker="&amp;$F187&amp;","&amp;$E187,"Open"))</f>
        <v/>
      </c>
    </row>
    <row r="188" spans="1:28" x14ac:dyDescent="0.45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4"/>
      <c r="M188" s="1" t="str">
        <f t="shared" si="12"/>
        <v/>
      </c>
      <c r="N188" s="1" t="str">
        <f t="shared" si="13"/>
        <v/>
      </c>
      <c r="O188" s="1" t="str">
        <f t="shared" si="14"/>
        <v/>
      </c>
      <c r="P188" s="1" t="str">
        <f t="shared" si="15"/>
        <v/>
      </c>
      <c r="Q188" s="1" t="str">
        <f t="shared" si="16"/>
        <v/>
      </c>
      <c r="R188" s="1" t="str">
        <f t="shared" si="17"/>
        <v/>
      </c>
      <c r="S188" s="1" t="str">
        <f>IF(OR($E188="",$F188=""),"",HYPERLINK(IF(OR(_xlfn.SINGLE(JobState)="MI",_xlfn.SINGLE(JobState)=""),"https://fema.maps.arcgis.com/apps/mapviewer/index.html?url=https%3A%2F%2Fmdotgis.state.mi.us%2Farcgis%2Frest%2Fservices%2FWidget%2FNextGenPrFinderPub%2FFeatureServer%2F353&amp;find="&amp;$F188&amp;"%2C"&amp;$E188&amp;"&amp;marker="&amp;$F188&amp;","&amp;$E188&amp;",4326&amp;level=16",IF(_xlfn.SINGLE(JobState)="IN","https://fema.maps.arcgis.com/apps/mapviewer/index.html?url=https%3A%2F%2Fgisdata.in.gov%2Fserver%2Frest%2Fservices%2FHosted%2FLRSE_Functional_Class%2FFeatureServer%2F22&amp;find="&amp;$F188&amp;"%2C"&amp;$E188&amp;"&amp;marker="&amp;$F188&amp;","&amp;$E188&amp;",4326&amp;level=16",IF(_xlfn.SINGLE(JobState)="WI","https://fema.maps.arcgis.com/apps/mapviewer/index.html?url=https%3A%2F%2Fservices5.arcgis.com%2F0pgGLzT0Nh7FVjon%2Farcgis%2Frest%2Fservices%2FFFCL_gdb%2FFeatureServer%2F3&amp;find="&amp;$F188&amp;"%2C"&amp;$E188&amp;"&amp;marker="&amp;$F188&amp;","&amp;$E188&amp;",4326&amp;level=16","https://fema.maps.arcgis.com/apps/mapviewer/index.html?find="&amp;$F188&amp;"%2C"&amp;$E188&amp;"&amp;marker="&amp;$F188&amp;","&amp;$E188&amp;",4326&amp;level=16"))),"Open"))</f>
        <v/>
      </c>
      <c r="T188" s="4"/>
      <c r="U188" s="4"/>
      <c r="V188" s="4"/>
      <c r="W188" s="4"/>
      <c r="X188" s="4"/>
      <c r="Y188" s="4"/>
      <c r="Z188" s="4"/>
      <c r="AA188" s="4"/>
      <c r="AB188" s="1" t="str">
        <f>IF(OR(_xlfn.SINGLE(JobAgolMap)="", $E188="", $F188=""),"",HYPERLINK(_xlfn.SINGLE(JobAgolMap)&amp;IF(ISNUMBER(FIND("?",_xlfn.SINGLE(JobAgolMap))),"&amp;","?")&amp;"center="&amp;$F188&amp;","&amp;$E188&amp;"&amp;level=16&amp;marker="&amp;$F188&amp;","&amp;$E188,"Open"))</f>
        <v/>
      </c>
    </row>
    <row r="189" spans="1:28" x14ac:dyDescent="0.45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4"/>
      <c r="M189" s="1" t="str">
        <f t="shared" si="12"/>
        <v/>
      </c>
      <c r="N189" s="1" t="str">
        <f t="shared" si="13"/>
        <v/>
      </c>
      <c r="O189" s="1" t="str">
        <f t="shared" si="14"/>
        <v/>
      </c>
      <c r="P189" s="1" t="str">
        <f t="shared" si="15"/>
        <v/>
      </c>
      <c r="Q189" s="1" t="str">
        <f t="shared" si="16"/>
        <v/>
      </c>
      <c r="R189" s="1" t="str">
        <f t="shared" si="17"/>
        <v/>
      </c>
      <c r="S189" s="1" t="str">
        <f>IF(OR($E189="",$F189=""),"",HYPERLINK(IF(OR(_xlfn.SINGLE(JobState)="MI",_xlfn.SINGLE(JobState)=""),"https://fema.maps.arcgis.com/apps/mapviewer/index.html?url=https%3A%2F%2Fmdotgis.state.mi.us%2Farcgis%2Frest%2Fservices%2FWidget%2FNextGenPrFinderPub%2FFeatureServer%2F353&amp;find="&amp;$F189&amp;"%2C"&amp;$E189&amp;"&amp;marker="&amp;$F189&amp;","&amp;$E189&amp;",4326&amp;level=16",IF(_xlfn.SINGLE(JobState)="IN","https://fema.maps.arcgis.com/apps/mapviewer/index.html?url=https%3A%2F%2Fgisdata.in.gov%2Fserver%2Frest%2Fservices%2FHosted%2FLRSE_Functional_Class%2FFeatureServer%2F22&amp;find="&amp;$F189&amp;"%2C"&amp;$E189&amp;"&amp;marker="&amp;$F189&amp;","&amp;$E189&amp;",4326&amp;level=16",IF(_xlfn.SINGLE(JobState)="WI","https://fema.maps.arcgis.com/apps/mapviewer/index.html?url=https%3A%2F%2Fservices5.arcgis.com%2F0pgGLzT0Nh7FVjon%2Farcgis%2Frest%2Fservices%2FFFCL_gdb%2FFeatureServer%2F3&amp;find="&amp;$F189&amp;"%2C"&amp;$E189&amp;"&amp;marker="&amp;$F189&amp;","&amp;$E189&amp;",4326&amp;level=16","https://fema.maps.arcgis.com/apps/mapviewer/index.html?find="&amp;$F189&amp;"%2C"&amp;$E189&amp;"&amp;marker="&amp;$F189&amp;","&amp;$E189&amp;",4326&amp;level=16"))),"Open"))</f>
        <v/>
      </c>
      <c r="T189" s="4"/>
      <c r="U189" s="4"/>
      <c r="V189" s="4"/>
      <c r="W189" s="4"/>
      <c r="X189" s="4"/>
      <c r="Y189" s="4"/>
      <c r="Z189" s="4"/>
      <c r="AA189" s="4"/>
      <c r="AB189" s="1" t="str">
        <f>IF(OR(_xlfn.SINGLE(JobAgolMap)="", $E189="", $F189=""),"",HYPERLINK(_xlfn.SINGLE(JobAgolMap)&amp;IF(ISNUMBER(FIND("?",_xlfn.SINGLE(JobAgolMap))),"&amp;","?")&amp;"center="&amp;$F189&amp;","&amp;$E189&amp;"&amp;level=16&amp;marker="&amp;$F189&amp;","&amp;$E189,"Open"))</f>
        <v/>
      </c>
    </row>
    <row r="190" spans="1:28" x14ac:dyDescent="0.45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4"/>
      <c r="M190" s="1" t="str">
        <f t="shared" si="12"/>
        <v/>
      </c>
      <c r="N190" s="1" t="str">
        <f t="shared" si="13"/>
        <v/>
      </c>
      <c r="O190" s="1" t="str">
        <f t="shared" si="14"/>
        <v/>
      </c>
      <c r="P190" s="1" t="str">
        <f t="shared" si="15"/>
        <v/>
      </c>
      <c r="Q190" s="1" t="str">
        <f t="shared" si="16"/>
        <v/>
      </c>
      <c r="R190" s="1" t="str">
        <f t="shared" si="17"/>
        <v/>
      </c>
      <c r="S190" s="1" t="str">
        <f>IF(OR($E190="",$F190=""),"",HYPERLINK(IF(OR(_xlfn.SINGLE(JobState)="MI",_xlfn.SINGLE(JobState)=""),"https://fema.maps.arcgis.com/apps/mapviewer/index.html?url=https%3A%2F%2Fmdotgis.state.mi.us%2Farcgis%2Frest%2Fservices%2FWidget%2FNextGenPrFinderPub%2FFeatureServer%2F353&amp;find="&amp;$F190&amp;"%2C"&amp;$E190&amp;"&amp;marker="&amp;$F190&amp;","&amp;$E190&amp;",4326&amp;level=16",IF(_xlfn.SINGLE(JobState)="IN","https://fema.maps.arcgis.com/apps/mapviewer/index.html?url=https%3A%2F%2Fgisdata.in.gov%2Fserver%2Frest%2Fservices%2FHosted%2FLRSE_Functional_Class%2FFeatureServer%2F22&amp;find="&amp;$F190&amp;"%2C"&amp;$E190&amp;"&amp;marker="&amp;$F190&amp;","&amp;$E190&amp;",4326&amp;level=16",IF(_xlfn.SINGLE(JobState)="WI","https://fema.maps.arcgis.com/apps/mapviewer/index.html?url=https%3A%2F%2Fservices5.arcgis.com%2F0pgGLzT0Nh7FVjon%2Farcgis%2Frest%2Fservices%2FFFCL_gdb%2FFeatureServer%2F3&amp;find="&amp;$F190&amp;"%2C"&amp;$E190&amp;"&amp;marker="&amp;$F190&amp;","&amp;$E190&amp;",4326&amp;level=16","https://fema.maps.arcgis.com/apps/mapviewer/index.html?find="&amp;$F190&amp;"%2C"&amp;$E190&amp;"&amp;marker="&amp;$F190&amp;","&amp;$E190&amp;",4326&amp;level=16"))),"Open"))</f>
        <v/>
      </c>
      <c r="T190" s="4"/>
      <c r="U190" s="4"/>
      <c r="V190" s="4"/>
      <c r="W190" s="4"/>
      <c r="X190" s="4"/>
      <c r="Y190" s="4"/>
      <c r="Z190" s="4"/>
      <c r="AA190" s="4"/>
      <c r="AB190" s="1" t="str">
        <f>IF(OR(_xlfn.SINGLE(JobAgolMap)="", $E190="", $F190=""),"",HYPERLINK(_xlfn.SINGLE(JobAgolMap)&amp;IF(ISNUMBER(FIND("?",_xlfn.SINGLE(JobAgolMap))),"&amp;","?")&amp;"center="&amp;$F190&amp;","&amp;$E190&amp;"&amp;level=16&amp;marker="&amp;$F190&amp;","&amp;$E190,"Open"))</f>
        <v/>
      </c>
    </row>
    <row r="191" spans="1:28" x14ac:dyDescent="0.45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4"/>
      <c r="M191" s="1" t="str">
        <f t="shared" si="12"/>
        <v/>
      </c>
      <c r="N191" s="1" t="str">
        <f t="shared" si="13"/>
        <v/>
      </c>
      <c r="O191" s="1" t="str">
        <f t="shared" si="14"/>
        <v/>
      </c>
      <c r="P191" s="1" t="str">
        <f t="shared" si="15"/>
        <v/>
      </c>
      <c r="Q191" s="1" t="str">
        <f t="shared" si="16"/>
        <v/>
      </c>
      <c r="R191" s="1" t="str">
        <f t="shared" si="17"/>
        <v/>
      </c>
      <c r="S191" s="1" t="str">
        <f>IF(OR($E191="",$F191=""),"",HYPERLINK(IF(OR(_xlfn.SINGLE(JobState)="MI",_xlfn.SINGLE(JobState)=""),"https://fema.maps.arcgis.com/apps/mapviewer/index.html?url=https%3A%2F%2Fmdotgis.state.mi.us%2Farcgis%2Frest%2Fservices%2FWidget%2FNextGenPrFinderPub%2FFeatureServer%2F353&amp;find="&amp;$F191&amp;"%2C"&amp;$E191&amp;"&amp;marker="&amp;$F191&amp;","&amp;$E191&amp;",4326&amp;level=16",IF(_xlfn.SINGLE(JobState)="IN","https://fema.maps.arcgis.com/apps/mapviewer/index.html?url=https%3A%2F%2Fgisdata.in.gov%2Fserver%2Frest%2Fservices%2FHosted%2FLRSE_Functional_Class%2FFeatureServer%2F22&amp;find="&amp;$F191&amp;"%2C"&amp;$E191&amp;"&amp;marker="&amp;$F191&amp;","&amp;$E191&amp;",4326&amp;level=16",IF(_xlfn.SINGLE(JobState)="WI","https://fema.maps.arcgis.com/apps/mapviewer/index.html?url=https%3A%2F%2Fservices5.arcgis.com%2F0pgGLzT0Nh7FVjon%2Farcgis%2Frest%2Fservices%2FFFCL_gdb%2FFeatureServer%2F3&amp;find="&amp;$F191&amp;"%2C"&amp;$E191&amp;"&amp;marker="&amp;$F191&amp;","&amp;$E191&amp;",4326&amp;level=16","https://fema.maps.arcgis.com/apps/mapviewer/index.html?find="&amp;$F191&amp;"%2C"&amp;$E191&amp;"&amp;marker="&amp;$F191&amp;","&amp;$E191&amp;",4326&amp;level=16"))),"Open"))</f>
        <v/>
      </c>
      <c r="T191" s="4"/>
      <c r="U191" s="4"/>
      <c r="V191" s="4"/>
      <c r="W191" s="4"/>
      <c r="X191" s="4"/>
      <c r="Y191" s="4"/>
      <c r="Z191" s="4"/>
      <c r="AA191" s="4"/>
      <c r="AB191" s="1" t="str">
        <f>IF(OR(_xlfn.SINGLE(JobAgolMap)="", $E191="", $F191=""),"",HYPERLINK(_xlfn.SINGLE(JobAgolMap)&amp;IF(ISNUMBER(FIND("?",_xlfn.SINGLE(JobAgolMap))),"&amp;","?")&amp;"center="&amp;$F191&amp;","&amp;$E191&amp;"&amp;level=16&amp;marker="&amp;$F191&amp;","&amp;$E191,"Open"))</f>
        <v/>
      </c>
    </row>
    <row r="192" spans="1:28" x14ac:dyDescent="0.45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4"/>
      <c r="M192" s="1" t="str">
        <f t="shared" si="12"/>
        <v/>
      </c>
      <c r="N192" s="1" t="str">
        <f t="shared" si="13"/>
        <v/>
      </c>
      <c r="O192" s="1" t="str">
        <f t="shared" si="14"/>
        <v/>
      </c>
      <c r="P192" s="1" t="str">
        <f t="shared" si="15"/>
        <v/>
      </c>
      <c r="Q192" s="1" t="str">
        <f t="shared" si="16"/>
        <v/>
      </c>
      <c r="R192" s="1" t="str">
        <f t="shared" si="17"/>
        <v/>
      </c>
      <c r="S192" s="1" t="str">
        <f>IF(OR($E192="",$F192=""),"",HYPERLINK(IF(OR(_xlfn.SINGLE(JobState)="MI",_xlfn.SINGLE(JobState)=""),"https://fema.maps.arcgis.com/apps/mapviewer/index.html?url=https%3A%2F%2Fmdotgis.state.mi.us%2Farcgis%2Frest%2Fservices%2FWidget%2FNextGenPrFinderPub%2FFeatureServer%2F353&amp;find="&amp;$F192&amp;"%2C"&amp;$E192&amp;"&amp;marker="&amp;$F192&amp;","&amp;$E192&amp;",4326&amp;level=16",IF(_xlfn.SINGLE(JobState)="IN","https://fema.maps.arcgis.com/apps/mapviewer/index.html?url=https%3A%2F%2Fgisdata.in.gov%2Fserver%2Frest%2Fservices%2FHosted%2FLRSE_Functional_Class%2FFeatureServer%2F22&amp;find="&amp;$F192&amp;"%2C"&amp;$E192&amp;"&amp;marker="&amp;$F192&amp;","&amp;$E192&amp;",4326&amp;level=16",IF(_xlfn.SINGLE(JobState)="WI","https://fema.maps.arcgis.com/apps/mapviewer/index.html?url=https%3A%2F%2Fservices5.arcgis.com%2F0pgGLzT0Nh7FVjon%2Farcgis%2Frest%2Fservices%2FFFCL_gdb%2FFeatureServer%2F3&amp;find="&amp;$F192&amp;"%2C"&amp;$E192&amp;"&amp;marker="&amp;$F192&amp;","&amp;$E192&amp;",4326&amp;level=16","https://fema.maps.arcgis.com/apps/mapviewer/index.html?find="&amp;$F192&amp;"%2C"&amp;$E192&amp;"&amp;marker="&amp;$F192&amp;","&amp;$E192&amp;",4326&amp;level=16"))),"Open"))</f>
        <v/>
      </c>
      <c r="T192" s="4"/>
      <c r="U192" s="4"/>
      <c r="V192" s="4"/>
      <c r="W192" s="4"/>
      <c r="X192" s="4"/>
      <c r="Y192" s="4"/>
      <c r="Z192" s="4"/>
      <c r="AA192" s="4"/>
      <c r="AB192" s="1" t="str">
        <f>IF(OR(_xlfn.SINGLE(JobAgolMap)="", $E192="", $F192=""),"",HYPERLINK(_xlfn.SINGLE(JobAgolMap)&amp;IF(ISNUMBER(FIND("?",_xlfn.SINGLE(JobAgolMap))),"&amp;","?")&amp;"center="&amp;$F192&amp;","&amp;$E192&amp;"&amp;level=16&amp;marker="&amp;$F192&amp;","&amp;$E192,"Open"))</f>
        <v/>
      </c>
    </row>
    <row r="193" spans="1:28" x14ac:dyDescent="0.45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4"/>
      <c r="M193" s="1" t="str">
        <f t="shared" si="12"/>
        <v/>
      </c>
      <c r="N193" s="1" t="str">
        <f t="shared" si="13"/>
        <v/>
      </c>
      <c r="O193" s="1" t="str">
        <f t="shared" si="14"/>
        <v/>
      </c>
      <c r="P193" s="1" t="str">
        <f t="shared" si="15"/>
        <v/>
      </c>
      <c r="Q193" s="1" t="str">
        <f t="shared" si="16"/>
        <v/>
      </c>
      <c r="R193" s="1" t="str">
        <f t="shared" si="17"/>
        <v/>
      </c>
      <c r="S193" s="1" t="str">
        <f>IF(OR($E193="",$F193=""),"",HYPERLINK(IF(OR(_xlfn.SINGLE(JobState)="MI",_xlfn.SINGLE(JobState)=""),"https://fema.maps.arcgis.com/apps/mapviewer/index.html?url=https%3A%2F%2Fmdotgis.state.mi.us%2Farcgis%2Frest%2Fservices%2FWidget%2FNextGenPrFinderPub%2FFeatureServer%2F353&amp;find="&amp;$F193&amp;"%2C"&amp;$E193&amp;"&amp;marker="&amp;$F193&amp;","&amp;$E193&amp;",4326&amp;level=16",IF(_xlfn.SINGLE(JobState)="IN","https://fema.maps.arcgis.com/apps/mapviewer/index.html?url=https%3A%2F%2Fgisdata.in.gov%2Fserver%2Frest%2Fservices%2FHosted%2FLRSE_Functional_Class%2FFeatureServer%2F22&amp;find="&amp;$F193&amp;"%2C"&amp;$E193&amp;"&amp;marker="&amp;$F193&amp;","&amp;$E193&amp;",4326&amp;level=16",IF(_xlfn.SINGLE(JobState)="WI","https://fema.maps.arcgis.com/apps/mapviewer/index.html?url=https%3A%2F%2Fservices5.arcgis.com%2F0pgGLzT0Nh7FVjon%2Farcgis%2Frest%2Fservices%2FFFCL_gdb%2FFeatureServer%2F3&amp;find="&amp;$F193&amp;"%2C"&amp;$E193&amp;"&amp;marker="&amp;$F193&amp;","&amp;$E193&amp;",4326&amp;level=16","https://fema.maps.arcgis.com/apps/mapviewer/index.html?find="&amp;$F193&amp;"%2C"&amp;$E193&amp;"&amp;marker="&amp;$F193&amp;","&amp;$E193&amp;",4326&amp;level=16"))),"Open"))</f>
        <v/>
      </c>
      <c r="T193" s="4"/>
      <c r="U193" s="4"/>
      <c r="V193" s="4"/>
      <c r="W193" s="4"/>
      <c r="X193" s="4"/>
      <c r="Y193" s="4"/>
      <c r="Z193" s="4"/>
      <c r="AA193" s="4"/>
      <c r="AB193" s="1" t="str">
        <f>IF(OR(_xlfn.SINGLE(JobAgolMap)="", $E193="", $F193=""),"",HYPERLINK(_xlfn.SINGLE(JobAgolMap)&amp;IF(ISNUMBER(FIND("?",_xlfn.SINGLE(JobAgolMap))),"&amp;","?")&amp;"center="&amp;$F193&amp;","&amp;$E193&amp;"&amp;level=16&amp;marker="&amp;$F193&amp;","&amp;$E193,"Open"))</f>
        <v/>
      </c>
    </row>
    <row r="194" spans="1:28" x14ac:dyDescent="0.45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4"/>
      <c r="M194" s="1" t="str">
        <f t="shared" si="12"/>
        <v/>
      </c>
      <c r="N194" s="1" t="str">
        <f t="shared" si="13"/>
        <v/>
      </c>
      <c r="O194" s="1" t="str">
        <f t="shared" si="14"/>
        <v/>
      </c>
      <c r="P194" s="1" t="str">
        <f t="shared" si="15"/>
        <v/>
      </c>
      <c r="Q194" s="1" t="str">
        <f t="shared" si="16"/>
        <v/>
      </c>
      <c r="R194" s="1" t="str">
        <f t="shared" si="17"/>
        <v/>
      </c>
      <c r="S194" s="1" t="str">
        <f>IF(OR($E194="",$F194=""),"",HYPERLINK(IF(OR(_xlfn.SINGLE(JobState)="MI",_xlfn.SINGLE(JobState)=""),"https://fema.maps.arcgis.com/apps/mapviewer/index.html?url=https%3A%2F%2Fmdotgis.state.mi.us%2Farcgis%2Frest%2Fservices%2FWidget%2FNextGenPrFinderPub%2FFeatureServer%2F353&amp;find="&amp;$F194&amp;"%2C"&amp;$E194&amp;"&amp;marker="&amp;$F194&amp;","&amp;$E194&amp;",4326&amp;level=16",IF(_xlfn.SINGLE(JobState)="IN","https://fema.maps.arcgis.com/apps/mapviewer/index.html?url=https%3A%2F%2Fgisdata.in.gov%2Fserver%2Frest%2Fservices%2FHosted%2FLRSE_Functional_Class%2FFeatureServer%2F22&amp;find="&amp;$F194&amp;"%2C"&amp;$E194&amp;"&amp;marker="&amp;$F194&amp;","&amp;$E194&amp;",4326&amp;level=16",IF(_xlfn.SINGLE(JobState)="WI","https://fema.maps.arcgis.com/apps/mapviewer/index.html?url=https%3A%2F%2Fservices5.arcgis.com%2F0pgGLzT0Nh7FVjon%2Farcgis%2Frest%2Fservices%2FFFCL_gdb%2FFeatureServer%2F3&amp;find="&amp;$F194&amp;"%2C"&amp;$E194&amp;"&amp;marker="&amp;$F194&amp;","&amp;$E194&amp;",4326&amp;level=16","https://fema.maps.arcgis.com/apps/mapviewer/index.html?find="&amp;$F194&amp;"%2C"&amp;$E194&amp;"&amp;marker="&amp;$F194&amp;","&amp;$E194&amp;",4326&amp;level=16"))),"Open"))</f>
        <v/>
      </c>
      <c r="T194" s="4"/>
      <c r="U194" s="4"/>
      <c r="V194" s="4"/>
      <c r="W194" s="4"/>
      <c r="X194" s="4"/>
      <c r="Y194" s="4"/>
      <c r="Z194" s="4"/>
      <c r="AA194" s="4"/>
      <c r="AB194" s="1" t="str">
        <f>IF(OR(_xlfn.SINGLE(JobAgolMap)="", $E194="", $F194=""),"",HYPERLINK(_xlfn.SINGLE(JobAgolMap)&amp;IF(ISNUMBER(FIND("?",_xlfn.SINGLE(JobAgolMap))),"&amp;","?")&amp;"center="&amp;$F194&amp;","&amp;$E194&amp;"&amp;level=16&amp;marker="&amp;$F194&amp;","&amp;$E194,"Open"))</f>
        <v/>
      </c>
    </row>
    <row r="195" spans="1:28" x14ac:dyDescent="0.45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4"/>
      <c r="M195" s="1" t="str">
        <f t="shared" ref="M195:M258" si="18">IF(OR($E195="",$F195=""),"",HYPERLINK("https://www.google.com/maps?q="&amp;$E195&amp;","&amp;$F195&amp;"","Map"))</f>
        <v/>
      </c>
      <c r="N195" s="1" t="str">
        <f t="shared" ref="N195:N258" si="19">IF(OR($E195="",$F195=""),"",HYPERLINK("https://www.google.com/maps?q&amp;layer=c&amp;cbll="&amp;$E195&amp;","&amp;$F195&amp;"","Street"))</f>
        <v/>
      </c>
      <c r="O195" s="1" t="str">
        <f t="shared" ref="O195:O258" si="20">IF(OR($E195="",$F195=""),"",HYPERLINK("https://www.bing.com/maps?cp="&amp;$E195&amp;"~"&amp;$F195&amp;"&amp;lvl=18&amp;style=h","Bing"))</f>
        <v/>
      </c>
      <c r="P195" s="1" t="str">
        <f t="shared" ref="P195:P258" si="21">IF(OR($E195="",$F195=""),"",HYPERLINK("https://earth.google.com/web/search/"&amp;$E195&amp;","&amp;$F195&amp;"","Earth"))</f>
        <v/>
      </c>
      <c r="Q195" s="1" t="str">
        <f t="shared" ref="Q195:Q258" si="22">IF(OR($E195="",$F195=""),"",HYPERLINK("https://fema.maps.arcgis.com/apps/mapviewer/index.html?find="&amp;$F195&amp;"%2C"&amp;$E195&amp;"&amp;marker="&amp;$F195&amp;","&amp;$E195&amp;",4326&amp;level=16","FEMA"))</f>
        <v/>
      </c>
      <c r="R195" s="1" t="str">
        <f t="shared" ref="R195:R258" si="23">IF(OR($E195="",$F195=""),"",HYPERLINK("https://msc.fema.gov/portal/firmette?latitude="&amp;$E195&amp;"&amp;longitude="&amp;$F195&amp;"","FIRMette"))</f>
        <v/>
      </c>
      <c r="S195" s="1" t="str">
        <f>IF(OR($E195="",$F195=""),"",HYPERLINK(IF(OR(_xlfn.SINGLE(JobState)="MI",_xlfn.SINGLE(JobState)=""),"https://fema.maps.arcgis.com/apps/mapviewer/index.html?url=https%3A%2F%2Fmdotgis.state.mi.us%2Farcgis%2Frest%2Fservices%2FWidget%2FNextGenPrFinderPub%2FFeatureServer%2F353&amp;find="&amp;$F195&amp;"%2C"&amp;$E195&amp;"&amp;marker="&amp;$F195&amp;","&amp;$E195&amp;",4326&amp;level=16",IF(_xlfn.SINGLE(JobState)="IN","https://fema.maps.arcgis.com/apps/mapviewer/index.html?url=https%3A%2F%2Fgisdata.in.gov%2Fserver%2Frest%2Fservices%2FHosted%2FLRSE_Functional_Class%2FFeatureServer%2F22&amp;find="&amp;$F195&amp;"%2C"&amp;$E195&amp;"&amp;marker="&amp;$F195&amp;","&amp;$E195&amp;",4326&amp;level=16",IF(_xlfn.SINGLE(JobState)="WI","https://fema.maps.arcgis.com/apps/mapviewer/index.html?url=https%3A%2F%2Fservices5.arcgis.com%2F0pgGLzT0Nh7FVjon%2Farcgis%2Frest%2Fservices%2FFFCL_gdb%2FFeatureServer%2F3&amp;find="&amp;$F195&amp;"%2C"&amp;$E195&amp;"&amp;marker="&amp;$F195&amp;","&amp;$E195&amp;",4326&amp;level=16","https://fema.maps.arcgis.com/apps/mapviewer/index.html?find="&amp;$F195&amp;"%2C"&amp;$E195&amp;"&amp;marker="&amp;$F195&amp;","&amp;$E195&amp;",4326&amp;level=16"))),"Open"))</f>
        <v/>
      </c>
      <c r="T195" s="4"/>
      <c r="U195" s="4"/>
      <c r="V195" s="4"/>
      <c r="W195" s="4"/>
      <c r="X195" s="4"/>
      <c r="Y195" s="4"/>
      <c r="Z195" s="4"/>
      <c r="AA195" s="4"/>
      <c r="AB195" s="1" t="str">
        <f>IF(OR(_xlfn.SINGLE(JobAgolMap)="", $E195="", $F195=""),"",HYPERLINK(_xlfn.SINGLE(JobAgolMap)&amp;IF(ISNUMBER(FIND("?",_xlfn.SINGLE(JobAgolMap))),"&amp;","?")&amp;"center="&amp;$F195&amp;","&amp;$E195&amp;"&amp;level=16&amp;marker="&amp;$F195&amp;","&amp;$E195,"Open"))</f>
        <v/>
      </c>
    </row>
    <row r="196" spans="1:28" x14ac:dyDescent="0.45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4"/>
      <c r="M196" s="1" t="str">
        <f t="shared" si="18"/>
        <v/>
      </c>
      <c r="N196" s="1" t="str">
        <f t="shared" si="19"/>
        <v/>
      </c>
      <c r="O196" s="1" t="str">
        <f t="shared" si="20"/>
        <v/>
      </c>
      <c r="P196" s="1" t="str">
        <f t="shared" si="21"/>
        <v/>
      </c>
      <c r="Q196" s="1" t="str">
        <f t="shared" si="22"/>
        <v/>
      </c>
      <c r="R196" s="1" t="str">
        <f t="shared" si="23"/>
        <v/>
      </c>
      <c r="S196" s="1" t="str">
        <f>IF(OR($E196="",$F196=""),"",HYPERLINK(IF(OR(_xlfn.SINGLE(JobState)="MI",_xlfn.SINGLE(JobState)=""),"https://fema.maps.arcgis.com/apps/mapviewer/index.html?url=https%3A%2F%2Fmdotgis.state.mi.us%2Farcgis%2Frest%2Fservices%2FWidget%2FNextGenPrFinderPub%2FFeatureServer%2F353&amp;find="&amp;$F196&amp;"%2C"&amp;$E196&amp;"&amp;marker="&amp;$F196&amp;","&amp;$E196&amp;",4326&amp;level=16",IF(_xlfn.SINGLE(JobState)="IN","https://fema.maps.arcgis.com/apps/mapviewer/index.html?url=https%3A%2F%2Fgisdata.in.gov%2Fserver%2Frest%2Fservices%2FHosted%2FLRSE_Functional_Class%2FFeatureServer%2F22&amp;find="&amp;$F196&amp;"%2C"&amp;$E196&amp;"&amp;marker="&amp;$F196&amp;","&amp;$E196&amp;",4326&amp;level=16",IF(_xlfn.SINGLE(JobState)="WI","https://fema.maps.arcgis.com/apps/mapviewer/index.html?url=https%3A%2F%2Fservices5.arcgis.com%2F0pgGLzT0Nh7FVjon%2Farcgis%2Frest%2Fservices%2FFFCL_gdb%2FFeatureServer%2F3&amp;find="&amp;$F196&amp;"%2C"&amp;$E196&amp;"&amp;marker="&amp;$F196&amp;","&amp;$E196&amp;",4326&amp;level=16","https://fema.maps.arcgis.com/apps/mapviewer/index.html?find="&amp;$F196&amp;"%2C"&amp;$E196&amp;"&amp;marker="&amp;$F196&amp;","&amp;$E196&amp;",4326&amp;level=16"))),"Open"))</f>
        <v/>
      </c>
      <c r="T196" s="4"/>
      <c r="U196" s="4"/>
      <c r="V196" s="4"/>
      <c r="W196" s="4"/>
      <c r="X196" s="4"/>
      <c r="Y196" s="4"/>
      <c r="Z196" s="4"/>
      <c r="AA196" s="4"/>
      <c r="AB196" s="1" t="str">
        <f>IF(OR(_xlfn.SINGLE(JobAgolMap)="", $E196="", $F196=""),"",HYPERLINK(_xlfn.SINGLE(JobAgolMap)&amp;IF(ISNUMBER(FIND("?",_xlfn.SINGLE(JobAgolMap))),"&amp;","?")&amp;"center="&amp;$F196&amp;","&amp;$E196&amp;"&amp;level=16&amp;marker="&amp;$F196&amp;","&amp;$E196,"Open"))</f>
        <v/>
      </c>
    </row>
    <row r="197" spans="1:28" x14ac:dyDescent="0.45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4"/>
      <c r="M197" s="1" t="str">
        <f t="shared" si="18"/>
        <v/>
      </c>
      <c r="N197" s="1" t="str">
        <f t="shared" si="19"/>
        <v/>
      </c>
      <c r="O197" s="1" t="str">
        <f t="shared" si="20"/>
        <v/>
      </c>
      <c r="P197" s="1" t="str">
        <f t="shared" si="21"/>
        <v/>
      </c>
      <c r="Q197" s="1" t="str">
        <f t="shared" si="22"/>
        <v/>
      </c>
      <c r="R197" s="1" t="str">
        <f t="shared" si="23"/>
        <v/>
      </c>
      <c r="S197" s="1" t="str">
        <f>IF(OR($E197="",$F197=""),"",HYPERLINK(IF(OR(_xlfn.SINGLE(JobState)="MI",_xlfn.SINGLE(JobState)=""),"https://fema.maps.arcgis.com/apps/mapviewer/index.html?url=https%3A%2F%2Fmdotgis.state.mi.us%2Farcgis%2Frest%2Fservices%2FWidget%2FNextGenPrFinderPub%2FFeatureServer%2F353&amp;find="&amp;$F197&amp;"%2C"&amp;$E197&amp;"&amp;marker="&amp;$F197&amp;","&amp;$E197&amp;",4326&amp;level=16",IF(_xlfn.SINGLE(JobState)="IN","https://fema.maps.arcgis.com/apps/mapviewer/index.html?url=https%3A%2F%2Fgisdata.in.gov%2Fserver%2Frest%2Fservices%2FHosted%2FLRSE_Functional_Class%2FFeatureServer%2F22&amp;find="&amp;$F197&amp;"%2C"&amp;$E197&amp;"&amp;marker="&amp;$F197&amp;","&amp;$E197&amp;",4326&amp;level=16",IF(_xlfn.SINGLE(JobState)="WI","https://fema.maps.arcgis.com/apps/mapviewer/index.html?url=https%3A%2F%2Fservices5.arcgis.com%2F0pgGLzT0Nh7FVjon%2Farcgis%2Frest%2Fservices%2FFFCL_gdb%2FFeatureServer%2F3&amp;find="&amp;$F197&amp;"%2C"&amp;$E197&amp;"&amp;marker="&amp;$F197&amp;","&amp;$E197&amp;",4326&amp;level=16","https://fema.maps.arcgis.com/apps/mapviewer/index.html?find="&amp;$F197&amp;"%2C"&amp;$E197&amp;"&amp;marker="&amp;$F197&amp;","&amp;$E197&amp;",4326&amp;level=16"))),"Open"))</f>
        <v/>
      </c>
      <c r="T197" s="4"/>
      <c r="U197" s="4"/>
      <c r="V197" s="4"/>
      <c r="W197" s="4"/>
      <c r="X197" s="4"/>
      <c r="Y197" s="4"/>
      <c r="Z197" s="4"/>
      <c r="AA197" s="4"/>
      <c r="AB197" s="1" t="str">
        <f>IF(OR(_xlfn.SINGLE(JobAgolMap)="", $E197="", $F197=""),"",HYPERLINK(_xlfn.SINGLE(JobAgolMap)&amp;IF(ISNUMBER(FIND("?",_xlfn.SINGLE(JobAgolMap))),"&amp;","?")&amp;"center="&amp;$F197&amp;","&amp;$E197&amp;"&amp;level=16&amp;marker="&amp;$F197&amp;","&amp;$E197,"Open"))</f>
        <v/>
      </c>
    </row>
    <row r="198" spans="1:28" x14ac:dyDescent="0.45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4"/>
      <c r="M198" s="1" t="str">
        <f t="shared" si="18"/>
        <v/>
      </c>
      <c r="N198" s="1" t="str">
        <f t="shared" si="19"/>
        <v/>
      </c>
      <c r="O198" s="1" t="str">
        <f t="shared" si="20"/>
        <v/>
      </c>
      <c r="P198" s="1" t="str">
        <f t="shared" si="21"/>
        <v/>
      </c>
      <c r="Q198" s="1" t="str">
        <f t="shared" si="22"/>
        <v/>
      </c>
      <c r="R198" s="1" t="str">
        <f t="shared" si="23"/>
        <v/>
      </c>
      <c r="S198" s="1" t="str">
        <f>IF(OR($E198="",$F198=""),"",HYPERLINK(IF(OR(_xlfn.SINGLE(JobState)="MI",_xlfn.SINGLE(JobState)=""),"https://fema.maps.arcgis.com/apps/mapviewer/index.html?url=https%3A%2F%2Fmdotgis.state.mi.us%2Farcgis%2Frest%2Fservices%2FWidget%2FNextGenPrFinderPub%2FFeatureServer%2F353&amp;find="&amp;$F198&amp;"%2C"&amp;$E198&amp;"&amp;marker="&amp;$F198&amp;","&amp;$E198&amp;",4326&amp;level=16",IF(_xlfn.SINGLE(JobState)="IN","https://fema.maps.arcgis.com/apps/mapviewer/index.html?url=https%3A%2F%2Fgisdata.in.gov%2Fserver%2Frest%2Fservices%2FHosted%2FLRSE_Functional_Class%2FFeatureServer%2F22&amp;find="&amp;$F198&amp;"%2C"&amp;$E198&amp;"&amp;marker="&amp;$F198&amp;","&amp;$E198&amp;",4326&amp;level=16",IF(_xlfn.SINGLE(JobState)="WI","https://fema.maps.arcgis.com/apps/mapviewer/index.html?url=https%3A%2F%2Fservices5.arcgis.com%2F0pgGLzT0Nh7FVjon%2Farcgis%2Frest%2Fservices%2FFFCL_gdb%2FFeatureServer%2F3&amp;find="&amp;$F198&amp;"%2C"&amp;$E198&amp;"&amp;marker="&amp;$F198&amp;","&amp;$E198&amp;",4326&amp;level=16","https://fema.maps.arcgis.com/apps/mapviewer/index.html?find="&amp;$F198&amp;"%2C"&amp;$E198&amp;"&amp;marker="&amp;$F198&amp;","&amp;$E198&amp;",4326&amp;level=16"))),"Open"))</f>
        <v/>
      </c>
      <c r="T198" s="4"/>
      <c r="U198" s="4"/>
      <c r="V198" s="4"/>
      <c r="W198" s="4"/>
      <c r="X198" s="4"/>
      <c r="Y198" s="4"/>
      <c r="Z198" s="4"/>
      <c r="AA198" s="4"/>
      <c r="AB198" s="1" t="str">
        <f>IF(OR(_xlfn.SINGLE(JobAgolMap)="", $E198="", $F198=""),"",HYPERLINK(_xlfn.SINGLE(JobAgolMap)&amp;IF(ISNUMBER(FIND("?",_xlfn.SINGLE(JobAgolMap))),"&amp;","?")&amp;"center="&amp;$F198&amp;","&amp;$E198&amp;"&amp;level=16&amp;marker="&amp;$F198&amp;","&amp;$E198,"Open"))</f>
        <v/>
      </c>
    </row>
    <row r="199" spans="1:28" x14ac:dyDescent="0.45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4"/>
      <c r="M199" s="1" t="str">
        <f t="shared" si="18"/>
        <v/>
      </c>
      <c r="N199" s="1" t="str">
        <f t="shared" si="19"/>
        <v/>
      </c>
      <c r="O199" s="1" t="str">
        <f t="shared" si="20"/>
        <v/>
      </c>
      <c r="P199" s="1" t="str">
        <f t="shared" si="21"/>
        <v/>
      </c>
      <c r="Q199" s="1" t="str">
        <f t="shared" si="22"/>
        <v/>
      </c>
      <c r="R199" s="1" t="str">
        <f t="shared" si="23"/>
        <v/>
      </c>
      <c r="S199" s="1" t="str">
        <f>IF(OR($E199="",$F199=""),"",HYPERLINK(IF(OR(_xlfn.SINGLE(JobState)="MI",_xlfn.SINGLE(JobState)=""),"https://fema.maps.arcgis.com/apps/mapviewer/index.html?url=https%3A%2F%2Fmdotgis.state.mi.us%2Farcgis%2Frest%2Fservices%2FWidget%2FNextGenPrFinderPub%2FFeatureServer%2F353&amp;find="&amp;$F199&amp;"%2C"&amp;$E199&amp;"&amp;marker="&amp;$F199&amp;","&amp;$E199&amp;",4326&amp;level=16",IF(_xlfn.SINGLE(JobState)="IN","https://fema.maps.arcgis.com/apps/mapviewer/index.html?url=https%3A%2F%2Fgisdata.in.gov%2Fserver%2Frest%2Fservices%2FHosted%2FLRSE_Functional_Class%2FFeatureServer%2F22&amp;find="&amp;$F199&amp;"%2C"&amp;$E199&amp;"&amp;marker="&amp;$F199&amp;","&amp;$E199&amp;",4326&amp;level=16",IF(_xlfn.SINGLE(JobState)="WI","https://fema.maps.arcgis.com/apps/mapviewer/index.html?url=https%3A%2F%2Fservices5.arcgis.com%2F0pgGLzT0Nh7FVjon%2Farcgis%2Frest%2Fservices%2FFFCL_gdb%2FFeatureServer%2F3&amp;find="&amp;$F199&amp;"%2C"&amp;$E199&amp;"&amp;marker="&amp;$F199&amp;","&amp;$E199&amp;",4326&amp;level=16","https://fema.maps.arcgis.com/apps/mapviewer/index.html?find="&amp;$F199&amp;"%2C"&amp;$E199&amp;"&amp;marker="&amp;$F199&amp;","&amp;$E199&amp;",4326&amp;level=16"))),"Open"))</f>
        <v/>
      </c>
      <c r="T199" s="4"/>
      <c r="U199" s="4"/>
      <c r="V199" s="4"/>
      <c r="W199" s="4"/>
      <c r="X199" s="4"/>
      <c r="Y199" s="4"/>
      <c r="Z199" s="4"/>
      <c r="AA199" s="4"/>
      <c r="AB199" s="1" t="str">
        <f>IF(OR(_xlfn.SINGLE(JobAgolMap)="", $E199="", $F199=""),"",HYPERLINK(_xlfn.SINGLE(JobAgolMap)&amp;IF(ISNUMBER(FIND("?",_xlfn.SINGLE(JobAgolMap))),"&amp;","?")&amp;"center="&amp;$F199&amp;","&amp;$E199&amp;"&amp;level=16&amp;marker="&amp;$F199&amp;","&amp;$E199,"Open"))</f>
        <v/>
      </c>
    </row>
    <row r="200" spans="1:28" x14ac:dyDescent="0.45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4"/>
      <c r="M200" s="1" t="str">
        <f t="shared" si="18"/>
        <v/>
      </c>
      <c r="N200" s="1" t="str">
        <f t="shared" si="19"/>
        <v/>
      </c>
      <c r="O200" s="1" t="str">
        <f t="shared" si="20"/>
        <v/>
      </c>
      <c r="P200" s="1" t="str">
        <f t="shared" si="21"/>
        <v/>
      </c>
      <c r="Q200" s="1" t="str">
        <f t="shared" si="22"/>
        <v/>
      </c>
      <c r="R200" s="1" t="str">
        <f t="shared" si="23"/>
        <v/>
      </c>
      <c r="S200" s="1" t="str">
        <f>IF(OR($E200="",$F200=""),"",HYPERLINK(IF(OR(_xlfn.SINGLE(JobState)="MI",_xlfn.SINGLE(JobState)=""),"https://fema.maps.arcgis.com/apps/mapviewer/index.html?url=https%3A%2F%2Fmdotgis.state.mi.us%2Farcgis%2Frest%2Fservices%2FWidget%2FNextGenPrFinderPub%2FFeatureServer%2F353&amp;find="&amp;$F200&amp;"%2C"&amp;$E200&amp;"&amp;marker="&amp;$F200&amp;","&amp;$E200&amp;",4326&amp;level=16",IF(_xlfn.SINGLE(JobState)="IN","https://fema.maps.arcgis.com/apps/mapviewer/index.html?url=https%3A%2F%2Fgisdata.in.gov%2Fserver%2Frest%2Fservices%2FHosted%2FLRSE_Functional_Class%2FFeatureServer%2F22&amp;find="&amp;$F200&amp;"%2C"&amp;$E200&amp;"&amp;marker="&amp;$F200&amp;","&amp;$E200&amp;",4326&amp;level=16",IF(_xlfn.SINGLE(JobState)="WI","https://fema.maps.arcgis.com/apps/mapviewer/index.html?url=https%3A%2F%2Fservices5.arcgis.com%2F0pgGLzT0Nh7FVjon%2Farcgis%2Frest%2Fservices%2FFFCL_gdb%2FFeatureServer%2F3&amp;find="&amp;$F200&amp;"%2C"&amp;$E200&amp;"&amp;marker="&amp;$F200&amp;","&amp;$E200&amp;",4326&amp;level=16","https://fema.maps.arcgis.com/apps/mapviewer/index.html?find="&amp;$F200&amp;"%2C"&amp;$E200&amp;"&amp;marker="&amp;$F200&amp;","&amp;$E200&amp;",4326&amp;level=16"))),"Open"))</f>
        <v/>
      </c>
      <c r="T200" s="4"/>
      <c r="U200" s="4"/>
      <c r="V200" s="4"/>
      <c r="W200" s="4"/>
      <c r="X200" s="4"/>
      <c r="Y200" s="4"/>
      <c r="Z200" s="4"/>
      <c r="AA200" s="4"/>
      <c r="AB200" s="1" t="str">
        <f>IF(OR(_xlfn.SINGLE(JobAgolMap)="", $E200="", $F200=""),"",HYPERLINK(_xlfn.SINGLE(JobAgolMap)&amp;IF(ISNUMBER(FIND("?",_xlfn.SINGLE(JobAgolMap))),"&amp;","?")&amp;"center="&amp;$F200&amp;","&amp;$E200&amp;"&amp;level=16&amp;marker="&amp;$F200&amp;","&amp;$E200,"Open"))</f>
        <v/>
      </c>
    </row>
    <row r="201" spans="1:28" x14ac:dyDescent="0.45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4"/>
      <c r="M201" s="1" t="str">
        <f t="shared" si="18"/>
        <v/>
      </c>
      <c r="N201" s="1" t="str">
        <f t="shared" si="19"/>
        <v/>
      </c>
      <c r="O201" s="1" t="str">
        <f t="shared" si="20"/>
        <v/>
      </c>
      <c r="P201" s="1" t="str">
        <f t="shared" si="21"/>
        <v/>
      </c>
      <c r="Q201" s="1" t="str">
        <f t="shared" si="22"/>
        <v/>
      </c>
      <c r="R201" s="1" t="str">
        <f t="shared" si="23"/>
        <v/>
      </c>
      <c r="S201" s="1" t="str">
        <f>IF(OR($E201="",$F201=""),"",HYPERLINK(IF(OR(_xlfn.SINGLE(JobState)="MI",_xlfn.SINGLE(JobState)=""),"https://fema.maps.arcgis.com/apps/mapviewer/index.html?url=https%3A%2F%2Fmdotgis.state.mi.us%2Farcgis%2Frest%2Fservices%2FWidget%2FNextGenPrFinderPub%2FFeatureServer%2F353&amp;find="&amp;$F201&amp;"%2C"&amp;$E201&amp;"&amp;marker="&amp;$F201&amp;","&amp;$E201&amp;",4326&amp;level=16",IF(_xlfn.SINGLE(JobState)="IN","https://fema.maps.arcgis.com/apps/mapviewer/index.html?url=https%3A%2F%2Fgisdata.in.gov%2Fserver%2Frest%2Fservices%2FHosted%2FLRSE_Functional_Class%2FFeatureServer%2F22&amp;find="&amp;$F201&amp;"%2C"&amp;$E201&amp;"&amp;marker="&amp;$F201&amp;","&amp;$E201&amp;",4326&amp;level=16",IF(_xlfn.SINGLE(JobState)="WI","https://fema.maps.arcgis.com/apps/mapviewer/index.html?url=https%3A%2F%2Fservices5.arcgis.com%2F0pgGLzT0Nh7FVjon%2Farcgis%2Frest%2Fservices%2FFFCL_gdb%2FFeatureServer%2F3&amp;find="&amp;$F201&amp;"%2C"&amp;$E201&amp;"&amp;marker="&amp;$F201&amp;","&amp;$E201&amp;",4326&amp;level=16","https://fema.maps.arcgis.com/apps/mapviewer/index.html?find="&amp;$F201&amp;"%2C"&amp;$E201&amp;"&amp;marker="&amp;$F201&amp;","&amp;$E201&amp;",4326&amp;level=16"))),"Open"))</f>
        <v/>
      </c>
      <c r="T201" s="4"/>
      <c r="U201" s="4"/>
      <c r="V201" s="4"/>
      <c r="W201" s="4"/>
      <c r="X201" s="4"/>
      <c r="Y201" s="4"/>
      <c r="Z201" s="4"/>
      <c r="AA201" s="4"/>
      <c r="AB201" s="1" t="str">
        <f>IF(OR(_xlfn.SINGLE(JobAgolMap)="", $E201="", $F201=""),"",HYPERLINK(_xlfn.SINGLE(JobAgolMap)&amp;IF(ISNUMBER(FIND("?",_xlfn.SINGLE(JobAgolMap))),"&amp;","?")&amp;"center="&amp;$F201&amp;","&amp;$E201&amp;"&amp;level=16&amp;marker="&amp;$F201&amp;","&amp;$E201,"Open"))</f>
        <v/>
      </c>
    </row>
    <row r="202" spans="1:28" x14ac:dyDescent="0.45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4"/>
      <c r="M202" s="1" t="str">
        <f t="shared" si="18"/>
        <v/>
      </c>
      <c r="N202" s="1" t="str">
        <f t="shared" si="19"/>
        <v/>
      </c>
      <c r="O202" s="1" t="str">
        <f t="shared" si="20"/>
        <v/>
      </c>
      <c r="P202" s="1" t="str">
        <f t="shared" si="21"/>
        <v/>
      </c>
      <c r="Q202" s="1" t="str">
        <f t="shared" si="22"/>
        <v/>
      </c>
      <c r="R202" s="1" t="str">
        <f t="shared" si="23"/>
        <v/>
      </c>
      <c r="S202" s="1" t="str">
        <f>IF(OR($E202="",$F202=""),"",HYPERLINK(IF(OR(_xlfn.SINGLE(JobState)="MI",_xlfn.SINGLE(JobState)=""),"https://fema.maps.arcgis.com/apps/mapviewer/index.html?url=https%3A%2F%2Fmdotgis.state.mi.us%2Farcgis%2Frest%2Fservices%2FWidget%2FNextGenPrFinderPub%2FFeatureServer%2F353&amp;find="&amp;$F202&amp;"%2C"&amp;$E202&amp;"&amp;marker="&amp;$F202&amp;","&amp;$E202&amp;",4326&amp;level=16",IF(_xlfn.SINGLE(JobState)="IN","https://fema.maps.arcgis.com/apps/mapviewer/index.html?url=https%3A%2F%2Fgisdata.in.gov%2Fserver%2Frest%2Fservices%2FHosted%2FLRSE_Functional_Class%2FFeatureServer%2F22&amp;find="&amp;$F202&amp;"%2C"&amp;$E202&amp;"&amp;marker="&amp;$F202&amp;","&amp;$E202&amp;",4326&amp;level=16",IF(_xlfn.SINGLE(JobState)="WI","https://fema.maps.arcgis.com/apps/mapviewer/index.html?url=https%3A%2F%2Fservices5.arcgis.com%2F0pgGLzT0Nh7FVjon%2Farcgis%2Frest%2Fservices%2FFFCL_gdb%2FFeatureServer%2F3&amp;find="&amp;$F202&amp;"%2C"&amp;$E202&amp;"&amp;marker="&amp;$F202&amp;","&amp;$E202&amp;",4326&amp;level=16","https://fema.maps.arcgis.com/apps/mapviewer/index.html?find="&amp;$F202&amp;"%2C"&amp;$E202&amp;"&amp;marker="&amp;$F202&amp;","&amp;$E202&amp;",4326&amp;level=16"))),"Open"))</f>
        <v/>
      </c>
      <c r="T202" s="4"/>
      <c r="U202" s="4"/>
      <c r="V202" s="4"/>
      <c r="W202" s="4"/>
      <c r="X202" s="4"/>
      <c r="Y202" s="4"/>
      <c r="Z202" s="4"/>
      <c r="AA202" s="4"/>
      <c r="AB202" s="1" t="str">
        <f>IF(OR(_xlfn.SINGLE(JobAgolMap)="", $E202="", $F202=""),"",HYPERLINK(_xlfn.SINGLE(JobAgolMap)&amp;IF(ISNUMBER(FIND("?",_xlfn.SINGLE(JobAgolMap))),"&amp;","?")&amp;"center="&amp;$F202&amp;","&amp;$E202&amp;"&amp;level=16&amp;marker="&amp;$F202&amp;","&amp;$E202,"Open"))</f>
        <v/>
      </c>
    </row>
    <row r="203" spans="1:28" x14ac:dyDescent="0.45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4"/>
      <c r="M203" s="1" t="str">
        <f t="shared" si="18"/>
        <v/>
      </c>
      <c r="N203" s="1" t="str">
        <f t="shared" si="19"/>
        <v/>
      </c>
      <c r="O203" s="1" t="str">
        <f t="shared" si="20"/>
        <v/>
      </c>
      <c r="P203" s="1" t="str">
        <f t="shared" si="21"/>
        <v/>
      </c>
      <c r="Q203" s="1" t="str">
        <f t="shared" si="22"/>
        <v/>
      </c>
      <c r="R203" s="1" t="str">
        <f t="shared" si="23"/>
        <v/>
      </c>
      <c r="S203" s="1" t="str">
        <f>IF(OR($E203="",$F203=""),"",HYPERLINK(IF(OR(_xlfn.SINGLE(JobState)="MI",_xlfn.SINGLE(JobState)=""),"https://fema.maps.arcgis.com/apps/mapviewer/index.html?url=https%3A%2F%2Fmdotgis.state.mi.us%2Farcgis%2Frest%2Fservices%2FWidget%2FNextGenPrFinderPub%2FFeatureServer%2F353&amp;find="&amp;$F203&amp;"%2C"&amp;$E203&amp;"&amp;marker="&amp;$F203&amp;","&amp;$E203&amp;",4326&amp;level=16",IF(_xlfn.SINGLE(JobState)="IN","https://fema.maps.arcgis.com/apps/mapviewer/index.html?url=https%3A%2F%2Fgisdata.in.gov%2Fserver%2Frest%2Fservices%2FHosted%2FLRSE_Functional_Class%2FFeatureServer%2F22&amp;find="&amp;$F203&amp;"%2C"&amp;$E203&amp;"&amp;marker="&amp;$F203&amp;","&amp;$E203&amp;",4326&amp;level=16",IF(_xlfn.SINGLE(JobState)="WI","https://fema.maps.arcgis.com/apps/mapviewer/index.html?url=https%3A%2F%2Fservices5.arcgis.com%2F0pgGLzT0Nh7FVjon%2Farcgis%2Frest%2Fservices%2FFFCL_gdb%2FFeatureServer%2F3&amp;find="&amp;$F203&amp;"%2C"&amp;$E203&amp;"&amp;marker="&amp;$F203&amp;","&amp;$E203&amp;",4326&amp;level=16","https://fema.maps.arcgis.com/apps/mapviewer/index.html?find="&amp;$F203&amp;"%2C"&amp;$E203&amp;"&amp;marker="&amp;$F203&amp;","&amp;$E203&amp;",4326&amp;level=16"))),"Open"))</f>
        <v/>
      </c>
      <c r="T203" s="4"/>
      <c r="U203" s="4"/>
      <c r="V203" s="4"/>
      <c r="W203" s="4"/>
      <c r="X203" s="4"/>
      <c r="Y203" s="4"/>
      <c r="Z203" s="4"/>
      <c r="AA203" s="4"/>
      <c r="AB203" s="1" t="str">
        <f>IF(OR(_xlfn.SINGLE(JobAgolMap)="", $E203="", $F203=""),"",HYPERLINK(_xlfn.SINGLE(JobAgolMap)&amp;IF(ISNUMBER(FIND("?",_xlfn.SINGLE(JobAgolMap))),"&amp;","?")&amp;"center="&amp;$F203&amp;","&amp;$E203&amp;"&amp;level=16&amp;marker="&amp;$F203&amp;","&amp;$E203,"Open"))</f>
        <v/>
      </c>
    </row>
    <row r="204" spans="1:28" x14ac:dyDescent="0.45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4"/>
      <c r="M204" s="1" t="str">
        <f t="shared" si="18"/>
        <v/>
      </c>
      <c r="N204" s="1" t="str">
        <f t="shared" si="19"/>
        <v/>
      </c>
      <c r="O204" s="1" t="str">
        <f t="shared" si="20"/>
        <v/>
      </c>
      <c r="P204" s="1" t="str">
        <f t="shared" si="21"/>
        <v/>
      </c>
      <c r="Q204" s="1" t="str">
        <f t="shared" si="22"/>
        <v/>
      </c>
      <c r="R204" s="1" t="str">
        <f t="shared" si="23"/>
        <v/>
      </c>
      <c r="S204" s="1" t="str">
        <f>IF(OR($E204="",$F204=""),"",HYPERLINK(IF(OR(_xlfn.SINGLE(JobState)="MI",_xlfn.SINGLE(JobState)=""),"https://fema.maps.arcgis.com/apps/mapviewer/index.html?url=https%3A%2F%2Fmdotgis.state.mi.us%2Farcgis%2Frest%2Fservices%2FWidget%2FNextGenPrFinderPub%2FFeatureServer%2F353&amp;find="&amp;$F204&amp;"%2C"&amp;$E204&amp;"&amp;marker="&amp;$F204&amp;","&amp;$E204&amp;",4326&amp;level=16",IF(_xlfn.SINGLE(JobState)="IN","https://fema.maps.arcgis.com/apps/mapviewer/index.html?url=https%3A%2F%2Fgisdata.in.gov%2Fserver%2Frest%2Fservices%2FHosted%2FLRSE_Functional_Class%2FFeatureServer%2F22&amp;find="&amp;$F204&amp;"%2C"&amp;$E204&amp;"&amp;marker="&amp;$F204&amp;","&amp;$E204&amp;",4326&amp;level=16",IF(_xlfn.SINGLE(JobState)="WI","https://fema.maps.arcgis.com/apps/mapviewer/index.html?url=https%3A%2F%2Fservices5.arcgis.com%2F0pgGLzT0Nh7FVjon%2Farcgis%2Frest%2Fservices%2FFFCL_gdb%2FFeatureServer%2F3&amp;find="&amp;$F204&amp;"%2C"&amp;$E204&amp;"&amp;marker="&amp;$F204&amp;","&amp;$E204&amp;",4326&amp;level=16","https://fema.maps.arcgis.com/apps/mapviewer/index.html?find="&amp;$F204&amp;"%2C"&amp;$E204&amp;"&amp;marker="&amp;$F204&amp;","&amp;$E204&amp;",4326&amp;level=16"))),"Open"))</f>
        <v/>
      </c>
      <c r="T204" s="4"/>
      <c r="U204" s="4"/>
      <c r="V204" s="4"/>
      <c r="W204" s="4"/>
      <c r="X204" s="4"/>
      <c r="Y204" s="4"/>
      <c r="Z204" s="4"/>
      <c r="AA204" s="4"/>
      <c r="AB204" s="1" t="str">
        <f>IF(OR(_xlfn.SINGLE(JobAgolMap)="", $E204="", $F204=""),"",HYPERLINK(_xlfn.SINGLE(JobAgolMap)&amp;IF(ISNUMBER(FIND("?",_xlfn.SINGLE(JobAgolMap))),"&amp;","?")&amp;"center="&amp;$F204&amp;","&amp;$E204&amp;"&amp;level=16&amp;marker="&amp;$F204&amp;","&amp;$E204,"Open"))</f>
        <v/>
      </c>
    </row>
    <row r="205" spans="1:28" x14ac:dyDescent="0.45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4"/>
      <c r="M205" s="1" t="str">
        <f t="shared" si="18"/>
        <v/>
      </c>
      <c r="N205" s="1" t="str">
        <f t="shared" si="19"/>
        <v/>
      </c>
      <c r="O205" s="1" t="str">
        <f t="shared" si="20"/>
        <v/>
      </c>
      <c r="P205" s="1" t="str">
        <f t="shared" si="21"/>
        <v/>
      </c>
      <c r="Q205" s="1" t="str">
        <f t="shared" si="22"/>
        <v/>
      </c>
      <c r="R205" s="1" t="str">
        <f t="shared" si="23"/>
        <v/>
      </c>
      <c r="S205" s="1" t="str">
        <f>IF(OR($E205="",$F205=""),"",HYPERLINK(IF(OR(_xlfn.SINGLE(JobState)="MI",_xlfn.SINGLE(JobState)=""),"https://fema.maps.arcgis.com/apps/mapviewer/index.html?url=https%3A%2F%2Fmdotgis.state.mi.us%2Farcgis%2Frest%2Fservices%2FWidget%2FNextGenPrFinderPub%2FFeatureServer%2F353&amp;find="&amp;$F205&amp;"%2C"&amp;$E205&amp;"&amp;marker="&amp;$F205&amp;","&amp;$E205&amp;",4326&amp;level=16",IF(_xlfn.SINGLE(JobState)="IN","https://fema.maps.arcgis.com/apps/mapviewer/index.html?url=https%3A%2F%2Fgisdata.in.gov%2Fserver%2Frest%2Fservices%2FHosted%2FLRSE_Functional_Class%2FFeatureServer%2F22&amp;find="&amp;$F205&amp;"%2C"&amp;$E205&amp;"&amp;marker="&amp;$F205&amp;","&amp;$E205&amp;",4326&amp;level=16",IF(_xlfn.SINGLE(JobState)="WI","https://fema.maps.arcgis.com/apps/mapviewer/index.html?url=https%3A%2F%2Fservices5.arcgis.com%2F0pgGLzT0Nh7FVjon%2Farcgis%2Frest%2Fservices%2FFFCL_gdb%2FFeatureServer%2F3&amp;find="&amp;$F205&amp;"%2C"&amp;$E205&amp;"&amp;marker="&amp;$F205&amp;","&amp;$E205&amp;",4326&amp;level=16","https://fema.maps.arcgis.com/apps/mapviewer/index.html?find="&amp;$F205&amp;"%2C"&amp;$E205&amp;"&amp;marker="&amp;$F205&amp;","&amp;$E205&amp;",4326&amp;level=16"))),"Open"))</f>
        <v/>
      </c>
      <c r="T205" s="4"/>
      <c r="U205" s="4"/>
      <c r="V205" s="4"/>
      <c r="W205" s="4"/>
      <c r="X205" s="4"/>
      <c r="Y205" s="4"/>
      <c r="Z205" s="4"/>
      <c r="AA205" s="4"/>
      <c r="AB205" s="1" t="str">
        <f>IF(OR(_xlfn.SINGLE(JobAgolMap)="", $E205="", $F205=""),"",HYPERLINK(_xlfn.SINGLE(JobAgolMap)&amp;IF(ISNUMBER(FIND("?",_xlfn.SINGLE(JobAgolMap))),"&amp;","?")&amp;"center="&amp;$F205&amp;","&amp;$E205&amp;"&amp;level=16&amp;marker="&amp;$F205&amp;","&amp;$E205,"Open"))</f>
        <v/>
      </c>
    </row>
    <row r="206" spans="1:28" x14ac:dyDescent="0.45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4"/>
      <c r="M206" s="1" t="str">
        <f t="shared" si="18"/>
        <v/>
      </c>
      <c r="N206" s="1" t="str">
        <f t="shared" si="19"/>
        <v/>
      </c>
      <c r="O206" s="1" t="str">
        <f t="shared" si="20"/>
        <v/>
      </c>
      <c r="P206" s="1" t="str">
        <f t="shared" si="21"/>
        <v/>
      </c>
      <c r="Q206" s="1" t="str">
        <f t="shared" si="22"/>
        <v/>
      </c>
      <c r="R206" s="1" t="str">
        <f t="shared" si="23"/>
        <v/>
      </c>
      <c r="S206" s="1" t="str">
        <f>IF(OR($E206="",$F206=""),"",HYPERLINK(IF(OR(_xlfn.SINGLE(JobState)="MI",_xlfn.SINGLE(JobState)=""),"https://fema.maps.arcgis.com/apps/mapviewer/index.html?url=https%3A%2F%2Fmdotgis.state.mi.us%2Farcgis%2Frest%2Fservices%2FWidget%2FNextGenPrFinderPub%2FFeatureServer%2F353&amp;find="&amp;$F206&amp;"%2C"&amp;$E206&amp;"&amp;marker="&amp;$F206&amp;","&amp;$E206&amp;",4326&amp;level=16",IF(_xlfn.SINGLE(JobState)="IN","https://fema.maps.arcgis.com/apps/mapviewer/index.html?url=https%3A%2F%2Fgisdata.in.gov%2Fserver%2Frest%2Fservices%2FHosted%2FLRSE_Functional_Class%2FFeatureServer%2F22&amp;find="&amp;$F206&amp;"%2C"&amp;$E206&amp;"&amp;marker="&amp;$F206&amp;","&amp;$E206&amp;",4326&amp;level=16",IF(_xlfn.SINGLE(JobState)="WI","https://fema.maps.arcgis.com/apps/mapviewer/index.html?url=https%3A%2F%2Fservices5.arcgis.com%2F0pgGLzT0Nh7FVjon%2Farcgis%2Frest%2Fservices%2FFFCL_gdb%2FFeatureServer%2F3&amp;find="&amp;$F206&amp;"%2C"&amp;$E206&amp;"&amp;marker="&amp;$F206&amp;","&amp;$E206&amp;",4326&amp;level=16","https://fema.maps.arcgis.com/apps/mapviewer/index.html?find="&amp;$F206&amp;"%2C"&amp;$E206&amp;"&amp;marker="&amp;$F206&amp;","&amp;$E206&amp;",4326&amp;level=16"))),"Open"))</f>
        <v/>
      </c>
      <c r="T206" s="4"/>
      <c r="U206" s="4"/>
      <c r="V206" s="4"/>
      <c r="W206" s="4"/>
      <c r="X206" s="4"/>
      <c r="Y206" s="4"/>
      <c r="Z206" s="4"/>
      <c r="AA206" s="4"/>
      <c r="AB206" s="1" t="str">
        <f>IF(OR(_xlfn.SINGLE(JobAgolMap)="", $E206="", $F206=""),"",HYPERLINK(_xlfn.SINGLE(JobAgolMap)&amp;IF(ISNUMBER(FIND("?",_xlfn.SINGLE(JobAgolMap))),"&amp;","?")&amp;"center="&amp;$F206&amp;","&amp;$E206&amp;"&amp;level=16&amp;marker="&amp;$F206&amp;","&amp;$E206,"Open"))</f>
        <v/>
      </c>
    </row>
    <row r="207" spans="1:28" x14ac:dyDescent="0.45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4"/>
      <c r="M207" s="1" t="str">
        <f t="shared" si="18"/>
        <v/>
      </c>
      <c r="N207" s="1" t="str">
        <f t="shared" si="19"/>
        <v/>
      </c>
      <c r="O207" s="1" t="str">
        <f t="shared" si="20"/>
        <v/>
      </c>
      <c r="P207" s="1" t="str">
        <f t="shared" si="21"/>
        <v/>
      </c>
      <c r="Q207" s="1" t="str">
        <f t="shared" si="22"/>
        <v/>
      </c>
      <c r="R207" s="1" t="str">
        <f t="shared" si="23"/>
        <v/>
      </c>
      <c r="S207" s="1" t="str">
        <f>IF(OR($E207="",$F207=""),"",HYPERLINK(IF(OR(_xlfn.SINGLE(JobState)="MI",_xlfn.SINGLE(JobState)=""),"https://fema.maps.arcgis.com/apps/mapviewer/index.html?url=https%3A%2F%2Fmdotgis.state.mi.us%2Farcgis%2Frest%2Fservices%2FWidget%2FNextGenPrFinderPub%2FFeatureServer%2F353&amp;find="&amp;$F207&amp;"%2C"&amp;$E207&amp;"&amp;marker="&amp;$F207&amp;","&amp;$E207&amp;",4326&amp;level=16",IF(_xlfn.SINGLE(JobState)="IN","https://fema.maps.arcgis.com/apps/mapviewer/index.html?url=https%3A%2F%2Fgisdata.in.gov%2Fserver%2Frest%2Fservices%2FHosted%2FLRSE_Functional_Class%2FFeatureServer%2F22&amp;find="&amp;$F207&amp;"%2C"&amp;$E207&amp;"&amp;marker="&amp;$F207&amp;","&amp;$E207&amp;",4326&amp;level=16",IF(_xlfn.SINGLE(JobState)="WI","https://fema.maps.arcgis.com/apps/mapviewer/index.html?url=https%3A%2F%2Fservices5.arcgis.com%2F0pgGLzT0Nh7FVjon%2Farcgis%2Frest%2Fservices%2FFFCL_gdb%2FFeatureServer%2F3&amp;find="&amp;$F207&amp;"%2C"&amp;$E207&amp;"&amp;marker="&amp;$F207&amp;","&amp;$E207&amp;",4326&amp;level=16","https://fema.maps.arcgis.com/apps/mapviewer/index.html?find="&amp;$F207&amp;"%2C"&amp;$E207&amp;"&amp;marker="&amp;$F207&amp;","&amp;$E207&amp;",4326&amp;level=16"))),"Open"))</f>
        <v/>
      </c>
      <c r="T207" s="4"/>
      <c r="U207" s="4"/>
      <c r="V207" s="4"/>
      <c r="W207" s="4"/>
      <c r="X207" s="4"/>
      <c r="Y207" s="4"/>
      <c r="Z207" s="4"/>
      <c r="AA207" s="4"/>
      <c r="AB207" s="1" t="str">
        <f>IF(OR(_xlfn.SINGLE(JobAgolMap)="", $E207="", $F207=""),"",HYPERLINK(_xlfn.SINGLE(JobAgolMap)&amp;IF(ISNUMBER(FIND("?",_xlfn.SINGLE(JobAgolMap))),"&amp;","?")&amp;"center="&amp;$F207&amp;","&amp;$E207&amp;"&amp;level=16&amp;marker="&amp;$F207&amp;","&amp;$E207,"Open"))</f>
        <v/>
      </c>
    </row>
    <row r="208" spans="1:28" x14ac:dyDescent="0.45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4"/>
      <c r="M208" s="1" t="str">
        <f t="shared" si="18"/>
        <v/>
      </c>
      <c r="N208" s="1" t="str">
        <f t="shared" si="19"/>
        <v/>
      </c>
      <c r="O208" s="1" t="str">
        <f t="shared" si="20"/>
        <v/>
      </c>
      <c r="P208" s="1" t="str">
        <f t="shared" si="21"/>
        <v/>
      </c>
      <c r="Q208" s="1" t="str">
        <f t="shared" si="22"/>
        <v/>
      </c>
      <c r="R208" s="1" t="str">
        <f t="shared" si="23"/>
        <v/>
      </c>
      <c r="S208" s="1" t="str">
        <f>IF(OR($E208="",$F208=""),"",HYPERLINK(IF(OR(_xlfn.SINGLE(JobState)="MI",_xlfn.SINGLE(JobState)=""),"https://fema.maps.arcgis.com/apps/mapviewer/index.html?url=https%3A%2F%2Fmdotgis.state.mi.us%2Farcgis%2Frest%2Fservices%2FWidget%2FNextGenPrFinderPub%2FFeatureServer%2F353&amp;find="&amp;$F208&amp;"%2C"&amp;$E208&amp;"&amp;marker="&amp;$F208&amp;","&amp;$E208&amp;",4326&amp;level=16",IF(_xlfn.SINGLE(JobState)="IN","https://fema.maps.arcgis.com/apps/mapviewer/index.html?url=https%3A%2F%2Fgisdata.in.gov%2Fserver%2Frest%2Fservices%2FHosted%2FLRSE_Functional_Class%2FFeatureServer%2F22&amp;find="&amp;$F208&amp;"%2C"&amp;$E208&amp;"&amp;marker="&amp;$F208&amp;","&amp;$E208&amp;",4326&amp;level=16",IF(_xlfn.SINGLE(JobState)="WI","https://fema.maps.arcgis.com/apps/mapviewer/index.html?url=https%3A%2F%2Fservices5.arcgis.com%2F0pgGLzT0Nh7FVjon%2Farcgis%2Frest%2Fservices%2FFFCL_gdb%2FFeatureServer%2F3&amp;find="&amp;$F208&amp;"%2C"&amp;$E208&amp;"&amp;marker="&amp;$F208&amp;","&amp;$E208&amp;",4326&amp;level=16","https://fema.maps.arcgis.com/apps/mapviewer/index.html?find="&amp;$F208&amp;"%2C"&amp;$E208&amp;"&amp;marker="&amp;$F208&amp;","&amp;$E208&amp;",4326&amp;level=16"))),"Open"))</f>
        <v/>
      </c>
      <c r="T208" s="4"/>
      <c r="U208" s="4"/>
      <c r="V208" s="4"/>
      <c r="W208" s="4"/>
      <c r="X208" s="4"/>
      <c r="Y208" s="4"/>
      <c r="Z208" s="4"/>
      <c r="AA208" s="4"/>
      <c r="AB208" s="1" t="str">
        <f>IF(OR(_xlfn.SINGLE(JobAgolMap)="", $E208="", $F208=""),"",HYPERLINK(_xlfn.SINGLE(JobAgolMap)&amp;IF(ISNUMBER(FIND("?",_xlfn.SINGLE(JobAgolMap))),"&amp;","?")&amp;"center="&amp;$F208&amp;","&amp;$E208&amp;"&amp;level=16&amp;marker="&amp;$F208&amp;","&amp;$E208,"Open"))</f>
        <v/>
      </c>
    </row>
    <row r="209" spans="1:28" x14ac:dyDescent="0.45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4"/>
      <c r="M209" s="1" t="str">
        <f t="shared" si="18"/>
        <v/>
      </c>
      <c r="N209" s="1" t="str">
        <f t="shared" si="19"/>
        <v/>
      </c>
      <c r="O209" s="1" t="str">
        <f t="shared" si="20"/>
        <v/>
      </c>
      <c r="P209" s="1" t="str">
        <f t="shared" si="21"/>
        <v/>
      </c>
      <c r="Q209" s="1" t="str">
        <f t="shared" si="22"/>
        <v/>
      </c>
      <c r="R209" s="1" t="str">
        <f t="shared" si="23"/>
        <v/>
      </c>
      <c r="S209" s="1" t="str">
        <f>IF(OR($E209="",$F209=""),"",HYPERLINK(IF(OR(_xlfn.SINGLE(JobState)="MI",_xlfn.SINGLE(JobState)=""),"https://fema.maps.arcgis.com/apps/mapviewer/index.html?url=https%3A%2F%2Fmdotgis.state.mi.us%2Farcgis%2Frest%2Fservices%2FWidget%2FNextGenPrFinderPub%2FFeatureServer%2F353&amp;find="&amp;$F209&amp;"%2C"&amp;$E209&amp;"&amp;marker="&amp;$F209&amp;","&amp;$E209&amp;",4326&amp;level=16",IF(_xlfn.SINGLE(JobState)="IN","https://fema.maps.arcgis.com/apps/mapviewer/index.html?url=https%3A%2F%2Fgisdata.in.gov%2Fserver%2Frest%2Fservices%2FHosted%2FLRSE_Functional_Class%2FFeatureServer%2F22&amp;find="&amp;$F209&amp;"%2C"&amp;$E209&amp;"&amp;marker="&amp;$F209&amp;","&amp;$E209&amp;",4326&amp;level=16",IF(_xlfn.SINGLE(JobState)="WI","https://fema.maps.arcgis.com/apps/mapviewer/index.html?url=https%3A%2F%2Fservices5.arcgis.com%2F0pgGLzT0Nh7FVjon%2Farcgis%2Frest%2Fservices%2FFFCL_gdb%2FFeatureServer%2F3&amp;find="&amp;$F209&amp;"%2C"&amp;$E209&amp;"&amp;marker="&amp;$F209&amp;","&amp;$E209&amp;",4326&amp;level=16","https://fema.maps.arcgis.com/apps/mapviewer/index.html?find="&amp;$F209&amp;"%2C"&amp;$E209&amp;"&amp;marker="&amp;$F209&amp;","&amp;$E209&amp;",4326&amp;level=16"))),"Open"))</f>
        <v/>
      </c>
      <c r="T209" s="4"/>
      <c r="U209" s="4"/>
      <c r="V209" s="4"/>
      <c r="W209" s="4"/>
      <c r="X209" s="4"/>
      <c r="Y209" s="4"/>
      <c r="Z209" s="4"/>
      <c r="AA209" s="4"/>
      <c r="AB209" s="1" t="str">
        <f>IF(OR(_xlfn.SINGLE(JobAgolMap)="", $E209="", $F209=""),"",HYPERLINK(_xlfn.SINGLE(JobAgolMap)&amp;IF(ISNUMBER(FIND("?",_xlfn.SINGLE(JobAgolMap))),"&amp;","?")&amp;"center="&amp;$F209&amp;","&amp;$E209&amp;"&amp;level=16&amp;marker="&amp;$F209&amp;","&amp;$E209,"Open"))</f>
        <v/>
      </c>
    </row>
    <row r="210" spans="1:28" x14ac:dyDescent="0.45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4"/>
      <c r="M210" s="1" t="str">
        <f t="shared" si="18"/>
        <v/>
      </c>
      <c r="N210" s="1" t="str">
        <f t="shared" si="19"/>
        <v/>
      </c>
      <c r="O210" s="1" t="str">
        <f t="shared" si="20"/>
        <v/>
      </c>
      <c r="P210" s="1" t="str">
        <f t="shared" si="21"/>
        <v/>
      </c>
      <c r="Q210" s="1" t="str">
        <f t="shared" si="22"/>
        <v/>
      </c>
      <c r="R210" s="1" t="str">
        <f t="shared" si="23"/>
        <v/>
      </c>
      <c r="S210" s="1" t="str">
        <f>IF(OR($E210="",$F210=""),"",HYPERLINK(IF(OR(_xlfn.SINGLE(JobState)="MI",_xlfn.SINGLE(JobState)=""),"https://fema.maps.arcgis.com/apps/mapviewer/index.html?url=https%3A%2F%2Fmdotgis.state.mi.us%2Farcgis%2Frest%2Fservices%2FWidget%2FNextGenPrFinderPub%2FFeatureServer%2F353&amp;find="&amp;$F210&amp;"%2C"&amp;$E210&amp;"&amp;marker="&amp;$F210&amp;","&amp;$E210&amp;",4326&amp;level=16",IF(_xlfn.SINGLE(JobState)="IN","https://fema.maps.arcgis.com/apps/mapviewer/index.html?url=https%3A%2F%2Fgisdata.in.gov%2Fserver%2Frest%2Fservices%2FHosted%2FLRSE_Functional_Class%2FFeatureServer%2F22&amp;find="&amp;$F210&amp;"%2C"&amp;$E210&amp;"&amp;marker="&amp;$F210&amp;","&amp;$E210&amp;",4326&amp;level=16",IF(_xlfn.SINGLE(JobState)="WI","https://fema.maps.arcgis.com/apps/mapviewer/index.html?url=https%3A%2F%2Fservices5.arcgis.com%2F0pgGLzT0Nh7FVjon%2Farcgis%2Frest%2Fservices%2FFFCL_gdb%2FFeatureServer%2F3&amp;find="&amp;$F210&amp;"%2C"&amp;$E210&amp;"&amp;marker="&amp;$F210&amp;","&amp;$E210&amp;",4326&amp;level=16","https://fema.maps.arcgis.com/apps/mapviewer/index.html?find="&amp;$F210&amp;"%2C"&amp;$E210&amp;"&amp;marker="&amp;$F210&amp;","&amp;$E210&amp;",4326&amp;level=16"))),"Open"))</f>
        <v/>
      </c>
      <c r="T210" s="4"/>
      <c r="U210" s="4"/>
      <c r="V210" s="4"/>
      <c r="W210" s="4"/>
      <c r="X210" s="4"/>
      <c r="Y210" s="4"/>
      <c r="Z210" s="4"/>
      <c r="AA210" s="4"/>
      <c r="AB210" s="1" t="str">
        <f>IF(OR(_xlfn.SINGLE(JobAgolMap)="", $E210="", $F210=""),"",HYPERLINK(_xlfn.SINGLE(JobAgolMap)&amp;IF(ISNUMBER(FIND("?",_xlfn.SINGLE(JobAgolMap))),"&amp;","?")&amp;"center="&amp;$F210&amp;","&amp;$E210&amp;"&amp;level=16&amp;marker="&amp;$F210&amp;","&amp;$E210,"Open"))</f>
        <v/>
      </c>
    </row>
    <row r="211" spans="1:28" x14ac:dyDescent="0.45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4"/>
      <c r="M211" s="1" t="str">
        <f t="shared" si="18"/>
        <v/>
      </c>
      <c r="N211" s="1" t="str">
        <f t="shared" si="19"/>
        <v/>
      </c>
      <c r="O211" s="1" t="str">
        <f t="shared" si="20"/>
        <v/>
      </c>
      <c r="P211" s="1" t="str">
        <f t="shared" si="21"/>
        <v/>
      </c>
      <c r="Q211" s="1" t="str">
        <f t="shared" si="22"/>
        <v/>
      </c>
      <c r="R211" s="1" t="str">
        <f t="shared" si="23"/>
        <v/>
      </c>
      <c r="S211" s="1" t="str">
        <f>IF(OR($E211="",$F211=""),"",HYPERLINK(IF(OR(_xlfn.SINGLE(JobState)="MI",_xlfn.SINGLE(JobState)=""),"https://fema.maps.arcgis.com/apps/mapviewer/index.html?url=https%3A%2F%2Fmdotgis.state.mi.us%2Farcgis%2Frest%2Fservices%2FWidget%2FNextGenPrFinderPub%2FFeatureServer%2F353&amp;find="&amp;$F211&amp;"%2C"&amp;$E211&amp;"&amp;marker="&amp;$F211&amp;","&amp;$E211&amp;",4326&amp;level=16",IF(_xlfn.SINGLE(JobState)="IN","https://fema.maps.arcgis.com/apps/mapviewer/index.html?url=https%3A%2F%2Fgisdata.in.gov%2Fserver%2Frest%2Fservices%2FHosted%2FLRSE_Functional_Class%2FFeatureServer%2F22&amp;find="&amp;$F211&amp;"%2C"&amp;$E211&amp;"&amp;marker="&amp;$F211&amp;","&amp;$E211&amp;",4326&amp;level=16",IF(_xlfn.SINGLE(JobState)="WI","https://fema.maps.arcgis.com/apps/mapviewer/index.html?url=https%3A%2F%2Fservices5.arcgis.com%2F0pgGLzT0Nh7FVjon%2Farcgis%2Frest%2Fservices%2FFFCL_gdb%2FFeatureServer%2F3&amp;find="&amp;$F211&amp;"%2C"&amp;$E211&amp;"&amp;marker="&amp;$F211&amp;","&amp;$E211&amp;",4326&amp;level=16","https://fema.maps.arcgis.com/apps/mapviewer/index.html?find="&amp;$F211&amp;"%2C"&amp;$E211&amp;"&amp;marker="&amp;$F211&amp;","&amp;$E211&amp;",4326&amp;level=16"))),"Open"))</f>
        <v/>
      </c>
      <c r="T211" s="4"/>
      <c r="U211" s="4"/>
      <c r="V211" s="4"/>
      <c r="W211" s="4"/>
      <c r="X211" s="4"/>
      <c r="Y211" s="4"/>
      <c r="Z211" s="4"/>
      <c r="AA211" s="4"/>
      <c r="AB211" s="1" t="str">
        <f>IF(OR(_xlfn.SINGLE(JobAgolMap)="", $E211="", $F211=""),"",HYPERLINK(_xlfn.SINGLE(JobAgolMap)&amp;IF(ISNUMBER(FIND("?",_xlfn.SINGLE(JobAgolMap))),"&amp;","?")&amp;"center="&amp;$F211&amp;","&amp;$E211&amp;"&amp;level=16&amp;marker="&amp;$F211&amp;","&amp;$E211,"Open"))</f>
        <v/>
      </c>
    </row>
    <row r="212" spans="1:28" x14ac:dyDescent="0.45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4"/>
      <c r="M212" s="1" t="str">
        <f t="shared" si="18"/>
        <v/>
      </c>
      <c r="N212" s="1" t="str">
        <f t="shared" si="19"/>
        <v/>
      </c>
      <c r="O212" s="1" t="str">
        <f t="shared" si="20"/>
        <v/>
      </c>
      <c r="P212" s="1" t="str">
        <f t="shared" si="21"/>
        <v/>
      </c>
      <c r="Q212" s="1" t="str">
        <f t="shared" si="22"/>
        <v/>
      </c>
      <c r="R212" s="1" t="str">
        <f t="shared" si="23"/>
        <v/>
      </c>
      <c r="S212" s="1" t="str">
        <f>IF(OR($E212="",$F212=""),"",HYPERLINK(IF(OR(_xlfn.SINGLE(JobState)="MI",_xlfn.SINGLE(JobState)=""),"https://fema.maps.arcgis.com/apps/mapviewer/index.html?url=https%3A%2F%2Fmdotgis.state.mi.us%2Farcgis%2Frest%2Fservices%2FWidget%2FNextGenPrFinderPub%2FFeatureServer%2F353&amp;find="&amp;$F212&amp;"%2C"&amp;$E212&amp;"&amp;marker="&amp;$F212&amp;","&amp;$E212&amp;",4326&amp;level=16",IF(_xlfn.SINGLE(JobState)="IN","https://fema.maps.arcgis.com/apps/mapviewer/index.html?url=https%3A%2F%2Fgisdata.in.gov%2Fserver%2Frest%2Fservices%2FHosted%2FLRSE_Functional_Class%2FFeatureServer%2F22&amp;find="&amp;$F212&amp;"%2C"&amp;$E212&amp;"&amp;marker="&amp;$F212&amp;","&amp;$E212&amp;",4326&amp;level=16",IF(_xlfn.SINGLE(JobState)="WI","https://fema.maps.arcgis.com/apps/mapviewer/index.html?url=https%3A%2F%2Fservices5.arcgis.com%2F0pgGLzT0Nh7FVjon%2Farcgis%2Frest%2Fservices%2FFFCL_gdb%2FFeatureServer%2F3&amp;find="&amp;$F212&amp;"%2C"&amp;$E212&amp;"&amp;marker="&amp;$F212&amp;","&amp;$E212&amp;",4326&amp;level=16","https://fema.maps.arcgis.com/apps/mapviewer/index.html?find="&amp;$F212&amp;"%2C"&amp;$E212&amp;"&amp;marker="&amp;$F212&amp;","&amp;$E212&amp;",4326&amp;level=16"))),"Open"))</f>
        <v/>
      </c>
      <c r="T212" s="4"/>
      <c r="U212" s="4"/>
      <c r="V212" s="4"/>
      <c r="W212" s="4"/>
      <c r="X212" s="4"/>
      <c r="Y212" s="4"/>
      <c r="Z212" s="4"/>
      <c r="AA212" s="4"/>
      <c r="AB212" s="1" t="str">
        <f>IF(OR(_xlfn.SINGLE(JobAgolMap)="", $E212="", $F212=""),"",HYPERLINK(_xlfn.SINGLE(JobAgolMap)&amp;IF(ISNUMBER(FIND("?",_xlfn.SINGLE(JobAgolMap))),"&amp;","?")&amp;"center="&amp;$F212&amp;","&amp;$E212&amp;"&amp;level=16&amp;marker="&amp;$F212&amp;","&amp;$E212,"Open"))</f>
        <v/>
      </c>
    </row>
    <row r="213" spans="1:28" x14ac:dyDescent="0.45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4"/>
      <c r="M213" s="1" t="str">
        <f t="shared" si="18"/>
        <v/>
      </c>
      <c r="N213" s="1" t="str">
        <f t="shared" si="19"/>
        <v/>
      </c>
      <c r="O213" s="1" t="str">
        <f t="shared" si="20"/>
        <v/>
      </c>
      <c r="P213" s="1" t="str">
        <f t="shared" si="21"/>
        <v/>
      </c>
      <c r="Q213" s="1" t="str">
        <f t="shared" si="22"/>
        <v/>
      </c>
      <c r="R213" s="1" t="str">
        <f t="shared" si="23"/>
        <v/>
      </c>
      <c r="S213" s="1" t="str">
        <f>IF(OR($E213="",$F213=""),"",HYPERLINK(IF(OR(_xlfn.SINGLE(JobState)="MI",_xlfn.SINGLE(JobState)=""),"https://fema.maps.arcgis.com/apps/mapviewer/index.html?url=https%3A%2F%2Fmdotgis.state.mi.us%2Farcgis%2Frest%2Fservices%2FWidget%2FNextGenPrFinderPub%2FFeatureServer%2F353&amp;find="&amp;$F213&amp;"%2C"&amp;$E213&amp;"&amp;marker="&amp;$F213&amp;","&amp;$E213&amp;",4326&amp;level=16",IF(_xlfn.SINGLE(JobState)="IN","https://fema.maps.arcgis.com/apps/mapviewer/index.html?url=https%3A%2F%2Fgisdata.in.gov%2Fserver%2Frest%2Fservices%2FHosted%2FLRSE_Functional_Class%2FFeatureServer%2F22&amp;find="&amp;$F213&amp;"%2C"&amp;$E213&amp;"&amp;marker="&amp;$F213&amp;","&amp;$E213&amp;",4326&amp;level=16",IF(_xlfn.SINGLE(JobState)="WI","https://fema.maps.arcgis.com/apps/mapviewer/index.html?url=https%3A%2F%2Fservices5.arcgis.com%2F0pgGLzT0Nh7FVjon%2Farcgis%2Frest%2Fservices%2FFFCL_gdb%2FFeatureServer%2F3&amp;find="&amp;$F213&amp;"%2C"&amp;$E213&amp;"&amp;marker="&amp;$F213&amp;","&amp;$E213&amp;",4326&amp;level=16","https://fema.maps.arcgis.com/apps/mapviewer/index.html?find="&amp;$F213&amp;"%2C"&amp;$E213&amp;"&amp;marker="&amp;$F213&amp;","&amp;$E213&amp;",4326&amp;level=16"))),"Open"))</f>
        <v/>
      </c>
      <c r="T213" s="4"/>
      <c r="U213" s="4"/>
      <c r="V213" s="4"/>
      <c r="W213" s="4"/>
      <c r="X213" s="4"/>
      <c r="Y213" s="4"/>
      <c r="Z213" s="4"/>
      <c r="AA213" s="4"/>
      <c r="AB213" s="1" t="str">
        <f>IF(OR(_xlfn.SINGLE(JobAgolMap)="", $E213="", $F213=""),"",HYPERLINK(_xlfn.SINGLE(JobAgolMap)&amp;IF(ISNUMBER(FIND("?",_xlfn.SINGLE(JobAgolMap))),"&amp;","?")&amp;"center="&amp;$F213&amp;","&amp;$E213&amp;"&amp;level=16&amp;marker="&amp;$F213&amp;","&amp;$E213,"Open"))</f>
        <v/>
      </c>
    </row>
    <row r="214" spans="1:28" x14ac:dyDescent="0.45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4"/>
      <c r="M214" s="1" t="str">
        <f t="shared" si="18"/>
        <v/>
      </c>
      <c r="N214" s="1" t="str">
        <f t="shared" si="19"/>
        <v/>
      </c>
      <c r="O214" s="1" t="str">
        <f t="shared" si="20"/>
        <v/>
      </c>
      <c r="P214" s="1" t="str">
        <f t="shared" si="21"/>
        <v/>
      </c>
      <c r="Q214" s="1" t="str">
        <f t="shared" si="22"/>
        <v/>
      </c>
      <c r="R214" s="1" t="str">
        <f t="shared" si="23"/>
        <v/>
      </c>
      <c r="S214" s="1" t="str">
        <f>IF(OR($E214="",$F214=""),"",HYPERLINK(IF(OR(_xlfn.SINGLE(JobState)="MI",_xlfn.SINGLE(JobState)=""),"https://fema.maps.arcgis.com/apps/mapviewer/index.html?url=https%3A%2F%2Fmdotgis.state.mi.us%2Farcgis%2Frest%2Fservices%2FWidget%2FNextGenPrFinderPub%2FFeatureServer%2F353&amp;find="&amp;$F214&amp;"%2C"&amp;$E214&amp;"&amp;marker="&amp;$F214&amp;","&amp;$E214&amp;",4326&amp;level=16",IF(_xlfn.SINGLE(JobState)="IN","https://fema.maps.arcgis.com/apps/mapviewer/index.html?url=https%3A%2F%2Fgisdata.in.gov%2Fserver%2Frest%2Fservices%2FHosted%2FLRSE_Functional_Class%2FFeatureServer%2F22&amp;find="&amp;$F214&amp;"%2C"&amp;$E214&amp;"&amp;marker="&amp;$F214&amp;","&amp;$E214&amp;",4326&amp;level=16",IF(_xlfn.SINGLE(JobState)="WI","https://fema.maps.arcgis.com/apps/mapviewer/index.html?url=https%3A%2F%2Fservices5.arcgis.com%2F0pgGLzT0Nh7FVjon%2Farcgis%2Frest%2Fservices%2FFFCL_gdb%2FFeatureServer%2F3&amp;find="&amp;$F214&amp;"%2C"&amp;$E214&amp;"&amp;marker="&amp;$F214&amp;","&amp;$E214&amp;",4326&amp;level=16","https://fema.maps.arcgis.com/apps/mapviewer/index.html?find="&amp;$F214&amp;"%2C"&amp;$E214&amp;"&amp;marker="&amp;$F214&amp;","&amp;$E214&amp;",4326&amp;level=16"))),"Open"))</f>
        <v/>
      </c>
      <c r="T214" s="4"/>
      <c r="U214" s="4"/>
      <c r="V214" s="4"/>
      <c r="W214" s="4"/>
      <c r="X214" s="4"/>
      <c r="Y214" s="4"/>
      <c r="Z214" s="4"/>
      <c r="AA214" s="4"/>
      <c r="AB214" s="1" t="str">
        <f>IF(OR(_xlfn.SINGLE(JobAgolMap)="", $E214="", $F214=""),"",HYPERLINK(_xlfn.SINGLE(JobAgolMap)&amp;IF(ISNUMBER(FIND("?",_xlfn.SINGLE(JobAgolMap))),"&amp;","?")&amp;"center="&amp;$F214&amp;","&amp;$E214&amp;"&amp;level=16&amp;marker="&amp;$F214&amp;","&amp;$E214,"Open"))</f>
        <v/>
      </c>
    </row>
    <row r="215" spans="1:28" x14ac:dyDescent="0.45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4"/>
      <c r="M215" s="1" t="str">
        <f t="shared" si="18"/>
        <v/>
      </c>
      <c r="N215" s="1" t="str">
        <f t="shared" si="19"/>
        <v/>
      </c>
      <c r="O215" s="1" t="str">
        <f t="shared" si="20"/>
        <v/>
      </c>
      <c r="P215" s="1" t="str">
        <f t="shared" si="21"/>
        <v/>
      </c>
      <c r="Q215" s="1" t="str">
        <f t="shared" si="22"/>
        <v/>
      </c>
      <c r="R215" s="1" t="str">
        <f t="shared" si="23"/>
        <v/>
      </c>
      <c r="S215" s="1" t="str">
        <f>IF(OR($E215="",$F215=""),"",HYPERLINK(IF(OR(_xlfn.SINGLE(JobState)="MI",_xlfn.SINGLE(JobState)=""),"https://fema.maps.arcgis.com/apps/mapviewer/index.html?url=https%3A%2F%2Fmdotgis.state.mi.us%2Farcgis%2Frest%2Fservices%2FWidget%2FNextGenPrFinderPub%2FFeatureServer%2F353&amp;find="&amp;$F215&amp;"%2C"&amp;$E215&amp;"&amp;marker="&amp;$F215&amp;","&amp;$E215&amp;",4326&amp;level=16",IF(_xlfn.SINGLE(JobState)="IN","https://fema.maps.arcgis.com/apps/mapviewer/index.html?url=https%3A%2F%2Fgisdata.in.gov%2Fserver%2Frest%2Fservices%2FHosted%2FLRSE_Functional_Class%2FFeatureServer%2F22&amp;find="&amp;$F215&amp;"%2C"&amp;$E215&amp;"&amp;marker="&amp;$F215&amp;","&amp;$E215&amp;",4326&amp;level=16",IF(_xlfn.SINGLE(JobState)="WI","https://fema.maps.arcgis.com/apps/mapviewer/index.html?url=https%3A%2F%2Fservices5.arcgis.com%2F0pgGLzT0Nh7FVjon%2Farcgis%2Frest%2Fservices%2FFFCL_gdb%2FFeatureServer%2F3&amp;find="&amp;$F215&amp;"%2C"&amp;$E215&amp;"&amp;marker="&amp;$F215&amp;","&amp;$E215&amp;",4326&amp;level=16","https://fema.maps.arcgis.com/apps/mapviewer/index.html?find="&amp;$F215&amp;"%2C"&amp;$E215&amp;"&amp;marker="&amp;$F215&amp;","&amp;$E215&amp;",4326&amp;level=16"))),"Open"))</f>
        <v/>
      </c>
      <c r="T215" s="4"/>
      <c r="U215" s="4"/>
      <c r="V215" s="4"/>
      <c r="W215" s="4"/>
      <c r="X215" s="4"/>
      <c r="Y215" s="4"/>
      <c r="Z215" s="4"/>
      <c r="AA215" s="4"/>
      <c r="AB215" s="1" t="str">
        <f>IF(OR(_xlfn.SINGLE(JobAgolMap)="", $E215="", $F215=""),"",HYPERLINK(_xlfn.SINGLE(JobAgolMap)&amp;IF(ISNUMBER(FIND("?",_xlfn.SINGLE(JobAgolMap))),"&amp;","?")&amp;"center="&amp;$F215&amp;","&amp;$E215&amp;"&amp;level=16&amp;marker="&amp;$F215&amp;","&amp;$E215,"Open"))</f>
        <v/>
      </c>
    </row>
    <row r="216" spans="1:28" x14ac:dyDescent="0.45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4"/>
      <c r="M216" s="1" t="str">
        <f t="shared" si="18"/>
        <v/>
      </c>
      <c r="N216" s="1" t="str">
        <f t="shared" si="19"/>
        <v/>
      </c>
      <c r="O216" s="1" t="str">
        <f t="shared" si="20"/>
        <v/>
      </c>
      <c r="P216" s="1" t="str">
        <f t="shared" si="21"/>
        <v/>
      </c>
      <c r="Q216" s="1" t="str">
        <f t="shared" si="22"/>
        <v/>
      </c>
      <c r="R216" s="1" t="str">
        <f t="shared" si="23"/>
        <v/>
      </c>
      <c r="S216" s="1" t="str">
        <f>IF(OR($E216="",$F216=""),"",HYPERLINK(IF(OR(_xlfn.SINGLE(JobState)="MI",_xlfn.SINGLE(JobState)=""),"https://fema.maps.arcgis.com/apps/mapviewer/index.html?url=https%3A%2F%2Fmdotgis.state.mi.us%2Farcgis%2Frest%2Fservices%2FWidget%2FNextGenPrFinderPub%2FFeatureServer%2F353&amp;find="&amp;$F216&amp;"%2C"&amp;$E216&amp;"&amp;marker="&amp;$F216&amp;","&amp;$E216&amp;",4326&amp;level=16",IF(_xlfn.SINGLE(JobState)="IN","https://fema.maps.arcgis.com/apps/mapviewer/index.html?url=https%3A%2F%2Fgisdata.in.gov%2Fserver%2Frest%2Fservices%2FHosted%2FLRSE_Functional_Class%2FFeatureServer%2F22&amp;find="&amp;$F216&amp;"%2C"&amp;$E216&amp;"&amp;marker="&amp;$F216&amp;","&amp;$E216&amp;",4326&amp;level=16",IF(_xlfn.SINGLE(JobState)="WI","https://fema.maps.arcgis.com/apps/mapviewer/index.html?url=https%3A%2F%2Fservices5.arcgis.com%2F0pgGLzT0Nh7FVjon%2Farcgis%2Frest%2Fservices%2FFFCL_gdb%2FFeatureServer%2F3&amp;find="&amp;$F216&amp;"%2C"&amp;$E216&amp;"&amp;marker="&amp;$F216&amp;","&amp;$E216&amp;",4326&amp;level=16","https://fema.maps.arcgis.com/apps/mapviewer/index.html?find="&amp;$F216&amp;"%2C"&amp;$E216&amp;"&amp;marker="&amp;$F216&amp;","&amp;$E216&amp;",4326&amp;level=16"))),"Open"))</f>
        <v/>
      </c>
      <c r="T216" s="4"/>
      <c r="U216" s="4"/>
      <c r="V216" s="4"/>
      <c r="W216" s="4"/>
      <c r="X216" s="4"/>
      <c r="Y216" s="4"/>
      <c r="Z216" s="4"/>
      <c r="AA216" s="4"/>
      <c r="AB216" s="1" t="str">
        <f>IF(OR(_xlfn.SINGLE(JobAgolMap)="", $E216="", $F216=""),"",HYPERLINK(_xlfn.SINGLE(JobAgolMap)&amp;IF(ISNUMBER(FIND("?",_xlfn.SINGLE(JobAgolMap))),"&amp;","?")&amp;"center="&amp;$F216&amp;","&amp;$E216&amp;"&amp;level=16&amp;marker="&amp;$F216&amp;","&amp;$E216,"Open"))</f>
        <v/>
      </c>
    </row>
    <row r="217" spans="1:28" x14ac:dyDescent="0.45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4"/>
      <c r="M217" s="1" t="str">
        <f t="shared" si="18"/>
        <v/>
      </c>
      <c r="N217" s="1" t="str">
        <f t="shared" si="19"/>
        <v/>
      </c>
      <c r="O217" s="1" t="str">
        <f t="shared" si="20"/>
        <v/>
      </c>
      <c r="P217" s="1" t="str">
        <f t="shared" si="21"/>
        <v/>
      </c>
      <c r="Q217" s="1" t="str">
        <f t="shared" si="22"/>
        <v/>
      </c>
      <c r="R217" s="1" t="str">
        <f t="shared" si="23"/>
        <v/>
      </c>
      <c r="S217" s="1" t="str">
        <f>IF(OR($E217="",$F217=""),"",HYPERLINK(IF(OR(_xlfn.SINGLE(JobState)="MI",_xlfn.SINGLE(JobState)=""),"https://fema.maps.arcgis.com/apps/mapviewer/index.html?url=https%3A%2F%2Fmdotgis.state.mi.us%2Farcgis%2Frest%2Fservices%2FWidget%2FNextGenPrFinderPub%2FFeatureServer%2F353&amp;find="&amp;$F217&amp;"%2C"&amp;$E217&amp;"&amp;marker="&amp;$F217&amp;","&amp;$E217&amp;",4326&amp;level=16",IF(_xlfn.SINGLE(JobState)="IN","https://fema.maps.arcgis.com/apps/mapviewer/index.html?url=https%3A%2F%2Fgisdata.in.gov%2Fserver%2Frest%2Fservices%2FHosted%2FLRSE_Functional_Class%2FFeatureServer%2F22&amp;find="&amp;$F217&amp;"%2C"&amp;$E217&amp;"&amp;marker="&amp;$F217&amp;","&amp;$E217&amp;",4326&amp;level=16",IF(_xlfn.SINGLE(JobState)="WI","https://fema.maps.arcgis.com/apps/mapviewer/index.html?url=https%3A%2F%2Fservices5.arcgis.com%2F0pgGLzT0Nh7FVjon%2Farcgis%2Frest%2Fservices%2FFFCL_gdb%2FFeatureServer%2F3&amp;find="&amp;$F217&amp;"%2C"&amp;$E217&amp;"&amp;marker="&amp;$F217&amp;","&amp;$E217&amp;",4326&amp;level=16","https://fema.maps.arcgis.com/apps/mapviewer/index.html?find="&amp;$F217&amp;"%2C"&amp;$E217&amp;"&amp;marker="&amp;$F217&amp;","&amp;$E217&amp;",4326&amp;level=16"))),"Open"))</f>
        <v/>
      </c>
      <c r="T217" s="4"/>
      <c r="U217" s="4"/>
      <c r="V217" s="4"/>
      <c r="W217" s="4"/>
      <c r="X217" s="4"/>
      <c r="Y217" s="4"/>
      <c r="Z217" s="4"/>
      <c r="AA217" s="4"/>
      <c r="AB217" s="1" t="str">
        <f>IF(OR(_xlfn.SINGLE(JobAgolMap)="", $E217="", $F217=""),"",HYPERLINK(_xlfn.SINGLE(JobAgolMap)&amp;IF(ISNUMBER(FIND("?",_xlfn.SINGLE(JobAgolMap))),"&amp;","?")&amp;"center="&amp;$F217&amp;","&amp;$E217&amp;"&amp;level=16&amp;marker="&amp;$F217&amp;","&amp;$E217,"Open"))</f>
        <v/>
      </c>
    </row>
    <row r="218" spans="1:28" x14ac:dyDescent="0.45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4"/>
      <c r="M218" s="1" t="str">
        <f t="shared" si="18"/>
        <v/>
      </c>
      <c r="N218" s="1" t="str">
        <f t="shared" si="19"/>
        <v/>
      </c>
      <c r="O218" s="1" t="str">
        <f t="shared" si="20"/>
        <v/>
      </c>
      <c r="P218" s="1" t="str">
        <f t="shared" si="21"/>
        <v/>
      </c>
      <c r="Q218" s="1" t="str">
        <f t="shared" si="22"/>
        <v/>
      </c>
      <c r="R218" s="1" t="str">
        <f t="shared" si="23"/>
        <v/>
      </c>
      <c r="S218" s="1" t="str">
        <f>IF(OR($E218="",$F218=""),"",HYPERLINK(IF(OR(_xlfn.SINGLE(JobState)="MI",_xlfn.SINGLE(JobState)=""),"https://fema.maps.arcgis.com/apps/mapviewer/index.html?url=https%3A%2F%2Fmdotgis.state.mi.us%2Farcgis%2Frest%2Fservices%2FWidget%2FNextGenPrFinderPub%2FFeatureServer%2F353&amp;find="&amp;$F218&amp;"%2C"&amp;$E218&amp;"&amp;marker="&amp;$F218&amp;","&amp;$E218&amp;",4326&amp;level=16",IF(_xlfn.SINGLE(JobState)="IN","https://fema.maps.arcgis.com/apps/mapviewer/index.html?url=https%3A%2F%2Fgisdata.in.gov%2Fserver%2Frest%2Fservices%2FHosted%2FLRSE_Functional_Class%2FFeatureServer%2F22&amp;find="&amp;$F218&amp;"%2C"&amp;$E218&amp;"&amp;marker="&amp;$F218&amp;","&amp;$E218&amp;",4326&amp;level=16",IF(_xlfn.SINGLE(JobState)="WI","https://fema.maps.arcgis.com/apps/mapviewer/index.html?url=https%3A%2F%2Fservices5.arcgis.com%2F0pgGLzT0Nh7FVjon%2Farcgis%2Frest%2Fservices%2FFFCL_gdb%2FFeatureServer%2F3&amp;find="&amp;$F218&amp;"%2C"&amp;$E218&amp;"&amp;marker="&amp;$F218&amp;","&amp;$E218&amp;",4326&amp;level=16","https://fema.maps.arcgis.com/apps/mapviewer/index.html?find="&amp;$F218&amp;"%2C"&amp;$E218&amp;"&amp;marker="&amp;$F218&amp;","&amp;$E218&amp;",4326&amp;level=16"))),"Open"))</f>
        <v/>
      </c>
      <c r="T218" s="4"/>
      <c r="U218" s="4"/>
      <c r="V218" s="4"/>
      <c r="W218" s="4"/>
      <c r="X218" s="4"/>
      <c r="Y218" s="4"/>
      <c r="Z218" s="4"/>
      <c r="AA218" s="4"/>
      <c r="AB218" s="1" t="str">
        <f>IF(OR(_xlfn.SINGLE(JobAgolMap)="", $E218="", $F218=""),"",HYPERLINK(_xlfn.SINGLE(JobAgolMap)&amp;IF(ISNUMBER(FIND("?",_xlfn.SINGLE(JobAgolMap))),"&amp;","?")&amp;"center="&amp;$F218&amp;","&amp;$E218&amp;"&amp;level=16&amp;marker="&amp;$F218&amp;","&amp;$E218,"Open"))</f>
        <v/>
      </c>
    </row>
    <row r="219" spans="1:28" x14ac:dyDescent="0.45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4"/>
      <c r="M219" s="1" t="str">
        <f t="shared" si="18"/>
        <v/>
      </c>
      <c r="N219" s="1" t="str">
        <f t="shared" si="19"/>
        <v/>
      </c>
      <c r="O219" s="1" t="str">
        <f t="shared" si="20"/>
        <v/>
      </c>
      <c r="P219" s="1" t="str">
        <f t="shared" si="21"/>
        <v/>
      </c>
      <c r="Q219" s="1" t="str">
        <f t="shared" si="22"/>
        <v/>
      </c>
      <c r="R219" s="1" t="str">
        <f t="shared" si="23"/>
        <v/>
      </c>
      <c r="S219" s="1" t="str">
        <f>IF(OR($E219="",$F219=""),"",HYPERLINK(IF(OR(_xlfn.SINGLE(JobState)="MI",_xlfn.SINGLE(JobState)=""),"https://fema.maps.arcgis.com/apps/mapviewer/index.html?url=https%3A%2F%2Fmdotgis.state.mi.us%2Farcgis%2Frest%2Fservices%2FWidget%2FNextGenPrFinderPub%2FFeatureServer%2F353&amp;find="&amp;$F219&amp;"%2C"&amp;$E219&amp;"&amp;marker="&amp;$F219&amp;","&amp;$E219&amp;",4326&amp;level=16",IF(_xlfn.SINGLE(JobState)="IN","https://fema.maps.arcgis.com/apps/mapviewer/index.html?url=https%3A%2F%2Fgisdata.in.gov%2Fserver%2Frest%2Fservices%2FHosted%2FLRSE_Functional_Class%2FFeatureServer%2F22&amp;find="&amp;$F219&amp;"%2C"&amp;$E219&amp;"&amp;marker="&amp;$F219&amp;","&amp;$E219&amp;",4326&amp;level=16",IF(_xlfn.SINGLE(JobState)="WI","https://fema.maps.arcgis.com/apps/mapviewer/index.html?url=https%3A%2F%2Fservices5.arcgis.com%2F0pgGLzT0Nh7FVjon%2Farcgis%2Frest%2Fservices%2FFFCL_gdb%2FFeatureServer%2F3&amp;find="&amp;$F219&amp;"%2C"&amp;$E219&amp;"&amp;marker="&amp;$F219&amp;","&amp;$E219&amp;",4326&amp;level=16","https://fema.maps.arcgis.com/apps/mapviewer/index.html?find="&amp;$F219&amp;"%2C"&amp;$E219&amp;"&amp;marker="&amp;$F219&amp;","&amp;$E219&amp;",4326&amp;level=16"))),"Open"))</f>
        <v/>
      </c>
      <c r="T219" s="4"/>
      <c r="U219" s="4"/>
      <c r="V219" s="4"/>
      <c r="W219" s="4"/>
      <c r="X219" s="4"/>
      <c r="Y219" s="4"/>
      <c r="Z219" s="4"/>
      <c r="AA219" s="4"/>
      <c r="AB219" s="1" t="str">
        <f>IF(OR(_xlfn.SINGLE(JobAgolMap)="", $E219="", $F219=""),"",HYPERLINK(_xlfn.SINGLE(JobAgolMap)&amp;IF(ISNUMBER(FIND("?",_xlfn.SINGLE(JobAgolMap))),"&amp;","?")&amp;"center="&amp;$F219&amp;","&amp;$E219&amp;"&amp;level=16&amp;marker="&amp;$F219&amp;","&amp;$E219,"Open"))</f>
        <v/>
      </c>
    </row>
    <row r="220" spans="1:28" x14ac:dyDescent="0.45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4"/>
      <c r="M220" s="1" t="str">
        <f t="shared" si="18"/>
        <v/>
      </c>
      <c r="N220" s="1" t="str">
        <f t="shared" si="19"/>
        <v/>
      </c>
      <c r="O220" s="1" t="str">
        <f t="shared" si="20"/>
        <v/>
      </c>
      <c r="P220" s="1" t="str">
        <f t="shared" si="21"/>
        <v/>
      </c>
      <c r="Q220" s="1" t="str">
        <f t="shared" si="22"/>
        <v/>
      </c>
      <c r="R220" s="1" t="str">
        <f t="shared" si="23"/>
        <v/>
      </c>
      <c r="S220" s="1" t="str">
        <f>IF(OR($E220="",$F220=""),"",HYPERLINK(IF(OR(_xlfn.SINGLE(JobState)="MI",_xlfn.SINGLE(JobState)=""),"https://fema.maps.arcgis.com/apps/mapviewer/index.html?url=https%3A%2F%2Fmdotgis.state.mi.us%2Farcgis%2Frest%2Fservices%2FWidget%2FNextGenPrFinderPub%2FFeatureServer%2F353&amp;find="&amp;$F220&amp;"%2C"&amp;$E220&amp;"&amp;marker="&amp;$F220&amp;","&amp;$E220&amp;",4326&amp;level=16",IF(_xlfn.SINGLE(JobState)="IN","https://fema.maps.arcgis.com/apps/mapviewer/index.html?url=https%3A%2F%2Fgisdata.in.gov%2Fserver%2Frest%2Fservices%2FHosted%2FLRSE_Functional_Class%2FFeatureServer%2F22&amp;find="&amp;$F220&amp;"%2C"&amp;$E220&amp;"&amp;marker="&amp;$F220&amp;","&amp;$E220&amp;",4326&amp;level=16",IF(_xlfn.SINGLE(JobState)="WI","https://fema.maps.arcgis.com/apps/mapviewer/index.html?url=https%3A%2F%2Fservices5.arcgis.com%2F0pgGLzT0Nh7FVjon%2Farcgis%2Frest%2Fservices%2FFFCL_gdb%2FFeatureServer%2F3&amp;find="&amp;$F220&amp;"%2C"&amp;$E220&amp;"&amp;marker="&amp;$F220&amp;","&amp;$E220&amp;",4326&amp;level=16","https://fema.maps.arcgis.com/apps/mapviewer/index.html?find="&amp;$F220&amp;"%2C"&amp;$E220&amp;"&amp;marker="&amp;$F220&amp;","&amp;$E220&amp;",4326&amp;level=16"))),"Open"))</f>
        <v/>
      </c>
      <c r="T220" s="4"/>
      <c r="U220" s="4"/>
      <c r="V220" s="4"/>
      <c r="W220" s="4"/>
      <c r="X220" s="4"/>
      <c r="Y220" s="4"/>
      <c r="Z220" s="4"/>
      <c r="AA220" s="4"/>
      <c r="AB220" s="1" t="str">
        <f>IF(OR(_xlfn.SINGLE(JobAgolMap)="", $E220="", $F220=""),"",HYPERLINK(_xlfn.SINGLE(JobAgolMap)&amp;IF(ISNUMBER(FIND("?",_xlfn.SINGLE(JobAgolMap))),"&amp;","?")&amp;"center="&amp;$F220&amp;","&amp;$E220&amp;"&amp;level=16&amp;marker="&amp;$F220&amp;","&amp;$E220,"Open"))</f>
        <v/>
      </c>
    </row>
    <row r="221" spans="1:28" x14ac:dyDescent="0.45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4"/>
      <c r="M221" s="1" t="str">
        <f t="shared" si="18"/>
        <v/>
      </c>
      <c r="N221" s="1" t="str">
        <f t="shared" si="19"/>
        <v/>
      </c>
      <c r="O221" s="1" t="str">
        <f t="shared" si="20"/>
        <v/>
      </c>
      <c r="P221" s="1" t="str">
        <f t="shared" si="21"/>
        <v/>
      </c>
      <c r="Q221" s="1" t="str">
        <f t="shared" si="22"/>
        <v/>
      </c>
      <c r="R221" s="1" t="str">
        <f t="shared" si="23"/>
        <v/>
      </c>
      <c r="S221" s="1" t="str">
        <f>IF(OR($E221="",$F221=""),"",HYPERLINK(IF(OR(_xlfn.SINGLE(JobState)="MI",_xlfn.SINGLE(JobState)=""),"https://fema.maps.arcgis.com/apps/mapviewer/index.html?url=https%3A%2F%2Fmdotgis.state.mi.us%2Farcgis%2Frest%2Fservices%2FWidget%2FNextGenPrFinderPub%2FFeatureServer%2F353&amp;find="&amp;$F221&amp;"%2C"&amp;$E221&amp;"&amp;marker="&amp;$F221&amp;","&amp;$E221&amp;",4326&amp;level=16",IF(_xlfn.SINGLE(JobState)="IN","https://fema.maps.arcgis.com/apps/mapviewer/index.html?url=https%3A%2F%2Fgisdata.in.gov%2Fserver%2Frest%2Fservices%2FHosted%2FLRSE_Functional_Class%2FFeatureServer%2F22&amp;find="&amp;$F221&amp;"%2C"&amp;$E221&amp;"&amp;marker="&amp;$F221&amp;","&amp;$E221&amp;",4326&amp;level=16",IF(_xlfn.SINGLE(JobState)="WI","https://fema.maps.arcgis.com/apps/mapviewer/index.html?url=https%3A%2F%2Fservices5.arcgis.com%2F0pgGLzT0Nh7FVjon%2Farcgis%2Frest%2Fservices%2FFFCL_gdb%2FFeatureServer%2F3&amp;find="&amp;$F221&amp;"%2C"&amp;$E221&amp;"&amp;marker="&amp;$F221&amp;","&amp;$E221&amp;",4326&amp;level=16","https://fema.maps.arcgis.com/apps/mapviewer/index.html?find="&amp;$F221&amp;"%2C"&amp;$E221&amp;"&amp;marker="&amp;$F221&amp;","&amp;$E221&amp;",4326&amp;level=16"))),"Open"))</f>
        <v/>
      </c>
      <c r="T221" s="4"/>
      <c r="U221" s="4"/>
      <c r="V221" s="4"/>
      <c r="W221" s="4"/>
      <c r="X221" s="4"/>
      <c r="Y221" s="4"/>
      <c r="Z221" s="4"/>
      <c r="AA221" s="4"/>
      <c r="AB221" s="1" t="str">
        <f>IF(OR(_xlfn.SINGLE(JobAgolMap)="", $E221="", $F221=""),"",HYPERLINK(_xlfn.SINGLE(JobAgolMap)&amp;IF(ISNUMBER(FIND("?",_xlfn.SINGLE(JobAgolMap))),"&amp;","?")&amp;"center="&amp;$F221&amp;","&amp;$E221&amp;"&amp;level=16&amp;marker="&amp;$F221&amp;","&amp;$E221,"Open"))</f>
        <v/>
      </c>
    </row>
    <row r="222" spans="1:28" x14ac:dyDescent="0.45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4"/>
      <c r="M222" s="1" t="str">
        <f t="shared" si="18"/>
        <v/>
      </c>
      <c r="N222" s="1" t="str">
        <f t="shared" si="19"/>
        <v/>
      </c>
      <c r="O222" s="1" t="str">
        <f t="shared" si="20"/>
        <v/>
      </c>
      <c r="P222" s="1" t="str">
        <f t="shared" si="21"/>
        <v/>
      </c>
      <c r="Q222" s="1" t="str">
        <f t="shared" si="22"/>
        <v/>
      </c>
      <c r="R222" s="1" t="str">
        <f t="shared" si="23"/>
        <v/>
      </c>
      <c r="S222" s="1" t="str">
        <f>IF(OR($E222="",$F222=""),"",HYPERLINK(IF(OR(_xlfn.SINGLE(JobState)="MI",_xlfn.SINGLE(JobState)=""),"https://fema.maps.arcgis.com/apps/mapviewer/index.html?url=https%3A%2F%2Fmdotgis.state.mi.us%2Farcgis%2Frest%2Fservices%2FWidget%2FNextGenPrFinderPub%2FFeatureServer%2F353&amp;find="&amp;$F222&amp;"%2C"&amp;$E222&amp;"&amp;marker="&amp;$F222&amp;","&amp;$E222&amp;",4326&amp;level=16",IF(_xlfn.SINGLE(JobState)="IN","https://fema.maps.arcgis.com/apps/mapviewer/index.html?url=https%3A%2F%2Fgisdata.in.gov%2Fserver%2Frest%2Fservices%2FHosted%2FLRSE_Functional_Class%2FFeatureServer%2F22&amp;find="&amp;$F222&amp;"%2C"&amp;$E222&amp;"&amp;marker="&amp;$F222&amp;","&amp;$E222&amp;",4326&amp;level=16",IF(_xlfn.SINGLE(JobState)="WI","https://fema.maps.arcgis.com/apps/mapviewer/index.html?url=https%3A%2F%2Fservices5.arcgis.com%2F0pgGLzT0Nh7FVjon%2Farcgis%2Frest%2Fservices%2FFFCL_gdb%2FFeatureServer%2F3&amp;find="&amp;$F222&amp;"%2C"&amp;$E222&amp;"&amp;marker="&amp;$F222&amp;","&amp;$E222&amp;",4326&amp;level=16","https://fema.maps.arcgis.com/apps/mapviewer/index.html?find="&amp;$F222&amp;"%2C"&amp;$E222&amp;"&amp;marker="&amp;$F222&amp;","&amp;$E222&amp;",4326&amp;level=16"))),"Open"))</f>
        <v/>
      </c>
      <c r="T222" s="4"/>
      <c r="U222" s="4"/>
      <c r="V222" s="4"/>
      <c r="W222" s="4"/>
      <c r="X222" s="4"/>
      <c r="Y222" s="4"/>
      <c r="Z222" s="4"/>
      <c r="AA222" s="4"/>
      <c r="AB222" s="1" t="str">
        <f>IF(OR(_xlfn.SINGLE(JobAgolMap)="", $E222="", $F222=""),"",HYPERLINK(_xlfn.SINGLE(JobAgolMap)&amp;IF(ISNUMBER(FIND("?",_xlfn.SINGLE(JobAgolMap))),"&amp;","?")&amp;"center="&amp;$F222&amp;","&amp;$E222&amp;"&amp;level=16&amp;marker="&amp;$F222&amp;","&amp;$E222,"Open"))</f>
        <v/>
      </c>
    </row>
    <row r="223" spans="1:28" x14ac:dyDescent="0.45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4"/>
      <c r="M223" s="1" t="str">
        <f t="shared" si="18"/>
        <v/>
      </c>
      <c r="N223" s="1" t="str">
        <f t="shared" si="19"/>
        <v/>
      </c>
      <c r="O223" s="1" t="str">
        <f t="shared" si="20"/>
        <v/>
      </c>
      <c r="P223" s="1" t="str">
        <f t="shared" si="21"/>
        <v/>
      </c>
      <c r="Q223" s="1" t="str">
        <f t="shared" si="22"/>
        <v/>
      </c>
      <c r="R223" s="1" t="str">
        <f t="shared" si="23"/>
        <v/>
      </c>
      <c r="S223" s="1" t="str">
        <f>IF(OR($E223="",$F223=""),"",HYPERLINK(IF(OR(_xlfn.SINGLE(JobState)="MI",_xlfn.SINGLE(JobState)=""),"https://fema.maps.arcgis.com/apps/mapviewer/index.html?url=https%3A%2F%2Fmdotgis.state.mi.us%2Farcgis%2Frest%2Fservices%2FWidget%2FNextGenPrFinderPub%2FFeatureServer%2F353&amp;find="&amp;$F223&amp;"%2C"&amp;$E223&amp;"&amp;marker="&amp;$F223&amp;","&amp;$E223&amp;",4326&amp;level=16",IF(_xlfn.SINGLE(JobState)="IN","https://fema.maps.arcgis.com/apps/mapviewer/index.html?url=https%3A%2F%2Fgisdata.in.gov%2Fserver%2Frest%2Fservices%2FHosted%2FLRSE_Functional_Class%2FFeatureServer%2F22&amp;find="&amp;$F223&amp;"%2C"&amp;$E223&amp;"&amp;marker="&amp;$F223&amp;","&amp;$E223&amp;",4326&amp;level=16",IF(_xlfn.SINGLE(JobState)="WI","https://fema.maps.arcgis.com/apps/mapviewer/index.html?url=https%3A%2F%2Fservices5.arcgis.com%2F0pgGLzT0Nh7FVjon%2Farcgis%2Frest%2Fservices%2FFFCL_gdb%2FFeatureServer%2F3&amp;find="&amp;$F223&amp;"%2C"&amp;$E223&amp;"&amp;marker="&amp;$F223&amp;","&amp;$E223&amp;",4326&amp;level=16","https://fema.maps.arcgis.com/apps/mapviewer/index.html?find="&amp;$F223&amp;"%2C"&amp;$E223&amp;"&amp;marker="&amp;$F223&amp;","&amp;$E223&amp;",4326&amp;level=16"))),"Open"))</f>
        <v/>
      </c>
      <c r="T223" s="4"/>
      <c r="U223" s="4"/>
      <c r="V223" s="4"/>
      <c r="W223" s="4"/>
      <c r="X223" s="4"/>
      <c r="Y223" s="4"/>
      <c r="Z223" s="4"/>
      <c r="AA223" s="4"/>
      <c r="AB223" s="1" t="str">
        <f>IF(OR(_xlfn.SINGLE(JobAgolMap)="", $E223="", $F223=""),"",HYPERLINK(_xlfn.SINGLE(JobAgolMap)&amp;IF(ISNUMBER(FIND("?",_xlfn.SINGLE(JobAgolMap))),"&amp;","?")&amp;"center="&amp;$F223&amp;","&amp;$E223&amp;"&amp;level=16&amp;marker="&amp;$F223&amp;","&amp;$E223,"Open"))</f>
        <v/>
      </c>
    </row>
    <row r="224" spans="1:28" x14ac:dyDescent="0.45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4"/>
      <c r="M224" s="1" t="str">
        <f t="shared" si="18"/>
        <v/>
      </c>
      <c r="N224" s="1" t="str">
        <f t="shared" si="19"/>
        <v/>
      </c>
      <c r="O224" s="1" t="str">
        <f t="shared" si="20"/>
        <v/>
      </c>
      <c r="P224" s="1" t="str">
        <f t="shared" si="21"/>
        <v/>
      </c>
      <c r="Q224" s="1" t="str">
        <f t="shared" si="22"/>
        <v/>
      </c>
      <c r="R224" s="1" t="str">
        <f t="shared" si="23"/>
        <v/>
      </c>
      <c r="S224" s="1" t="str">
        <f>IF(OR($E224="",$F224=""),"",HYPERLINK(IF(OR(_xlfn.SINGLE(JobState)="MI",_xlfn.SINGLE(JobState)=""),"https://fema.maps.arcgis.com/apps/mapviewer/index.html?url=https%3A%2F%2Fmdotgis.state.mi.us%2Farcgis%2Frest%2Fservices%2FWidget%2FNextGenPrFinderPub%2FFeatureServer%2F353&amp;find="&amp;$F224&amp;"%2C"&amp;$E224&amp;"&amp;marker="&amp;$F224&amp;","&amp;$E224&amp;",4326&amp;level=16",IF(_xlfn.SINGLE(JobState)="IN","https://fema.maps.arcgis.com/apps/mapviewer/index.html?url=https%3A%2F%2Fgisdata.in.gov%2Fserver%2Frest%2Fservices%2FHosted%2FLRSE_Functional_Class%2FFeatureServer%2F22&amp;find="&amp;$F224&amp;"%2C"&amp;$E224&amp;"&amp;marker="&amp;$F224&amp;","&amp;$E224&amp;",4326&amp;level=16",IF(_xlfn.SINGLE(JobState)="WI","https://fema.maps.arcgis.com/apps/mapviewer/index.html?url=https%3A%2F%2Fservices5.arcgis.com%2F0pgGLzT0Nh7FVjon%2Farcgis%2Frest%2Fservices%2FFFCL_gdb%2FFeatureServer%2F3&amp;find="&amp;$F224&amp;"%2C"&amp;$E224&amp;"&amp;marker="&amp;$F224&amp;","&amp;$E224&amp;",4326&amp;level=16","https://fema.maps.arcgis.com/apps/mapviewer/index.html?find="&amp;$F224&amp;"%2C"&amp;$E224&amp;"&amp;marker="&amp;$F224&amp;","&amp;$E224&amp;",4326&amp;level=16"))),"Open"))</f>
        <v/>
      </c>
      <c r="T224" s="4"/>
      <c r="U224" s="4"/>
      <c r="V224" s="4"/>
      <c r="W224" s="4"/>
      <c r="X224" s="4"/>
      <c r="Y224" s="4"/>
      <c r="Z224" s="4"/>
      <c r="AA224" s="4"/>
      <c r="AB224" s="1" t="str">
        <f>IF(OR(_xlfn.SINGLE(JobAgolMap)="", $E224="", $F224=""),"",HYPERLINK(_xlfn.SINGLE(JobAgolMap)&amp;IF(ISNUMBER(FIND("?",_xlfn.SINGLE(JobAgolMap))),"&amp;","?")&amp;"center="&amp;$F224&amp;","&amp;$E224&amp;"&amp;level=16&amp;marker="&amp;$F224&amp;","&amp;$E224,"Open"))</f>
        <v/>
      </c>
    </row>
    <row r="225" spans="1:28" x14ac:dyDescent="0.45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4"/>
      <c r="M225" s="1" t="str">
        <f t="shared" si="18"/>
        <v/>
      </c>
      <c r="N225" s="1" t="str">
        <f t="shared" si="19"/>
        <v/>
      </c>
      <c r="O225" s="1" t="str">
        <f t="shared" si="20"/>
        <v/>
      </c>
      <c r="P225" s="1" t="str">
        <f t="shared" si="21"/>
        <v/>
      </c>
      <c r="Q225" s="1" t="str">
        <f t="shared" si="22"/>
        <v/>
      </c>
      <c r="R225" s="1" t="str">
        <f t="shared" si="23"/>
        <v/>
      </c>
      <c r="S225" s="1" t="str">
        <f>IF(OR($E225="",$F225=""),"",HYPERLINK(IF(OR(_xlfn.SINGLE(JobState)="MI",_xlfn.SINGLE(JobState)=""),"https://fema.maps.arcgis.com/apps/mapviewer/index.html?url=https%3A%2F%2Fmdotgis.state.mi.us%2Farcgis%2Frest%2Fservices%2FWidget%2FNextGenPrFinderPub%2FFeatureServer%2F353&amp;find="&amp;$F225&amp;"%2C"&amp;$E225&amp;"&amp;marker="&amp;$F225&amp;","&amp;$E225&amp;",4326&amp;level=16",IF(_xlfn.SINGLE(JobState)="IN","https://fema.maps.arcgis.com/apps/mapviewer/index.html?url=https%3A%2F%2Fgisdata.in.gov%2Fserver%2Frest%2Fservices%2FHosted%2FLRSE_Functional_Class%2FFeatureServer%2F22&amp;find="&amp;$F225&amp;"%2C"&amp;$E225&amp;"&amp;marker="&amp;$F225&amp;","&amp;$E225&amp;",4326&amp;level=16",IF(_xlfn.SINGLE(JobState)="WI","https://fema.maps.arcgis.com/apps/mapviewer/index.html?url=https%3A%2F%2Fservices5.arcgis.com%2F0pgGLzT0Nh7FVjon%2Farcgis%2Frest%2Fservices%2FFFCL_gdb%2FFeatureServer%2F3&amp;find="&amp;$F225&amp;"%2C"&amp;$E225&amp;"&amp;marker="&amp;$F225&amp;","&amp;$E225&amp;",4326&amp;level=16","https://fema.maps.arcgis.com/apps/mapviewer/index.html?find="&amp;$F225&amp;"%2C"&amp;$E225&amp;"&amp;marker="&amp;$F225&amp;","&amp;$E225&amp;",4326&amp;level=16"))),"Open"))</f>
        <v/>
      </c>
      <c r="T225" s="4"/>
      <c r="U225" s="4"/>
      <c r="V225" s="4"/>
      <c r="W225" s="4"/>
      <c r="X225" s="4"/>
      <c r="Y225" s="4"/>
      <c r="Z225" s="4"/>
      <c r="AA225" s="4"/>
      <c r="AB225" s="1" t="str">
        <f>IF(OR(_xlfn.SINGLE(JobAgolMap)="", $E225="", $F225=""),"",HYPERLINK(_xlfn.SINGLE(JobAgolMap)&amp;IF(ISNUMBER(FIND("?",_xlfn.SINGLE(JobAgolMap))),"&amp;","?")&amp;"center="&amp;$F225&amp;","&amp;$E225&amp;"&amp;level=16&amp;marker="&amp;$F225&amp;","&amp;$E225,"Open"))</f>
        <v/>
      </c>
    </row>
    <row r="226" spans="1:28" x14ac:dyDescent="0.45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4"/>
      <c r="M226" s="1" t="str">
        <f t="shared" si="18"/>
        <v/>
      </c>
      <c r="N226" s="1" t="str">
        <f t="shared" si="19"/>
        <v/>
      </c>
      <c r="O226" s="1" t="str">
        <f t="shared" si="20"/>
        <v/>
      </c>
      <c r="P226" s="1" t="str">
        <f t="shared" si="21"/>
        <v/>
      </c>
      <c r="Q226" s="1" t="str">
        <f t="shared" si="22"/>
        <v/>
      </c>
      <c r="R226" s="1" t="str">
        <f t="shared" si="23"/>
        <v/>
      </c>
      <c r="S226" s="1" t="str">
        <f>IF(OR($E226="",$F226=""),"",HYPERLINK(IF(OR(_xlfn.SINGLE(JobState)="MI",_xlfn.SINGLE(JobState)=""),"https://fema.maps.arcgis.com/apps/mapviewer/index.html?url=https%3A%2F%2Fmdotgis.state.mi.us%2Farcgis%2Frest%2Fservices%2FWidget%2FNextGenPrFinderPub%2FFeatureServer%2F353&amp;find="&amp;$F226&amp;"%2C"&amp;$E226&amp;"&amp;marker="&amp;$F226&amp;","&amp;$E226&amp;",4326&amp;level=16",IF(_xlfn.SINGLE(JobState)="IN","https://fema.maps.arcgis.com/apps/mapviewer/index.html?url=https%3A%2F%2Fgisdata.in.gov%2Fserver%2Frest%2Fservices%2FHosted%2FLRSE_Functional_Class%2FFeatureServer%2F22&amp;find="&amp;$F226&amp;"%2C"&amp;$E226&amp;"&amp;marker="&amp;$F226&amp;","&amp;$E226&amp;",4326&amp;level=16",IF(_xlfn.SINGLE(JobState)="WI","https://fema.maps.arcgis.com/apps/mapviewer/index.html?url=https%3A%2F%2Fservices5.arcgis.com%2F0pgGLzT0Nh7FVjon%2Farcgis%2Frest%2Fservices%2FFFCL_gdb%2FFeatureServer%2F3&amp;find="&amp;$F226&amp;"%2C"&amp;$E226&amp;"&amp;marker="&amp;$F226&amp;","&amp;$E226&amp;",4326&amp;level=16","https://fema.maps.arcgis.com/apps/mapviewer/index.html?find="&amp;$F226&amp;"%2C"&amp;$E226&amp;"&amp;marker="&amp;$F226&amp;","&amp;$E226&amp;",4326&amp;level=16"))),"Open"))</f>
        <v/>
      </c>
      <c r="T226" s="4"/>
      <c r="U226" s="4"/>
      <c r="V226" s="4"/>
      <c r="W226" s="4"/>
      <c r="X226" s="4"/>
      <c r="Y226" s="4"/>
      <c r="Z226" s="4"/>
      <c r="AA226" s="4"/>
      <c r="AB226" s="1" t="str">
        <f>IF(OR(_xlfn.SINGLE(JobAgolMap)="", $E226="", $F226=""),"",HYPERLINK(_xlfn.SINGLE(JobAgolMap)&amp;IF(ISNUMBER(FIND("?",_xlfn.SINGLE(JobAgolMap))),"&amp;","?")&amp;"center="&amp;$F226&amp;","&amp;$E226&amp;"&amp;level=16&amp;marker="&amp;$F226&amp;","&amp;$E226,"Open"))</f>
        <v/>
      </c>
    </row>
    <row r="227" spans="1:28" x14ac:dyDescent="0.45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4"/>
      <c r="M227" s="1" t="str">
        <f t="shared" si="18"/>
        <v/>
      </c>
      <c r="N227" s="1" t="str">
        <f t="shared" si="19"/>
        <v/>
      </c>
      <c r="O227" s="1" t="str">
        <f t="shared" si="20"/>
        <v/>
      </c>
      <c r="P227" s="1" t="str">
        <f t="shared" si="21"/>
        <v/>
      </c>
      <c r="Q227" s="1" t="str">
        <f t="shared" si="22"/>
        <v/>
      </c>
      <c r="R227" s="1" t="str">
        <f t="shared" si="23"/>
        <v/>
      </c>
      <c r="S227" s="1" t="str">
        <f>IF(OR($E227="",$F227=""),"",HYPERLINK(IF(OR(_xlfn.SINGLE(JobState)="MI",_xlfn.SINGLE(JobState)=""),"https://fema.maps.arcgis.com/apps/mapviewer/index.html?url=https%3A%2F%2Fmdotgis.state.mi.us%2Farcgis%2Frest%2Fservices%2FWidget%2FNextGenPrFinderPub%2FFeatureServer%2F353&amp;find="&amp;$F227&amp;"%2C"&amp;$E227&amp;"&amp;marker="&amp;$F227&amp;","&amp;$E227&amp;",4326&amp;level=16",IF(_xlfn.SINGLE(JobState)="IN","https://fema.maps.arcgis.com/apps/mapviewer/index.html?url=https%3A%2F%2Fgisdata.in.gov%2Fserver%2Frest%2Fservices%2FHosted%2FLRSE_Functional_Class%2FFeatureServer%2F22&amp;find="&amp;$F227&amp;"%2C"&amp;$E227&amp;"&amp;marker="&amp;$F227&amp;","&amp;$E227&amp;",4326&amp;level=16",IF(_xlfn.SINGLE(JobState)="WI","https://fema.maps.arcgis.com/apps/mapviewer/index.html?url=https%3A%2F%2Fservices5.arcgis.com%2F0pgGLzT0Nh7FVjon%2Farcgis%2Frest%2Fservices%2FFFCL_gdb%2FFeatureServer%2F3&amp;find="&amp;$F227&amp;"%2C"&amp;$E227&amp;"&amp;marker="&amp;$F227&amp;","&amp;$E227&amp;",4326&amp;level=16","https://fema.maps.arcgis.com/apps/mapviewer/index.html?find="&amp;$F227&amp;"%2C"&amp;$E227&amp;"&amp;marker="&amp;$F227&amp;","&amp;$E227&amp;",4326&amp;level=16"))),"Open"))</f>
        <v/>
      </c>
      <c r="T227" s="4"/>
      <c r="U227" s="4"/>
      <c r="V227" s="4"/>
      <c r="W227" s="4"/>
      <c r="X227" s="4"/>
      <c r="Y227" s="4"/>
      <c r="Z227" s="4"/>
      <c r="AA227" s="4"/>
      <c r="AB227" s="1" t="str">
        <f>IF(OR(_xlfn.SINGLE(JobAgolMap)="", $E227="", $F227=""),"",HYPERLINK(_xlfn.SINGLE(JobAgolMap)&amp;IF(ISNUMBER(FIND("?",_xlfn.SINGLE(JobAgolMap))),"&amp;","?")&amp;"center="&amp;$F227&amp;","&amp;$E227&amp;"&amp;level=16&amp;marker="&amp;$F227&amp;","&amp;$E227,"Open"))</f>
        <v/>
      </c>
    </row>
    <row r="228" spans="1:28" x14ac:dyDescent="0.45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4"/>
      <c r="M228" s="1" t="str">
        <f t="shared" si="18"/>
        <v/>
      </c>
      <c r="N228" s="1" t="str">
        <f t="shared" si="19"/>
        <v/>
      </c>
      <c r="O228" s="1" t="str">
        <f t="shared" si="20"/>
        <v/>
      </c>
      <c r="P228" s="1" t="str">
        <f t="shared" si="21"/>
        <v/>
      </c>
      <c r="Q228" s="1" t="str">
        <f t="shared" si="22"/>
        <v/>
      </c>
      <c r="R228" s="1" t="str">
        <f t="shared" si="23"/>
        <v/>
      </c>
      <c r="S228" s="1" t="str">
        <f>IF(OR($E228="",$F228=""),"",HYPERLINK(IF(OR(_xlfn.SINGLE(JobState)="MI",_xlfn.SINGLE(JobState)=""),"https://fema.maps.arcgis.com/apps/mapviewer/index.html?url=https%3A%2F%2Fmdotgis.state.mi.us%2Farcgis%2Frest%2Fservices%2FWidget%2FNextGenPrFinderPub%2FFeatureServer%2F353&amp;find="&amp;$F228&amp;"%2C"&amp;$E228&amp;"&amp;marker="&amp;$F228&amp;","&amp;$E228&amp;",4326&amp;level=16",IF(_xlfn.SINGLE(JobState)="IN","https://fema.maps.arcgis.com/apps/mapviewer/index.html?url=https%3A%2F%2Fgisdata.in.gov%2Fserver%2Frest%2Fservices%2FHosted%2FLRSE_Functional_Class%2FFeatureServer%2F22&amp;find="&amp;$F228&amp;"%2C"&amp;$E228&amp;"&amp;marker="&amp;$F228&amp;","&amp;$E228&amp;",4326&amp;level=16",IF(_xlfn.SINGLE(JobState)="WI","https://fema.maps.arcgis.com/apps/mapviewer/index.html?url=https%3A%2F%2Fservices5.arcgis.com%2F0pgGLzT0Nh7FVjon%2Farcgis%2Frest%2Fservices%2FFFCL_gdb%2FFeatureServer%2F3&amp;find="&amp;$F228&amp;"%2C"&amp;$E228&amp;"&amp;marker="&amp;$F228&amp;","&amp;$E228&amp;",4326&amp;level=16","https://fema.maps.arcgis.com/apps/mapviewer/index.html?find="&amp;$F228&amp;"%2C"&amp;$E228&amp;"&amp;marker="&amp;$F228&amp;","&amp;$E228&amp;",4326&amp;level=16"))),"Open"))</f>
        <v/>
      </c>
      <c r="T228" s="4"/>
      <c r="U228" s="4"/>
      <c r="V228" s="4"/>
      <c r="W228" s="4"/>
      <c r="X228" s="4"/>
      <c r="Y228" s="4"/>
      <c r="Z228" s="4"/>
      <c r="AA228" s="4"/>
      <c r="AB228" s="1" t="str">
        <f>IF(OR(_xlfn.SINGLE(JobAgolMap)="", $E228="", $F228=""),"",HYPERLINK(_xlfn.SINGLE(JobAgolMap)&amp;IF(ISNUMBER(FIND("?",_xlfn.SINGLE(JobAgolMap))),"&amp;","?")&amp;"center="&amp;$F228&amp;","&amp;$E228&amp;"&amp;level=16&amp;marker="&amp;$F228&amp;","&amp;$E228,"Open"))</f>
        <v/>
      </c>
    </row>
    <row r="229" spans="1:28" x14ac:dyDescent="0.45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4"/>
      <c r="M229" s="1" t="str">
        <f t="shared" si="18"/>
        <v/>
      </c>
      <c r="N229" s="1" t="str">
        <f t="shared" si="19"/>
        <v/>
      </c>
      <c r="O229" s="1" t="str">
        <f t="shared" si="20"/>
        <v/>
      </c>
      <c r="P229" s="1" t="str">
        <f t="shared" si="21"/>
        <v/>
      </c>
      <c r="Q229" s="1" t="str">
        <f t="shared" si="22"/>
        <v/>
      </c>
      <c r="R229" s="1" t="str">
        <f t="shared" si="23"/>
        <v/>
      </c>
      <c r="S229" s="1" t="str">
        <f>IF(OR($E229="",$F229=""),"",HYPERLINK(IF(OR(_xlfn.SINGLE(JobState)="MI",_xlfn.SINGLE(JobState)=""),"https://fema.maps.arcgis.com/apps/mapviewer/index.html?url=https%3A%2F%2Fmdotgis.state.mi.us%2Farcgis%2Frest%2Fservices%2FWidget%2FNextGenPrFinderPub%2FFeatureServer%2F353&amp;find="&amp;$F229&amp;"%2C"&amp;$E229&amp;"&amp;marker="&amp;$F229&amp;","&amp;$E229&amp;",4326&amp;level=16",IF(_xlfn.SINGLE(JobState)="IN","https://fema.maps.arcgis.com/apps/mapviewer/index.html?url=https%3A%2F%2Fgisdata.in.gov%2Fserver%2Frest%2Fservices%2FHosted%2FLRSE_Functional_Class%2FFeatureServer%2F22&amp;find="&amp;$F229&amp;"%2C"&amp;$E229&amp;"&amp;marker="&amp;$F229&amp;","&amp;$E229&amp;",4326&amp;level=16",IF(_xlfn.SINGLE(JobState)="WI","https://fema.maps.arcgis.com/apps/mapviewer/index.html?url=https%3A%2F%2Fservices5.arcgis.com%2F0pgGLzT0Nh7FVjon%2Farcgis%2Frest%2Fservices%2FFFCL_gdb%2FFeatureServer%2F3&amp;find="&amp;$F229&amp;"%2C"&amp;$E229&amp;"&amp;marker="&amp;$F229&amp;","&amp;$E229&amp;",4326&amp;level=16","https://fema.maps.arcgis.com/apps/mapviewer/index.html?find="&amp;$F229&amp;"%2C"&amp;$E229&amp;"&amp;marker="&amp;$F229&amp;","&amp;$E229&amp;",4326&amp;level=16"))),"Open"))</f>
        <v/>
      </c>
      <c r="T229" s="4"/>
      <c r="U229" s="4"/>
      <c r="V229" s="4"/>
      <c r="W229" s="4"/>
      <c r="X229" s="4"/>
      <c r="Y229" s="4"/>
      <c r="Z229" s="4"/>
      <c r="AA229" s="4"/>
      <c r="AB229" s="1" t="str">
        <f>IF(OR(_xlfn.SINGLE(JobAgolMap)="", $E229="", $F229=""),"",HYPERLINK(_xlfn.SINGLE(JobAgolMap)&amp;IF(ISNUMBER(FIND("?",_xlfn.SINGLE(JobAgolMap))),"&amp;","?")&amp;"center="&amp;$F229&amp;","&amp;$E229&amp;"&amp;level=16&amp;marker="&amp;$F229&amp;","&amp;$E229,"Open"))</f>
        <v/>
      </c>
    </row>
    <row r="230" spans="1:28" x14ac:dyDescent="0.45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4"/>
      <c r="M230" s="1" t="str">
        <f t="shared" si="18"/>
        <v/>
      </c>
      <c r="N230" s="1" t="str">
        <f t="shared" si="19"/>
        <v/>
      </c>
      <c r="O230" s="1" t="str">
        <f t="shared" si="20"/>
        <v/>
      </c>
      <c r="P230" s="1" t="str">
        <f t="shared" si="21"/>
        <v/>
      </c>
      <c r="Q230" s="1" t="str">
        <f t="shared" si="22"/>
        <v/>
      </c>
      <c r="R230" s="1" t="str">
        <f t="shared" si="23"/>
        <v/>
      </c>
      <c r="S230" s="1" t="str">
        <f>IF(OR($E230="",$F230=""),"",HYPERLINK(IF(OR(_xlfn.SINGLE(JobState)="MI",_xlfn.SINGLE(JobState)=""),"https://fema.maps.arcgis.com/apps/mapviewer/index.html?url=https%3A%2F%2Fmdotgis.state.mi.us%2Farcgis%2Frest%2Fservices%2FWidget%2FNextGenPrFinderPub%2FFeatureServer%2F353&amp;find="&amp;$F230&amp;"%2C"&amp;$E230&amp;"&amp;marker="&amp;$F230&amp;","&amp;$E230&amp;",4326&amp;level=16",IF(_xlfn.SINGLE(JobState)="IN","https://fema.maps.arcgis.com/apps/mapviewer/index.html?url=https%3A%2F%2Fgisdata.in.gov%2Fserver%2Frest%2Fservices%2FHosted%2FLRSE_Functional_Class%2FFeatureServer%2F22&amp;find="&amp;$F230&amp;"%2C"&amp;$E230&amp;"&amp;marker="&amp;$F230&amp;","&amp;$E230&amp;",4326&amp;level=16",IF(_xlfn.SINGLE(JobState)="WI","https://fema.maps.arcgis.com/apps/mapviewer/index.html?url=https%3A%2F%2Fservices5.arcgis.com%2F0pgGLzT0Nh7FVjon%2Farcgis%2Frest%2Fservices%2FFFCL_gdb%2FFeatureServer%2F3&amp;find="&amp;$F230&amp;"%2C"&amp;$E230&amp;"&amp;marker="&amp;$F230&amp;","&amp;$E230&amp;",4326&amp;level=16","https://fema.maps.arcgis.com/apps/mapviewer/index.html?find="&amp;$F230&amp;"%2C"&amp;$E230&amp;"&amp;marker="&amp;$F230&amp;","&amp;$E230&amp;",4326&amp;level=16"))),"Open"))</f>
        <v/>
      </c>
      <c r="T230" s="4"/>
      <c r="U230" s="4"/>
      <c r="V230" s="4"/>
      <c r="W230" s="4"/>
      <c r="X230" s="4"/>
      <c r="Y230" s="4"/>
      <c r="Z230" s="4"/>
      <c r="AA230" s="4"/>
      <c r="AB230" s="1" t="str">
        <f>IF(OR(_xlfn.SINGLE(JobAgolMap)="", $E230="", $F230=""),"",HYPERLINK(_xlfn.SINGLE(JobAgolMap)&amp;IF(ISNUMBER(FIND("?",_xlfn.SINGLE(JobAgolMap))),"&amp;","?")&amp;"center="&amp;$F230&amp;","&amp;$E230&amp;"&amp;level=16&amp;marker="&amp;$F230&amp;","&amp;$E230,"Open"))</f>
        <v/>
      </c>
    </row>
    <row r="231" spans="1:28" x14ac:dyDescent="0.45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4"/>
      <c r="M231" s="1" t="str">
        <f t="shared" si="18"/>
        <v/>
      </c>
      <c r="N231" s="1" t="str">
        <f t="shared" si="19"/>
        <v/>
      </c>
      <c r="O231" s="1" t="str">
        <f t="shared" si="20"/>
        <v/>
      </c>
      <c r="P231" s="1" t="str">
        <f t="shared" si="21"/>
        <v/>
      </c>
      <c r="Q231" s="1" t="str">
        <f t="shared" si="22"/>
        <v/>
      </c>
      <c r="R231" s="1" t="str">
        <f t="shared" si="23"/>
        <v/>
      </c>
      <c r="S231" s="1" t="str">
        <f>IF(OR($E231="",$F231=""),"",HYPERLINK(IF(OR(_xlfn.SINGLE(JobState)="MI",_xlfn.SINGLE(JobState)=""),"https://fema.maps.arcgis.com/apps/mapviewer/index.html?url=https%3A%2F%2Fmdotgis.state.mi.us%2Farcgis%2Frest%2Fservices%2FWidget%2FNextGenPrFinderPub%2FFeatureServer%2F353&amp;find="&amp;$F231&amp;"%2C"&amp;$E231&amp;"&amp;marker="&amp;$F231&amp;","&amp;$E231&amp;",4326&amp;level=16",IF(_xlfn.SINGLE(JobState)="IN","https://fema.maps.arcgis.com/apps/mapviewer/index.html?url=https%3A%2F%2Fgisdata.in.gov%2Fserver%2Frest%2Fservices%2FHosted%2FLRSE_Functional_Class%2FFeatureServer%2F22&amp;find="&amp;$F231&amp;"%2C"&amp;$E231&amp;"&amp;marker="&amp;$F231&amp;","&amp;$E231&amp;",4326&amp;level=16",IF(_xlfn.SINGLE(JobState)="WI","https://fema.maps.arcgis.com/apps/mapviewer/index.html?url=https%3A%2F%2Fservices5.arcgis.com%2F0pgGLzT0Nh7FVjon%2Farcgis%2Frest%2Fservices%2FFFCL_gdb%2FFeatureServer%2F3&amp;find="&amp;$F231&amp;"%2C"&amp;$E231&amp;"&amp;marker="&amp;$F231&amp;","&amp;$E231&amp;",4326&amp;level=16","https://fema.maps.arcgis.com/apps/mapviewer/index.html?find="&amp;$F231&amp;"%2C"&amp;$E231&amp;"&amp;marker="&amp;$F231&amp;","&amp;$E231&amp;",4326&amp;level=16"))),"Open"))</f>
        <v/>
      </c>
      <c r="T231" s="4"/>
      <c r="U231" s="4"/>
      <c r="V231" s="4"/>
      <c r="W231" s="4"/>
      <c r="X231" s="4"/>
      <c r="Y231" s="4"/>
      <c r="Z231" s="4"/>
      <c r="AA231" s="4"/>
      <c r="AB231" s="1" t="str">
        <f>IF(OR(_xlfn.SINGLE(JobAgolMap)="", $E231="", $F231=""),"",HYPERLINK(_xlfn.SINGLE(JobAgolMap)&amp;IF(ISNUMBER(FIND("?",_xlfn.SINGLE(JobAgolMap))),"&amp;","?")&amp;"center="&amp;$F231&amp;","&amp;$E231&amp;"&amp;level=16&amp;marker="&amp;$F231&amp;","&amp;$E231,"Open"))</f>
        <v/>
      </c>
    </row>
    <row r="232" spans="1:28" x14ac:dyDescent="0.45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4"/>
      <c r="M232" s="1" t="str">
        <f t="shared" si="18"/>
        <v/>
      </c>
      <c r="N232" s="1" t="str">
        <f t="shared" si="19"/>
        <v/>
      </c>
      <c r="O232" s="1" t="str">
        <f t="shared" si="20"/>
        <v/>
      </c>
      <c r="P232" s="1" t="str">
        <f t="shared" si="21"/>
        <v/>
      </c>
      <c r="Q232" s="1" t="str">
        <f t="shared" si="22"/>
        <v/>
      </c>
      <c r="R232" s="1" t="str">
        <f t="shared" si="23"/>
        <v/>
      </c>
      <c r="S232" s="1" t="str">
        <f>IF(OR($E232="",$F232=""),"",HYPERLINK(IF(OR(_xlfn.SINGLE(JobState)="MI",_xlfn.SINGLE(JobState)=""),"https://fema.maps.arcgis.com/apps/mapviewer/index.html?url=https%3A%2F%2Fmdotgis.state.mi.us%2Farcgis%2Frest%2Fservices%2FWidget%2FNextGenPrFinderPub%2FFeatureServer%2F353&amp;find="&amp;$F232&amp;"%2C"&amp;$E232&amp;"&amp;marker="&amp;$F232&amp;","&amp;$E232&amp;",4326&amp;level=16",IF(_xlfn.SINGLE(JobState)="IN","https://fema.maps.arcgis.com/apps/mapviewer/index.html?url=https%3A%2F%2Fgisdata.in.gov%2Fserver%2Frest%2Fservices%2FHosted%2FLRSE_Functional_Class%2FFeatureServer%2F22&amp;find="&amp;$F232&amp;"%2C"&amp;$E232&amp;"&amp;marker="&amp;$F232&amp;","&amp;$E232&amp;",4326&amp;level=16",IF(_xlfn.SINGLE(JobState)="WI","https://fema.maps.arcgis.com/apps/mapviewer/index.html?url=https%3A%2F%2Fservices5.arcgis.com%2F0pgGLzT0Nh7FVjon%2Farcgis%2Frest%2Fservices%2FFFCL_gdb%2FFeatureServer%2F3&amp;find="&amp;$F232&amp;"%2C"&amp;$E232&amp;"&amp;marker="&amp;$F232&amp;","&amp;$E232&amp;",4326&amp;level=16","https://fema.maps.arcgis.com/apps/mapviewer/index.html?find="&amp;$F232&amp;"%2C"&amp;$E232&amp;"&amp;marker="&amp;$F232&amp;","&amp;$E232&amp;",4326&amp;level=16"))),"Open"))</f>
        <v/>
      </c>
      <c r="T232" s="4"/>
      <c r="U232" s="4"/>
      <c r="V232" s="4"/>
      <c r="W232" s="4"/>
      <c r="X232" s="4"/>
      <c r="Y232" s="4"/>
      <c r="Z232" s="4"/>
      <c r="AA232" s="4"/>
      <c r="AB232" s="1" t="str">
        <f>IF(OR(_xlfn.SINGLE(JobAgolMap)="", $E232="", $F232=""),"",HYPERLINK(_xlfn.SINGLE(JobAgolMap)&amp;IF(ISNUMBER(FIND("?",_xlfn.SINGLE(JobAgolMap))),"&amp;","?")&amp;"center="&amp;$F232&amp;","&amp;$E232&amp;"&amp;level=16&amp;marker="&amp;$F232&amp;","&amp;$E232,"Open"))</f>
        <v/>
      </c>
    </row>
    <row r="233" spans="1:28" x14ac:dyDescent="0.45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4"/>
      <c r="M233" s="1" t="str">
        <f t="shared" si="18"/>
        <v/>
      </c>
      <c r="N233" s="1" t="str">
        <f t="shared" si="19"/>
        <v/>
      </c>
      <c r="O233" s="1" t="str">
        <f t="shared" si="20"/>
        <v/>
      </c>
      <c r="P233" s="1" t="str">
        <f t="shared" si="21"/>
        <v/>
      </c>
      <c r="Q233" s="1" t="str">
        <f t="shared" si="22"/>
        <v/>
      </c>
      <c r="R233" s="1" t="str">
        <f t="shared" si="23"/>
        <v/>
      </c>
      <c r="S233" s="1" t="str">
        <f>IF(OR($E233="",$F233=""),"",HYPERLINK(IF(OR(_xlfn.SINGLE(JobState)="MI",_xlfn.SINGLE(JobState)=""),"https://fema.maps.arcgis.com/apps/mapviewer/index.html?url=https%3A%2F%2Fmdotgis.state.mi.us%2Farcgis%2Frest%2Fservices%2FWidget%2FNextGenPrFinderPub%2FFeatureServer%2F353&amp;find="&amp;$F233&amp;"%2C"&amp;$E233&amp;"&amp;marker="&amp;$F233&amp;","&amp;$E233&amp;",4326&amp;level=16",IF(_xlfn.SINGLE(JobState)="IN","https://fema.maps.arcgis.com/apps/mapviewer/index.html?url=https%3A%2F%2Fgisdata.in.gov%2Fserver%2Frest%2Fservices%2FHosted%2FLRSE_Functional_Class%2FFeatureServer%2F22&amp;find="&amp;$F233&amp;"%2C"&amp;$E233&amp;"&amp;marker="&amp;$F233&amp;","&amp;$E233&amp;",4326&amp;level=16",IF(_xlfn.SINGLE(JobState)="WI","https://fema.maps.arcgis.com/apps/mapviewer/index.html?url=https%3A%2F%2Fservices5.arcgis.com%2F0pgGLzT0Nh7FVjon%2Farcgis%2Frest%2Fservices%2FFFCL_gdb%2FFeatureServer%2F3&amp;find="&amp;$F233&amp;"%2C"&amp;$E233&amp;"&amp;marker="&amp;$F233&amp;","&amp;$E233&amp;",4326&amp;level=16","https://fema.maps.arcgis.com/apps/mapviewer/index.html?find="&amp;$F233&amp;"%2C"&amp;$E233&amp;"&amp;marker="&amp;$F233&amp;","&amp;$E233&amp;",4326&amp;level=16"))),"Open"))</f>
        <v/>
      </c>
      <c r="T233" s="4"/>
      <c r="U233" s="4"/>
      <c r="V233" s="4"/>
      <c r="W233" s="4"/>
      <c r="X233" s="4"/>
      <c r="Y233" s="4"/>
      <c r="Z233" s="4"/>
      <c r="AA233" s="4"/>
      <c r="AB233" s="1" t="str">
        <f>IF(OR(_xlfn.SINGLE(JobAgolMap)="", $E233="", $F233=""),"",HYPERLINK(_xlfn.SINGLE(JobAgolMap)&amp;IF(ISNUMBER(FIND("?",_xlfn.SINGLE(JobAgolMap))),"&amp;","?")&amp;"center="&amp;$F233&amp;","&amp;$E233&amp;"&amp;level=16&amp;marker="&amp;$F233&amp;","&amp;$E233,"Open"))</f>
        <v/>
      </c>
    </row>
    <row r="234" spans="1:28" x14ac:dyDescent="0.45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4"/>
      <c r="M234" s="1" t="str">
        <f t="shared" si="18"/>
        <v/>
      </c>
      <c r="N234" s="1" t="str">
        <f t="shared" si="19"/>
        <v/>
      </c>
      <c r="O234" s="1" t="str">
        <f t="shared" si="20"/>
        <v/>
      </c>
      <c r="P234" s="1" t="str">
        <f t="shared" si="21"/>
        <v/>
      </c>
      <c r="Q234" s="1" t="str">
        <f t="shared" si="22"/>
        <v/>
      </c>
      <c r="R234" s="1" t="str">
        <f t="shared" si="23"/>
        <v/>
      </c>
      <c r="S234" s="1" t="str">
        <f>IF(OR($E234="",$F234=""),"",HYPERLINK(IF(OR(_xlfn.SINGLE(JobState)="MI",_xlfn.SINGLE(JobState)=""),"https://fema.maps.arcgis.com/apps/mapviewer/index.html?url=https%3A%2F%2Fmdotgis.state.mi.us%2Farcgis%2Frest%2Fservices%2FWidget%2FNextGenPrFinderPub%2FFeatureServer%2F353&amp;find="&amp;$F234&amp;"%2C"&amp;$E234&amp;"&amp;marker="&amp;$F234&amp;","&amp;$E234&amp;",4326&amp;level=16",IF(_xlfn.SINGLE(JobState)="IN","https://fema.maps.arcgis.com/apps/mapviewer/index.html?url=https%3A%2F%2Fgisdata.in.gov%2Fserver%2Frest%2Fservices%2FHosted%2FLRSE_Functional_Class%2FFeatureServer%2F22&amp;find="&amp;$F234&amp;"%2C"&amp;$E234&amp;"&amp;marker="&amp;$F234&amp;","&amp;$E234&amp;",4326&amp;level=16",IF(_xlfn.SINGLE(JobState)="WI","https://fema.maps.arcgis.com/apps/mapviewer/index.html?url=https%3A%2F%2Fservices5.arcgis.com%2F0pgGLzT0Nh7FVjon%2Farcgis%2Frest%2Fservices%2FFFCL_gdb%2FFeatureServer%2F3&amp;find="&amp;$F234&amp;"%2C"&amp;$E234&amp;"&amp;marker="&amp;$F234&amp;","&amp;$E234&amp;",4326&amp;level=16","https://fema.maps.arcgis.com/apps/mapviewer/index.html?find="&amp;$F234&amp;"%2C"&amp;$E234&amp;"&amp;marker="&amp;$F234&amp;","&amp;$E234&amp;",4326&amp;level=16"))),"Open"))</f>
        <v/>
      </c>
      <c r="T234" s="4"/>
      <c r="U234" s="4"/>
      <c r="V234" s="4"/>
      <c r="W234" s="4"/>
      <c r="X234" s="4"/>
      <c r="Y234" s="4"/>
      <c r="Z234" s="4"/>
      <c r="AA234" s="4"/>
      <c r="AB234" s="1" t="str">
        <f>IF(OR(_xlfn.SINGLE(JobAgolMap)="", $E234="", $F234=""),"",HYPERLINK(_xlfn.SINGLE(JobAgolMap)&amp;IF(ISNUMBER(FIND("?",_xlfn.SINGLE(JobAgolMap))),"&amp;","?")&amp;"center="&amp;$F234&amp;","&amp;$E234&amp;"&amp;level=16&amp;marker="&amp;$F234&amp;","&amp;$E234,"Open"))</f>
        <v/>
      </c>
    </row>
    <row r="235" spans="1:28" x14ac:dyDescent="0.45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4"/>
      <c r="M235" s="1" t="str">
        <f t="shared" si="18"/>
        <v/>
      </c>
      <c r="N235" s="1" t="str">
        <f t="shared" si="19"/>
        <v/>
      </c>
      <c r="O235" s="1" t="str">
        <f t="shared" si="20"/>
        <v/>
      </c>
      <c r="P235" s="1" t="str">
        <f t="shared" si="21"/>
        <v/>
      </c>
      <c r="Q235" s="1" t="str">
        <f t="shared" si="22"/>
        <v/>
      </c>
      <c r="R235" s="1" t="str">
        <f t="shared" si="23"/>
        <v/>
      </c>
      <c r="S235" s="1" t="str">
        <f>IF(OR($E235="",$F235=""),"",HYPERLINK(IF(OR(_xlfn.SINGLE(JobState)="MI",_xlfn.SINGLE(JobState)=""),"https://fema.maps.arcgis.com/apps/mapviewer/index.html?url=https%3A%2F%2Fmdotgis.state.mi.us%2Farcgis%2Frest%2Fservices%2FWidget%2FNextGenPrFinderPub%2FFeatureServer%2F353&amp;find="&amp;$F235&amp;"%2C"&amp;$E235&amp;"&amp;marker="&amp;$F235&amp;","&amp;$E235&amp;",4326&amp;level=16",IF(_xlfn.SINGLE(JobState)="IN","https://fema.maps.arcgis.com/apps/mapviewer/index.html?url=https%3A%2F%2Fgisdata.in.gov%2Fserver%2Frest%2Fservices%2FHosted%2FLRSE_Functional_Class%2FFeatureServer%2F22&amp;find="&amp;$F235&amp;"%2C"&amp;$E235&amp;"&amp;marker="&amp;$F235&amp;","&amp;$E235&amp;",4326&amp;level=16",IF(_xlfn.SINGLE(JobState)="WI","https://fema.maps.arcgis.com/apps/mapviewer/index.html?url=https%3A%2F%2Fservices5.arcgis.com%2F0pgGLzT0Nh7FVjon%2Farcgis%2Frest%2Fservices%2FFFCL_gdb%2FFeatureServer%2F3&amp;find="&amp;$F235&amp;"%2C"&amp;$E235&amp;"&amp;marker="&amp;$F235&amp;","&amp;$E235&amp;",4326&amp;level=16","https://fema.maps.arcgis.com/apps/mapviewer/index.html?find="&amp;$F235&amp;"%2C"&amp;$E235&amp;"&amp;marker="&amp;$F235&amp;","&amp;$E235&amp;",4326&amp;level=16"))),"Open"))</f>
        <v/>
      </c>
      <c r="T235" s="4"/>
      <c r="U235" s="4"/>
      <c r="V235" s="4"/>
      <c r="W235" s="4"/>
      <c r="X235" s="4"/>
      <c r="Y235" s="4"/>
      <c r="Z235" s="4"/>
      <c r="AA235" s="4"/>
      <c r="AB235" s="1" t="str">
        <f>IF(OR(_xlfn.SINGLE(JobAgolMap)="", $E235="", $F235=""),"",HYPERLINK(_xlfn.SINGLE(JobAgolMap)&amp;IF(ISNUMBER(FIND("?",_xlfn.SINGLE(JobAgolMap))),"&amp;","?")&amp;"center="&amp;$F235&amp;","&amp;$E235&amp;"&amp;level=16&amp;marker="&amp;$F235&amp;","&amp;$E235,"Open"))</f>
        <v/>
      </c>
    </row>
    <row r="236" spans="1:28" x14ac:dyDescent="0.45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4"/>
      <c r="M236" s="1" t="str">
        <f t="shared" si="18"/>
        <v/>
      </c>
      <c r="N236" s="1" t="str">
        <f t="shared" si="19"/>
        <v/>
      </c>
      <c r="O236" s="1" t="str">
        <f t="shared" si="20"/>
        <v/>
      </c>
      <c r="P236" s="1" t="str">
        <f t="shared" si="21"/>
        <v/>
      </c>
      <c r="Q236" s="1" t="str">
        <f t="shared" si="22"/>
        <v/>
      </c>
      <c r="R236" s="1" t="str">
        <f t="shared" si="23"/>
        <v/>
      </c>
      <c r="S236" s="1" t="str">
        <f>IF(OR($E236="",$F236=""),"",HYPERLINK(IF(OR(_xlfn.SINGLE(JobState)="MI",_xlfn.SINGLE(JobState)=""),"https://fema.maps.arcgis.com/apps/mapviewer/index.html?url=https%3A%2F%2Fmdotgis.state.mi.us%2Farcgis%2Frest%2Fservices%2FWidget%2FNextGenPrFinderPub%2FFeatureServer%2F353&amp;find="&amp;$F236&amp;"%2C"&amp;$E236&amp;"&amp;marker="&amp;$F236&amp;","&amp;$E236&amp;",4326&amp;level=16",IF(_xlfn.SINGLE(JobState)="IN","https://fema.maps.arcgis.com/apps/mapviewer/index.html?url=https%3A%2F%2Fgisdata.in.gov%2Fserver%2Frest%2Fservices%2FHosted%2FLRSE_Functional_Class%2FFeatureServer%2F22&amp;find="&amp;$F236&amp;"%2C"&amp;$E236&amp;"&amp;marker="&amp;$F236&amp;","&amp;$E236&amp;",4326&amp;level=16",IF(_xlfn.SINGLE(JobState)="WI","https://fema.maps.arcgis.com/apps/mapviewer/index.html?url=https%3A%2F%2Fservices5.arcgis.com%2F0pgGLzT0Nh7FVjon%2Farcgis%2Frest%2Fservices%2FFFCL_gdb%2FFeatureServer%2F3&amp;find="&amp;$F236&amp;"%2C"&amp;$E236&amp;"&amp;marker="&amp;$F236&amp;","&amp;$E236&amp;",4326&amp;level=16","https://fema.maps.arcgis.com/apps/mapviewer/index.html?find="&amp;$F236&amp;"%2C"&amp;$E236&amp;"&amp;marker="&amp;$F236&amp;","&amp;$E236&amp;",4326&amp;level=16"))),"Open"))</f>
        <v/>
      </c>
      <c r="T236" s="4"/>
      <c r="U236" s="4"/>
      <c r="V236" s="4"/>
      <c r="W236" s="4"/>
      <c r="X236" s="4"/>
      <c r="Y236" s="4"/>
      <c r="Z236" s="4"/>
      <c r="AA236" s="4"/>
      <c r="AB236" s="1" t="str">
        <f>IF(OR(_xlfn.SINGLE(JobAgolMap)="", $E236="", $F236=""),"",HYPERLINK(_xlfn.SINGLE(JobAgolMap)&amp;IF(ISNUMBER(FIND("?",_xlfn.SINGLE(JobAgolMap))),"&amp;","?")&amp;"center="&amp;$F236&amp;","&amp;$E236&amp;"&amp;level=16&amp;marker="&amp;$F236&amp;","&amp;$E236,"Open"))</f>
        <v/>
      </c>
    </row>
    <row r="237" spans="1:28" x14ac:dyDescent="0.45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4"/>
      <c r="M237" s="1" t="str">
        <f t="shared" si="18"/>
        <v/>
      </c>
      <c r="N237" s="1" t="str">
        <f t="shared" si="19"/>
        <v/>
      </c>
      <c r="O237" s="1" t="str">
        <f t="shared" si="20"/>
        <v/>
      </c>
      <c r="P237" s="1" t="str">
        <f t="shared" si="21"/>
        <v/>
      </c>
      <c r="Q237" s="1" t="str">
        <f t="shared" si="22"/>
        <v/>
      </c>
      <c r="R237" s="1" t="str">
        <f t="shared" si="23"/>
        <v/>
      </c>
      <c r="S237" s="1" t="str">
        <f>IF(OR($E237="",$F237=""),"",HYPERLINK(IF(OR(_xlfn.SINGLE(JobState)="MI",_xlfn.SINGLE(JobState)=""),"https://fema.maps.arcgis.com/apps/mapviewer/index.html?url=https%3A%2F%2Fmdotgis.state.mi.us%2Farcgis%2Frest%2Fservices%2FWidget%2FNextGenPrFinderPub%2FFeatureServer%2F353&amp;find="&amp;$F237&amp;"%2C"&amp;$E237&amp;"&amp;marker="&amp;$F237&amp;","&amp;$E237&amp;",4326&amp;level=16",IF(_xlfn.SINGLE(JobState)="IN","https://fema.maps.arcgis.com/apps/mapviewer/index.html?url=https%3A%2F%2Fgisdata.in.gov%2Fserver%2Frest%2Fservices%2FHosted%2FLRSE_Functional_Class%2FFeatureServer%2F22&amp;find="&amp;$F237&amp;"%2C"&amp;$E237&amp;"&amp;marker="&amp;$F237&amp;","&amp;$E237&amp;",4326&amp;level=16",IF(_xlfn.SINGLE(JobState)="WI","https://fema.maps.arcgis.com/apps/mapviewer/index.html?url=https%3A%2F%2Fservices5.arcgis.com%2F0pgGLzT0Nh7FVjon%2Farcgis%2Frest%2Fservices%2FFFCL_gdb%2FFeatureServer%2F3&amp;find="&amp;$F237&amp;"%2C"&amp;$E237&amp;"&amp;marker="&amp;$F237&amp;","&amp;$E237&amp;",4326&amp;level=16","https://fema.maps.arcgis.com/apps/mapviewer/index.html?find="&amp;$F237&amp;"%2C"&amp;$E237&amp;"&amp;marker="&amp;$F237&amp;","&amp;$E237&amp;",4326&amp;level=16"))),"Open"))</f>
        <v/>
      </c>
      <c r="T237" s="4"/>
      <c r="U237" s="4"/>
      <c r="V237" s="4"/>
      <c r="W237" s="4"/>
      <c r="X237" s="4"/>
      <c r="Y237" s="4"/>
      <c r="Z237" s="4"/>
      <c r="AA237" s="4"/>
      <c r="AB237" s="1" t="str">
        <f>IF(OR(_xlfn.SINGLE(JobAgolMap)="", $E237="", $F237=""),"",HYPERLINK(_xlfn.SINGLE(JobAgolMap)&amp;IF(ISNUMBER(FIND("?",_xlfn.SINGLE(JobAgolMap))),"&amp;","?")&amp;"center="&amp;$F237&amp;","&amp;$E237&amp;"&amp;level=16&amp;marker="&amp;$F237&amp;","&amp;$E237,"Open"))</f>
        <v/>
      </c>
    </row>
    <row r="238" spans="1:28" x14ac:dyDescent="0.45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4"/>
      <c r="M238" s="1" t="str">
        <f t="shared" si="18"/>
        <v/>
      </c>
      <c r="N238" s="1" t="str">
        <f t="shared" si="19"/>
        <v/>
      </c>
      <c r="O238" s="1" t="str">
        <f t="shared" si="20"/>
        <v/>
      </c>
      <c r="P238" s="1" t="str">
        <f t="shared" si="21"/>
        <v/>
      </c>
      <c r="Q238" s="1" t="str">
        <f t="shared" si="22"/>
        <v/>
      </c>
      <c r="R238" s="1" t="str">
        <f t="shared" si="23"/>
        <v/>
      </c>
      <c r="S238" s="1" t="str">
        <f>IF(OR($E238="",$F238=""),"",HYPERLINK(IF(OR(_xlfn.SINGLE(JobState)="MI",_xlfn.SINGLE(JobState)=""),"https://fema.maps.arcgis.com/apps/mapviewer/index.html?url=https%3A%2F%2Fmdotgis.state.mi.us%2Farcgis%2Frest%2Fservices%2FWidget%2FNextGenPrFinderPub%2FFeatureServer%2F353&amp;find="&amp;$F238&amp;"%2C"&amp;$E238&amp;"&amp;marker="&amp;$F238&amp;","&amp;$E238&amp;",4326&amp;level=16",IF(_xlfn.SINGLE(JobState)="IN","https://fema.maps.arcgis.com/apps/mapviewer/index.html?url=https%3A%2F%2Fgisdata.in.gov%2Fserver%2Frest%2Fservices%2FHosted%2FLRSE_Functional_Class%2FFeatureServer%2F22&amp;find="&amp;$F238&amp;"%2C"&amp;$E238&amp;"&amp;marker="&amp;$F238&amp;","&amp;$E238&amp;",4326&amp;level=16",IF(_xlfn.SINGLE(JobState)="WI","https://fema.maps.arcgis.com/apps/mapviewer/index.html?url=https%3A%2F%2Fservices5.arcgis.com%2F0pgGLzT0Nh7FVjon%2Farcgis%2Frest%2Fservices%2FFFCL_gdb%2FFeatureServer%2F3&amp;find="&amp;$F238&amp;"%2C"&amp;$E238&amp;"&amp;marker="&amp;$F238&amp;","&amp;$E238&amp;",4326&amp;level=16","https://fema.maps.arcgis.com/apps/mapviewer/index.html?find="&amp;$F238&amp;"%2C"&amp;$E238&amp;"&amp;marker="&amp;$F238&amp;","&amp;$E238&amp;",4326&amp;level=16"))),"Open"))</f>
        <v/>
      </c>
      <c r="T238" s="4"/>
      <c r="U238" s="4"/>
      <c r="V238" s="4"/>
      <c r="W238" s="4"/>
      <c r="X238" s="4"/>
      <c r="Y238" s="4"/>
      <c r="Z238" s="4"/>
      <c r="AA238" s="4"/>
      <c r="AB238" s="1" t="str">
        <f>IF(OR(_xlfn.SINGLE(JobAgolMap)="", $E238="", $F238=""),"",HYPERLINK(_xlfn.SINGLE(JobAgolMap)&amp;IF(ISNUMBER(FIND("?",_xlfn.SINGLE(JobAgolMap))),"&amp;","?")&amp;"center="&amp;$F238&amp;","&amp;$E238&amp;"&amp;level=16&amp;marker="&amp;$F238&amp;","&amp;$E238,"Open"))</f>
        <v/>
      </c>
    </row>
    <row r="239" spans="1:28" x14ac:dyDescent="0.45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4"/>
      <c r="M239" s="1" t="str">
        <f t="shared" si="18"/>
        <v/>
      </c>
      <c r="N239" s="1" t="str">
        <f t="shared" si="19"/>
        <v/>
      </c>
      <c r="O239" s="1" t="str">
        <f t="shared" si="20"/>
        <v/>
      </c>
      <c r="P239" s="1" t="str">
        <f t="shared" si="21"/>
        <v/>
      </c>
      <c r="Q239" s="1" t="str">
        <f t="shared" si="22"/>
        <v/>
      </c>
      <c r="R239" s="1" t="str">
        <f t="shared" si="23"/>
        <v/>
      </c>
      <c r="S239" s="1" t="str">
        <f>IF(OR($E239="",$F239=""),"",HYPERLINK(IF(OR(_xlfn.SINGLE(JobState)="MI",_xlfn.SINGLE(JobState)=""),"https://fema.maps.arcgis.com/apps/mapviewer/index.html?url=https%3A%2F%2Fmdotgis.state.mi.us%2Farcgis%2Frest%2Fservices%2FWidget%2FNextGenPrFinderPub%2FFeatureServer%2F353&amp;find="&amp;$F239&amp;"%2C"&amp;$E239&amp;"&amp;marker="&amp;$F239&amp;","&amp;$E239&amp;",4326&amp;level=16",IF(_xlfn.SINGLE(JobState)="IN","https://fema.maps.arcgis.com/apps/mapviewer/index.html?url=https%3A%2F%2Fgisdata.in.gov%2Fserver%2Frest%2Fservices%2FHosted%2FLRSE_Functional_Class%2FFeatureServer%2F22&amp;find="&amp;$F239&amp;"%2C"&amp;$E239&amp;"&amp;marker="&amp;$F239&amp;","&amp;$E239&amp;",4326&amp;level=16",IF(_xlfn.SINGLE(JobState)="WI","https://fema.maps.arcgis.com/apps/mapviewer/index.html?url=https%3A%2F%2Fservices5.arcgis.com%2F0pgGLzT0Nh7FVjon%2Farcgis%2Frest%2Fservices%2FFFCL_gdb%2FFeatureServer%2F3&amp;find="&amp;$F239&amp;"%2C"&amp;$E239&amp;"&amp;marker="&amp;$F239&amp;","&amp;$E239&amp;",4326&amp;level=16","https://fema.maps.arcgis.com/apps/mapviewer/index.html?find="&amp;$F239&amp;"%2C"&amp;$E239&amp;"&amp;marker="&amp;$F239&amp;","&amp;$E239&amp;",4326&amp;level=16"))),"Open"))</f>
        <v/>
      </c>
      <c r="T239" s="4"/>
      <c r="U239" s="4"/>
      <c r="V239" s="4"/>
      <c r="W239" s="4"/>
      <c r="X239" s="4"/>
      <c r="Y239" s="4"/>
      <c r="Z239" s="4"/>
      <c r="AA239" s="4"/>
      <c r="AB239" s="1" t="str">
        <f>IF(OR(_xlfn.SINGLE(JobAgolMap)="", $E239="", $F239=""),"",HYPERLINK(_xlfn.SINGLE(JobAgolMap)&amp;IF(ISNUMBER(FIND("?",_xlfn.SINGLE(JobAgolMap))),"&amp;","?")&amp;"center="&amp;$F239&amp;","&amp;$E239&amp;"&amp;level=16&amp;marker="&amp;$F239&amp;","&amp;$E239,"Open"))</f>
        <v/>
      </c>
    </row>
    <row r="240" spans="1:28" x14ac:dyDescent="0.45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4"/>
      <c r="M240" s="1" t="str">
        <f t="shared" si="18"/>
        <v/>
      </c>
      <c r="N240" s="1" t="str">
        <f t="shared" si="19"/>
        <v/>
      </c>
      <c r="O240" s="1" t="str">
        <f t="shared" si="20"/>
        <v/>
      </c>
      <c r="P240" s="1" t="str">
        <f t="shared" si="21"/>
        <v/>
      </c>
      <c r="Q240" s="1" t="str">
        <f t="shared" si="22"/>
        <v/>
      </c>
      <c r="R240" s="1" t="str">
        <f t="shared" si="23"/>
        <v/>
      </c>
      <c r="S240" s="1" t="str">
        <f>IF(OR($E240="",$F240=""),"",HYPERLINK(IF(OR(_xlfn.SINGLE(JobState)="MI",_xlfn.SINGLE(JobState)=""),"https://fema.maps.arcgis.com/apps/mapviewer/index.html?url=https%3A%2F%2Fmdotgis.state.mi.us%2Farcgis%2Frest%2Fservices%2FWidget%2FNextGenPrFinderPub%2FFeatureServer%2F353&amp;find="&amp;$F240&amp;"%2C"&amp;$E240&amp;"&amp;marker="&amp;$F240&amp;","&amp;$E240&amp;",4326&amp;level=16",IF(_xlfn.SINGLE(JobState)="IN","https://fema.maps.arcgis.com/apps/mapviewer/index.html?url=https%3A%2F%2Fgisdata.in.gov%2Fserver%2Frest%2Fservices%2FHosted%2FLRSE_Functional_Class%2FFeatureServer%2F22&amp;find="&amp;$F240&amp;"%2C"&amp;$E240&amp;"&amp;marker="&amp;$F240&amp;","&amp;$E240&amp;",4326&amp;level=16",IF(_xlfn.SINGLE(JobState)="WI","https://fema.maps.arcgis.com/apps/mapviewer/index.html?url=https%3A%2F%2Fservices5.arcgis.com%2F0pgGLzT0Nh7FVjon%2Farcgis%2Frest%2Fservices%2FFFCL_gdb%2FFeatureServer%2F3&amp;find="&amp;$F240&amp;"%2C"&amp;$E240&amp;"&amp;marker="&amp;$F240&amp;","&amp;$E240&amp;",4326&amp;level=16","https://fema.maps.arcgis.com/apps/mapviewer/index.html?find="&amp;$F240&amp;"%2C"&amp;$E240&amp;"&amp;marker="&amp;$F240&amp;","&amp;$E240&amp;",4326&amp;level=16"))),"Open"))</f>
        <v/>
      </c>
      <c r="T240" s="4"/>
      <c r="U240" s="4"/>
      <c r="V240" s="4"/>
      <c r="W240" s="4"/>
      <c r="X240" s="4"/>
      <c r="Y240" s="4"/>
      <c r="Z240" s="4"/>
      <c r="AA240" s="4"/>
      <c r="AB240" s="1" t="str">
        <f>IF(OR(_xlfn.SINGLE(JobAgolMap)="", $E240="", $F240=""),"",HYPERLINK(_xlfn.SINGLE(JobAgolMap)&amp;IF(ISNUMBER(FIND("?",_xlfn.SINGLE(JobAgolMap))),"&amp;","?")&amp;"center="&amp;$F240&amp;","&amp;$E240&amp;"&amp;level=16&amp;marker="&amp;$F240&amp;","&amp;$E240,"Open"))</f>
        <v/>
      </c>
    </row>
    <row r="241" spans="1:28" x14ac:dyDescent="0.45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4"/>
      <c r="M241" s="1" t="str">
        <f t="shared" si="18"/>
        <v/>
      </c>
      <c r="N241" s="1" t="str">
        <f t="shared" si="19"/>
        <v/>
      </c>
      <c r="O241" s="1" t="str">
        <f t="shared" si="20"/>
        <v/>
      </c>
      <c r="P241" s="1" t="str">
        <f t="shared" si="21"/>
        <v/>
      </c>
      <c r="Q241" s="1" t="str">
        <f t="shared" si="22"/>
        <v/>
      </c>
      <c r="R241" s="1" t="str">
        <f t="shared" si="23"/>
        <v/>
      </c>
      <c r="S241" s="1" t="str">
        <f>IF(OR($E241="",$F241=""),"",HYPERLINK(IF(OR(_xlfn.SINGLE(JobState)="MI",_xlfn.SINGLE(JobState)=""),"https://fema.maps.arcgis.com/apps/mapviewer/index.html?url=https%3A%2F%2Fmdotgis.state.mi.us%2Farcgis%2Frest%2Fservices%2FWidget%2FNextGenPrFinderPub%2FFeatureServer%2F353&amp;find="&amp;$F241&amp;"%2C"&amp;$E241&amp;"&amp;marker="&amp;$F241&amp;","&amp;$E241&amp;",4326&amp;level=16",IF(_xlfn.SINGLE(JobState)="IN","https://fema.maps.arcgis.com/apps/mapviewer/index.html?url=https%3A%2F%2Fgisdata.in.gov%2Fserver%2Frest%2Fservices%2FHosted%2FLRSE_Functional_Class%2FFeatureServer%2F22&amp;find="&amp;$F241&amp;"%2C"&amp;$E241&amp;"&amp;marker="&amp;$F241&amp;","&amp;$E241&amp;",4326&amp;level=16",IF(_xlfn.SINGLE(JobState)="WI","https://fema.maps.arcgis.com/apps/mapviewer/index.html?url=https%3A%2F%2Fservices5.arcgis.com%2F0pgGLzT0Nh7FVjon%2Farcgis%2Frest%2Fservices%2FFFCL_gdb%2FFeatureServer%2F3&amp;find="&amp;$F241&amp;"%2C"&amp;$E241&amp;"&amp;marker="&amp;$F241&amp;","&amp;$E241&amp;",4326&amp;level=16","https://fema.maps.arcgis.com/apps/mapviewer/index.html?find="&amp;$F241&amp;"%2C"&amp;$E241&amp;"&amp;marker="&amp;$F241&amp;","&amp;$E241&amp;",4326&amp;level=16"))),"Open"))</f>
        <v/>
      </c>
      <c r="T241" s="4"/>
      <c r="U241" s="4"/>
      <c r="V241" s="4"/>
      <c r="W241" s="4"/>
      <c r="X241" s="4"/>
      <c r="Y241" s="4"/>
      <c r="Z241" s="4"/>
      <c r="AA241" s="4"/>
      <c r="AB241" s="1" t="str">
        <f>IF(OR(_xlfn.SINGLE(JobAgolMap)="", $E241="", $F241=""),"",HYPERLINK(_xlfn.SINGLE(JobAgolMap)&amp;IF(ISNUMBER(FIND("?",_xlfn.SINGLE(JobAgolMap))),"&amp;","?")&amp;"center="&amp;$F241&amp;","&amp;$E241&amp;"&amp;level=16&amp;marker="&amp;$F241&amp;","&amp;$E241,"Open"))</f>
        <v/>
      </c>
    </row>
    <row r="242" spans="1:28" x14ac:dyDescent="0.45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4"/>
      <c r="M242" s="1" t="str">
        <f t="shared" si="18"/>
        <v/>
      </c>
      <c r="N242" s="1" t="str">
        <f t="shared" si="19"/>
        <v/>
      </c>
      <c r="O242" s="1" t="str">
        <f t="shared" si="20"/>
        <v/>
      </c>
      <c r="P242" s="1" t="str">
        <f t="shared" si="21"/>
        <v/>
      </c>
      <c r="Q242" s="1" t="str">
        <f t="shared" si="22"/>
        <v/>
      </c>
      <c r="R242" s="1" t="str">
        <f t="shared" si="23"/>
        <v/>
      </c>
      <c r="S242" s="1" t="str">
        <f>IF(OR($E242="",$F242=""),"",HYPERLINK(IF(OR(_xlfn.SINGLE(JobState)="MI",_xlfn.SINGLE(JobState)=""),"https://fema.maps.arcgis.com/apps/mapviewer/index.html?url=https%3A%2F%2Fmdotgis.state.mi.us%2Farcgis%2Frest%2Fservices%2FWidget%2FNextGenPrFinderPub%2FFeatureServer%2F353&amp;find="&amp;$F242&amp;"%2C"&amp;$E242&amp;"&amp;marker="&amp;$F242&amp;","&amp;$E242&amp;",4326&amp;level=16",IF(_xlfn.SINGLE(JobState)="IN","https://fema.maps.arcgis.com/apps/mapviewer/index.html?url=https%3A%2F%2Fgisdata.in.gov%2Fserver%2Frest%2Fservices%2FHosted%2FLRSE_Functional_Class%2FFeatureServer%2F22&amp;find="&amp;$F242&amp;"%2C"&amp;$E242&amp;"&amp;marker="&amp;$F242&amp;","&amp;$E242&amp;",4326&amp;level=16",IF(_xlfn.SINGLE(JobState)="WI","https://fema.maps.arcgis.com/apps/mapviewer/index.html?url=https%3A%2F%2Fservices5.arcgis.com%2F0pgGLzT0Nh7FVjon%2Farcgis%2Frest%2Fservices%2FFFCL_gdb%2FFeatureServer%2F3&amp;find="&amp;$F242&amp;"%2C"&amp;$E242&amp;"&amp;marker="&amp;$F242&amp;","&amp;$E242&amp;",4326&amp;level=16","https://fema.maps.arcgis.com/apps/mapviewer/index.html?find="&amp;$F242&amp;"%2C"&amp;$E242&amp;"&amp;marker="&amp;$F242&amp;","&amp;$E242&amp;",4326&amp;level=16"))),"Open"))</f>
        <v/>
      </c>
      <c r="T242" s="4"/>
      <c r="U242" s="4"/>
      <c r="V242" s="4"/>
      <c r="W242" s="4"/>
      <c r="X242" s="4"/>
      <c r="Y242" s="4"/>
      <c r="Z242" s="4"/>
      <c r="AA242" s="4"/>
      <c r="AB242" s="1" t="str">
        <f>IF(OR(_xlfn.SINGLE(JobAgolMap)="", $E242="", $F242=""),"",HYPERLINK(_xlfn.SINGLE(JobAgolMap)&amp;IF(ISNUMBER(FIND("?",_xlfn.SINGLE(JobAgolMap))),"&amp;","?")&amp;"center="&amp;$F242&amp;","&amp;$E242&amp;"&amp;level=16&amp;marker="&amp;$F242&amp;","&amp;$E242,"Open"))</f>
        <v/>
      </c>
    </row>
    <row r="243" spans="1:28" x14ac:dyDescent="0.45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4"/>
      <c r="M243" s="1" t="str">
        <f t="shared" si="18"/>
        <v/>
      </c>
      <c r="N243" s="1" t="str">
        <f t="shared" si="19"/>
        <v/>
      </c>
      <c r="O243" s="1" t="str">
        <f t="shared" si="20"/>
        <v/>
      </c>
      <c r="P243" s="1" t="str">
        <f t="shared" si="21"/>
        <v/>
      </c>
      <c r="Q243" s="1" t="str">
        <f t="shared" si="22"/>
        <v/>
      </c>
      <c r="R243" s="1" t="str">
        <f t="shared" si="23"/>
        <v/>
      </c>
      <c r="S243" s="1" t="str">
        <f>IF(OR($E243="",$F243=""),"",HYPERLINK(IF(OR(_xlfn.SINGLE(JobState)="MI",_xlfn.SINGLE(JobState)=""),"https://fema.maps.arcgis.com/apps/mapviewer/index.html?url=https%3A%2F%2Fmdotgis.state.mi.us%2Farcgis%2Frest%2Fservices%2FWidget%2FNextGenPrFinderPub%2FFeatureServer%2F353&amp;find="&amp;$F243&amp;"%2C"&amp;$E243&amp;"&amp;marker="&amp;$F243&amp;","&amp;$E243&amp;",4326&amp;level=16",IF(_xlfn.SINGLE(JobState)="IN","https://fema.maps.arcgis.com/apps/mapviewer/index.html?url=https%3A%2F%2Fgisdata.in.gov%2Fserver%2Frest%2Fservices%2FHosted%2FLRSE_Functional_Class%2FFeatureServer%2F22&amp;find="&amp;$F243&amp;"%2C"&amp;$E243&amp;"&amp;marker="&amp;$F243&amp;","&amp;$E243&amp;",4326&amp;level=16",IF(_xlfn.SINGLE(JobState)="WI","https://fema.maps.arcgis.com/apps/mapviewer/index.html?url=https%3A%2F%2Fservices5.arcgis.com%2F0pgGLzT0Nh7FVjon%2Farcgis%2Frest%2Fservices%2FFFCL_gdb%2FFeatureServer%2F3&amp;find="&amp;$F243&amp;"%2C"&amp;$E243&amp;"&amp;marker="&amp;$F243&amp;","&amp;$E243&amp;",4326&amp;level=16","https://fema.maps.arcgis.com/apps/mapviewer/index.html?find="&amp;$F243&amp;"%2C"&amp;$E243&amp;"&amp;marker="&amp;$F243&amp;","&amp;$E243&amp;",4326&amp;level=16"))),"Open"))</f>
        <v/>
      </c>
      <c r="T243" s="4"/>
      <c r="U243" s="4"/>
      <c r="V243" s="4"/>
      <c r="W243" s="4"/>
      <c r="X243" s="4"/>
      <c r="Y243" s="4"/>
      <c r="Z243" s="4"/>
      <c r="AA243" s="4"/>
      <c r="AB243" s="1" t="str">
        <f>IF(OR(_xlfn.SINGLE(JobAgolMap)="", $E243="", $F243=""),"",HYPERLINK(_xlfn.SINGLE(JobAgolMap)&amp;IF(ISNUMBER(FIND("?",_xlfn.SINGLE(JobAgolMap))),"&amp;","?")&amp;"center="&amp;$F243&amp;","&amp;$E243&amp;"&amp;level=16&amp;marker="&amp;$F243&amp;","&amp;$E243,"Open"))</f>
        <v/>
      </c>
    </row>
    <row r="244" spans="1:28" x14ac:dyDescent="0.45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4"/>
      <c r="M244" s="1" t="str">
        <f t="shared" si="18"/>
        <v/>
      </c>
      <c r="N244" s="1" t="str">
        <f t="shared" si="19"/>
        <v/>
      </c>
      <c r="O244" s="1" t="str">
        <f t="shared" si="20"/>
        <v/>
      </c>
      <c r="P244" s="1" t="str">
        <f t="shared" si="21"/>
        <v/>
      </c>
      <c r="Q244" s="1" t="str">
        <f t="shared" si="22"/>
        <v/>
      </c>
      <c r="R244" s="1" t="str">
        <f t="shared" si="23"/>
        <v/>
      </c>
      <c r="S244" s="1" t="str">
        <f>IF(OR($E244="",$F244=""),"",HYPERLINK(IF(OR(_xlfn.SINGLE(JobState)="MI",_xlfn.SINGLE(JobState)=""),"https://fema.maps.arcgis.com/apps/mapviewer/index.html?url=https%3A%2F%2Fmdotgis.state.mi.us%2Farcgis%2Frest%2Fservices%2FWidget%2FNextGenPrFinderPub%2FFeatureServer%2F353&amp;find="&amp;$F244&amp;"%2C"&amp;$E244&amp;"&amp;marker="&amp;$F244&amp;","&amp;$E244&amp;",4326&amp;level=16",IF(_xlfn.SINGLE(JobState)="IN","https://fema.maps.arcgis.com/apps/mapviewer/index.html?url=https%3A%2F%2Fgisdata.in.gov%2Fserver%2Frest%2Fservices%2FHosted%2FLRSE_Functional_Class%2FFeatureServer%2F22&amp;find="&amp;$F244&amp;"%2C"&amp;$E244&amp;"&amp;marker="&amp;$F244&amp;","&amp;$E244&amp;",4326&amp;level=16",IF(_xlfn.SINGLE(JobState)="WI","https://fema.maps.arcgis.com/apps/mapviewer/index.html?url=https%3A%2F%2Fservices5.arcgis.com%2F0pgGLzT0Nh7FVjon%2Farcgis%2Frest%2Fservices%2FFFCL_gdb%2FFeatureServer%2F3&amp;find="&amp;$F244&amp;"%2C"&amp;$E244&amp;"&amp;marker="&amp;$F244&amp;","&amp;$E244&amp;",4326&amp;level=16","https://fema.maps.arcgis.com/apps/mapviewer/index.html?find="&amp;$F244&amp;"%2C"&amp;$E244&amp;"&amp;marker="&amp;$F244&amp;","&amp;$E244&amp;",4326&amp;level=16"))),"Open"))</f>
        <v/>
      </c>
      <c r="T244" s="4"/>
      <c r="U244" s="4"/>
      <c r="V244" s="4"/>
      <c r="W244" s="4"/>
      <c r="X244" s="4"/>
      <c r="Y244" s="4"/>
      <c r="Z244" s="4"/>
      <c r="AA244" s="4"/>
      <c r="AB244" s="1" t="str">
        <f>IF(OR(_xlfn.SINGLE(JobAgolMap)="", $E244="", $F244=""),"",HYPERLINK(_xlfn.SINGLE(JobAgolMap)&amp;IF(ISNUMBER(FIND("?",_xlfn.SINGLE(JobAgolMap))),"&amp;","?")&amp;"center="&amp;$F244&amp;","&amp;$E244&amp;"&amp;level=16&amp;marker="&amp;$F244&amp;","&amp;$E244,"Open"))</f>
        <v/>
      </c>
    </row>
    <row r="245" spans="1:28" x14ac:dyDescent="0.45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4"/>
      <c r="M245" s="1" t="str">
        <f t="shared" si="18"/>
        <v/>
      </c>
      <c r="N245" s="1" t="str">
        <f t="shared" si="19"/>
        <v/>
      </c>
      <c r="O245" s="1" t="str">
        <f t="shared" si="20"/>
        <v/>
      </c>
      <c r="P245" s="1" t="str">
        <f t="shared" si="21"/>
        <v/>
      </c>
      <c r="Q245" s="1" t="str">
        <f t="shared" si="22"/>
        <v/>
      </c>
      <c r="R245" s="1" t="str">
        <f t="shared" si="23"/>
        <v/>
      </c>
      <c r="S245" s="1" t="str">
        <f>IF(OR($E245="",$F245=""),"",HYPERLINK(IF(OR(_xlfn.SINGLE(JobState)="MI",_xlfn.SINGLE(JobState)=""),"https://fema.maps.arcgis.com/apps/mapviewer/index.html?url=https%3A%2F%2Fmdotgis.state.mi.us%2Farcgis%2Frest%2Fservices%2FWidget%2FNextGenPrFinderPub%2FFeatureServer%2F353&amp;find="&amp;$F245&amp;"%2C"&amp;$E245&amp;"&amp;marker="&amp;$F245&amp;","&amp;$E245&amp;",4326&amp;level=16",IF(_xlfn.SINGLE(JobState)="IN","https://fema.maps.arcgis.com/apps/mapviewer/index.html?url=https%3A%2F%2Fgisdata.in.gov%2Fserver%2Frest%2Fservices%2FHosted%2FLRSE_Functional_Class%2FFeatureServer%2F22&amp;find="&amp;$F245&amp;"%2C"&amp;$E245&amp;"&amp;marker="&amp;$F245&amp;","&amp;$E245&amp;",4326&amp;level=16",IF(_xlfn.SINGLE(JobState)="WI","https://fema.maps.arcgis.com/apps/mapviewer/index.html?url=https%3A%2F%2Fservices5.arcgis.com%2F0pgGLzT0Nh7FVjon%2Farcgis%2Frest%2Fservices%2FFFCL_gdb%2FFeatureServer%2F3&amp;find="&amp;$F245&amp;"%2C"&amp;$E245&amp;"&amp;marker="&amp;$F245&amp;","&amp;$E245&amp;",4326&amp;level=16","https://fema.maps.arcgis.com/apps/mapviewer/index.html?find="&amp;$F245&amp;"%2C"&amp;$E245&amp;"&amp;marker="&amp;$F245&amp;","&amp;$E245&amp;",4326&amp;level=16"))),"Open"))</f>
        <v/>
      </c>
      <c r="T245" s="4"/>
      <c r="U245" s="4"/>
      <c r="V245" s="4"/>
      <c r="W245" s="4"/>
      <c r="X245" s="4"/>
      <c r="Y245" s="4"/>
      <c r="Z245" s="4"/>
      <c r="AA245" s="4"/>
      <c r="AB245" s="1" t="str">
        <f>IF(OR(_xlfn.SINGLE(JobAgolMap)="", $E245="", $F245=""),"",HYPERLINK(_xlfn.SINGLE(JobAgolMap)&amp;IF(ISNUMBER(FIND("?",_xlfn.SINGLE(JobAgolMap))),"&amp;","?")&amp;"center="&amp;$F245&amp;","&amp;$E245&amp;"&amp;level=16&amp;marker="&amp;$F245&amp;","&amp;$E245,"Open"))</f>
        <v/>
      </c>
    </row>
    <row r="246" spans="1:28" x14ac:dyDescent="0.45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4"/>
      <c r="M246" s="1" t="str">
        <f t="shared" si="18"/>
        <v/>
      </c>
      <c r="N246" s="1" t="str">
        <f t="shared" si="19"/>
        <v/>
      </c>
      <c r="O246" s="1" t="str">
        <f t="shared" si="20"/>
        <v/>
      </c>
      <c r="P246" s="1" t="str">
        <f t="shared" si="21"/>
        <v/>
      </c>
      <c r="Q246" s="1" t="str">
        <f t="shared" si="22"/>
        <v/>
      </c>
      <c r="R246" s="1" t="str">
        <f t="shared" si="23"/>
        <v/>
      </c>
      <c r="S246" s="1" t="str">
        <f>IF(OR($E246="",$F246=""),"",HYPERLINK(IF(OR(_xlfn.SINGLE(JobState)="MI",_xlfn.SINGLE(JobState)=""),"https://fema.maps.arcgis.com/apps/mapviewer/index.html?url=https%3A%2F%2Fmdotgis.state.mi.us%2Farcgis%2Frest%2Fservices%2FWidget%2FNextGenPrFinderPub%2FFeatureServer%2F353&amp;find="&amp;$F246&amp;"%2C"&amp;$E246&amp;"&amp;marker="&amp;$F246&amp;","&amp;$E246&amp;",4326&amp;level=16",IF(_xlfn.SINGLE(JobState)="IN","https://fema.maps.arcgis.com/apps/mapviewer/index.html?url=https%3A%2F%2Fgisdata.in.gov%2Fserver%2Frest%2Fservices%2FHosted%2FLRSE_Functional_Class%2FFeatureServer%2F22&amp;find="&amp;$F246&amp;"%2C"&amp;$E246&amp;"&amp;marker="&amp;$F246&amp;","&amp;$E246&amp;",4326&amp;level=16",IF(_xlfn.SINGLE(JobState)="WI","https://fema.maps.arcgis.com/apps/mapviewer/index.html?url=https%3A%2F%2Fservices5.arcgis.com%2F0pgGLzT0Nh7FVjon%2Farcgis%2Frest%2Fservices%2FFFCL_gdb%2FFeatureServer%2F3&amp;find="&amp;$F246&amp;"%2C"&amp;$E246&amp;"&amp;marker="&amp;$F246&amp;","&amp;$E246&amp;",4326&amp;level=16","https://fema.maps.arcgis.com/apps/mapviewer/index.html?find="&amp;$F246&amp;"%2C"&amp;$E246&amp;"&amp;marker="&amp;$F246&amp;","&amp;$E246&amp;",4326&amp;level=16"))),"Open"))</f>
        <v/>
      </c>
      <c r="T246" s="4"/>
      <c r="U246" s="4"/>
      <c r="V246" s="4"/>
      <c r="W246" s="4"/>
      <c r="X246" s="4"/>
      <c r="Y246" s="4"/>
      <c r="Z246" s="4"/>
      <c r="AA246" s="4"/>
      <c r="AB246" s="1" t="str">
        <f>IF(OR(_xlfn.SINGLE(JobAgolMap)="", $E246="", $F246=""),"",HYPERLINK(_xlfn.SINGLE(JobAgolMap)&amp;IF(ISNUMBER(FIND("?",_xlfn.SINGLE(JobAgolMap))),"&amp;","?")&amp;"center="&amp;$F246&amp;","&amp;$E246&amp;"&amp;level=16&amp;marker="&amp;$F246&amp;","&amp;$E246,"Open"))</f>
        <v/>
      </c>
    </row>
    <row r="247" spans="1:28" x14ac:dyDescent="0.45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4"/>
      <c r="M247" s="1" t="str">
        <f t="shared" si="18"/>
        <v/>
      </c>
      <c r="N247" s="1" t="str">
        <f t="shared" si="19"/>
        <v/>
      </c>
      <c r="O247" s="1" t="str">
        <f t="shared" si="20"/>
        <v/>
      </c>
      <c r="P247" s="1" t="str">
        <f t="shared" si="21"/>
        <v/>
      </c>
      <c r="Q247" s="1" t="str">
        <f t="shared" si="22"/>
        <v/>
      </c>
      <c r="R247" s="1" t="str">
        <f t="shared" si="23"/>
        <v/>
      </c>
      <c r="S247" s="1" t="str">
        <f>IF(OR($E247="",$F247=""),"",HYPERLINK(IF(OR(_xlfn.SINGLE(JobState)="MI",_xlfn.SINGLE(JobState)=""),"https://fema.maps.arcgis.com/apps/mapviewer/index.html?url=https%3A%2F%2Fmdotgis.state.mi.us%2Farcgis%2Frest%2Fservices%2FWidget%2FNextGenPrFinderPub%2FFeatureServer%2F353&amp;find="&amp;$F247&amp;"%2C"&amp;$E247&amp;"&amp;marker="&amp;$F247&amp;","&amp;$E247&amp;",4326&amp;level=16",IF(_xlfn.SINGLE(JobState)="IN","https://fema.maps.arcgis.com/apps/mapviewer/index.html?url=https%3A%2F%2Fgisdata.in.gov%2Fserver%2Frest%2Fservices%2FHosted%2FLRSE_Functional_Class%2FFeatureServer%2F22&amp;find="&amp;$F247&amp;"%2C"&amp;$E247&amp;"&amp;marker="&amp;$F247&amp;","&amp;$E247&amp;",4326&amp;level=16",IF(_xlfn.SINGLE(JobState)="WI","https://fema.maps.arcgis.com/apps/mapviewer/index.html?url=https%3A%2F%2Fservices5.arcgis.com%2F0pgGLzT0Nh7FVjon%2Farcgis%2Frest%2Fservices%2FFFCL_gdb%2FFeatureServer%2F3&amp;find="&amp;$F247&amp;"%2C"&amp;$E247&amp;"&amp;marker="&amp;$F247&amp;","&amp;$E247&amp;",4326&amp;level=16","https://fema.maps.arcgis.com/apps/mapviewer/index.html?find="&amp;$F247&amp;"%2C"&amp;$E247&amp;"&amp;marker="&amp;$F247&amp;","&amp;$E247&amp;",4326&amp;level=16"))),"Open"))</f>
        <v/>
      </c>
      <c r="T247" s="4"/>
      <c r="U247" s="4"/>
      <c r="V247" s="4"/>
      <c r="W247" s="4"/>
      <c r="X247" s="4"/>
      <c r="Y247" s="4"/>
      <c r="Z247" s="4"/>
      <c r="AA247" s="4"/>
      <c r="AB247" s="1" t="str">
        <f>IF(OR(_xlfn.SINGLE(JobAgolMap)="", $E247="", $F247=""),"",HYPERLINK(_xlfn.SINGLE(JobAgolMap)&amp;IF(ISNUMBER(FIND("?",_xlfn.SINGLE(JobAgolMap))),"&amp;","?")&amp;"center="&amp;$F247&amp;","&amp;$E247&amp;"&amp;level=16&amp;marker="&amp;$F247&amp;","&amp;$E247,"Open"))</f>
        <v/>
      </c>
    </row>
    <row r="248" spans="1:28" x14ac:dyDescent="0.45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4"/>
      <c r="M248" s="1" t="str">
        <f t="shared" si="18"/>
        <v/>
      </c>
      <c r="N248" s="1" t="str">
        <f t="shared" si="19"/>
        <v/>
      </c>
      <c r="O248" s="1" t="str">
        <f t="shared" si="20"/>
        <v/>
      </c>
      <c r="P248" s="1" t="str">
        <f t="shared" si="21"/>
        <v/>
      </c>
      <c r="Q248" s="1" t="str">
        <f t="shared" si="22"/>
        <v/>
      </c>
      <c r="R248" s="1" t="str">
        <f t="shared" si="23"/>
        <v/>
      </c>
      <c r="S248" s="1" t="str">
        <f>IF(OR($E248="",$F248=""),"",HYPERLINK(IF(OR(_xlfn.SINGLE(JobState)="MI",_xlfn.SINGLE(JobState)=""),"https://fema.maps.arcgis.com/apps/mapviewer/index.html?url=https%3A%2F%2Fmdotgis.state.mi.us%2Farcgis%2Frest%2Fservices%2FWidget%2FNextGenPrFinderPub%2FFeatureServer%2F353&amp;find="&amp;$F248&amp;"%2C"&amp;$E248&amp;"&amp;marker="&amp;$F248&amp;","&amp;$E248&amp;",4326&amp;level=16",IF(_xlfn.SINGLE(JobState)="IN","https://fema.maps.arcgis.com/apps/mapviewer/index.html?url=https%3A%2F%2Fgisdata.in.gov%2Fserver%2Frest%2Fservices%2FHosted%2FLRSE_Functional_Class%2FFeatureServer%2F22&amp;find="&amp;$F248&amp;"%2C"&amp;$E248&amp;"&amp;marker="&amp;$F248&amp;","&amp;$E248&amp;",4326&amp;level=16",IF(_xlfn.SINGLE(JobState)="WI","https://fema.maps.arcgis.com/apps/mapviewer/index.html?url=https%3A%2F%2Fservices5.arcgis.com%2F0pgGLzT0Nh7FVjon%2Farcgis%2Frest%2Fservices%2FFFCL_gdb%2FFeatureServer%2F3&amp;find="&amp;$F248&amp;"%2C"&amp;$E248&amp;"&amp;marker="&amp;$F248&amp;","&amp;$E248&amp;",4326&amp;level=16","https://fema.maps.arcgis.com/apps/mapviewer/index.html?find="&amp;$F248&amp;"%2C"&amp;$E248&amp;"&amp;marker="&amp;$F248&amp;","&amp;$E248&amp;",4326&amp;level=16"))),"Open"))</f>
        <v/>
      </c>
      <c r="T248" s="4"/>
      <c r="U248" s="4"/>
      <c r="V248" s="4"/>
      <c r="W248" s="4"/>
      <c r="X248" s="4"/>
      <c r="Y248" s="4"/>
      <c r="Z248" s="4"/>
      <c r="AA248" s="4"/>
      <c r="AB248" s="1" t="str">
        <f>IF(OR(_xlfn.SINGLE(JobAgolMap)="", $E248="", $F248=""),"",HYPERLINK(_xlfn.SINGLE(JobAgolMap)&amp;IF(ISNUMBER(FIND("?",_xlfn.SINGLE(JobAgolMap))),"&amp;","?")&amp;"center="&amp;$F248&amp;","&amp;$E248&amp;"&amp;level=16&amp;marker="&amp;$F248&amp;","&amp;$E248,"Open"))</f>
        <v/>
      </c>
    </row>
    <row r="249" spans="1:28" x14ac:dyDescent="0.45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4"/>
      <c r="M249" s="1" t="str">
        <f t="shared" si="18"/>
        <v/>
      </c>
      <c r="N249" s="1" t="str">
        <f t="shared" si="19"/>
        <v/>
      </c>
      <c r="O249" s="1" t="str">
        <f t="shared" si="20"/>
        <v/>
      </c>
      <c r="P249" s="1" t="str">
        <f t="shared" si="21"/>
        <v/>
      </c>
      <c r="Q249" s="1" t="str">
        <f t="shared" si="22"/>
        <v/>
      </c>
      <c r="R249" s="1" t="str">
        <f t="shared" si="23"/>
        <v/>
      </c>
      <c r="S249" s="1" t="str">
        <f>IF(OR($E249="",$F249=""),"",HYPERLINK(IF(OR(_xlfn.SINGLE(JobState)="MI",_xlfn.SINGLE(JobState)=""),"https://fema.maps.arcgis.com/apps/mapviewer/index.html?url=https%3A%2F%2Fmdotgis.state.mi.us%2Farcgis%2Frest%2Fservices%2FWidget%2FNextGenPrFinderPub%2FFeatureServer%2F353&amp;find="&amp;$F249&amp;"%2C"&amp;$E249&amp;"&amp;marker="&amp;$F249&amp;","&amp;$E249&amp;",4326&amp;level=16",IF(_xlfn.SINGLE(JobState)="IN","https://fema.maps.arcgis.com/apps/mapviewer/index.html?url=https%3A%2F%2Fgisdata.in.gov%2Fserver%2Frest%2Fservices%2FHosted%2FLRSE_Functional_Class%2FFeatureServer%2F22&amp;find="&amp;$F249&amp;"%2C"&amp;$E249&amp;"&amp;marker="&amp;$F249&amp;","&amp;$E249&amp;",4326&amp;level=16",IF(_xlfn.SINGLE(JobState)="WI","https://fema.maps.arcgis.com/apps/mapviewer/index.html?url=https%3A%2F%2Fservices5.arcgis.com%2F0pgGLzT0Nh7FVjon%2Farcgis%2Frest%2Fservices%2FFFCL_gdb%2FFeatureServer%2F3&amp;find="&amp;$F249&amp;"%2C"&amp;$E249&amp;"&amp;marker="&amp;$F249&amp;","&amp;$E249&amp;",4326&amp;level=16","https://fema.maps.arcgis.com/apps/mapviewer/index.html?find="&amp;$F249&amp;"%2C"&amp;$E249&amp;"&amp;marker="&amp;$F249&amp;","&amp;$E249&amp;",4326&amp;level=16"))),"Open"))</f>
        <v/>
      </c>
      <c r="T249" s="4"/>
      <c r="U249" s="4"/>
      <c r="V249" s="4"/>
      <c r="W249" s="4"/>
      <c r="X249" s="4"/>
      <c r="Y249" s="4"/>
      <c r="Z249" s="4"/>
      <c r="AA249" s="4"/>
      <c r="AB249" s="1" t="str">
        <f>IF(OR(_xlfn.SINGLE(JobAgolMap)="", $E249="", $F249=""),"",HYPERLINK(_xlfn.SINGLE(JobAgolMap)&amp;IF(ISNUMBER(FIND("?",_xlfn.SINGLE(JobAgolMap))),"&amp;","?")&amp;"center="&amp;$F249&amp;","&amp;$E249&amp;"&amp;level=16&amp;marker="&amp;$F249&amp;","&amp;$E249,"Open"))</f>
        <v/>
      </c>
    </row>
    <row r="250" spans="1:28" x14ac:dyDescent="0.45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4"/>
      <c r="M250" s="1" t="str">
        <f t="shared" si="18"/>
        <v/>
      </c>
      <c r="N250" s="1" t="str">
        <f t="shared" si="19"/>
        <v/>
      </c>
      <c r="O250" s="1" t="str">
        <f t="shared" si="20"/>
        <v/>
      </c>
      <c r="P250" s="1" t="str">
        <f t="shared" si="21"/>
        <v/>
      </c>
      <c r="Q250" s="1" t="str">
        <f t="shared" si="22"/>
        <v/>
      </c>
      <c r="R250" s="1" t="str">
        <f t="shared" si="23"/>
        <v/>
      </c>
      <c r="S250" s="1" t="str">
        <f>IF(OR($E250="",$F250=""),"",HYPERLINK(IF(OR(_xlfn.SINGLE(JobState)="MI",_xlfn.SINGLE(JobState)=""),"https://fema.maps.arcgis.com/apps/mapviewer/index.html?url=https%3A%2F%2Fmdotgis.state.mi.us%2Farcgis%2Frest%2Fservices%2FWidget%2FNextGenPrFinderPub%2FFeatureServer%2F353&amp;find="&amp;$F250&amp;"%2C"&amp;$E250&amp;"&amp;marker="&amp;$F250&amp;","&amp;$E250&amp;",4326&amp;level=16",IF(_xlfn.SINGLE(JobState)="IN","https://fema.maps.arcgis.com/apps/mapviewer/index.html?url=https%3A%2F%2Fgisdata.in.gov%2Fserver%2Frest%2Fservices%2FHosted%2FLRSE_Functional_Class%2FFeatureServer%2F22&amp;find="&amp;$F250&amp;"%2C"&amp;$E250&amp;"&amp;marker="&amp;$F250&amp;","&amp;$E250&amp;",4326&amp;level=16",IF(_xlfn.SINGLE(JobState)="WI","https://fema.maps.arcgis.com/apps/mapviewer/index.html?url=https%3A%2F%2Fservices5.arcgis.com%2F0pgGLzT0Nh7FVjon%2Farcgis%2Frest%2Fservices%2FFFCL_gdb%2FFeatureServer%2F3&amp;find="&amp;$F250&amp;"%2C"&amp;$E250&amp;"&amp;marker="&amp;$F250&amp;","&amp;$E250&amp;",4326&amp;level=16","https://fema.maps.arcgis.com/apps/mapviewer/index.html?find="&amp;$F250&amp;"%2C"&amp;$E250&amp;"&amp;marker="&amp;$F250&amp;","&amp;$E250&amp;",4326&amp;level=16"))),"Open"))</f>
        <v/>
      </c>
      <c r="T250" s="4"/>
      <c r="U250" s="4"/>
      <c r="V250" s="4"/>
      <c r="W250" s="4"/>
      <c r="X250" s="4"/>
      <c r="Y250" s="4"/>
      <c r="Z250" s="4"/>
      <c r="AA250" s="4"/>
      <c r="AB250" s="1" t="str">
        <f>IF(OR(_xlfn.SINGLE(JobAgolMap)="", $E250="", $F250=""),"",HYPERLINK(_xlfn.SINGLE(JobAgolMap)&amp;IF(ISNUMBER(FIND("?",_xlfn.SINGLE(JobAgolMap))),"&amp;","?")&amp;"center="&amp;$F250&amp;","&amp;$E250&amp;"&amp;level=16&amp;marker="&amp;$F250&amp;","&amp;$E250,"Open"))</f>
        <v/>
      </c>
    </row>
    <row r="251" spans="1:28" x14ac:dyDescent="0.45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4"/>
      <c r="M251" s="1" t="str">
        <f t="shared" si="18"/>
        <v/>
      </c>
      <c r="N251" s="1" t="str">
        <f t="shared" si="19"/>
        <v/>
      </c>
      <c r="O251" s="1" t="str">
        <f t="shared" si="20"/>
        <v/>
      </c>
      <c r="P251" s="1" t="str">
        <f t="shared" si="21"/>
        <v/>
      </c>
      <c r="Q251" s="1" t="str">
        <f t="shared" si="22"/>
        <v/>
      </c>
      <c r="R251" s="1" t="str">
        <f t="shared" si="23"/>
        <v/>
      </c>
      <c r="S251" s="1" t="str">
        <f>IF(OR($E251="",$F251=""),"",HYPERLINK(IF(OR(_xlfn.SINGLE(JobState)="MI",_xlfn.SINGLE(JobState)=""),"https://fema.maps.arcgis.com/apps/mapviewer/index.html?url=https%3A%2F%2Fmdotgis.state.mi.us%2Farcgis%2Frest%2Fservices%2FWidget%2FNextGenPrFinderPub%2FFeatureServer%2F353&amp;find="&amp;$F251&amp;"%2C"&amp;$E251&amp;"&amp;marker="&amp;$F251&amp;","&amp;$E251&amp;",4326&amp;level=16",IF(_xlfn.SINGLE(JobState)="IN","https://fema.maps.arcgis.com/apps/mapviewer/index.html?url=https%3A%2F%2Fgisdata.in.gov%2Fserver%2Frest%2Fservices%2FHosted%2FLRSE_Functional_Class%2FFeatureServer%2F22&amp;find="&amp;$F251&amp;"%2C"&amp;$E251&amp;"&amp;marker="&amp;$F251&amp;","&amp;$E251&amp;",4326&amp;level=16",IF(_xlfn.SINGLE(JobState)="WI","https://fema.maps.arcgis.com/apps/mapviewer/index.html?url=https%3A%2F%2Fservices5.arcgis.com%2F0pgGLzT0Nh7FVjon%2Farcgis%2Frest%2Fservices%2FFFCL_gdb%2FFeatureServer%2F3&amp;find="&amp;$F251&amp;"%2C"&amp;$E251&amp;"&amp;marker="&amp;$F251&amp;","&amp;$E251&amp;",4326&amp;level=16","https://fema.maps.arcgis.com/apps/mapviewer/index.html?find="&amp;$F251&amp;"%2C"&amp;$E251&amp;"&amp;marker="&amp;$F251&amp;","&amp;$E251&amp;",4326&amp;level=16"))),"Open"))</f>
        <v/>
      </c>
      <c r="T251" s="4"/>
      <c r="U251" s="4"/>
      <c r="V251" s="4"/>
      <c r="W251" s="4"/>
      <c r="X251" s="4"/>
      <c r="Y251" s="4"/>
      <c r="Z251" s="4"/>
      <c r="AA251" s="4"/>
      <c r="AB251" s="1" t="str">
        <f>IF(OR(_xlfn.SINGLE(JobAgolMap)="", $E251="", $F251=""),"",HYPERLINK(_xlfn.SINGLE(JobAgolMap)&amp;IF(ISNUMBER(FIND("?",_xlfn.SINGLE(JobAgolMap))),"&amp;","?")&amp;"center="&amp;$F251&amp;","&amp;$E251&amp;"&amp;level=16&amp;marker="&amp;$F251&amp;","&amp;$E251,"Open"))</f>
        <v/>
      </c>
    </row>
    <row r="252" spans="1:28" x14ac:dyDescent="0.45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4"/>
      <c r="M252" s="1" t="str">
        <f t="shared" si="18"/>
        <v/>
      </c>
      <c r="N252" s="1" t="str">
        <f t="shared" si="19"/>
        <v/>
      </c>
      <c r="O252" s="1" t="str">
        <f t="shared" si="20"/>
        <v/>
      </c>
      <c r="P252" s="1" t="str">
        <f t="shared" si="21"/>
        <v/>
      </c>
      <c r="Q252" s="1" t="str">
        <f t="shared" si="22"/>
        <v/>
      </c>
      <c r="R252" s="1" t="str">
        <f t="shared" si="23"/>
        <v/>
      </c>
      <c r="S252" s="1" t="str">
        <f>IF(OR($E252="",$F252=""),"",HYPERLINK(IF(OR(_xlfn.SINGLE(JobState)="MI",_xlfn.SINGLE(JobState)=""),"https://fema.maps.arcgis.com/apps/mapviewer/index.html?url=https%3A%2F%2Fmdotgis.state.mi.us%2Farcgis%2Frest%2Fservices%2FWidget%2FNextGenPrFinderPub%2FFeatureServer%2F353&amp;find="&amp;$F252&amp;"%2C"&amp;$E252&amp;"&amp;marker="&amp;$F252&amp;","&amp;$E252&amp;",4326&amp;level=16",IF(_xlfn.SINGLE(JobState)="IN","https://fema.maps.arcgis.com/apps/mapviewer/index.html?url=https%3A%2F%2Fgisdata.in.gov%2Fserver%2Frest%2Fservices%2FHosted%2FLRSE_Functional_Class%2FFeatureServer%2F22&amp;find="&amp;$F252&amp;"%2C"&amp;$E252&amp;"&amp;marker="&amp;$F252&amp;","&amp;$E252&amp;",4326&amp;level=16",IF(_xlfn.SINGLE(JobState)="WI","https://fema.maps.arcgis.com/apps/mapviewer/index.html?url=https%3A%2F%2Fservices5.arcgis.com%2F0pgGLzT0Nh7FVjon%2Farcgis%2Frest%2Fservices%2FFFCL_gdb%2FFeatureServer%2F3&amp;find="&amp;$F252&amp;"%2C"&amp;$E252&amp;"&amp;marker="&amp;$F252&amp;","&amp;$E252&amp;",4326&amp;level=16","https://fema.maps.arcgis.com/apps/mapviewer/index.html?find="&amp;$F252&amp;"%2C"&amp;$E252&amp;"&amp;marker="&amp;$F252&amp;","&amp;$E252&amp;",4326&amp;level=16"))),"Open"))</f>
        <v/>
      </c>
      <c r="T252" s="4"/>
      <c r="U252" s="4"/>
      <c r="V252" s="4"/>
      <c r="W252" s="4"/>
      <c r="X252" s="4"/>
      <c r="Y252" s="4"/>
      <c r="Z252" s="4"/>
      <c r="AA252" s="4"/>
      <c r="AB252" s="1" t="str">
        <f>IF(OR(_xlfn.SINGLE(JobAgolMap)="", $E252="", $F252=""),"",HYPERLINK(_xlfn.SINGLE(JobAgolMap)&amp;IF(ISNUMBER(FIND("?",_xlfn.SINGLE(JobAgolMap))),"&amp;","?")&amp;"center="&amp;$F252&amp;","&amp;$E252&amp;"&amp;level=16&amp;marker="&amp;$F252&amp;","&amp;$E252,"Open"))</f>
        <v/>
      </c>
    </row>
    <row r="253" spans="1:28" x14ac:dyDescent="0.45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4"/>
      <c r="M253" s="1" t="str">
        <f t="shared" si="18"/>
        <v/>
      </c>
      <c r="N253" s="1" t="str">
        <f t="shared" si="19"/>
        <v/>
      </c>
      <c r="O253" s="1" t="str">
        <f t="shared" si="20"/>
        <v/>
      </c>
      <c r="P253" s="1" t="str">
        <f t="shared" si="21"/>
        <v/>
      </c>
      <c r="Q253" s="1" t="str">
        <f t="shared" si="22"/>
        <v/>
      </c>
      <c r="R253" s="1" t="str">
        <f t="shared" si="23"/>
        <v/>
      </c>
      <c r="S253" s="1" t="str">
        <f>IF(OR($E253="",$F253=""),"",HYPERLINK(IF(OR(_xlfn.SINGLE(JobState)="MI",_xlfn.SINGLE(JobState)=""),"https://fema.maps.arcgis.com/apps/mapviewer/index.html?url=https%3A%2F%2Fmdotgis.state.mi.us%2Farcgis%2Frest%2Fservices%2FWidget%2FNextGenPrFinderPub%2FFeatureServer%2F353&amp;find="&amp;$F253&amp;"%2C"&amp;$E253&amp;"&amp;marker="&amp;$F253&amp;","&amp;$E253&amp;",4326&amp;level=16",IF(_xlfn.SINGLE(JobState)="IN","https://fema.maps.arcgis.com/apps/mapviewer/index.html?url=https%3A%2F%2Fgisdata.in.gov%2Fserver%2Frest%2Fservices%2FHosted%2FLRSE_Functional_Class%2FFeatureServer%2F22&amp;find="&amp;$F253&amp;"%2C"&amp;$E253&amp;"&amp;marker="&amp;$F253&amp;","&amp;$E253&amp;",4326&amp;level=16",IF(_xlfn.SINGLE(JobState)="WI","https://fema.maps.arcgis.com/apps/mapviewer/index.html?url=https%3A%2F%2Fservices5.arcgis.com%2F0pgGLzT0Nh7FVjon%2Farcgis%2Frest%2Fservices%2FFFCL_gdb%2FFeatureServer%2F3&amp;find="&amp;$F253&amp;"%2C"&amp;$E253&amp;"&amp;marker="&amp;$F253&amp;","&amp;$E253&amp;",4326&amp;level=16","https://fema.maps.arcgis.com/apps/mapviewer/index.html?find="&amp;$F253&amp;"%2C"&amp;$E253&amp;"&amp;marker="&amp;$F253&amp;","&amp;$E253&amp;",4326&amp;level=16"))),"Open"))</f>
        <v/>
      </c>
      <c r="T253" s="4"/>
      <c r="U253" s="4"/>
      <c r="V253" s="4"/>
      <c r="W253" s="4"/>
      <c r="X253" s="4"/>
      <c r="Y253" s="4"/>
      <c r="Z253" s="4"/>
      <c r="AA253" s="4"/>
      <c r="AB253" s="1" t="str">
        <f>IF(OR(_xlfn.SINGLE(JobAgolMap)="", $E253="", $F253=""),"",HYPERLINK(_xlfn.SINGLE(JobAgolMap)&amp;IF(ISNUMBER(FIND("?",_xlfn.SINGLE(JobAgolMap))),"&amp;","?")&amp;"center="&amp;$F253&amp;","&amp;$E253&amp;"&amp;level=16&amp;marker="&amp;$F253&amp;","&amp;$E253,"Open"))</f>
        <v/>
      </c>
    </row>
    <row r="254" spans="1:28" x14ac:dyDescent="0.45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4"/>
      <c r="M254" s="1" t="str">
        <f t="shared" si="18"/>
        <v/>
      </c>
      <c r="N254" s="1" t="str">
        <f t="shared" si="19"/>
        <v/>
      </c>
      <c r="O254" s="1" t="str">
        <f t="shared" si="20"/>
        <v/>
      </c>
      <c r="P254" s="1" t="str">
        <f t="shared" si="21"/>
        <v/>
      </c>
      <c r="Q254" s="1" t="str">
        <f t="shared" si="22"/>
        <v/>
      </c>
      <c r="R254" s="1" t="str">
        <f t="shared" si="23"/>
        <v/>
      </c>
      <c r="S254" s="1" t="str">
        <f>IF(OR($E254="",$F254=""),"",HYPERLINK(IF(OR(_xlfn.SINGLE(JobState)="MI",_xlfn.SINGLE(JobState)=""),"https://fema.maps.arcgis.com/apps/mapviewer/index.html?url=https%3A%2F%2Fmdotgis.state.mi.us%2Farcgis%2Frest%2Fservices%2FWidget%2FNextGenPrFinderPub%2FFeatureServer%2F353&amp;find="&amp;$F254&amp;"%2C"&amp;$E254&amp;"&amp;marker="&amp;$F254&amp;","&amp;$E254&amp;",4326&amp;level=16",IF(_xlfn.SINGLE(JobState)="IN","https://fema.maps.arcgis.com/apps/mapviewer/index.html?url=https%3A%2F%2Fgisdata.in.gov%2Fserver%2Frest%2Fservices%2FHosted%2FLRSE_Functional_Class%2FFeatureServer%2F22&amp;find="&amp;$F254&amp;"%2C"&amp;$E254&amp;"&amp;marker="&amp;$F254&amp;","&amp;$E254&amp;",4326&amp;level=16",IF(_xlfn.SINGLE(JobState)="WI","https://fema.maps.arcgis.com/apps/mapviewer/index.html?url=https%3A%2F%2Fservices5.arcgis.com%2F0pgGLzT0Nh7FVjon%2Farcgis%2Frest%2Fservices%2FFFCL_gdb%2FFeatureServer%2F3&amp;find="&amp;$F254&amp;"%2C"&amp;$E254&amp;"&amp;marker="&amp;$F254&amp;","&amp;$E254&amp;",4326&amp;level=16","https://fema.maps.arcgis.com/apps/mapviewer/index.html?find="&amp;$F254&amp;"%2C"&amp;$E254&amp;"&amp;marker="&amp;$F254&amp;","&amp;$E254&amp;",4326&amp;level=16"))),"Open"))</f>
        <v/>
      </c>
      <c r="T254" s="4"/>
      <c r="U254" s="4"/>
      <c r="V254" s="4"/>
      <c r="W254" s="4"/>
      <c r="X254" s="4"/>
      <c r="Y254" s="4"/>
      <c r="Z254" s="4"/>
      <c r="AA254" s="4"/>
      <c r="AB254" s="1" t="str">
        <f>IF(OR(_xlfn.SINGLE(JobAgolMap)="", $E254="", $F254=""),"",HYPERLINK(_xlfn.SINGLE(JobAgolMap)&amp;IF(ISNUMBER(FIND("?",_xlfn.SINGLE(JobAgolMap))),"&amp;","?")&amp;"center="&amp;$F254&amp;","&amp;$E254&amp;"&amp;level=16&amp;marker="&amp;$F254&amp;","&amp;$E254,"Open"))</f>
        <v/>
      </c>
    </row>
    <row r="255" spans="1:28" x14ac:dyDescent="0.45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4"/>
      <c r="M255" s="1" t="str">
        <f t="shared" si="18"/>
        <v/>
      </c>
      <c r="N255" s="1" t="str">
        <f t="shared" si="19"/>
        <v/>
      </c>
      <c r="O255" s="1" t="str">
        <f t="shared" si="20"/>
        <v/>
      </c>
      <c r="P255" s="1" t="str">
        <f t="shared" si="21"/>
        <v/>
      </c>
      <c r="Q255" s="1" t="str">
        <f t="shared" si="22"/>
        <v/>
      </c>
      <c r="R255" s="1" t="str">
        <f t="shared" si="23"/>
        <v/>
      </c>
      <c r="S255" s="1" t="str">
        <f>IF(OR($E255="",$F255=""),"",HYPERLINK(IF(OR(_xlfn.SINGLE(JobState)="MI",_xlfn.SINGLE(JobState)=""),"https://fema.maps.arcgis.com/apps/mapviewer/index.html?url=https%3A%2F%2Fmdotgis.state.mi.us%2Farcgis%2Frest%2Fservices%2FWidget%2FNextGenPrFinderPub%2FFeatureServer%2F353&amp;find="&amp;$F255&amp;"%2C"&amp;$E255&amp;"&amp;marker="&amp;$F255&amp;","&amp;$E255&amp;",4326&amp;level=16",IF(_xlfn.SINGLE(JobState)="IN","https://fema.maps.arcgis.com/apps/mapviewer/index.html?url=https%3A%2F%2Fgisdata.in.gov%2Fserver%2Frest%2Fservices%2FHosted%2FLRSE_Functional_Class%2FFeatureServer%2F22&amp;find="&amp;$F255&amp;"%2C"&amp;$E255&amp;"&amp;marker="&amp;$F255&amp;","&amp;$E255&amp;",4326&amp;level=16",IF(_xlfn.SINGLE(JobState)="WI","https://fema.maps.arcgis.com/apps/mapviewer/index.html?url=https%3A%2F%2Fservices5.arcgis.com%2F0pgGLzT0Nh7FVjon%2Farcgis%2Frest%2Fservices%2FFFCL_gdb%2FFeatureServer%2F3&amp;find="&amp;$F255&amp;"%2C"&amp;$E255&amp;"&amp;marker="&amp;$F255&amp;","&amp;$E255&amp;",4326&amp;level=16","https://fema.maps.arcgis.com/apps/mapviewer/index.html?find="&amp;$F255&amp;"%2C"&amp;$E255&amp;"&amp;marker="&amp;$F255&amp;","&amp;$E255&amp;",4326&amp;level=16"))),"Open"))</f>
        <v/>
      </c>
      <c r="T255" s="4"/>
      <c r="U255" s="4"/>
      <c r="V255" s="4"/>
      <c r="W255" s="4"/>
      <c r="X255" s="4"/>
      <c r="Y255" s="4"/>
      <c r="Z255" s="4"/>
      <c r="AA255" s="4"/>
      <c r="AB255" s="1" t="str">
        <f>IF(OR(_xlfn.SINGLE(JobAgolMap)="", $E255="", $F255=""),"",HYPERLINK(_xlfn.SINGLE(JobAgolMap)&amp;IF(ISNUMBER(FIND("?",_xlfn.SINGLE(JobAgolMap))),"&amp;","?")&amp;"center="&amp;$F255&amp;","&amp;$E255&amp;"&amp;level=16&amp;marker="&amp;$F255&amp;","&amp;$E255,"Open"))</f>
        <v/>
      </c>
    </row>
    <row r="256" spans="1:28" x14ac:dyDescent="0.45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4"/>
      <c r="M256" s="1" t="str">
        <f t="shared" si="18"/>
        <v/>
      </c>
      <c r="N256" s="1" t="str">
        <f t="shared" si="19"/>
        <v/>
      </c>
      <c r="O256" s="1" t="str">
        <f t="shared" si="20"/>
        <v/>
      </c>
      <c r="P256" s="1" t="str">
        <f t="shared" si="21"/>
        <v/>
      </c>
      <c r="Q256" s="1" t="str">
        <f t="shared" si="22"/>
        <v/>
      </c>
      <c r="R256" s="1" t="str">
        <f t="shared" si="23"/>
        <v/>
      </c>
      <c r="S256" s="1" t="str">
        <f>IF(OR($E256="",$F256=""),"",HYPERLINK(IF(OR(_xlfn.SINGLE(JobState)="MI",_xlfn.SINGLE(JobState)=""),"https://fema.maps.arcgis.com/apps/mapviewer/index.html?url=https%3A%2F%2Fmdotgis.state.mi.us%2Farcgis%2Frest%2Fservices%2FWidget%2FNextGenPrFinderPub%2FFeatureServer%2F353&amp;find="&amp;$F256&amp;"%2C"&amp;$E256&amp;"&amp;marker="&amp;$F256&amp;","&amp;$E256&amp;",4326&amp;level=16",IF(_xlfn.SINGLE(JobState)="IN","https://fema.maps.arcgis.com/apps/mapviewer/index.html?url=https%3A%2F%2Fgisdata.in.gov%2Fserver%2Frest%2Fservices%2FHosted%2FLRSE_Functional_Class%2FFeatureServer%2F22&amp;find="&amp;$F256&amp;"%2C"&amp;$E256&amp;"&amp;marker="&amp;$F256&amp;","&amp;$E256&amp;",4326&amp;level=16",IF(_xlfn.SINGLE(JobState)="WI","https://fema.maps.arcgis.com/apps/mapviewer/index.html?url=https%3A%2F%2Fservices5.arcgis.com%2F0pgGLzT0Nh7FVjon%2Farcgis%2Frest%2Fservices%2FFFCL_gdb%2FFeatureServer%2F3&amp;find="&amp;$F256&amp;"%2C"&amp;$E256&amp;"&amp;marker="&amp;$F256&amp;","&amp;$E256&amp;",4326&amp;level=16","https://fema.maps.arcgis.com/apps/mapviewer/index.html?find="&amp;$F256&amp;"%2C"&amp;$E256&amp;"&amp;marker="&amp;$F256&amp;","&amp;$E256&amp;",4326&amp;level=16"))),"Open"))</f>
        <v/>
      </c>
      <c r="T256" s="4"/>
      <c r="U256" s="4"/>
      <c r="V256" s="4"/>
      <c r="W256" s="4"/>
      <c r="X256" s="4"/>
      <c r="Y256" s="4"/>
      <c r="Z256" s="4"/>
      <c r="AA256" s="4"/>
      <c r="AB256" s="1" t="str">
        <f>IF(OR(_xlfn.SINGLE(JobAgolMap)="", $E256="", $F256=""),"",HYPERLINK(_xlfn.SINGLE(JobAgolMap)&amp;IF(ISNUMBER(FIND("?",_xlfn.SINGLE(JobAgolMap))),"&amp;","?")&amp;"center="&amp;$F256&amp;","&amp;$E256&amp;"&amp;level=16&amp;marker="&amp;$F256&amp;","&amp;$E256,"Open"))</f>
        <v/>
      </c>
    </row>
    <row r="257" spans="1:28" x14ac:dyDescent="0.45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4"/>
      <c r="M257" s="1" t="str">
        <f t="shared" si="18"/>
        <v/>
      </c>
      <c r="N257" s="1" t="str">
        <f t="shared" si="19"/>
        <v/>
      </c>
      <c r="O257" s="1" t="str">
        <f t="shared" si="20"/>
        <v/>
      </c>
      <c r="P257" s="1" t="str">
        <f t="shared" si="21"/>
        <v/>
      </c>
      <c r="Q257" s="1" t="str">
        <f t="shared" si="22"/>
        <v/>
      </c>
      <c r="R257" s="1" t="str">
        <f t="shared" si="23"/>
        <v/>
      </c>
      <c r="S257" s="1" t="str">
        <f>IF(OR($E257="",$F257=""),"",HYPERLINK(IF(OR(_xlfn.SINGLE(JobState)="MI",_xlfn.SINGLE(JobState)=""),"https://fema.maps.arcgis.com/apps/mapviewer/index.html?url=https%3A%2F%2Fmdotgis.state.mi.us%2Farcgis%2Frest%2Fservices%2FWidget%2FNextGenPrFinderPub%2FFeatureServer%2F353&amp;find="&amp;$F257&amp;"%2C"&amp;$E257&amp;"&amp;marker="&amp;$F257&amp;","&amp;$E257&amp;",4326&amp;level=16",IF(_xlfn.SINGLE(JobState)="IN","https://fema.maps.arcgis.com/apps/mapviewer/index.html?url=https%3A%2F%2Fgisdata.in.gov%2Fserver%2Frest%2Fservices%2FHosted%2FLRSE_Functional_Class%2FFeatureServer%2F22&amp;find="&amp;$F257&amp;"%2C"&amp;$E257&amp;"&amp;marker="&amp;$F257&amp;","&amp;$E257&amp;",4326&amp;level=16",IF(_xlfn.SINGLE(JobState)="WI","https://fema.maps.arcgis.com/apps/mapviewer/index.html?url=https%3A%2F%2Fservices5.arcgis.com%2F0pgGLzT0Nh7FVjon%2Farcgis%2Frest%2Fservices%2FFFCL_gdb%2FFeatureServer%2F3&amp;find="&amp;$F257&amp;"%2C"&amp;$E257&amp;"&amp;marker="&amp;$F257&amp;","&amp;$E257&amp;",4326&amp;level=16","https://fema.maps.arcgis.com/apps/mapviewer/index.html?find="&amp;$F257&amp;"%2C"&amp;$E257&amp;"&amp;marker="&amp;$F257&amp;","&amp;$E257&amp;",4326&amp;level=16"))),"Open"))</f>
        <v/>
      </c>
      <c r="T257" s="4"/>
      <c r="U257" s="4"/>
      <c r="V257" s="4"/>
      <c r="W257" s="4"/>
      <c r="X257" s="4"/>
      <c r="Y257" s="4"/>
      <c r="Z257" s="4"/>
      <c r="AA257" s="4"/>
      <c r="AB257" s="1" t="str">
        <f>IF(OR(_xlfn.SINGLE(JobAgolMap)="", $E257="", $F257=""),"",HYPERLINK(_xlfn.SINGLE(JobAgolMap)&amp;IF(ISNUMBER(FIND("?",_xlfn.SINGLE(JobAgolMap))),"&amp;","?")&amp;"center="&amp;$F257&amp;","&amp;$E257&amp;"&amp;level=16&amp;marker="&amp;$F257&amp;","&amp;$E257,"Open"))</f>
        <v/>
      </c>
    </row>
    <row r="258" spans="1:28" x14ac:dyDescent="0.45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4"/>
      <c r="M258" s="1" t="str">
        <f t="shared" si="18"/>
        <v/>
      </c>
      <c r="N258" s="1" t="str">
        <f t="shared" si="19"/>
        <v/>
      </c>
      <c r="O258" s="1" t="str">
        <f t="shared" si="20"/>
        <v/>
      </c>
      <c r="P258" s="1" t="str">
        <f t="shared" si="21"/>
        <v/>
      </c>
      <c r="Q258" s="1" t="str">
        <f t="shared" si="22"/>
        <v/>
      </c>
      <c r="R258" s="1" t="str">
        <f t="shared" si="23"/>
        <v/>
      </c>
      <c r="S258" s="1" t="str">
        <f>IF(OR($E258="",$F258=""),"",HYPERLINK(IF(OR(_xlfn.SINGLE(JobState)="MI",_xlfn.SINGLE(JobState)=""),"https://fema.maps.arcgis.com/apps/mapviewer/index.html?url=https%3A%2F%2Fmdotgis.state.mi.us%2Farcgis%2Frest%2Fservices%2FWidget%2FNextGenPrFinderPub%2FFeatureServer%2F353&amp;find="&amp;$F258&amp;"%2C"&amp;$E258&amp;"&amp;marker="&amp;$F258&amp;","&amp;$E258&amp;",4326&amp;level=16",IF(_xlfn.SINGLE(JobState)="IN","https://fema.maps.arcgis.com/apps/mapviewer/index.html?url=https%3A%2F%2Fgisdata.in.gov%2Fserver%2Frest%2Fservices%2FHosted%2FLRSE_Functional_Class%2FFeatureServer%2F22&amp;find="&amp;$F258&amp;"%2C"&amp;$E258&amp;"&amp;marker="&amp;$F258&amp;","&amp;$E258&amp;",4326&amp;level=16",IF(_xlfn.SINGLE(JobState)="WI","https://fema.maps.arcgis.com/apps/mapviewer/index.html?url=https%3A%2F%2Fservices5.arcgis.com%2F0pgGLzT0Nh7FVjon%2Farcgis%2Frest%2Fservices%2FFFCL_gdb%2FFeatureServer%2F3&amp;find="&amp;$F258&amp;"%2C"&amp;$E258&amp;"&amp;marker="&amp;$F258&amp;","&amp;$E258&amp;",4326&amp;level=16","https://fema.maps.arcgis.com/apps/mapviewer/index.html?find="&amp;$F258&amp;"%2C"&amp;$E258&amp;"&amp;marker="&amp;$F258&amp;","&amp;$E258&amp;",4326&amp;level=16"))),"Open"))</f>
        <v/>
      </c>
      <c r="T258" s="4"/>
      <c r="U258" s="4"/>
      <c r="V258" s="4"/>
      <c r="W258" s="4"/>
      <c r="X258" s="4"/>
      <c r="Y258" s="4"/>
      <c r="Z258" s="4"/>
      <c r="AA258" s="4"/>
      <c r="AB258" s="1" t="str">
        <f>IF(OR(_xlfn.SINGLE(JobAgolMap)="", $E258="", $F258=""),"",HYPERLINK(_xlfn.SINGLE(JobAgolMap)&amp;IF(ISNUMBER(FIND("?",_xlfn.SINGLE(JobAgolMap))),"&amp;","?")&amp;"center="&amp;$F258&amp;","&amp;$E258&amp;"&amp;level=16&amp;marker="&amp;$F258&amp;","&amp;$E258,"Open"))</f>
        <v/>
      </c>
    </row>
    <row r="259" spans="1:28" x14ac:dyDescent="0.45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4"/>
      <c r="M259" s="1" t="str">
        <f t="shared" ref="M259:M322" si="24">IF(OR($E259="",$F259=""),"",HYPERLINK("https://www.google.com/maps?q="&amp;$E259&amp;","&amp;$F259&amp;"","Map"))</f>
        <v/>
      </c>
      <c r="N259" s="1" t="str">
        <f t="shared" ref="N259:N322" si="25">IF(OR($E259="",$F259=""),"",HYPERLINK("https://www.google.com/maps?q&amp;layer=c&amp;cbll="&amp;$E259&amp;","&amp;$F259&amp;"","Street"))</f>
        <v/>
      </c>
      <c r="O259" s="1" t="str">
        <f t="shared" ref="O259:O322" si="26">IF(OR($E259="",$F259=""),"",HYPERLINK("https://www.bing.com/maps?cp="&amp;$E259&amp;"~"&amp;$F259&amp;"&amp;lvl=18&amp;style=h","Bing"))</f>
        <v/>
      </c>
      <c r="P259" s="1" t="str">
        <f t="shared" ref="P259:P322" si="27">IF(OR($E259="",$F259=""),"",HYPERLINK("https://earth.google.com/web/search/"&amp;$E259&amp;","&amp;$F259&amp;"","Earth"))</f>
        <v/>
      </c>
      <c r="Q259" s="1" t="str">
        <f t="shared" ref="Q259:Q322" si="28">IF(OR($E259="",$F259=""),"",HYPERLINK("https://fema.maps.arcgis.com/apps/mapviewer/index.html?find="&amp;$F259&amp;"%2C"&amp;$E259&amp;"&amp;marker="&amp;$F259&amp;","&amp;$E259&amp;",4326&amp;level=16","FEMA"))</f>
        <v/>
      </c>
      <c r="R259" s="1" t="str">
        <f t="shared" ref="R259:R322" si="29">IF(OR($E259="",$F259=""),"",HYPERLINK("https://msc.fema.gov/portal/firmette?latitude="&amp;$E259&amp;"&amp;longitude="&amp;$F259&amp;"","FIRMette"))</f>
        <v/>
      </c>
      <c r="S259" s="1" t="str">
        <f>IF(OR($E259="",$F259=""),"",HYPERLINK(IF(OR(_xlfn.SINGLE(JobState)="MI",_xlfn.SINGLE(JobState)=""),"https://fema.maps.arcgis.com/apps/mapviewer/index.html?url=https%3A%2F%2Fmdotgis.state.mi.us%2Farcgis%2Frest%2Fservices%2FWidget%2FNextGenPrFinderPub%2FFeatureServer%2F353&amp;find="&amp;$F259&amp;"%2C"&amp;$E259&amp;"&amp;marker="&amp;$F259&amp;","&amp;$E259&amp;",4326&amp;level=16",IF(_xlfn.SINGLE(JobState)="IN","https://fema.maps.arcgis.com/apps/mapviewer/index.html?url=https%3A%2F%2Fgisdata.in.gov%2Fserver%2Frest%2Fservices%2FHosted%2FLRSE_Functional_Class%2FFeatureServer%2F22&amp;find="&amp;$F259&amp;"%2C"&amp;$E259&amp;"&amp;marker="&amp;$F259&amp;","&amp;$E259&amp;",4326&amp;level=16",IF(_xlfn.SINGLE(JobState)="WI","https://fema.maps.arcgis.com/apps/mapviewer/index.html?url=https%3A%2F%2Fservices5.arcgis.com%2F0pgGLzT0Nh7FVjon%2Farcgis%2Frest%2Fservices%2FFFCL_gdb%2FFeatureServer%2F3&amp;find="&amp;$F259&amp;"%2C"&amp;$E259&amp;"&amp;marker="&amp;$F259&amp;","&amp;$E259&amp;",4326&amp;level=16","https://fema.maps.arcgis.com/apps/mapviewer/index.html?find="&amp;$F259&amp;"%2C"&amp;$E259&amp;"&amp;marker="&amp;$F259&amp;","&amp;$E259&amp;",4326&amp;level=16"))),"Open"))</f>
        <v/>
      </c>
      <c r="T259" s="4"/>
      <c r="U259" s="4"/>
      <c r="V259" s="4"/>
      <c r="W259" s="4"/>
      <c r="X259" s="4"/>
      <c r="Y259" s="4"/>
      <c r="Z259" s="4"/>
      <c r="AA259" s="4"/>
      <c r="AB259" s="1" t="str">
        <f>IF(OR(_xlfn.SINGLE(JobAgolMap)="", $E259="", $F259=""),"",HYPERLINK(_xlfn.SINGLE(JobAgolMap)&amp;IF(ISNUMBER(FIND("?",_xlfn.SINGLE(JobAgolMap))),"&amp;","?")&amp;"center="&amp;$F259&amp;","&amp;$E259&amp;"&amp;level=16&amp;marker="&amp;$F259&amp;","&amp;$E259,"Open"))</f>
        <v/>
      </c>
    </row>
    <row r="260" spans="1:28" x14ac:dyDescent="0.45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4"/>
      <c r="M260" s="1" t="str">
        <f t="shared" si="24"/>
        <v/>
      </c>
      <c r="N260" s="1" t="str">
        <f t="shared" si="25"/>
        <v/>
      </c>
      <c r="O260" s="1" t="str">
        <f t="shared" si="26"/>
        <v/>
      </c>
      <c r="P260" s="1" t="str">
        <f t="shared" si="27"/>
        <v/>
      </c>
      <c r="Q260" s="1" t="str">
        <f t="shared" si="28"/>
        <v/>
      </c>
      <c r="R260" s="1" t="str">
        <f t="shared" si="29"/>
        <v/>
      </c>
      <c r="S260" s="1" t="str">
        <f>IF(OR($E260="",$F260=""),"",HYPERLINK(IF(OR(_xlfn.SINGLE(JobState)="MI",_xlfn.SINGLE(JobState)=""),"https://fema.maps.arcgis.com/apps/mapviewer/index.html?url=https%3A%2F%2Fmdotgis.state.mi.us%2Farcgis%2Frest%2Fservices%2FWidget%2FNextGenPrFinderPub%2FFeatureServer%2F353&amp;find="&amp;$F260&amp;"%2C"&amp;$E260&amp;"&amp;marker="&amp;$F260&amp;","&amp;$E260&amp;",4326&amp;level=16",IF(_xlfn.SINGLE(JobState)="IN","https://fema.maps.arcgis.com/apps/mapviewer/index.html?url=https%3A%2F%2Fgisdata.in.gov%2Fserver%2Frest%2Fservices%2FHosted%2FLRSE_Functional_Class%2FFeatureServer%2F22&amp;find="&amp;$F260&amp;"%2C"&amp;$E260&amp;"&amp;marker="&amp;$F260&amp;","&amp;$E260&amp;",4326&amp;level=16",IF(_xlfn.SINGLE(JobState)="WI","https://fema.maps.arcgis.com/apps/mapviewer/index.html?url=https%3A%2F%2Fservices5.arcgis.com%2F0pgGLzT0Nh7FVjon%2Farcgis%2Frest%2Fservices%2FFFCL_gdb%2FFeatureServer%2F3&amp;find="&amp;$F260&amp;"%2C"&amp;$E260&amp;"&amp;marker="&amp;$F260&amp;","&amp;$E260&amp;",4326&amp;level=16","https://fema.maps.arcgis.com/apps/mapviewer/index.html?find="&amp;$F260&amp;"%2C"&amp;$E260&amp;"&amp;marker="&amp;$F260&amp;","&amp;$E260&amp;",4326&amp;level=16"))),"Open"))</f>
        <v/>
      </c>
      <c r="T260" s="4"/>
      <c r="U260" s="4"/>
      <c r="V260" s="4"/>
      <c r="W260" s="4"/>
      <c r="X260" s="4"/>
      <c r="Y260" s="4"/>
      <c r="Z260" s="4"/>
      <c r="AA260" s="4"/>
      <c r="AB260" s="1" t="str">
        <f>IF(OR(_xlfn.SINGLE(JobAgolMap)="", $E260="", $F260=""),"",HYPERLINK(_xlfn.SINGLE(JobAgolMap)&amp;IF(ISNUMBER(FIND("?",_xlfn.SINGLE(JobAgolMap))),"&amp;","?")&amp;"center="&amp;$F260&amp;","&amp;$E260&amp;"&amp;level=16&amp;marker="&amp;$F260&amp;","&amp;$E260,"Open"))</f>
        <v/>
      </c>
    </row>
    <row r="261" spans="1:28" x14ac:dyDescent="0.45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4"/>
      <c r="M261" s="1" t="str">
        <f t="shared" si="24"/>
        <v/>
      </c>
      <c r="N261" s="1" t="str">
        <f t="shared" si="25"/>
        <v/>
      </c>
      <c r="O261" s="1" t="str">
        <f t="shared" si="26"/>
        <v/>
      </c>
      <c r="P261" s="1" t="str">
        <f t="shared" si="27"/>
        <v/>
      </c>
      <c r="Q261" s="1" t="str">
        <f t="shared" si="28"/>
        <v/>
      </c>
      <c r="R261" s="1" t="str">
        <f t="shared" si="29"/>
        <v/>
      </c>
      <c r="S261" s="1" t="str">
        <f>IF(OR($E261="",$F261=""),"",HYPERLINK(IF(OR(_xlfn.SINGLE(JobState)="MI",_xlfn.SINGLE(JobState)=""),"https://fema.maps.arcgis.com/apps/mapviewer/index.html?url=https%3A%2F%2Fmdotgis.state.mi.us%2Farcgis%2Frest%2Fservices%2FWidget%2FNextGenPrFinderPub%2FFeatureServer%2F353&amp;find="&amp;$F261&amp;"%2C"&amp;$E261&amp;"&amp;marker="&amp;$F261&amp;","&amp;$E261&amp;",4326&amp;level=16",IF(_xlfn.SINGLE(JobState)="IN","https://fema.maps.arcgis.com/apps/mapviewer/index.html?url=https%3A%2F%2Fgisdata.in.gov%2Fserver%2Frest%2Fservices%2FHosted%2FLRSE_Functional_Class%2FFeatureServer%2F22&amp;find="&amp;$F261&amp;"%2C"&amp;$E261&amp;"&amp;marker="&amp;$F261&amp;","&amp;$E261&amp;",4326&amp;level=16",IF(_xlfn.SINGLE(JobState)="WI","https://fema.maps.arcgis.com/apps/mapviewer/index.html?url=https%3A%2F%2Fservices5.arcgis.com%2F0pgGLzT0Nh7FVjon%2Farcgis%2Frest%2Fservices%2FFFCL_gdb%2FFeatureServer%2F3&amp;find="&amp;$F261&amp;"%2C"&amp;$E261&amp;"&amp;marker="&amp;$F261&amp;","&amp;$E261&amp;",4326&amp;level=16","https://fema.maps.arcgis.com/apps/mapviewer/index.html?find="&amp;$F261&amp;"%2C"&amp;$E261&amp;"&amp;marker="&amp;$F261&amp;","&amp;$E261&amp;",4326&amp;level=16"))),"Open"))</f>
        <v/>
      </c>
      <c r="T261" s="4"/>
      <c r="U261" s="4"/>
      <c r="V261" s="4"/>
      <c r="W261" s="4"/>
      <c r="X261" s="4"/>
      <c r="Y261" s="4"/>
      <c r="Z261" s="4"/>
      <c r="AA261" s="4"/>
      <c r="AB261" s="1" t="str">
        <f>IF(OR(_xlfn.SINGLE(JobAgolMap)="", $E261="", $F261=""),"",HYPERLINK(_xlfn.SINGLE(JobAgolMap)&amp;IF(ISNUMBER(FIND("?",_xlfn.SINGLE(JobAgolMap))),"&amp;","?")&amp;"center="&amp;$F261&amp;","&amp;$E261&amp;"&amp;level=16&amp;marker="&amp;$F261&amp;","&amp;$E261,"Open"))</f>
        <v/>
      </c>
    </row>
    <row r="262" spans="1:28" x14ac:dyDescent="0.45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4"/>
      <c r="M262" s="1" t="str">
        <f t="shared" si="24"/>
        <v/>
      </c>
      <c r="N262" s="1" t="str">
        <f t="shared" si="25"/>
        <v/>
      </c>
      <c r="O262" s="1" t="str">
        <f t="shared" si="26"/>
        <v/>
      </c>
      <c r="P262" s="1" t="str">
        <f t="shared" si="27"/>
        <v/>
      </c>
      <c r="Q262" s="1" t="str">
        <f t="shared" si="28"/>
        <v/>
      </c>
      <c r="R262" s="1" t="str">
        <f t="shared" si="29"/>
        <v/>
      </c>
      <c r="S262" s="1" t="str">
        <f>IF(OR($E262="",$F262=""),"",HYPERLINK(IF(OR(_xlfn.SINGLE(JobState)="MI",_xlfn.SINGLE(JobState)=""),"https://fema.maps.arcgis.com/apps/mapviewer/index.html?url=https%3A%2F%2Fmdotgis.state.mi.us%2Farcgis%2Frest%2Fservices%2FWidget%2FNextGenPrFinderPub%2FFeatureServer%2F353&amp;find="&amp;$F262&amp;"%2C"&amp;$E262&amp;"&amp;marker="&amp;$F262&amp;","&amp;$E262&amp;",4326&amp;level=16",IF(_xlfn.SINGLE(JobState)="IN","https://fema.maps.arcgis.com/apps/mapviewer/index.html?url=https%3A%2F%2Fgisdata.in.gov%2Fserver%2Frest%2Fservices%2FHosted%2FLRSE_Functional_Class%2FFeatureServer%2F22&amp;find="&amp;$F262&amp;"%2C"&amp;$E262&amp;"&amp;marker="&amp;$F262&amp;","&amp;$E262&amp;",4326&amp;level=16",IF(_xlfn.SINGLE(JobState)="WI","https://fema.maps.arcgis.com/apps/mapviewer/index.html?url=https%3A%2F%2Fservices5.arcgis.com%2F0pgGLzT0Nh7FVjon%2Farcgis%2Frest%2Fservices%2FFFCL_gdb%2FFeatureServer%2F3&amp;find="&amp;$F262&amp;"%2C"&amp;$E262&amp;"&amp;marker="&amp;$F262&amp;","&amp;$E262&amp;",4326&amp;level=16","https://fema.maps.arcgis.com/apps/mapviewer/index.html?find="&amp;$F262&amp;"%2C"&amp;$E262&amp;"&amp;marker="&amp;$F262&amp;","&amp;$E262&amp;",4326&amp;level=16"))),"Open"))</f>
        <v/>
      </c>
      <c r="T262" s="4"/>
      <c r="U262" s="4"/>
      <c r="V262" s="4"/>
      <c r="W262" s="4"/>
      <c r="X262" s="4"/>
      <c r="Y262" s="4"/>
      <c r="Z262" s="4"/>
      <c r="AA262" s="4"/>
      <c r="AB262" s="1" t="str">
        <f>IF(OR(_xlfn.SINGLE(JobAgolMap)="", $E262="", $F262=""),"",HYPERLINK(_xlfn.SINGLE(JobAgolMap)&amp;IF(ISNUMBER(FIND("?",_xlfn.SINGLE(JobAgolMap))),"&amp;","?")&amp;"center="&amp;$F262&amp;","&amp;$E262&amp;"&amp;level=16&amp;marker="&amp;$F262&amp;","&amp;$E262,"Open"))</f>
        <v/>
      </c>
    </row>
    <row r="263" spans="1:28" x14ac:dyDescent="0.45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4"/>
      <c r="M263" s="1" t="str">
        <f t="shared" si="24"/>
        <v/>
      </c>
      <c r="N263" s="1" t="str">
        <f t="shared" si="25"/>
        <v/>
      </c>
      <c r="O263" s="1" t="str">
        <f t="shared" si="26"/>
        <v/>
      </c>
      <c r="P263" s="1" t="str">
        <f t="shared" si="27"/>
        <v/>
      </c>
      <c r="Q263" s="1" t="str">
        <f t="shared" si="28"/>
        <v/>
      </c>
      <c r="R263" s="1" t="str">
        <f t="shared" si="29"/>
        <v/>
      </c>
      <c r="S263" s="1" t="str">
        <f>IF(OR($E263="",$F263=""),"",HYPERLINK(IF(OR(_xlfn.SINGLE(JobState)="MI",_xlfn.SINGLE(JobState)=""),"https://fema.maps.arcgis.com/apps/mapviewer/index.html?url=https%3A%2F%2Fmdotgis.state.mi.us%2Farcgis%2Frest%2Fservices%2FWidget%2FNextGenPrFinderPub%2FFeatureServer%2F353&amp;find="&amp;$F263&amp;"%2C"&amp;$E263&amp;"&amp;marker="&amp;$F263&amp;","&amp;$E263&amp;",4326&amp;level=16",IF(_xlfn.SINGLE(JobState)="IN","https://fema.maps.arcgis.com/apps/mapviewer/index.html?url=https%3A%2F%2Fgisdata.in.gov%2Fserver%2Frest%2Fservices%2FHosted%2FLRSE_Functional_Class%2FFeatureServer%2F22&amp;find="&amp;$F263&amp;"%2C"&amp;$E263&amp;"&amp;marker="&amp;$F263&amp;","&amp;$E263&amp;",4326&amp;level=16",IF(_xlfn.SINGLE(JobState)="WI","https://fema.maps.arcgis.com/apps/mapviewer/index.html?url=https%3A%2F%2Fservices5.arcgis.com%2F0pgGLzT0Nh7FVjon%2Farcgis%2Frest%2Fservices%2FFFCL_gdb%2FFeatureServer%2F3&amp;find="&amp;$F263&amp;"%2C"&amp;$E263&amp;"&amp;marker="&amp;$F263&amp;","&amp;$E263&amp;",4326&amp;level=16","https://fema.maps.arcgis.com/apps/mapviewer/index.html?find="&amp;$F263&amp;"%2C"&amp;$E263&amp;"&amp;marker="&amp;$F263&amp;","&amp;$E263&amp;",4326&amp;level=16"))),"Open"))</f>
        <v/>
      </c>
      <c r="T263" s="4"/>
      <c r="U263" s="4"/>
      <c r="V263" s="4"/>
      <c r="W263" s="4"/>
      <c r="X263" s="4"/>
      <c r="Y263" s="4"/>
      <c r="Z263" s="4"/>
      <c r="AA263" s="4"/>
      <c r="AB263" s="1" t="str">
        <f>IF(OR(_xlfn.SINGLE(JobAgolMap)="", $E263="", $F263=""),"",HYPERLINK(_xlfn.SINGLE(JobAgolMap)&amp;IF(ISNUMBER(FIND("?",_xlfn.SINGLE(JobAgolMap))),"&amp;","?")&amp;"center="&amp;$F263&amp;","&amp;$E263&amp;"&amp;level=16&amp;marker="&amp;$F263&amp;","&amp;$E263,"Open"))</f>
        <v/>
      </c>
    </row>
    <row r="264" spans="1:28" x14ac:dyDescent="0.45">
      <c r="A264" s="3"/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4"/>
      <c r="M264" s="1" t="str">
        <f t="shared" si="24"/>
        <v/>
      </c>
      <c r="N264" s="1" t="str">
        <f t="shared" si="25"/>
        <v/>
      </c>
      <c r="O264" s="1" t="str">
        <f t="shared" si="26"/>
        <v/>
      </c>
      <c r="P264" s="1" t="str">
        <f t="shared" si="27"/>
        <v/>
      </c>
      <c r="Q264" s="1" t="str">
        <f t="shared" si="28"/>
        <v/>
      </c>
      <c r="R264" s="1" t="str">
        <f t="shared" si="29"/>
        <v/>
      </c>
      <c r="S264" s="1" t="str">
        <f>IF(OR($E264="",$F264=""),"",HYPERLINK(IF(OR(_xlfn.SINGLE(JobState)="MI",_xlfn.SINGLE(JobState)=""),"https://fema.maps.arcgis.com/apps/mapviewer/index.html?url=https%3A%2F%2Fmdotgis.state.mi.us%2Farcgis%2Frest%2Fservices%2FWidget%2FNextGenPrFinderPub%2FFeatureServer%2F353&amp;find="&amp;$F264&amp;"%2C"&amp;$E264&amp;"&amp;marker="&amp;$F264&amp;","&amp;$E264&amp;",4326&amp;level=16",IF(_xlfn.SINGLE(JobState)="IN","https://fema.maps.arcgis.com/apps/mapviewer/index.html?url=https%3A%2F%2Fgisdata.in.gov%2Fserver%2Frest%2Fservices%2FHosted%2FLRSE_Functional_Class%2FFeatureServer%2F22&amp;find="&amp;$F264&amp;"%2C"&amp;$E264&amp;"&amp;marker="&amp;$F264&amp;","&amp;$E264&amp;",4326&amp;level=16",IF(_xlfn.SINGLE(JobState)="WI","https://fema.maps.arcgis.com/apps/mapviewer/index.html?url=https%3A%2F%2Fservices5.arcgis.com%2F0pgGLzT0Nh7FVjon%2Farcgis%2Frest%2Fservices%2FFFCL_gdb%2FFeatureServer%2F3&amp;find="&amp;$F264&amp;"%2C"&amp;$E264&amp;"&amp;marker="&amp;$F264&amp;","&amp;$E264&amp;",4326&amp;level=16","https://fema.maps.arcgis.com/apps/mapviewer/index.html?find="&amp;$F264&amp;"%2C"&amp;$E264&amp;"&amp;marker="&amp;$F264&amp;","&amp;$E264&amp;",4326&amp;level=16"))),"Open"))</f>
        <v/>
      </c>
      <c r="T264" s="4"/>
      <c r="U264" s="4"/>
      <c r="V264" s="4"/>
      <c r="W264" s="4"/>
      <c r="X264" s="4"/>
      <c r="Y264" s="4"/>
      <c r="Z264" s="4"/>
      <c r="AA264" s="4"/>
      <c r="AB264" s="1" t="str">
        <f>IF(OR(_xlfn.SINGLE(JobAgolMap)="", $E264="", $F264=""),"",HYPERLINK(_xlfn.SINGLE(JobAgolMap)&amp;IF(ISNUMBER(FIND("?",_xlfn.SINGLE(JobAgolMap))),"&amp;","?")&amp;"center="&amp;$F264&amp;","&amp;$E264&amp;"&amp;level=16&amp;marker="&amp;$F264&amp;","&amp;$E264,"Open"))</f>
        <v/>
      </c>
    </row>
    <row r="265" spans="1:28" x14ac:dyDescent="0.45">
      <c r="A265" s="3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4"/>
      <c r="M265" s="1" t="str">
        <f t="shared" si="24"/>
        <v/>
      </c>
      <c r="N265" s="1" t="str">
        <f t="shared" si="25"/>
        <v/>
      </c>
      <c r="O265" s="1" t="str">
        <f t="shared" si="26"/>
        <v/>
      </c>
      <c r="P265" s="1" t="str">
        <f t="shared" si="27"/>
        <v/>
      </c>
      <c r="Q265" s="1" t="str">
        <f t="shared" si="28"/>
        <v/>
      </c>
      <c r="R265" s="1" t="str">
        <f t="shared" si="29"/>
        <v/>
      </c>
      <c r="S265" s="1" t="str">
        <f>IF(OR($E265="",$F265=""),"",HYPERLINK(IF(OR(_xlfn.SINGLE(JobState)="MI",_xlfn.SINGLE(JobState)=""),"https://fema.maps.arcgis.com/apps/mapviewer/index.html?url=https%3A%2F%2Fmdotgis.state.mi.us%2Farcgis%2Frest%2Fservices%2FWidget%2FNextGenPrFinderPub%2FFeatureServer%2F353&amp;find="&amp;$F265&amp;"%2C"&amp;$E265&amp;"&amp;marker="&amp;$F265&amp;","&amp;$E265&amp;",4326&amp;level=16",IF(_xlfn.SINGLE(JobState)="IN","https://fema.maps.arcgis.com/apps/mapviewer/index.html?url=https%3A%2F%2Fgisdata.in.gov%2Fserver%2Frest%2Fservices%2FHosted%2FLRSE_Functional_Class%2FFeatureServer%2F22&amp;find="&amp;$F265&amp;"%2C"&amp;$E265&amp;"&amp;marker="&amp;$F265&amp;","&amp;$E265&amp;",4326&amp;level=16",IF(_xlfn.SINGLE(JobState)="WI","https://fema.maps.arcgis.com/apps/mapviewer/index.html?url=https%3A%2F%2Fservices5.arcgis.com%2F0pgGLzT0Nh7FVjon%2Farcgis%2Frest%2Fservices%2FFFCL_gdb%2FFeatureServer%2F3&amp;find="&amp;$F265&amp;"%2C"&amp;$E265&amp;"&amp;marker="&amp;$F265&amp;","&amp;$E265&amp;",4326&amp;level=16","https://fema.maps.arcgis.com/apps/mapviewer/index.html?find="&amp;$F265&amp;"%2C"&amp;$E265&amp;"&amp;marker="&amp;$F265&amp;","&amp;$E265&amp;",4326&amp;level=16"))),"Open"))</f>
        <v/>
      </c>
      <c r="T265" s="4"/>
      <c r="U265" s="4"/>
      <c r="V265" s="4"/>
      <c r="W265" s="4"/>
      <c r="X265" s="4"/>
      <c r="Y265" s="4"/>
      <c r="Z265" s="4"/>
      <c r="AA265" s="4"/>
      <c r="AB265" s="1" t="str">
        <f>IF(OR(_xlfn.SINGLE(JobAgolMap)="", $E265="", $F265=""),"",HYPERLINK(_xlfn.SINGLE(JobAgolMap)&amp;IF(ISNUMBER(FIND("?",_xlfn.SINGLE(JobAgolMap))),"&amp;","?")&amp;"center="&amp;$F265&amp;","&amp;$E265&amp;"&amp;level=16&amp;marker="&amp;$F265&amp;","&amp;$E265,"Open"))</f>
        <v/>
      </c>
    </row>
    <row r="266" spans="1:28" x14ac:dyDescent="0.45">
      <c r="A266" s="3"/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4"/>
      <c r="M266" s="1" t="str">
        <f t="shared" si="24"/>
        <v/>
      </c>
      <c r="N266" s="1" t="str">
        <f t="shared" si="25"/>
        <v/>
      </c>
      <c r="O266" s="1" t="str">
        <f t="shared" si="26"/>
        <v/>
      </c>
      <c r="P266" s="1" t="str">
        <f t="shared" si="27"/>
        <v/>
      </c>
      <c r="Q266" s="1" t="str">
        <f t="shared" si="28"/>
        <v/>
      </c>
      <c r="R266" s="1" t="str">
        <f t="shared" si="29"/>
        <v/>
      </c>
      <c r="S266" s="1" t="str">
        <f>IF(OR($E266="",$F266=""),"",HYPERLINK(IF(OR(_xlfn.SINGLE(JobState)="MI",_xlfn.SINGLE(JobState)=""),"https://fema.maps.arcgis.com/apps/mapviewer/index.html?url=https%3A%2F%2Fmdotgis.state.mi.us%2Farcgis%2Frest%2Fservices%2FWidget%2FNextGenPrFinderPub%2FFeatureServer%2F353&amp;find="&amp;$F266&amp;"%2C"&amp;$E266&amp;"&amp;marker="&amp;$F266&amp;","&amp;$E266&amp;",4326&amp;level=16",IF(_xlfn.SINGLE(JobState)="IN","https://fema.maps.arcgis.com/apps/mapviewer/index.html?url=https%3A%2F%2Fgisdata.in.gov%2Fserver%2Frest%2Fservices%2FHosted%2FLRSE_Functional_Class%2FFeatureServer%2F22&amp;find="&amp;$F266&amp;"%2C"&amp;$E266&amp;"&amp;marker="&amp;$F266&amp;","&amp;$E266&amp;",4326&amp;level=16",IF(_xlfn.SINGLE(JobState)="WI","https://fema.maps.arcgis.com/apps/mapviewer/index.html?url=https%3A%2F%2Fservices5.arcgis.com%2F0pgGLzT0Nh7FVjon%2Farcgis%2Frest%2Fservices%2FFFCL_gdb%2FFeatureServer%2F3&amp;find="&amp;$F266&amp;"%2C"&amp;$E266&amp;"&amp;marker="&amp;$F266&amp;","&amp;$E266&amp;",4326&amp;level=16","https://fema.maps.arcgis.com/apps/mapviewer/index.html?find="&amp;$F266&amp;"%2C"&amp;$E266&amp;"&amp;marker="&amp;$F266&amp;","&amp;$E266&amp;",4326&amp;level=16"))),"Open"))</f>
        <v/>
      </c>
      <c r="T266" s="4"/>
      <c r="U266" s="4"/>
      <c r="V266" s="4"/>
      <c r="W266" s="4"/>
      <c r="X266" s="4"/>
      <c r="Y266" s="4"/>
      <c r="Z266" s="4"/>
      <c r="AA266" s="4"/>
      <c r="AB266" s="1" t="str">
        <f>IF(OR(_xlfn.SINGLE(JobAgolMap)="", $E266="", $F266=""),"",HYPERLINK(_xlfn.SINGLE(JobAgolMap)&amp;IF(ISNUMBER(FIND("?",_xlfn.SINGLE(JobAgolMap))),"&amp;","?")&amp;"center="&amp;$F266&amp;","&amp;$E266&amp;"&amp;level=16&amp;marker="&amp;$F266&amp;","&amp;$E266,"Open"))</f>
        <v/>
      </c>
    </row>
    <row r="267" spans="1:28" x14ac:dyDescent="0.45">
      <c r="A267" s="3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4"/>
      <c r="M267" s="1" t="str">
        <f t="shared" si="24"/>
        <v/>
      </c>
      <c r="N267" s="1" t="str">
        <f t="shared" si="25"/>
        <v/>
      </c>
      <c r="O267" s="1" t="str">
        <f t="shared" si="26"/>
        <v/>
      </c>
      <c r="P267" s="1" t="str">
        <f t="shared" si="27"/>
        <v/>
      </c>
      <c r="Q267" s="1" t="str">
        <f t="shared" si="28"/>
        <v/>
      </c>
      <c r="R267" s="1" t="str">
        <f t="shared" si="29"/>
        <v/>
      </c>
      <c r="S267" s="1" t="str">
        <f>IF(OR($E267="",$F267=""),"",HYPERLINK(IF(OR(_xlfn.SINGLE(JobState)="MI",_xlfn.SINGLE(JobState)=""),"https://fema.maps.arcgis.com/apps/mapviewer/index.html?url=https%3A%2F%2Fmdotgis.state.mi.us%2Farcgis%2Frest%2Fservices%2FWidget%2FNextGenPrFinderPub%2FFeatureServer%2F353&amp;find="&amp;$F267&amp;"%2C"&amp;$E267&amp;"&amp;marker="&amp;$F267&amp;","&amp;$E267&amp;",4326&amp;level=16",IF(_xlfn.SINGLE(JobState)="IN","https://fema.maps.arcgis.com/apps/mapviewer/index.html?url=https%3A%2F%2Fgisdata.in.gov%2Fserver%2Frest%2Fservices%2FHosted%2FLRSE_Functional_Class%2FFeatureServer%2F22&amp;find="&amp;$F267&amp;"%2C"&amp;$E267&amp;"&amp;marker="&amp;$F267&amp;","&amp;$E267&amp;",4326&amp;level=16",IF(_xlfn.SINGLE(JobState)="WI","https://fema.maps.arcgis.com/apps/mapviewer/index.html?url=https%3A%2F%2Fservices5.arcgis.com%2F0pgGLzT0Nh7FVjon%2Farcgis%2Frest%2Fservices%2FFFCL_gdb%2FFeatureServer%2F3&amp;find="&amp;$F267&amp;"%2C"&amp;$E267&amp;"&amp;marker="&amp;$F267&amp;","&amp;$E267&amp;",4326&amp;level=16","https://fema.maps.arcgis.com/apps/mapviewer/index.html?find="&amp;$F267&amp;"%2C"&amp;$E267&amp;"&amp;marker="&amp;$F267&amp;","&amp;$E267&amp;",4326&amp;level=16"))),"Open"))</f>
        <v/>
      </c>
      <c r="T267" s="4"/>
      <c r="U267" s="4"/>
      <c r="V267" s="4"/>
      <c r="W267" s="4"/>
      <c r="X267" s="4"/>
      <c r="Y267" s="4"/>
      <c r="Z267" s="4"/>
      <c r="AA267" s="4"/>
      <c r="AB267" s="1" t="str">
        <f>IF(OR(_xlfn.SINGLE(JobAgolMap)="", $E267="", $F267=""),"",HYPERLINK(_xlfn.SINGLE(JobAgolMap)&amp;IF(ISNUMBER(FIND("?",_xlfn.SINGLE(JobAgolMap))),"&amp;","?")&amp;"center="&amp;$F267&amp;","&amp;$E267&amp;"&amp;level=16&amp;marker="&amp;$F267&amp;","&amp;$E267,"Open"))</f>
        <v/>
      </c>
    </row>
    <row r="268" spans="1:28" x14ac:dyDescent="0.45">
      <c r="A268" s="3"/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4"/>
      <c r="M268" s="1" t="str">
        <f t="shared" si="24"/>
        <v/>
      </c>
      <c r="N268" s="1" t="str">
        <f t="shared" si="25"/>
        <v/>
      </c>
      <c r="O268" s="1" t="str">
        <f t="shared" si="26"/>
        <v/>
      </c>
      <c r="P268" s="1" t="str">
        <f t="shared" si="27"/>
        <v/>
      </c>
      <c r="Q268" s="1" t="str">
        <f t="shared" si="28"/>
        <v/>
      </c>
      <c r="R268" s="1" t="str">
        <f t="shared" si="29"/>
        <v/>
      </c>
      <c r="S268" s="1" t="str">
        <f>IF(OR($E268="",$F268=""),"",HYPERLINK(IF(OR(_xlfn.SINGLE(JobState)="MI",_xlfn.SINGLE(JobState)=""),"https://fema.maps.arcgis.com/apps/mapviewer/index.html?url=https%3A%2F%2Fmdotgis.state.mi.us%2Farcgis%2Frest%2Fservices%2FWidget%2FNextGenPrFinderPub%2FFeatureServer%2F353&amp;find="&amp;$F268&amp;"%2C"&amp;$E268&amp;"&amp;marker="&amp;$F268&amp;","&amp;$E268&amp;",4326&amp;level=16",IF(_xlfn.SINGLE(JobState)="IN","https://fema.maps.arcgis.com/apps/mapviewer/index.html?url=https%3A%2F%2Fgisdata.in.gov%2Fserver%2Frest%2Fservices%2FHosted%2FLRSE_Functional_Class%2FFeatureServer%2F22&amp;find="&amp;$F268&amp;"%2C"&amp;$E268&amp;"&amp;marker="&amp;$F268&amp;","&amp;$E268&amp;",4326&amp;level=16",IF(_xlfn.SINGLE(JobState)="WI","https://fema.maps.arcgis.com/apps/mapviewer/index.html?url=https%3A%2F%2Fservices5.arcgis.com%2F0pgGLzT0Nh7FVjon%2Farcgis%2Frest%2Fservices%2FFFCL_gdb%2FFeatureServer%2F3&amp;find="&amp;$F268&amp;"%2C"&amp;$E268&amp;"&amp;marker="&amp;$F268&amp;","&amp;$E268&amp;",4326&amp;level=16","https://fema.maps.arcgis.com/apps/mapviewer/index.html?find="&amp;$F268&amp;"%2C"&amp;$E268&amp;"&amp;marker="&amp;$F268&amp;","&amp;$E268&amp;",4326&amp;level=16"))),"Open"))</f>
        <v/>
      </c>
      <c r="T268" s="4"/>
      <c r="U268" s="4"/>
      <c r="V268" s="4"/>
      <c r="W268" s="4"/>
      <c r="X268" s="4"/>
      <c r="Y268" s="4"/>
      <c r="Z268" s="4"/>
      <c r="AA268" s="4"/>
      <c r="AB268" s="1" t="str">
        <f>IF(OR(_xlfn.SINGLE(JobAgolMap)="", $E268="", $F268=""),"",HYPERLINK(_xlfn.SINGLE(JobAgolMap)&amp;IF(ISNUMBER(FIND("?",_xlfn.SINGLE(JobAgolMap))),"&amp;","?")&amp;"center="&amp;$F268&amp;","&amp;$E268&amp;"&amp;level=16&amp;marker="&amp;$F268&amp;","&amp;$E268,"Open"))</f>
        <v/>
      </c>
    </row>
    <row r="269" spans="1:28" x14ac:dyDescent="0.45">
      <c r="A269" s="3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4"/>
      <c r="M269" s="1" t="str">
        <f t="shared" si="24"/>
        <v/>
      </c>
      <c r="N269" s="1" t="str">
        <f t="shared" si="25"/>
        <v/>
      </c>
      <c r="O269" s="1" t="str">
        <f t="shared" si="26"/>
        <v/>
      </c>
      <c r="P269" s="1" t="str">
        <f t="shared" si="27"/>
        <v/>
      </c>
      <c r="Q269" s="1" t="str">
        <f t="shared" si="28"/>
        <v/>
      </c>
      <c r="R269" s="1" t="str">
        <f t="shared" si="29"/>
        <v/>
      </c>
      <c r="S269" s="1" t="str">
        <f>IF(OR($E269="",$F269=""),"",HYPERLINK(IF(OR(_xlfn.SINGLE(JobState)="MI",_xlfn.SINGLE(JobState)=""),"https://fema.maps.arcgis.com/apps/mapviewer/index.html?url=https%3A%2F%2Fmdotgis.state.mi.us%2Farcgis%2Frest%2Fservices%2FWidget%2FNextGenPrFinderPub%2FFeatureServer%2F353&amp;find="&amp;$F269&amp;"%2C"&amp;$E269&amp;"&amp;marker="&amp;$F269&amp;","&amp;$E269&amp;",4326&amp;level=16",IF(_xlfn.SINGLE(JobState)="IN","https://fema.maps.arcgis.com/apps/mapviewer/index.html?url=https%3A%2F%2Fgisdata.in.gov%2Fserver%2Frest%2Fservices%2FHosted%2FLRSE_Functional_Class%2FFeatureServer%2F22&amp;find="&amp;$F269&amp;"%2C"&amp;$E269&amp;"&amp;marker="&amp;$F269&amp;","&amp;$E269&amp;",4326&amp;level=16",IF(_xlfn.SINGLE(JobState)="WI","https://fema.maps.arcgis.com/apps/mapviewer/index.html?url=https%3A%2F%2Fservices5.arcgis.com%2F0pgGLzT0Nh7FVjon%2Farcgis%2Frest%2Fservices%2FFFCL_gdb%2FFeatureServer%2F3&amp;find="&amp;$F269&amp;"%2C"&amp;$E269&amp;"&amp;marker="&amp;$F269&amp;","&amp;$E269&amp;",4326&amp;level=16","https://fema.maps.arcgis.com/apps/mapviewer/index.html?find="&amp;$F269&amp;"%2C"&amp;$E269&amp;"&amp;marker="&amp;$F269&amp;","&amp;$E269&amp;",4326&amp;level=16"))),"Open"))</f>
        <v/>
      </c>
      <c r="T269" s="4"/>
      <c r="U269" s="4"/>
      <c r="V269" s="4"/>
      <c r="W269" s="4"/>
      <c r="X269" s="4"/>
      <c r="Y269" s="4"/>
      <c r="Z269" s="4"/>
      <c r="AA269" s="4"/>
      <c r="AB269" s="1" t="str">
        <f>IF(OR(_xlfn.SINGLE(JobAgolMap)="", $E269="", $F269=""),"",HYPERLINK(_xlfn.SINGLE(JobAgolMap)&amp;IF(ISNUMBER(FIND("?",_xlfn.SINGLE(JobAgolMap))),"&amp;","?")&amp;"center="&amp;$F269&amp;","&amp;$E269&amp;"&amp;level=16&amp;marker="&amp;$F269&amp;","&amp;$E269,"Open"))</f>
        <v/>
      </c>
    </row>
    <row r="270" spans="1:28" x14ac:dyDescent="0.45">
      <c r="A270" s="3"/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4"/>
      <c r="M270" s="1" t="str">
        <f t="shared" si="24"/>
        <v/>
      </c>
      <c r="N270" s="1" t="str">
        <f t="shared" si="25"/>
        <v/>
      </c>
      <c r="O270" s="1" t="str">
        <f t="shared" si="26"/>
        <v/>
      </c>
      <c r="P270" s="1" t="str">
        <f t="shared" si="27"/>
        <v/>
      </c>
      <c r="Q270" s="1" t="str">
        <f t="shared" si="28"/>
        <v/>
      </c>
      <c r="R270" s="1" t="str">
        <f t="shared" si="29"/>
        <v/>
      </c>
      <c r="S270" s="1" t="str">
        <f>IF(OR($E270="",$F270=""),"",HYPERLINK(IF(OR(_xlfn.SINGLE(JobState)="MI",_xlfn.SINGLE(JobState)=""),"https://fema.maps.arcgis.com/apps/mapviewer/index.html?url=https%3A%2F%2Fmdotgis.state.mi.us%2Farcgis%2Frest%2Fservices%2FWidget%2FNextGenPrFinderPub%2FFeatureServer%2F353&amp;find="&amp;$F270&amp;"%2C"&amp;$E270&amp;"&amp;marker="&amp;$F270&amp;","&amp;$E270&amp;",4326&amp;level=16",IF(_xlfn.SINGLE(JobState)="IN","https://fema.maps.arcgis.com/apps/mapviewer/index.html?url=https%3A%2F%2Fgisdata.in.gov%2Fserver%2Frest%2Fservices%2FHosted%2FLRSE_Functional_Class%2FFeatureServer%2F22&amp;find="&amp;$F270&amp;"%2C"&amp;$E270&amp;"&amp;marker="&amp;$F270&amp;","&amp;$E270&amp;",4326&amp;level=16",IF(_xlfn.SINGLE(JobState)="WI","https://fema.maps.arcgis.com/apps/mapviewer/index.html?url=https%3A%2F%2Fservices5.arcgis.com%2F0pgGLzT0Nh7FVjon%2Farcgis%2Frest%2Fservices%2FFFCL_gdb%2FFeatureServer%2F3&amp;find="&amp;$F270&amp;"%2C"&amp;$E270&amp;"&amp;marker="&amp;$F270&amp;","&amp;$E270&amp;",4326&amp;level=16","https://fema.maps.arcgis.com/apps/mapviewer/index.html?find="&amp;$F270&amp;"%2C"&amp;$E270&amp;"&amp;marker="&amp;$F270&amp;","&amp;$E270&amp;",4326&amp;level=16"))),"Open"))</f>
        <v/>
      </c>
      <c r="T270" s="4"/>
      <c r="U270" s="4"/>
      <c r="V270" s="4"/>
      <c r="W270" s="4"/>
      <c r="X270" s="4"/>
      <c r="Y270" s="4"/>
      <c r="Z270" s="4"/>
      <c r="AA270" s="4"/>
      <c r="AB270" s="1" t="str">
        <f>IF(OR(_xlfn.SINGLE(JobAgolMap)="", $E270="", $F270=""),"",HYPERLINK(_xlfn.SINGLE(JobAgolMap)&amp;IF(ISNUMBER(FIND("?",_xlfn.SINGLE(JobAgolMap))),"&amp;","?")&amp;"center="&amp;$F270&amp;","&amp;$E270&amp;"&amp;level=16&amp;marker="&amp;$F270&amp;","&amp;$E270,"Open"))</f>
        <v/>
      </c>
    </row>
    <row r="271" spans="1:28" x14ac:dyDescent="0.45">
      <c r="A271" s="3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4"/>
      <c r="M271" s="1" t="str">
        <f t="shared" si="24"/>
        <v/>
      </c>
      <c r="N271" s="1" t="str">
        <f t="shared" si="25"/>
        <v/>
      </c>
      <c r="O271" s="1" t="str">
        <f t="shared" si="26"/>
        <v/>
      </c>
      <c r="P271" s="1" t="str">
        <f t="shared" si="27"/>
        <v/>
      </c>
      <c r="Q271" s="1" t="str">
        <f t="shared" si="28"/>
        <v/>
      </c>
      <c r="R271" s="1" t="str">
        <f t="shared" si="29"/>
        <v/>
      </c>
      <c r="S271" s="1" t="str">
        <f>IF(OR($E271="",$F271=""),"",HYPERLINK(IF(OR(_xlfn.SINGLE(JobState)="MI",_xlfn.SINGLE(JobState)=""),"https://fema.maps.arcgis.com/apps/mapviewer/index.html?url=https%3A%2F%2Fmdotgis.state.mi.us%2Farcgis%2Frest%2Fservices%2FWidget%2FNextGenPrFinderPub%2FFeatureServer%2F353&amp;find="&amp;$F271&amp;"%2C"&amp;$E271&amp;"&amp;marker="&amp;$F271&amp;","&amp;$E271&amp;",4326&amp;level=16",IF(_xlfn.SINGLE(JobState)="IN","https://fema.maps.arcgis.com/apps/mapviewer/index.html?url=https%3A%2F%2Fgisdata.in.gov%2Fserver%2Frest%2Fservices%2FHosted%2FLRSE_Functional_Class%2FFeatureServer%2F22&amp;find="&amp;$F271&amp;"%2C"&amp;$E271&amp;"&amp;marker="&amp;$F271&amp;","&amp;$E271&amp;",4326&amp;level=16",IF(_xlfn.SINGLE(JobState)="WI","https://fema.maps.arcgis.com/apps/mapviewer/index.html?url=https%3A%2F%2Fservices5.arcgis.com%2F0pgGLzT0Nh7FVjon%2Farcgis%2Frest%2Fservices%2FFFCL_gdb%2FFeatureServer%2F3&amp;find="&amp;$F271&amp;"%2C"&amp;$E271&amp;"&amp;marker="&amp;$F271&amp;","&amp;$E271&amp;",4326&amp;level=16","https://fema.maps.arcgis.com/apps/mapviewer/index.html?find="&amp;$F271&amp;"%2C"&amp;$E271&amp;"&amp;marker="&amp;$F271&amp;","&amp;$E271&amp;",4326&amp;level=16"))),"Open"))</f>
        <v/>
      </c>
      <c r="T271" s="4"/>
      <c r="U271" s="4"/>
      <c r="V271" s="4"/>
      <c r="W271" s="4"/>
      <c r="X271" s="4"/>
      <c r="Y271" s="4"/>
      <c r="Z271" s="4"/>
      <c r="AA271" s="4"/>
      <c r="AB271" s="1" t="str">
        <f>IF(OR(_xlfn.SINGLE(JobAgolMap)="", $E271="", $F271=""),"",HYPERLINK(_xlfn.SINGLE(JobAgolMap)&amp;IF(ISNUMBER(FIND("?",_xlfn.SINGLE(JobAgolMap))),"&amp;","?")&amp;"center="&amp;$F271&amp;","&amp;$E271&amp;"&amp;level=16&amp;marker="&amp;$F271&amp;","&amp;$E271,"Open"))</f>
        <v/>
      </c>
    </row>
    <row r="272" spans="1:28" x14ac:dyDescent="0.45">
      <c r="A272" s="3"/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4"/>
      <c r="M272" s="1" t="str">
        <f t="shared" si="24"/>
        <v/>
      </c>
      <c r="N272" s="1" t="str">
        <f t="shared" si="25"/>
        <v/>
      </c>
      <c r="O272" s="1" t="str">
        <f t="shared" si="26"/>
        <v/>
      </c>
      <c r="P272" s="1" t="str">
        <f t="shared" si="27"/>
        <v/>
      </c>
      <c r="Q272" s="1" t="str">
        <f t="shared" si="28"/>
        <v/>
      </c>
      <c r="R272" s="1" t="str">
        <f t="shared" si="29"/>
        <v/>
      </c>
      <c r="S272" s="1" t="str">
        <f>IF(OR($E272="",$F272=""),"",HYPERLINK(IF(OR(_xlfn.SINGLE(JobState)="MI",_xlfn.SINGLE(JobState)=""),"https://fema.maps.arcgis.com/apps/mapviewer/index.html?url=https%3A%2F%2Fmdotgis.state.mi.us%2Farcgis%2Frest%2Fservices%2FWidget%2FNextGenPrFinderPub%2FFeatureServer%2F353&amp;find="&amp;$F272&amp;"%2C"&amp;$E272&amp;"&amp;marker="&amp;$F272&amp;","&amp;$E272&amp;",4326&amp;level=16",IF(_xlfn.SINGLE(JobState)="IN","https://fema.maps.arcgis.com/apps/mapviewer/index.html?url=https%3A%2F%2Fgisdata.in.gov%2Fserver%2Frest%2Fservices%2FHosted%2FLRSE_Functional_Class%2FFeatureServer%2F22&amp;find="&amp;$F272&amp;"%2C"&amp;$E272&amp;"&amp;marker="&amp;$F272&amp;","&amp;$E272&amp;",4326&amp;level=16",IF(_xlfn.SINGLE(JobState)="WI","https://fema.maps.arcgis.com/apps/mapviewer/index.html?url=https%3A%2F%2Fservices5.arcgis.com%2F0pgGLzT0Nh7FVjon%2Farcgis%2Frest%2Fservices%2FFFCL_gdb%2FFeatureServer%2F3&amp;find="&amp;$F272&amp;"%2C"&amp;$E272&amp;"&amp;marker="&amp;$F272&amp;","&amp;$E272&amp;",4326&amp;level=16","https://fema.maps.arcgis.com/apps/mapviewer/index.html?find="&amp;$F272&amp;"%2C"&amp;$E272&amp;"&amp;marker="&amp;$F272&amp;","&amp;$E272&amp;",4326&amp;level=16"))),"Open"))</f>
        <v/>
      </c>
      <c r="T272" s="4"/>
      <c r="U272" s="4"/>
      <c r="V272" s="4"/>
      <c r="W272" s="4"/>
      <c r="X272" s="4"/>
      <c r="Y272" s="4"/>
      <c r="Z272" s="4"/>
      <c r="AA272" s="4"/>
      <c r="AB272" s="1" t="str">
        <f>IF(OR(_xlfn.SINGLE(JobAgolMap)="", $E272="", $F272=""),"",HYPERLINK(_xlfn.SINGLE(JobAgolMap)&amp;IF(ISNUMBER(FIND("?",_xlfn.SINGLE(JobAgolMap))),"&amp;","?")&amp;"center="&amp;$F272&amp;","&amp;$E272&amp;"&amp;level=16&amp;marker="&amp;$F272&amp;","&amp;$E272,"Open"))</f>
        <v/>
      </c>
    </row>
    <row r="273" spans="1:28" x14ac:dyDescent="0.45">
      <c r="A273" s="3"/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4"/>
      <c r="M273" s="1" t="str">
        <f t="shared" si="24"/>
        <v/>
      </c>
      <c r="N273" s="1" t="str">
        <f t="shared" si="25"/>
        <v/>
      </c>
      <c r="O273" s="1" t="str">
        <f t="shared" si="26"/>
        <v/>
      </c>
      <c r="P273" s="1" t="str">
        <f t="shared" si="27"/>
        <v/>
      </c>
      <c r="Q273" s="1" t="str">
        <f t="shared" si="28"/>
        <v/>
      </c>
      <c r="R273" s="1" t="str">
        <f t="shared" si="29"/>
        <v/>
      </c>
      <c r="S273" s="1" t="str">
        <f>IF(OR($E273="",$F273=""),"",HYPERLINK(IF(OR(_xlfn.SINGLE(JobState)="MI",_xlfn.SINGLE(JobState)=""),"https://fema.maps.arcgis.com/apps/mapviewer/index.html?url=https%3A%2F%2Fmdotgis.state.mi.us%2Farcgis%2Frest%2Fservices%2FWidget%2FNextGenPrFinderPub%2FFeatureServer%2F353&amp;find="&amp;$F273&amp;"%2C"&amp;$E273&amp;"&amp;marker="&amp;$F273&amp;","&amp;$E273&amp;",4326&amp;level=16",IF(_xlfn.SINGLE(JobState)="IN","https://fema.maps.arcgis.com/apps/mapviewer/index.html?url=https%3A%2F%2Fgisdata.in.gov%2Fserver%2Frest%2Fservices%2FHosted%2FLRSE_Functional_Class%2FFeatureServer%2F22&amp;find="&amp;$F273&amp;"%2C"&amp;$E273&amp;"&amp;marker="&amp;$F273&amp;","&amp;$E273&amp;",4326&amp;level=16",IF(_xlfn.SINGLE(JobState)="WI","https://fema.maps.arcgis.com/apps/mapviewer/index.html?url=https%3A%2F%2Fservices5.arcgis.com%2F0pgGLzT0Nh7FVjon%2Farcgis%2Frest%2Fservices%2FFFCL_gdb%2FFeatureServer%2F3&amp;find="&amp;$F273&amp;"%2C"&amp;$E273&amp;"&amp;marker="&amp;$F273&amp;","&amp;$E273&amp;",4326&amp;level=16","https://fema.maps.arcgis.com/apps/mapviewer/index.html?find="&amp;$F273&amp;"%2C"&amp;$E273&amp;"&amp;marker="&amp;$F273&amp;","&amp;$E273&amp;",4326&amp;level=16"))),"Open"))</f>
        <v/>
      </c>
      <c r="T273" s="4"/>
      <c r="U273" s="4"/>
      <c r="V273" s="4"/>
      <c r="W273" s="4"/>
      <c r="X273" s="4"/>
      <c r="Y273" s="4"/>
      <c r="Z273" s="4"/>
      <c r="AA273" s="4"/>
      <c r="AB273" s="1" t="str">
        <f>IF(OR(_xlfn.SINGLE(JobAgolMap)="", $E273="", $F273=""),"",HYPERLINK(_xlfn.SINGLE(JobAgolMap)&amp;IF(ISNUMBER(FIND("?",_xlfn.SINGLE(JobAgolMap))),"&amp;","?")&amp;"center="&amp;$F273&amp;","&amp;$E273&amp;"&amp;level=16&amp;marker="&amp;$F273&amp;","&amp;$E273,"Open"))</f>
        <v/>
      </c>
    </row>
    <row r="274" spans="1:28" x14ac:dyDescent="0.45">
      <c r="A274" s="3"/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4"/>
      <c r="M274" s="1" t="str">
        <f t="shared" si="24"/>
        <v/>
      </c>
      <c r="N274" s="1" t="str">
        <f t="shared" si="25"/>
        <v/>
      </c>
      <c r="O274" s="1" t="str">
        <f t="shared" si="26"/>
        <v/>
      </c>
      <c r="P274" s="1" t="str">
        <f t="shared" si="27"/>
        <v/>
      </c>
      <c r="Q274" s="1" t="str">
        <f t="shared" si="28"/>
        <v/>
      </c>
      <c r="R274" s="1" t="str">
        <f t="shared" si="29"/>
        <v/>
      </c>
      <c r="S274" s="1" t="str">
        <f>IF(OR($E274="",$F274=""),"",HYPERLINK(IF(OR(_xlfn.SINGLE(JobState)="MI",_xlfn.SINGLE(JobState)=""),"https://fema.maps.arcgis.com/apps/mapviewer/index.html?url=https%3A%2F%2Fmdotgis.state.mi.us%2Farcgis%2Frest%2Fservices%2FWidget%2FNextGenPrFinderPub%2FFeatureServer%2F353&amp;find="&amp;$F274&amp;"%2C"&amp;$E274&amp;"&amp;marker="&amp;$F274&amp;","&amp;$E274&amp;",4326&amp;level=16",IF(_xlfn.SINGLE(JobState)="IN","https://fema.maps.arcgis.com/apps/mapviewer/index.html?url=https%3A%2F%2Fgisdata.in.gov%2Fserver%2Frest%2Fservices%2FHosted%2FLRSE_Functional_Class%2FFeatureServer%2F22&amp;find="&amp;$F274&amp;"%2C"&amp;$E274&amp;"&amp;marker="&amp;$F274&amp;","&amp;$E274&amp;",4326&amp;level=16",IF(_xlfn.SINGLE(JobState)="WI","https://fema.maps.arcgis.com/apps/mapviewer/index.html?url=https%3A%2F%2Fservices5.arcgis.com%2F0pgGLzT0Nh7FVjon%2Farcgis%2Frest%2Fservices%2FFFCL_gdb%2FFeatureServer%2F3&amp;find="&amp;$F274&amp;"%2C"&amp;$E274&amp;"&amp;marker="&amp;$F274&amp;","&amp;$E274&amp;",4326&amp;level=16","https://fema.maps.arcgis.com/apps/mapviewer/index.html?find="&amp;$F274&amp;"%2C"&amp;$E274&amp;"&amp;marker="&amp;$F274&amp;","&amp;$E274&amp;",4326&amp;level=16"))),"Open"))</f>
        <v/>
      </c>
      <c r="T274" s="4"/>
      <c r="U274" s="4"/>
      <c r="V274" s="4"/>
      <c r="W274" s="4"/>
      <c r="X274" s="4"/>
      <c r="Y274" s="4"/>
      <c r="Z274" s="4"/>
      <c r="AA274" s="4"/>
      <c r="AB274" s="1" t="str">
        <f>IF(OR(_xlfn.SINGLE(JobAgolMap)="", $E274="", $F274=""),"",HYPERLINK(_xlfn.SINGLE(JobAgolMap)&amp;IF(ISNUMBER(FIND("?",_xlfn.SINGLE(JobAgolMap))),"&amp;","?")&amp;"center="&amp;$F274&amp;","&amp;$E274&amp;"&amp;level=16&amp;marker="&amp;$F274&amp;","&amp;$E274,"Open"))</f>
        <v/>
      </c>
    </row>
    <row r="275" spans="1:28" x14ac:dyDescent="0.45">
      <c r="A275" s="3"/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4"/>
      <c r="M275" s="1" t="str">
        <f t="shared" si="24"/>
        <v/>
      </c>
      <c r="N275" s="1" t="str">
        <f t="shared" si="25"/>
        <v/>
      </c>
      <c r="O275" s="1" t="str">
        <f t="shared" si="26"/>
        <v/>
      </c>
      <c r="P275" s="1" t="str">
        <f t="shared" si="27"/>
        <v/>
      </c>
      <c r="Q275" s="1" t="str">
        <f t="shared" si="28"/>
        <v/>
      </c>
      <c r="R275" s="1" t="str">
        <f t="shared" si="29"/>
        <v/>
      </c>
      <c r="S275" s="1" t="str">
        <f>IF(OR($E275="",$F275=""),"",HYPERLINK(IF(OR(_xlfn.SINGLE(JobState)="MI",_xlfn.SINGLE(JobState)=""),"https://fema.maps.arcgis.com/apps/mapviewer/index.html?url=https%3A%2F%2Fmdotgis.state.mi.us%2Farcgis%2Frest%2Fservices%2FWidget%2FNextGenPrFinderPub%2FFeatureServer%2F353&amp;find="&amp;$F275&amp;"%2C"&amp;$E275&amp;"&amp;marker="&amp;$F275&amp;","&amp;$E275&amp;",4326&amp;level=16",IF(_xlfn.SINGLE(JobState)="IN","https://fema.maps.arcgis.com/apps/mapviewer/index.html?url=https%3A%2F%2Fgisdata.in.gov%2Fserver%2Frest%2Fservices%2FHosted%2FLRSE_Functional_Class%2FFeatureServer%2F22&amp;find="&amp;$F275&amp;"%2C"&amp;$E275&amp;"&amp;marker="&amp;$F275&amp;","&amp;$E275&amp;",4326&amp;level=16",IF(_xlfn.SINGLE(JobState)="WI","https://fema.maps.arcgis.com/apps/mapviewer/index.html?url=https%3A%2F%2Fservices5.arcgis.com%2F0pgGLzT0Nh7FVjon%2Farcgis%2Frest%2Fservices%2FFFCL_gdb%2FFeatureServer%2F3&amp;find="&amp;$F275&amp;"%2C"&amp;$E275&amp;"&amp;marker="&amp;$F275&amp;","&amp;$E275&amp;",4326&amp;level=16","https://fema.maps.arcgis.com/apps/mapviewer/index.html?find="&amp;$F275&amp;"%2C"&amp;$E275&amp;"&amp;marker="&amp;$F275&amp;","&amp;$E275&amp;",4326&amp;level=16"))),"Open"))</f>
        <v/>
      </c>
      <c r="T275" s="4"/>
      <c r="U275" s="4"/>
      <c r="V275" s="4"/>
      <c r="W275" s="4"/>
      <c r="X275" s="4"/>
      <c r="Y275" s="4"/>
      <c r="Z275" s="4"/>
      <c r="AA275" s="4"/>
      <c r="AB275" s="1" t="str">
        <f>IF(OR(_xlfn.SINGLE(JobAgolMap)="", $E275="", $F275=""),"",HYPERLINK(_xlfn.SINGLE(JobAgolMap)&amp;IF(ISNUMBER(FIND("?",_xlfn.SINGLE(JobAgolMap))),"&amp;","?")&amp;"center="&amp;$F275&amp;","&amp;$E275&amp;"&amp;level=16&amp;marker="&amp;$F275&amp;","&amp;$E275,"Open"))</f>
        <v/>
      </c>
    </row>
    <row r="276" spans="1:28" x14ac:dyDescent="0.45">
      <c r="A276" s="3"/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4"/>
      <c r="M276" s="1" t="str">
        <f t="shared" si="24"/>
        <v/>
      </c>
      <c r="N276" s="1" t="str">
        <f t="shared" si="25"/>
        <v/>
      </c>
      <c r="O276" s="1" t="str">
        <f t="shared" si="26"/>
        <v/>
      </c>
      <c r="P276" s="1" t="str">
        <f t="shared" si="27"/>
        <v/>
      </c>
      <c r="Q276" s="1" t="str">
        <f t="shared" si="28"/>
        <v/>
      </c>
      <c r="R276" s="1" t="str">
        <f t="shared" si="29"/>
        <v/>
      </c>
      <c r="S276" s="1" t="str">
        <f>IF(OR($E276="",$F276=""),"",HYPERLINK(IF(OR(_xlfn.SINGLE(JobState)="MI",_xlfn.SINGLE(JobState)=""),"https://fema.maps.arcgis.com/apps/mapviewer/index.html?url=https%3A%2F%2Fmdotgis.state.mi.us%2Farcgis%2Frest%2Fservices%2FWidget%2FNextGenPrFinderPub%2FFeatureServer%2F353&amp;find="&amp;$F276&amp;"%2C"&amp;$E276&amp;"&amp;marker="&amp;$F276&amp;","&amp;$E276&amp;",4326&amp;level=16",IF(_xlfn.SINGLE(JobState)="IN","https://fema.maps.arcgis.com/apps/mapviewer/index.html?url=https%3A%2F%2Fgisdata.in.gov%2Fserver%2Frest%2Fservices%2FHosted%2FLRSE_Functional_Class%2FFeatureServer%2F22&amp;find="&amp;$F276&amp;"%2C"&amp;$E276&amp;"&amp;marker="&amp;$F276&amp;","&amp;$E276&amp;",4326&amp;level=16",IF(_xlfn.SINGLE(JobState)="WI","https://fema.maps.arcgis.com/apps/mapviewer/index.html?url=https%3A%2F%2Fservices5.arcgis.com%2F0pgGLzT0Nh7FVjon%2Farcgis%2Frest%2Fservices%2FFFCL_gdb%2FFeatureServer%2F3&amp;find="&amp;$F276&amp;"%2C"&amp;$E276&amp;"&amp;marker="&amp;$F276&amp;","&amp;$E276&amp;",4326&amp;level=16","https://fema.maps.arcgis.com/apps/mapviewer/index.html?find="&amp;$F276&amp;"%2C"&amp;$E276&amp;"&amp;marker="&amp;$F276&amp;","&amp;$E276&amp;",4326&amp;level=16"))),"Open"))</f>
        <v/>
      </c>
      <c r="T276" s="4"/>
      <c r="U276" s="4"/>
      <c r="V276" s="4"/>
      <c r="W276" s="4"/>
      <c r="X276" s="4"/>
      <c r="Y276" s="4"/>
      <c r="Z276" s="4"/>
      <c r="AA276" s="4"/>
      <c r="AB276" s="1" t="str">
        <f>IF(OR(_xlfn.SINGLE(JobAgolMap)="", $E276="", $F276=""),"",HYPERLINK(_xlfn.SINGLE(JobAgolMap)&amp;IF(ISNUMBER(FIND("?",_xlfn.SINGLE(JobAgolMap))),"&amp;","?")&amp;"center="&amp;$F276&amp;","&amp;$E276&amp;"&amp;level=16&amp;marker="&amp;$F276&amp;","&amp;$E276,"Open"))</f>
        <v/>
      </c>
    </row>
    <row r="277" spans="1:28" x14ac:dyDescent="0.45">
      <c r="A277" s="3"/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4"/>
      <c r="M277" s="1" t="str">
        <f t="shared" si="24"/>
        <v/>
      </c>
      <c r="N277" s="1" t="str">
        <f t="shared" si="25"/>
        <v/>
      </c>
      <c r="O277" s="1" t="str">
        <f t="shared" si="26"/>
        <v/>
      </c>
      <c r="P277" s="1" t="str">
        <f t="shared" si="27"/>
        <v/>
      </c>
      <c r="Q277" s="1" t="str">
        <f t="shared" si="28"/>
        <v/>
      </c>
      <c r="R277" s="1" t="str">
        <f t="shared" si="29"/>
        <v/>
      </c>
      <c r="S277" s="1" t="str">
        <f>IF(OR($E277="",$F277=""),"",HYPERLINK(IF(OR(_xlfn.SINGLE(JobState)="MI",_xlfn.SINGLE(JobState)=""),"https://fema.maps.arcgis.com/apps/mapviewer/index.html?url=https%3A%2F%2Fmdotgis.state.mi.us%2Farcgis%2Frest%2Fservices%2FWidget%2FNextGenPrFinderPub%2FFeatureServer%2F353&amp;find="&amp;$F277&amp;"%2C"&amp;$E277&amp;"&amp;marker="&amp;$F277&amp;","&amp;$E277&amp;",4326&amp;level=16",IF(_xlfn.SINGLE(JobState)="IN","https://fema.maps.arcgis.com/apps/mapviewer/index.html?url=https%3A%2F%2Fgisdata.in.gov%2Fserver%2Frest%2Fservices%2FHosted%2FLRSE_Functional_Class%2FFeatureServer%2F22&amp;find="&amp;$F277&amp;"%2C"&amp;$E277&amp;"&amp;marker="&amp;$F277&amp;","&amp;$E277&amp;",4326&amp;level=16",IF(_xlfn.SINGLE(JobState)="WI","https://fema.maps.arcgis.com/apps/mapviewer/index.html?url=https%3A%2F%2Fservices5.arcgis.com%2F0pgGLzT0Nh7FVjon%2Farcgis%2Frest%2Fservices%2FFFCL_gdb%2FFeatureServer%2F3&amp;find="&amp;$F277&amp;"%2C"&amp;$E277&amp;"&amp;marker="&amp;$F277&amp;","&amp;$E277&amp;",4326&amp;level=16","https://fema.maps.arcgis.com/apps/mapviewer/index.html?find="&amp;$F277&amp;"%2C"&amp;$E277&amp;"&amp;marker="&amp;$F277&amp;","&amp;$E277&amp;",4326&amp;level=16"))),"Open"))</f>
        <v/>
      </c>
      <c r="T277" s="4"/>
      <c r="U277" s="4"/>
      <c r="V277" s="4"/>
      <c r="W277" s="4"/>
      <c r="X277" s="4"/>
      <c r="Y277" s="4"/>
      <c r="Z277" s="4"/>
      <c r="AA277" s="4"/>
      <c r="AB277" s="1" t="str">
        <f>IF(OR(_xlfn.SINGLE(JobAgolMap)="", $E277="", $F277=""),"",HYPERLINK(_xlfn.SINGLE(JobAgolMap)&amp;IF(ISNUMBER(FIND("?",_xlfn.SINGLE(JobAgolMap))),"&amp;","?")&amp;"center="&amp;$F277&amp;","&amp;$E277&amp;"&amp;level=16&amp;marker="&amp;$F277&amp;","&amp;$E277,"Open"))</f>
        <v/>
      </c>
    </row>
    <row r="278" spans="1:28" x14ac:dyDescent="0.45">
      <c r="A278" s="3"/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4"/>
      <c r="M278" s="1" t="str">
        <f t="shared" si="24"/>
        <v/>
      </c>
      <c r="N278" s="1" t="str">
        <f t="shared" si="25"/>
        <v/>
      </c>
      <c r="O278" s="1" t="str">
        <f t="shared" si="26"/>
        <v/>
      </c>
      <c r="P278" s="1" t="str">
        <f t="shared" si="27"/>
        <v/>
      </c>
      <c r="Q278" s="1" t="str">
        <f t="shared" si="28"/>
        <v/>
      </c>
      <c r="R278" s="1" t="str">
        <f t="shared" si="29"/>
        <v/>
      </c>
      <c r="S278" s="1" t="str">
        <f>IF(OR($E278="",$F278=""),"",HYPERLINK(IF(OR(_xlfn.SINGLE(JobState)="MI",_xlfn.SINGLE(JobState)=""),"https://fema.maps.arcgis.com/apps/mapviewer/index.html?url=https%3A%2F%2Fmdotgis.state.mi.us%2Farcgis%2Frest%2Fservices%2FWidget%2FNextGenPrFinderPub%2FFeatureServer%2F353&amp;find="&amp;$F278&amp;"%2C"&amp;$E278&amp;"&amp;marker="&amp;$F278&amp;","&amp;$E278&amp;",4326&amp;level=16",IF(_xlfn.SINGLE(JobState)="IN","https://fema.maps.arcgis.com/apps/mapviewer/index.html?url=https%3A%2F%2Fgisdata.in.gov%2Fserver%2Frest%2Fservices%2FHosted%2FLRSE_Functional_Class%2FFeatureServer%2F22&amp;find="&amp;$F278&amp;"%2C"&amp;$E278&amp;"&amp;marker="&amp;$F278&amp;","&amp;$E278&amp;",4326&amp;level=16",IF(_xlfn.SINGLE(JobState)="WI","https://fema.maps.arcgis.com/apps/mapviewer/index.html?url=https%3A%2F%2Fservices5.arcgis.com%2F0pgGLzT0Nh7FVjon%2Farcgis%2Frest%2Fservices%2FFFCL_gdb%2FFeatureServer%2F3&amp;find="&amp;$F278&amp;"%2C"&amp;$E278&amp;"&amp;marker="&amp;$F278&amp;","&amp;$E278&amp;",4326&amp;level=16","https://fema.maps.arcgis.com/apps/mapviewer/index.html?find="&amp;$F278&amp;"%2C"&amp;$E278&amp;"&amp;marker="&amp;$F278&amp;","&amp;$E278&amp;",4326&amp;level=16"))),"Open"))</f>
        <v/>
      </c>
      <c r="T278" s="4"/>
      <c r="U278" s="4"/>
      <c r="V278" s="4"/>
      <c r="W278" s="4"/>
      <c r="X278" s="4"/>
      <c r="Y278" s="4"/>
      <c r="Z278" s="4"/>
      <c r="AA278" s="4"/>
      <c r="AB278" s="1" t="str">
        <f>IF(OR(_xlfn.SINGLE(JobAgolMap)="", $E278="", $F278=""),"",HYPERLINK(_xlfn.SINGLE(JobAgolMap)&amp;IF(ISNUMBER(FIND("?",_xlfn.SINGLE(JobAgolMap))),"&amp;","?")&amp;"center="&amp;$F278&amp;","&amp;$E278&amp;"&amp;level=16&amp;marker="&amp;$F278&amp;","&amp;$E278,"Open"))</f>
        <v/>
      </c>
    </row>
    <row r="279" spans="1:28" x14ac:dyDescent="0.45">
      <c r="A279" s="3"/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4"/>
      <c r="M279" s="1" t="str">
        <f t="shared" si="24"/>
        <v/>
      </c>
      <c r="N279" s="1" t="str">
        <f t="shared" si="25"/>
        <v/>
      </c>
      <c r="O279" s="1" t="str">
        <f t="shared" si="26"/>
        <v/>
      </c>
      <c r="P279" s="1" t="str">
        <f t="shared" si="27"/>
        <v/>
      </c>
      <c r="Q279" s="1" t="str">
        <f t="shared" si="28"/>
        <v/>
      </c>
      <c r="R279" s="1" t="str">
        <f t="shared" si="29"/>
        <v/>
      </c>
      <c r="S279" s="1" t="str">
        <f>IF(OR($E279="",$F279=""),"",HYPERLINK(IF(OR(_xlfn.SINGLE(JobState)="MI",_xlfn.SINGLE(JobState)=""),"https://fema.maps.arcgis.com/apps/mapviewer/index.html?url=https%3A%2F%2Fmdotgis.state.mi.us%2Farcgis%2Frest%2Fservices%2FWidget%2FNextGenPrFinderPub%2FFeatureServer%2F353&amp;find="&amp;$F279&amp;"%2C"&amp;$E279&amp;"&amp;marker="&amp;$F279&amp;","&amp;$E279&amp;",4326&amp;level=16",IF(_xlfn.SINGLE(JobState)="IN","https://fema.maps.arcgis.com/apps/mapviewer/index.html?url=https%3A%2F%2Fgisdata.in.gov%2Fserver%2Frest%2Fservices%2FHosted%2FLRSE_Functional_Class%2FFeatureServer%2F22&amp;find="&amp;$F279&amp;"%2C"&amp;$E279&amp;"&amp;marker="&amp;$F279&amp;","&amp;$E279&amp;",4326&amp;level=16",IF(_xlfn.SINGLE(JobState)="WI","https://fema.maps.arcgis.com/apps/mapviewer/index.html?url=https%3A%2F%2Fservices5.arcgis.com%2F0pgGLzT0Nh7FVjon%2Farcgis%2Frest%2Fservices%2FFFCL_gdb%2FFeatureServer%2F3&amp;find="&amp;$F279&amp;"%2C"&amp;$E279&amp;"&amp;marker="&amp;$F279&amp;","&amp;$E279&amp;",4326&amp;level=16","https://fema.maps.arcgis.com/apps/mapviewer/index.html?find="&amp;$F279&amp;"%2C"&amp;$E279&amp;"&amp;marker="&amp;$F279&amp;","&amp;$E279&amp;",4326&amp;level=16"))),"Open"))</f>
        <v/>
      </c>
      <c r="T279" s="4"/>
      <c r="U279" s="4"/>
      <c r="V279" s="4"/>
      <c r="W279" s="4"/>
      <c r="X279" s="4"/>
      <c r="Y279" s="4"/>
      <c r="Z279" s="4"/>
      <c r="AA279" s="4"/>
      <c r="AB279" s="1" t="str">
        <f>IF(OR(_xlfn.SINGLE(JobAgolMap)="", $E279="", $F279=""),"",HYPERLINK(_xlfn.SINGLE(JobAgolMap)&amp;IF(ISNUMBER(FIND("?",_xlfn.SINGLE(JobAgolMap))),"&amp;","?")&amp;"center="&amp;$F279&amp;","&amp;$E279&amp;"&amp;level=16&amp;marker="&amp;$F279&amp;","&amp;$E279,"Open"))</f>
        <v/>
      </c>
    </row>
    <row r="280" spans="1:28" x14ac:dyDescent="0.45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4"/>
      <c r="M280" s="1" t="str">
        <f t="shared" si="24"/>
        <v/>
      </c>
      <c r="N280" s="1" t="str">
        <f t="shared" si="25"/>
        <v/>
      </c>
      <c r="O280" s="1" t="str">
        <f t="shared" si="26"/>
        <v/>
      </c>
      <c r="P280" s="1" t="str">
        <f t="shared" si="27"/>
        <v/>
      </c>
      <c r="Q280" s="1" t="str">
        <f t="shared" si="28"/>
        <v/>
      </c>
      <c r="R280" s="1" t="str">
        <f t="shared" si="29"/>
        <v/>
      </c>
      <c r="S280" s="1" t="str">
        <f>IF(OR($E280="",$F280=""),"",HYPERLINK(IF(OR(_xlfn.SINGLE(JobState)="MI",_xlfn.SINGLE(JobState)=""),"https://fema.maps.arcgis.com/apps/mapviewer/index.html?url=https%3A%2F%2Fmdotgis.state.mi.us%2Farcgis%2Frest%2Fservices%2FWidget%2FNextGenPrFinderPub%2FFeatureServer%2F353&amp;find="&amp;$F280&amp;"%2C"&amp;$E280&amp;"&amp;marker="&amp;$F280&amp;","&amp;$E280&amp;",4326&amp;level=16",IF(_xlfn.SINGLE(JobState)="IN","https://fema.maps.arcgis.com/apps/mapviewer/index.html?url=https%3A%2F%2Fgisdata.in.gov%2Fserver%2Frest%2Fservices%2FHosted%2FLRSE_Functional_Class%2FFeatureServer%2F22&amp;find="&amp;$F280&amp;"%2C"&amp;$E280&amp;"&amp;marker="&amp;$F280&amp;","&amp;$E280&amp;",4326&amp;level=16",IF(_xlfn.SINGLE(JobState)="WI","https://fema.maps.arcgis.com/apps/mapviewer/index.html?url=https%3A%2F%2Fservices5.arcgis.com%2F0pgGLzT0Nh7FVjon%2Farcgis%2Frest%2Fservices%2FFFCL_gdb%2FFeatureServer%2F3&amp;find="&amp;$F280&amp;"%2C"&amp;$E280&amp;"&amp;marker="&amp;$F280&amp;","&amp;$E280&amp;",4326&amp;level=16","https://fema.maps.arcgis.com/apps/mapviewer/index.html?find="&amp;$F280&amp;"%2C"&amp;$E280&amp;"&amp;marker="&amp;$F280&amp;","&amp;$E280&amp;",4326&amp;level=16"))),"Open"))</f>
        <v/>
      </c>
      <c r="T280" s="4"/>
      <c r="U280" s="4"/>
      <c r="V280" s="4"/>
      <c r="W280" s="4"/>
      <c r="X280" s="4"/>
      <c r="Y280" s="4"/>
      <c r="Z280" s="4"/>
      <c r="AA280" s="4"/>
      <c r="AB280" s="1" t="str">
        <f>IF(OR(_xlfn.SINGLE(JobAgolMap)="", $E280="", $F280=""),"",HYPERLINK(_xlfn.SINGLE(JobAgolMap)&amp;IF(ISNUMBER(FIND("?",_xlfn.SINGLE(JobAgolMap))),"&amp;","?")&amp;"center="&amp;$F280&amp;","&amp;$E280&amp;"&amp;level=16&amp;marker="&amp;$F280&amp;","&amp;$E280,"Open"))</f>
        <v/>
      </c>
    </row>
    <row r="281" spans="1:28" x14ac:dyDescent="0.45">
      <c r="A281" s="3"/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4"/>
      <c r="M281" s="1" t="str">
        <f t="shared" si="24"/>
        <v/>
      </c>
      <c r="N281" s="1" t="str">
        <f t="shared" si="25"/>
        <v/>
      </c>
      <c r="O281" s="1" t="str">
        <f t="shared" si="26"/>
        <v/>
      </c>
      <c r="P281" s="1" t="str">
        <f t="shared" si="27"/>
        <v/>
      </c>
      <c r="Q281" s="1" t="str">
        <f t="shared" si="28"/>
        <v/>
      </c>
      <c r="R281" s="1" t="str">
        <f t="shared" si="29"/>
        <v/>
      </c>
      <c r="S281" s="1" t="str">
        <f>IF(OR($E281="",$F281=""),"",HYPERLINK(IF(OR(_xlfn.SINGLE(JobState)="MI",_xlfn.SINGLE(JobState)=""),"https://fema.maps.arcgis.com/apps/mapviewer/index.html?url=https%3A%2F%2Fmdotgis.state.mi.us%2Farcgis%2Frest%2Fservices%2FWidget%2FNextGenPrFinderPub%2FFeatureServer%2F353&amp;find="&amp;$F281&amp;"%2C"&amp;$E281&amp;"&amp;marker="&amp;$F281&amp;","&amp;$E281&amp;",4326&amp;level=16",IF(_xlfn.SINGLE(JobState)="IN","https://fema.maps.arcgis.com/apps/mapviewer/index.html?url=https%3A%2F%2Fgisdata.in.gov%2Fserver%2Frest%2Fservices%2FHosted%2FLRSE_Functional_Class%2FFeatureServer%2F22&amp;find="&amp;$F281&amp;"%2C"&amp;$E281&amp;"&amp;marker="&amp;$F281&amp;","&amp;$E281&amp;",4326&amp;level=16",IF(_xlfn.SINGLE(JobState)="WI","https://fema.maps.arcgis.com/apps/mapviewer/index.html?url=https%3A%2F%2Fservices5.arcgis.com%2F0pgGLzT0Nh7FVjon%2Farcgis%2Frest%2Fservices%2FFFCL_gdb%2FFeatureServer%2F3&amp;find="&amp;$F281&amp;"%2C"&amp;$E281&amp;"&amp;marker="&amp;$F281&amp;","&amp;$E281&amp;",4326&amp;level=16","https://fema.maps.arcgis.com/apps/mapviewer/index.html?find="&amp;$F281&amp;"%2C"&amp;$E281&amp;"&amp;marker="&amp;$F281&amp;","&amp;$E281&amp;",4326&amp;level=16"))),"Open"))</f>
        <v/>
      </c>
      <c r="T281" s="4"/>
      <c r="U281" s="4"/>
      <c r="V281" s="4"/>
      <c r="W281" s="4"/>
      <c r="X281" s="4"/>
      <c r="Y281" s="4"/>
      <c r="Z281" s="4"/>
      <c r="AA281" s="4"/>
      <c r="AB281" s="1" t="str">
        <f>IF(OR(_xlfn.SINGLE(JobAgolMap)="", $E281="", $F281=""),"",HYPERLINK(_xlfn.SINGLE(JobAgolMap)&amp;IF(ISNUMBER(FIND("?",_xlfn.SINGLE(JobAgolMap))),"&amp;","?")&amp;"center="&amp;$F281&amp;","&amp;$E281&amp;"&amp;level=16&amp;marker="&amp;$F281&amp;","&amp;$E281,"Open"))</f>
        <v/>
      </c>
    </row>
    <row r="282" spans="1:28" x14ac:dyDescent="0.45">
      <c r="A282" s="3"/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4"/>
      <c r="M282" s="1" t="str">
        <f t="shared" si="24"/>
        <v/>
      </c>
      <c r="N282" s="1" t="str">
        <f t="shared" si="25"/>
        <v/>
      </c>
      <c r="O282" s="1" t="str">
        <f t="shared" si="26"/>
        <v/>
      </c>
      <c r="P282" s="1" t="str">
        <f t="shared" si="27"/>
        <v/>
      </c>
      <c r="Q282" s="1" t="str">
        <f t="shared" si="28"/>
        <v/>
      </c>
      <c r="R282" s="1" t="str">
        <f t="shared" si="29"/>
        <v/>
      </c>
      <c r="S282" s="1" t="str">
        <f>IF(OR($E282="",$F282=""),"",HYPERLINK(IF(OR(_xlfn.SINGLE(JobState)="MI",_xlfn.SINGLE(JobState)=""),"https://fema.maps.arcgis.com/apps/mapviewer/index.html?url=https%3A%2F%2Fmdotgis.state.mi.us%2Farcgis%2Frest%2Fservices%2FWidget%2FNextGenPrFinderPub%2FFeatureServer%2F353&amp;find="&amp;$F282&amp;"%2C"&amp;$E282&amp;"&amp;marker="&amp;$F282&amp;","&amp;$E282&amp;",4326&amp;level=16",IF(_xlfn.SINGLE(JobState)="IN","https://fema.maps.arcgis.com/apps/mapviewer/index.html?url=https%3A%2F%2Fgisdata.in.gov%2Fserver%2Frest%2Fservices%2FHosted%2FLRSE_Functional_Class%2FFeatureServer%2F22&amp;find="&amp;$F282&amp;"%2C"&amp;$E282&amp;"&amp;marker="&amp;$F282&amp;","&amp;$E282&amp;",4326&amp;level=16",IF(_xlfn.SINGLE(JobState)="WI","https://fema.maps.arcgis.com/apps/mapviewer/index.html?url=https%3A%2F%2Fservices5.arcgis.com%2F0pgGLzT0Nh7FVjon%2Farcgis%2Frest%2Fservices%2FFFCL_gdb%2FFeatureServer%2F3&amp;find="&amp;$F282&amp;"%2C"&amp;$E282&amp;"&amp;marker="&amp;$F282&amp;","&amp;$E282&amp;",4326&amp;level=16","https://fema.maps.arcgis.com/apps/mapviewer/index.html?find="&amp;$F282&amp;"%2C"&amp;$E282&amp;"&amp;marker="&amp;$F282&amp;","&amp;$E282&amp;",4326&amp;level=16"))),"Open"))</f>
        <v/>
      </c>
      <c r="T282" s="4"/>
      <c r="U282" s="4"/>
      <c r="V282" s="4"/>
      <c r="W282" s="4"/>
      <c r="X282" s="4"/>
      <c r="Y282" s="4"/>
      <c r="Z282" s="4"/>
      <c r="AA282" s="4"/>
      <c r="AB282" s="1" t="str">
        <f>IF(OR(_xlfn.SINGLE(JobAgolMap)="", $E282="", $F282=""),"",HYPERLINK(_xlfn.SINGLE(JobAgolMap)&amp;IF(ISNUMBER(FIND("?",_xlfn.SINGLE(JobAgolMap))),"&amp;","?")&amp;"center="&amp;$F282&amp;","&amp;$E282&amp;"&amp;level=16&amp;marker="&amp;$F282&amp;","&amp;$E282,"Open"))</f>
        <v/>
      </c>
    </row>
    <row r="283" spans="1:28" x14ac:dyDescent="0.45">
      <c r="A283" s="3"/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4"/>
      <c r="M283" s="1" t="str">
        <f t="shared" si="24"/>
        <v/>
      </c>
      <c r="N283" s="1" t="str">
        <f t="shared" si="25"/>
        <v/>
      </c>
      <c r="O283" s="1" t="str">
        <f t="shared" si="26"/>
        <v/>
      </c>
      <c r="P283" s="1" t="str">
        <f t="shared" si="27"/>
        <v/>
      </c>
      <c r="Q283" s="1" t="str">
        <f t="shared" si="28"/>
        <v/>
      </c>
      <c r="R283" s="1" t="str">
        <f t="shared" si="29"/>
        <v/>
      </c>
      <c r="S283" s="1" t="str">
        <f>IF(OR($E283="",$F283=""),"",HYPERLINK(IF(OR(_xlfn.SINGLE(JobState)="MI",_xlfn.SINGLE(JobState)=""),"https://fema.maps.arcgis.com/apps/mapviewer/index.html?url=https%3A%2F%2Fmdotgis.state.mi.us%2Farcgis%2Frest%2Fservices%2FWidget%2FNextGenPrFinderPub%2FFeatureServer%2F353&amp;find="&amp;$F283&amp;"%2C"&amp;$E283&amp;"&amp;marker="&amp;$F283&amp;","&amp;$E283&amp;",4326&amp;level=16",IF(_xlfn.SINGLE(JobState)="IN","https://fema.maps.arcgis.com/apps/mapviewer/index.html?url=https%3A%2F%2Fgisdata.in.gov%2Fserver%2Frest%2Fservices%2FHosted%2FLRSE_Functional_Class%2FFeatureServer%2F22&amp;find="&amp;$F283&amp;"%2C"&amp;$E283&amp;"&amp;marker="&amp;$F283&amp;","&amp;$E283&amp;",4326&amp;level=16",IF(_xlfn.SINGLE(JobState)="WI","https://fema.maps.arcgis.com/apps/mapviewer/index.html?url=https%3A%2F%2Fservices5.arcgis.com%2F0pgGLzT0Nh7FVjon%2Farcgis%2Frest%2Fservices%2FFFCL_gdb%2FFeatureServer%2F3&amp;find="&amp;$F283&amp;"%2C"&amp;$E283&amp;"&amp;marker="&amp;$F283&amp;","&amp;$E283&amp;",4326&amp;level=16","https://fema.maps.arcgis.com/apps/mapviewer/index.html?find="&amp;$F283&amp;"%2C"&amp;$E283&amp;"&amp;marker="&amp;$F283&amp;","&amp;$E283&amp;",4326&amp;level=16"))),"Open"))</f>
        <v/>
      </c>
      <c r="T283" s="4"/>
      <c r="U283" s="4"/>
      <c r="V283" s="4"/>
      <c r="W283" s="4"/>
      <c r="X283" s="4"/>
      <c r="Y283" s="4"/>
      <c r="Z283" s="4"/>
      <c r="AA283" s="4"/>
      <c r="AB283" s="1" t="str">
        <f>IF(OR(_xlfn.SINGLE(JobAgolMap)="", $E283="", $F283=""),"",HYPERLINK(_xlfn.SINGLE(JobAgolMap)&amp;IF(ISNUMBER(FIND("?",_xlfn.SINGLE(JobAgolMap))),"&amp;","?")&amp;"center="&amp;$F283&amp;","&amp;$E283&amp;"&amp;level=16&amp;marker="&amp;$F283&amp;","&amp;$E283,"Open"))</f>
        <v/>
      </c>
    </row>
    <row r="284" spans="1:28" x14ac:dyDescent="0.45">
      <c r="A284" s="3"/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4"/>
      <c r="M284" s="1" t="str">
        <f t="shared" si="24"/>
        <v/>
      </c>
      <c r="N284" s="1" t="str">
        <f t="shared" si="25"/>
        <v/>
      </c>
      <c r="O284" s="1" t="str">
        <f t="shared" si="26"/>
        <v/>
      </c>
      <c r="P284" s="1" t="str">
        <f t="shared" si="27"/>
        <v/>
      </c>
      <c r="Q284" s="1" t="str">
        <f t="shared" si="28"/>
        <v/>
      </c>
      <c r="R284" s="1" t="str">
        <f t="shared" si="29"/>
        <v/>
      </c>
      <c r="S284" s="1" t="str">
        <f>IF(OR($E284="",$F284=""),"",HYPERLINK(IF(OR(_xlfn.SINGLE(JobState)="MI",_xlfn.SINGLE(JobState)=""),"https://fema.maps.arcgis.com/apps/mapviewer/index.html?url=https%3A%2F%2Fmdotgis.state.mi.us%2Farcgis%2Frest%2Fservices%2FWidget%2FNextGenPrFinderPub%2FFeatureServer%2F353&amp;find="&amp;$F284&amp;"%2C"&amp;$E284&amp;"&amp;marker="&amp;$F284&amp;","&amp;$E284&amp;",4326&amp;level=16",IF(_xlfn.SINGLE(JobState)="IN","https://fema.maps.arcgis.com/apps/mapviewer/index.html?url=https%3A%2F%2Fgisdata.in.gov%2Fserver%2Frest%2Fservices%2FHosted%2FLRSE_Functional_Class%2FFeatureServer%2F22&amp;find="&amp;$F284&amp;"%2C"&amp;$E284&amp;"&amp;marker="&amp;$F284&amp;","&amp;$E284&amp;",4326&amp;level=16",IF(_xlfn.SINGLE(JobState)="WI","https://fema.maps.arcgis.com/apps/mapviewer/index.html?url=https%3A%2F%2Fservices5.arcgis.com%2F0pgGLzT0Nh7FVjon%2Farcgis%2Frest%2Fservices%2FFFCL_gdb%2FFeatureServer%2F3&amp;find="&amp;$F284&amp;"%2C"&amp;$E284&amp;"&amp;marker="&amp;$F284&amp;","&amp;$E284&amp;",4326&amp;level=16","https://fema.maps.arcgis.com/apps/mapviewer/index.html?find="&amp;$F284&amp;"%2C"&amp;$E284&amp;"&amp;marker="&amp;$F284&amp;","&amp;$E284&amp;",4326&amp;level=16"))),"Open"))</f>
        <v/>
      </c>
      <c r="T284" s="4"/>
      <c r="U284" s="4"/>
      <c r="V284" s="4"/>
      <c r="W284" s="4"/>
      <c r="X284" s="4"/>
      <c r="Y284" s="4"/>
      <c r="Z284" s="4"/>
      <c r="AA284" s="4"/>
      <c r="AB284" s="1" t="str">
        <f>IF(OR(_xlfn.SINGLE(JobAgolMap)="", $E284="", $F284=""),"",HYPERLINK(_xlfn.SINGLE(JobAgolMap)&amp;IF(ISNUMBER(FIND("?",_xlfn.SINGLE(JobAgolMap))),"&amp;","?")&amp;"center="&amp;$F284&amp;","&amp;$E284&amp;"&amp;level=16&amp;marker="&amp;$F284&amp;","&amp;$E284,"Open"))</f>
        <v/>
      </c>
    </row>
    <row r="285" spans="1:28" x14ac:dyDescent="0.45">
      <c r="A285" s="3"/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4"/>
      <c r="M285" s="1" t="str">
        <f t="shared" si="24"/>
        <v/>
      </c>
      <c r="N285" s="1" t="str">
        <f t="shared" si="25"/>
        <v/>
      </c>
      <c r="O285" s="1" t="str">
        <f t="shared" si="26"/>
        <v/>
      </c>
      <c r="P285" s="1" t="str">
        <f t="shared" si="27"/>
        <v/>
      </c>
      <c r="Q285" s="1" t="str">
        <f t="shared" si="28"/>
        <v/>
      </c>
      <c r="R285" s="1" t="str">
        <f t="shared" si="29"/>
        <v/>
      </c>
      <c r="S285" s="1" t="str">
        <f>IF(OR($E285="",$F285=""),"",HYPERLINK(IF(OR(_xlfn.SINGLE(JobState)="MI",_xlfn.SINGLE(JobState)=""),"https://fema.maps.arcgis.com/apps/mapviewer/index.html?url=https%3A%2F%2Fmdotgis.state.mi.us%2Farcgis%2Frest%2Fservices%2FWidget%2FNextGenPrFinderPub%2FFeatureServer%2F353&amp;find="&amp;$F285&amp;"%2C"&amp;$E285&amp;"&amp;marker="&amp;$F285&amp;","&amp;$E285&amp;",4326&amp;level=16",IF(_xlfn.SINGLE(JobState)="IN","https://fema.maps.arcgis.com/apps/mapviewer/index.html?url=https%3A%2F%2Fgisdata.in.gov%2Fserver%2Frest%2Fservices%2FHosted%2FLRSE_Functional_Class%2FFeatureServer%2F22&amp;find="&amp;$F285&amp;"%2C"&amp;$E285&amp;"&amp;marker="&amp;$F285&amp;","&amp;$E285&amp;",4326&amp;level=16",IF(_xlfn.SINGLE(JobState)="WI","https://fema.maps.arcgis.com/apps/mapviewer/index.html?url=https%3A%2F%2Fservices5.arcgis.com%2F0pgGLzT0Nh7FVjon%2Farcgis%2Frest%2Fservices%2FFFCL_gdb%2FFeatureServer%2F3&amp;find="&amp;$F285&amp;"%2C"&amp;$E285&amp;"&amp;marker="&amp;$F285&amp;","&amp;$E285&amp;",4326&amp;level=16","https://fema.maps.arcgis.com/apps/mapviewer/index.html?find="&amp;$F285&amp;"%2C"&amp;$E285&amp;"&amp;marker="&amp;$F285&amp;","&amp;$E285&amp;",4326&amp;level=16"))),"Open"))</f>
        <v/>
      </c>
      <c r="T285" s="4"/>
      <c r="U285" s="4"/>
      <c r="V285" s="4"/>
      <c r="W285" s="4"/>
      <c r="X285" s="4"/>
      <c r="Y285" s="4"/>
      <c r="Z285" s="4"/>
      <c r="AA285" s="4"/>
      <c r="AB285" s="1" t="str">
        <f>IF(OR(_xlfn.SINGLE(JobAgolMap)="", $E285="", $F285=""),"",HYPERLINK(_xlfn.SINGLE(JobAgolMap)&amp;IF(ISNUMBER(FIND("?",_xlfn.SINGLE(JobAgolMap))),"&amp;","?")&amp;"center="&amp;$F285&amp;","&amp;$E285&amp;"&amp;level=16&amp;marker="&amp;$F285&amp;","&amp;$E285,"Open"))</f>
        <v/>
      </c>
    </row>
    <row r="286" spans="1:28" x14ac:dyDescent="0.45">
      <c r="A286" s="3"/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4"/>
      <c r="M286" s="1" t="str">
        <f t="shared" si="24"/>
        <v/>
      </c>
      <c r="N286" s="1" t="str">
        <f t="shared" si="25"/>
        <v/>
      </c>
      <c r="O286" s="1" t="str">
        <f t="shared" si="26"/>
        <v/>
      </c>
      <c r="P286" s="1" t="str">
        <f t="shared" si="27"/>
        <v/>
      </c>
      <c r="Q286" s="1" t="str">
        <f t="shared" si="28"/>
        <v/>
      </c>
      <c r="R286" s="1" t="str">
        <f t="shared" si="29"/>
        <v/>
      </c>
      <c r="S286" s="1" t="str">
        <f>IF(OR($E286="",$F286=""),"",HYPERLINK(IF(OR(_xlfn.SINGLE(JobState)="MI",_xlfn.SINGLE(JobState)=""),"https://fema.maps.arcgis.com/apps/mapviewer/index.html?url=https%3A%2F%2Fmdotgis.state.mi.us%2Farcgis%2Frest%2Fservices%2FWidget%2FNextGenPrFinderPub%2FFeatureServer%2F353&amp;find="&amp;$F286&amp;"%2C"&amp;$E286&amp;"&amp;marker="&amp;$F286&amp;","&amp;$E286&amp;",4326&amp;level=16",IF(_xlfn.SINGLE(JobState)="IN","https://fema.maps.arcgis.com/apps/mapviewer/index.html?url=https%3A%2F%2Fgisdata.in.gov%2Fserver%2Frest%2Fservices%2FHosted%2FLRSE_Functional_Class%2FFeatureServer%2F22&amp;find="&amp;$F286&amp;"%2C"&amp;$E286&amp;"&amp;marker="&amp;$F286&amp;","&amp;$E286&amp;",4326&amp;level=16",IF(_xlfn.SINGLE(JobState)="WI","https://fema.maps.arcgis.com/apps/mapviewer/index.html?url=https%3A%2F%2Fservices5.arcgis.com%2F0pgGLzT0Nh7FVjon%2Farcgis%2Frest%2Fservices%2FFFCL_gdb%2FFeatureServer%2F3&amp;find="&amp;$F286&amp;"%2C"&amp;$E286&amp;"&amp;marker="&amp;$F286&amp;","&amp;$E286&amp;",4326&amp;level=16","https://fema.maps.arcgis.com/apps/mapviewer/index.html?find="&amp;$F286&amp;"%2C"&amp;$E286&amp;"&amp;marker="&amp;$F286&amp;","&amp;$E286&amp;",4326&amp;level=16"))),"Open"))</f>
        <v/>
      </c>
      <c r="T286" s="4"/>
      <c r="U286" s="4"/>
      <c r="V286" s="4"/>
      <c r="W286" s="4"/>
      <c r="X286" s="4"/>
      <c r="Y286" s="4"/>
      <c r="Z286" s="4"/>
      <c r="AA286" s="4"/>
      <c r="AB286" s="1" t="str">
        <f>IF(OR(_xlfn.SINGLE(JobAgolMap)="", $E286="", $F286=""),"",HYPERLINK(_xlfn.SINGLE(JobAgolMap)&amp;IF(ISNUMBER(FIND("?",_xlfn.SINGLE(JobAgolMap))),"&amp;","?")&amp;"center="&amp;$F286&amp;","&amp;$E286&amp;"&amp;level=16&amp;marker="&amp;$F286&amp;","&amp;$E286,"Open"))</f>
        <v/>
      </c>
    </row>
    <row r="287" spans="1:28" x14ac:dyDescent="0.45">
      <c r="A287" s="3"/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4"/>
      <c r="M287" s="1" t="str">
        <f t="shared" si="24"/>
        <v/>
      </c>
      <c r="N287" s="1" t="str">
        <f t="shared" si="25"/>
        <v/>
      </c>
      <c r="O287" s="1" t="str">
        <f t="shared" si="26"/>
        <v/>
      </c>
      <c r="P287" s="1" t="str">
        <f t="shared" si="27"/>
        <v/>
      </c>
      <c r="Q287" s="1" t="str">
        <f t="shared" si="28"/>
        <v/>
      </c>
      <c r="R287" s="1" t="str">
        <f t="shared" si="29"/>
        <v/>
      </c>
      <c r="S287" s="1" t="str">
        <f>IF(OR($E287="",$F287=""),"",HYPERLINK(IF(OR(_xlfn.SINGLE(JobState)="MI",_xlfn.SINGLE(JobState)=""),"https://fema.maps.arcgis.com/apps/mapviewer/index.html?url=https%3A%2F%2Fmdotgis.state.mi.us%2Farcgis%2Frest%2Fservices%2FWidget%2FNextGenPrFinderPub%2FFeatureServer%2F353&amp;find="&amp;$F287&amp;"%2C"&amp;$E287&amp;"&amp;marker="&amp;$F287&amp;","&amp;$E287&amp;",4326&amp;level=16",IF(_xlfn.SINGLE(JobState)="IN","https://fema.maps.arcgis.com/apps/mapviewer/index.html?url=https%3A%2F%2Fgisdata.in.gov%2Fserver%2Frest%2Fservices%2FHosted%2FLRSE_Functional_Class%2FFeatureServer%2F22&amp;find="&amp;$F287&amp;"%2C"&amp;$E287&amp;"&amp;marker="&amp;$F287&amp;","&amp;$E287&amp;",4326&amp;level=16",IF(_xlfn.SINGLE(JobState)="WI","https://fema.maps.arcgis.com/apps/mapviewer/index.html?url=https%3A%2F%2Fservices5.arcgis.com%2F0pgGLzT0Nh7FVjon%2Farcgis%2Frest%2Fservices%2FFFCL_gdb%2FFeatureServer%2F3&amp;find="&amp;$F287&amp;"%2C"&amp;$E287&amp;"&amp;marker="&amp;$F287&amp;","&amp;$E287&amp;",4326&amp;level=16","https://fema.maps.arcgis.com/apps/mapviewer/index.html?find="&amp;$F287&amp;"%2C"&amp;$E287&amp;"&amp;marker="&amp;$F287&amp;","&amp;$E287&amp;",4326&amp;level=16"))),"Open"))</f>
        <v/>
      </c>
      <c r="T287" s="4"/>
      <c r="U287" s="4"/>
      <c r="V287" s="4"/>
      <c r="W287" s="4"/>
      <c r="X287" s="4"/>
      <c r="Y287" s="4"/>
      <c r="Z287" s="4"/>
      <c r="AA287" s="4"/>
      <c r="AB287" s="1" t="str">
        <f>IF(OR(_xlfn.SINGLE(JobAgolMap)="", $E287="", $F287=""),"",HYPERLINK(_xlfn.SINGLE(JobAgolMap)&amp;IF(ISNUMBER(FIND("?",_xlfn.SINGLE(JobAgolMap))),"&amp;","?")&amp;"center="&amp;$F287&amp;","&amp;$E287&amp;"&amp;level=16&amp;marker="&amp;$F287&amp;","&amp;$E287,"Open"))</f>
        <v/>
      </c>
    </row>
    <row r="288" spans="1:28" x14ac:dyDescent="0.45">
      <c r="A288" s="3"/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4"/>
      <c r="M288" s="1" t="str">
        <f t="shared" si="24"/>
        <v/>
      </c>
      <c r="N288" s="1" t="str">
        <f t="shared" si="25"/>
        <v/>
      </c>
      <c r="O288" s="1" t="str">
        <f t="shared" si="26"/>
        <v/>
      </c>
      <c r="P288" s="1" t="str">
        <f t="shared" si="27"/>
        <v/>
      </c>
      <c r="Q288" s="1" t="str">
        <f t="shared" si="28"/>
        <v/>
      </c>
      <c r="R288" s="1" t="str">
        <f t="shared" si="29"/>
        <v/>
      </c>
      <c r="S288" s="1" t="str">
        <f>IF(OR($E288="",$F288=""),"",HYPERLINK(IF(OR(_xlfn.SINGLE(JobState)="MI",_xlfn.SINGLE(JobState)=""),"https://fema.maps.arcgis.com/apps/mapviewer/index.html?url=https%3A%2F%2Fmdotgis.state.mi.us%2Farcgis%2Frest%2Fservices%2FWidget%2FNextGenPrFinderPub%2FFeatureServer%2F353&amp;find="&amp;$F288&amp;"%2C"&amp;$E288&amp;"&amp;marker="&amp;$F288&amp;","&amp;$E288&amp;",4326&amp;level=16",IF(_xlfn.SINGLE(JobState)="IN","https://fema.maps.arcgis.com/apps/mapviewer/index.html?url=https%3A%2F%2Fgisdata.in.gov%2Fserver%2Frest%2Fservices%2FHosted%2FLRSE_Functional_Class%2FFeatureServer%2F22&amp;find="&amp;$F288&amp;"%2C"&amp;$E288&amp;"&amp;marker="&amp;$F288&amp;","&amp;$E288&amp;",4326&amp;level=16",IF(_xlfn.SINGLE(JobState)="WI","https://fema.maps.arcgis.com/apps/mapviewer/index.html?url=https%3A%2F%2Fservices5.arcgis.com%2F0pgGLzT0Nh7FVjon%2Farcgis%2Frest%2Fservices%2FFFCL_gdb%2FFeatureServer%2F3&amp;find="&amp;$F288&amp;"%2C"&amp;$E288&amp;"&amp;marker="&amp;$F288&amp;","&amp;$E288&amp;",4326&amp;level=16","https://fema.maps.arcgis.com/apps/mapviewer/index.html?find="&amp;$F288&amp;"%2C"&amp;$E288&amp;"&amp;marker="&amp;$F288&amp;","&amp;$E288&amp;",4326&amp;level=16"))),"Open"))</f>
        <v/>
      </c>
      <c r="T288" s="4"/>
      <c r="U288" s="4"/>
      <c r="V288" s="4"/>
      <c r="W288" s="4"/>
      <c r="X288" s="4"/>
      <c r="Y288" s="4"/>
      <c r="Z288" s="4"/>
      <c r="AA288" s="4"/>
      <c r="AB288" s="1" t="str">
        <f>IF(OR(_xlfn.SINGLE(JobAgolMap)="", $E288="", $F288=""),"",HYPERLINK(_xlfn.SINGLE(JobAgolMap)&amp;IF(ISNUMBER(FIND("?",_xlfn.SINGLE(JobAgolMap))),"&amp;","?")&amp;"center="&amp;$F288&amp;","&amp;$E288&amp;"&amp;level=16&amp;marker="&amp;$F288&amp;","&amp;$E288,"Open"))</f>
        <v/>
      </c>
    </row>
    <row r="289" spans="1:28" x14ac:dyDescent="0.45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4"/>
      <c r="M289" s="1" t="str">
        <f t="shared" si="24"/>
        <v/>
      </c>
      <c r="N289" s="1" t="str">
        <f t="shared" si="25"/>
        <v/>
      </c>
      <c r="O289" s="1" t="str">
        <f t="shared" si="26"/>
        <v/>
      </c>
      <c r="P289" s="1" t="str">
        <f t="shared" si="27"/>
        <v/>
      </c>
      <c r="Q289" s="1" t="str">
        <f t="shared" si="28"/>
        <v/>
      </c>
      <c r="R289" s="1" t="str">
        <f t="shared" si="29"/>
        <v/>
      </c>
      <c r="S289" s="1" t="str">
        <f>IF(OR($E289="",$F289=""),"",HYPERLINK(IF(OR(_xlfn.SINGLE(JobState)="MI",_xlfn.SINGLE(JobState)=""),"https://fema.maps.arcgis.com/apps/mapviewer/index.html?url=https%3A%2F%2Fmdotgis.state.mi.us%2Farcgis%2Frest%2Fservices%2FWidget%2FNextGenPrFinderPub%2FFeatureServer%2F353&amp;find="&amp;$F289&amp;"%2C"&amp;$E289&amp;"&amp;marker="&amp;$F289&amp;","&amp;$E289&amp;",4326&amp;level=16",IF(_xlfn.SINGLE(JobState)="IN","https://fema.maps.arcgis.com/apps/mapviewer/index.html?url=https%3A%2F%2Fgisdata.in.gov%2Fserver%2Frest%2Fservices%2FHosted%2FLRSE_Functional_Class%2FFeatureServer%2F22&amp;find="&amp;$F289&amp;"%2C"&amp;$E289&amp;"&amp;marker="&amp;$F289&amp;","&amp;$E289&amp;",4326&amp;level=16",IF(_xlfn.SINGLE(JobState)="WI","https://fema.maps.arcgis.com/apps/mapviewer/index.html?url=https%3A%2F%2Fservices5.arcgis.com%2F0pgGLzT0Nh7FVjon%2Farcgis%2Frest%2Fservices%2FFFCL_gdb%2FFeatureServer%2F3&amp;find="&amp;$F289&amp;"%2C"&amp;$E289&amp;"&amp;marker="&amp;$F289&amp;","&amp;$E289&amp;",4326&amp;level=16","https://fema.maps.arcgis.com/apps/mapviewer/index.html?find="&amp;$F289&amp;"%2C"&amp;$E289&amp;"&amp;marker="&amp;$F289&amp;","&amp;$E289&amp;",4326&amp;level=16"))),"Open"))</f>
        <v/>
      </c>
      <c r="T289" s="4"/>
      <c r="U289" s="4"/>
      <c r="V289" s="4"/>
      <c r="W289" s="4"/>
      <c r="X289" s="4"/>
      <c r="Y289" s="4"/>
      <c r="Z289" s="4"/>
      <c r="AA289" s="4"/>
      <c r="AB289" s="1" t="str">
        <f>IF(OR(_xlfn.SINGLE(JobAgolMap)="", $E289="", $F289=""),"",HYPERLINK(_xlfn.SINGLE(JobAgolMap)&amp;IF(ISNUMBER(FIND("?",_xlfn.SINGLE(JobAgolMap))),"&amp;","?")&amp;"center="&amp;$F289&amp;","&amp;$E289&amp;"&amp;level=16&amp;marker="&amp;$F289&amp;","&amp;$E289,"Open"))</f>
        <v/>
      </c>
    </row>
    <row r="290" spans="1:28" x14ac:dyDescent="0.45">
      <c r="A290" s="3"/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4"/>
      <c r="M290" s="1" t="str">
        <f t="shared" si="24"/>
        <v/>
      </c>
      <c r="N290" s="1" t="str">
        <f t="shared" si="25"/>
        <v/>
      </c>
      <c r="O290" s="1" t="str">
        <f t="shared" si="26"/>
        <v/>
      </c>
      <c r="P290" s="1" t="str">
        <f t="shared" si="27"/>
        <v/>
      </c>
      <c r="Q290" s="1" t="str">
        <f t="shared" si="28"/>
        <v/>
      </c>
      <c r="R290" s="1" t="str">
        <f t="shared" si="29"/>
        <v/>
      </c>
      <c r="S290" s="1" t="str">
        <f>IF(OR($E290="",$F290=""),"",HYPERLINK(IF(OR(_xlfn.SINGLE(JobState)="MI",_xlfn.SINGLE(JobState)=""),"https://fema.maps.arcgis.com/apps/mapviewer/index.html?url=https%3A%2F%2Fmdotgis.state.mi.us%2Farcgis%2Frest%2Fservices%2FWidget%2FNextGenPrFinderPub%2FFeatureServer%2F353&amp;find="&amp;$F290&amp;"%2C"&amp;$E290&amp;"&amp;marker="&amp;$F290&amp;","&amp;$E290&amp;",4326&amp;level=16",IF(_xlfn.SINGLE(JobState)="IN","https://fema.maps.arcgis.com/apps/mapviewer/index.html?url=https%3A%2F%2Fgisdata.in.gov%2Fserver%2Frest%2Fservices%2FHosted%2FLRSE_Functional_Class%2FFeatureServer%2F22&amp;find="&amp;$F290&amp;"%2C"&amp;$E290&amp;"&amp;marker="&amp;$F290&amp;","&amp;$E290&amp;",4326&amp;level=16",IF(_xlfn.SINGLE(JobState)="WI","https://fema.maps.arcgis.com/apps/mapviewer/index.html?url=https%3A%2F%2Fservices5.arcgis.com%2F0pgGLzT0Nh7FVjon%2Farcgis%2Frest%2Fservices%2FFFCL_gdb%2FFeatureServer%2F3&amp;find="&amp;$F290&amp;"%2C"&amp;$E290&amp;"&amp;marker="&amp;$F290&amp;","&amp;$E290&amp;",4326&amp;level=16","https://fema.maps.arcgis.com/apps/mapviewer/index.html?find="&amp;$F290&amp;"%2C"&amp;$E290&amp;"&amp;marker="&amp;$F290&amp;","&amp;$E290&amp;",4326&amp;level=16"))),"Open"))</f>
        <v/>
      </c>
      <c r="T290" s="4"/>
      <c r="U290" s="4"/>
      <c r="V290" s="4"/>
      <c r="W290" s="4"/>
      <c r="X290" s="4"/>
      <c r="Y290" s="4"/>
      <c r="Z290" s="4"/>
      <c r="AA290" s="4"/>
      <c r="AB290" s="1" t="str">
        <f>IF(OR(_xlfn.SINGLE(JobAgolMap)="", $E290="", $F290=""),"",HYPERLINK(_xlfn.SINGLE(JobAgolMap)&amp;IF(ISNUMBER(FIND("?",_xlfn.SINGLE(JobAgolMap))),"&amp;","?")&amp;"center="&amp;$F290&amp;","&amp;$E290&amp;"&amp;level=16&amp;marker="&amp;$F290&amp;","&amp;$E290,"Open"))</f>
        <v/>
      </c>
    </row>
    <row r="291" spans="1:28" x14ac:dyDescent="0.45">
      <c r="A291" s="3"/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4"/>
      <c r="M291" s="1" t="str">
        <f t="shared" si="24"/>
        <v/>
      </c>
      <c r="N291" s="1" t="str">
        <f t="shared" si="25"/>
        <v/>
      </c>
      <c r="O291" s="1" t="str">
        <f t="shared" si="26"/>
        <v/>
      </c>
      <c r="P291" s="1" t="str">
        <f t="shared" si="27"/>
        <v/>
      </c>
      <c r="Q291" s="1" t="str">
        <f t="shared" si="28"/>
        <v/>
      </c>
      <c r="R291" s="1" t="str">
        <f t="shared" si="29"/>
        <v/>
      </c>
      <c r="S291" s="1" t="str">
        <f>IF(OR($E291="",$F291=""),"",HYPERLINK(IF(OR(_xlfn.SINGLE(JobState)="MI",_xlfn.SINGLE(JobState)=""),"https://fema.maps.arcgis.com/apps/mapviewer/index.html?url=https%3A%2F%2Fmdotgis.state.mi.us%2Farcgis%2Frest%2Fservices%2FWidget%2FNextGenPrFinderPub%2FFeatureServer%2F353&amp;find="&amp;$F291&amp;"%2C"&amp;$E291&amp;"&amp;marker="&amp;$F291&amp;","&amp;$E291&amp;",4326&amp;level=16",IF(_xlfn.SINGLE(JobState)="IN","https://fema.maps.arcgis.com/apps/mapviewer/index.html?url=https%3A%2F%2Fgisdata.in.gov%2Fserver%2Frest%2Fservices%2FHosted%2FLRSE_Functional_Class%2FFeatureServer%2F22&amp;find="&amp;$F291&amp;"%2C"&amp;$E291&amp;"&amp;marker="&amp;$F291&amp;","&amp;$E291&amp;",4326&amp;level=16",IF(_xlfn.SINGLE(JobState)="WI","https://fema.maps.arcgis.com/apps/mapviewer/index.html?url=https%3A%2F%2Fservices5.arcgis.com%2F0pgGLzT0Nh7FVjon%2Farcgis%2Frest%2Fservices%2FFFCL_gdb%2FFeatureServer%2F3&amp;find="&amp;$F291&amp;"%2C"&amp;$E291&amp;"&amp;marker="&amp;$F291&amp;","&amp;$E291&amp;",4326&amp;level=16","https://fema.maps.arcgis.com/apps/mapviewer/index.html?find="&amp;$F291&amp;"%2C"&amp;$E291&amp;"&amp;marker="&amp;$F291&amp;","&amp;$E291&amp;",4326&amp;level=16"))),"Open"))</f>
        <v/>
      </c>
      <c r="T291" s="4"/>
      <c r="U291" s="4"/>
      <c r="V291" s="4"/>
      <c r="W291" s="4"/>
      <c r="X291" s="4"/>
      <c r="Y291" s="4"/>
      <c r="Z291" s="4"/>
      <c r="AA291" s="4"/>
      <c r="AB291" s="1" t="str">
        <f>IF(OR(_xlfn.SINGLE(JobAgolMap)="", $E291="", $F291=""),"",HYPERLINK(_xlfn.SINGLE(JobAgolMap)&amp;IF(ISNUMBER(FIND("?",_xlfn.SINGLE(JobAgolMap))),"&amp;","?")&amp;"center="&amp;$F291&amp;","&amp;$E291&amp;"&amp;level=16&amp;marker="&amp;$F291&amp;","&amp;$E291,"Open"))</f>
        <v/>
      </c>
    </row>
    <row r="292" spans="1:28" x14ac:dyDescent="0.45">
      <c r="A292" s="3"/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4"/>
      <c r="M292" s="1" t="str">
        <f t="shared" si="24"/>
        <v/>
      </c>
      <c r="N292" s="1" t="str">
        <f t="shared" si="25"/>
        <v/>
      </c>
      <c r="O292" s="1" t="str">
        <f t="shared" si="26"/>
        <v/>
      </c>
      <c r="P292" s="1" t="str">
        <f t="shared" si="27"/>
        <v/>
      </c>
      <c r="Q292" s="1" t="str">
        <f t="shared" si="28"/>
        <v/>
      </c>
      <c r="R292" s="1" t="str">
        <f t="shared" si="29"/>
        <v/>
      </c>
      <c r="S292" s="1" t="str">
        <f>IF(OR($E292="",$F292=""),"",HYPERLINK(IF(OR(_xlfn.SINGLE(JobState)="MI",_xlfn.SINGLE(JobState)=""),"https://fema.maps.arcgis.com/apps/mapviewer/index.html?url=https%3A%2F%2Fmdotgis.state.mi.us%2Farcgis%2Frest%2Fservices%2FWidget%2FNextGenPrFinderPub%2FFeatureServer%2F353&amp;find="&amp;$F292&amp;"%2C"&amp;$E292&amp;"&amp;marker="&amp;$F292&amp;","&amp;$E292&amp;",4326&amp;level=16",IF(_xlfn.SINGLE(JobState)="IN","https://fema.maps.arcgis.com/apps/mapviewer/index.html?url=https%3A%2F%2Fgisdata.in.gov%2Fserver%2Frest%2Fservices%2FHosted%2FLRSE_Functional_Class%2FFeatureServer%2F22&amp;find="&amp;$F292&amp;"%2C"&amp;$E292&amp;"&amp;marker="&amp;$F292&amp;","&amp;$E292&amp;",4326&amp;level=16",IF(_xlfn.SINGLE(JobState)="WI","https://fema.maps.arcgis.com/apps/mapviewer/index.html?url=https%3A%2F%2Fservices5.arcgis.com%2F0pgGLzT0Nh7FVjon%2Farcgis%2Frest%2Fservices%2FFFCL_gdb%2FFeatureServer%2F3&amp;find="&amp;$F292&amp;"%2C"&amp;$E292&amp;"&amp;marker="&amp;$F292&amp;","&amp;$E292&amp;",4326&amp;level=16","https://fema.maps.arcgis.com/apps/mapviewer/index.html?find="&amp;$F292&amp;"%2C"&amp;$E292&amp;"&amp;marker="&amp;$F292&amp;","&amp;$E292&amp;",4326&amp;level=16"))),"Open"))</f>
        <v/>
      </c>
      <c r="T292" s="4"/>
      <c r="U292" s="4"/>
      <c r="V292" s="4"/>
      <c r="W292" s="4"/>
      <c r="X292" s="4"/>
      <c r="Y292" s="4"/>
      <c r="Z292" s="4"/>
      <c r="AA292" s="4"/>
      <c r="AB292" s="1" t="str">
        <f>IF(OR(_xlfn.SINGLE(JobAgolMap)="", $E292="", $F292=""),"",HYPERLINK(_xlfn.SINGLE(JobAgolMap)&amp;IF(ISNUMBER(FIND("?",_xlfn.SINGLE(JobAgolMap))),"&amp;","?")&amp;"center="&amp;$F292&amp;","&amp;$E292&amp;"&amp;level=16&amp;marker="&amp;$F292&amp;","&amp;$E292,"Open"))</f>
        <v/>
      </c>
    </row>
    <row r="293" spans="1:28" x14ac:dyDescent="0.45">
      <c r="A293" s="3"/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4"/>
      <c r="M293" s="1" t="str">
        <f t="shared" si="24"/>
        <v/>
      </c>
      <c r="N293" s="1" t="str">
        <f t="shared" si="25"/>
        <v/>
      </c>
      <c r="O293" s="1" t="str">
        <f t="shared" si="26"/>
        <v/>
      </c>
      <c r="P293" s="1" t="str">
        <f t="shared" si="27"/>
        <v/>
      </c>
      <c r="Q293" s="1" t="str">
        <f t="shared" si="28"/>
        <v/>
      </c>
      <c r="R293" s="1" t="str">
        <f t="shared" si="29"/>
        <v/>
      </c>
      <c r="S293" s="1" t="str">
        <f>IF(OR($E293="",$F293=""),"",HYPERLINK(IF(OR(_xlfn.SINGLE(JobState)="MI",_xlfn.SINGLE(JobState)=""),"https://fema.maps.arcgis.com/apps/mapviewer/index.html?url=https%3A%2F%2Fmdotgis.state.mi.us%2Farcgis%2Frest%2Fservices%2FWidget%2FNextGenPrFinderPub%2FFeatureServer%2F353&amp;find="&amp;$F293&amp;"%2C"&amp;$E293&amp;"&amp;marker="&amp;$F293&amp;","&amp;$E293&amp;",4326&amp;level=16",IF(_xlfn.SINGLE(JobState)="IN","https://fema.maps.arcgis.com/apps/mapviewer/index.html?url=https%3A%2F%2Fgisdata.in.gov%2Fserver%2Frest%2Fservices%2FHosted%2FLRSE_Functional_Class%2FFeatureServer%2F22&amp;find="&amp;$F293&amp;"%2C"&amp;$E293&amp;"&amp;marker="&amp;$F293&amp;","&amp;$E293&amp;",4326&amp;level=16",IF(_xlfn.SINGLE(JobState)="WI","https://fema.maps.arcgis.com/apps/mapviewer/index.html?url=https%3A%2F%2Fservices5.arcgis.com%2F0pgGLzT0Nh7FVjon%2Farcgis%2Frest%2Fservices%2FFFCL_gdb%2FFeatureServer%2F3&amp;find="&amp;$F293&amp;"%2C"&amp;$E293&amp;"&amp;marker="&amp;$F293&amp;","&amp;$E293&amp;",4326&amp;level=16","https://fema.maps.arcgis.com/apps/mapviewer/index.html?find="&amp;$F293&amp;"%2C"&amp;$E293&amp;"&amp;marker="&amp;$F293&amp;","&amp;$E293&amp;",4326&amp;level=16"))),"Open"))</f>
        <v/>
      </c>
      <c r="T293" s="4"/>
      <c r="U293" s="4"/>
      <c r="V293" s="4"/>
      <c r="W293" s="4"/>
      <c r="X293" s="4"/>
      <c r="Y293" s="4"/>
      <c r="Z293" s="4"/>
      <c r="AA293" s="4"/>
      <c r="AB293" s="1" t="str">
        <f>IF(OR(_xlfn.SINGLE(JobAgolMap)="", $E293="", $F293=""),"",HYPERLINK(_xlfn.SINGLE(JobAgolMap)&amp;IF(ISNUMBER(FIND("?",_xlfn.SINGLE(JobAgolMap))),"&amp;","?")&amp;"center="&amp;$F293&amp;","&amp;$E293&amp;"&amp;level=16&amp;marker="&amp;$F293&amp;","&amp;$E293,"Open"))</f>
        <v/>
      </c>
    </row>
    <row r="294" spans="1:28" x14ac:dyDescent="0.45">
      <c r="A294" s="3"/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4"/>
      <c r="M294" s="1" t="str">
        <f t="shared" si="24"/>
        <v/>
      </c>
      <c r="N294" s="1" t="str">
        <f t="shared" si="25"/>
        <v/>
      </c>
      <c r="O294" s="1" t="str">
        <f t="shared" si="26"/>
        <v/>
      </c>
      <c r="P294" s="1" t="str">
        <f t="shared" si="27"/>
        <v/>
      </c>
      <c r="Q294" s="1" t="str">
        <f t="shared" si="28"/>
        <v/>
      </c>
      <c r="R294" s="1" t="str">
        <f t="shared" si="29"/>
        <v/>
      </c>
      <c r="S294" s="1" t="str">
        <f>IF(OR($E294="",$F294=""),"",HYPERLINK(IF(OR(_xlfn.SINGLE(JobState)="MI",_xlfn.SINGLE(JobState)=""),"https://fema.maps.arcgis.com/apps/mapviewer/index.html?url=https%3A%2F%2Fmdotgis.state.mi.us%2Farcgis%2Frest%2Fservices%2FWidget%2FNextGenPrFinderPub%2FFeatureServer%2F353&amp;find="&amp;$F294&amp;"%2C"&amp;$E294&amp;"&amp;marker="&amp;$F294&amp;","&amp;$E294&amp;",4326&amp;level=16",IF(_xlfn.SINGLE(JobState)="IN","https://fema.maps.arcgis.com/apps/mapviewer/index.html?url=https%3A%2F%2Fgisdata.in.gov%2Fserver%2Frest%2Fservices%2FHosted%2FLRSE_Functional_Class%2FFeatureServer%2F22&amp;find="&amp;$F294&amp;"%2C"&amp;$E294&amp;"&amp;marker="&amp;$F294&amp;","&amp;$E294&amp;",4326&amp;level=16",IF(_xlfn.SINGLE(JobState)="WI","https://fema.maps.arcgis.com/apps/mapviewer/index.html?url=https%3A%2F%2Fservices5.arcgis.com%2F0pgGLzT0Nh7FVjon%2Farcgis%2Frest%2Fservices%2FFFCL_gdb%2FFeatureServer%2F3&amp;find="&amp;$F294&amp;"%2C"&amp;$E294&amp;"&amp;marker="&amp;$F294&amp;","&amp;$E294&amp;",4326&amp;level=16","https://fema.maps.arcgis.com/apps/mapviewer/index.html?find="&amp;$F294&amp;"%2C"&amp;$E294&amp;"&amp;marker="&amp;$F294&amp;","&amp;$E294&amp;",4326&amp;level=16"))),"Open"))</f>
        <v/>
      </c>
      <c r="T294" s="4"/>
      <c r="U294" s="4"/>
      <c r="V294" s="4"/>
      <c r="W294" s="4"/>
      <c r="X294" s="4"/>
      <c r="Y294" s="4"/>
      <c r="Z294" s="4"/>
      <c r="AA294" s="4"/>
      <c r="AB294" s="1" t="str">
        <f>IF(OR(_xlfn.SINGLE(JobAgolMap)="", $E294="", $F294=""),"",HYPERLINK(_xlfn.SINGLE(JobAgolMap)&amp;IF(ISNUMBER(FIND("?",_xlfn.SINGLE(JobAgolMap))),"&amp;","?")&amp;"center="&amp;$F294&amp;","&amp;$E294&amp;"&amp;level=16&amp;marker="&amp;$F294&amp;","&amp;$E294,"Open"))</f>
        <v/>
      </c>
    </row>
    <row r="295" spans="1:28" x14ac:dyDescent="0.45">
      <c r="A295" s="3"/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4"/>
      <c r="M295" s="1" t="str">
        <f t="shared" si="24"/>
        <v/>
      </c>
      <c r="N295" s="1" t="str">
        <f t="shared" si="25"/>
        <v/>
      </c>
      <c r="O295" s="1" t="str">
        <f t="shared" si="26"/>
        <v/>
      </c>
      <c r="P295" s="1" t="str">
        <f t="shared" si="27"/>
        <v/>
      </c>
      <c r="Q295" s="1" t="str">
        <f t="shared" si="28"/>
        <v/>
      </c>
      <c r="R295" s="1" t="str">
        <f t="shared" si="29"/>
        <v/>
      </c>
      <c r="S295" s="1" t="str">
        <f>IF(OR($E295="",$F295=""),"",HYPERLINK(IF(OR(_xlfn.SINGLE(JobState)="MI",_xlfn.SINGLE(JobState)=""),"https://fema.maps.arcgis.com/apps/mapviewer/index.html?url=https%3A%2F%2Fmdotgis.state.mi.us%2Farcgis%2Frest%2Fservices%2FWidget%2FNextGenPrFinderPub%2FFeatureServer%2F353&amp;find="&amp;$F295&amp;"%2C"&amp;$E295&amp;"&amp;marker="&amp;$F295&amp;","&amp;$E295&amp;",4326&amp;level=16",IF(_xlfn.SINGLE(JobState)="IN","https://fema.maps.arcgis.com/apps/mapviewer/index.html?url=https%3A%2F%2Fgisdata.in.gov%2Fserver%2Frest%2Fservices%2FHosted%2FLRSE_Functional_Class%2FFeatureServer%2F22&amp;find="&amp;$F295&amp;"%2C"&amp;$E295&amp;"&amp;marker="&amp;$F295&amp;","&amp;$E295&amp;",4326&amp;level=16",IF(_xlfn.SINGLE(JobState)="WI","https://fema.maps.arcgis.com/apps/mapviewer/index.html?url=https%3A%2F%2Fservices5.arcgis.com%2F0pgGLzT0Nh7FVjon%2Farcgis%2Frest%2Fservices%2FFFCL_gdb%2FFeatureServer%2F3&amp;find="&amp;$F295&amp;"%2C"&amp;$E295&amp;"&amp;marker="&amp;$F295&amp;","&amp;$E295&amp;",4326&amp;level=16","https://fema.maps.arcgis.com/apps/mapviewer/index.html?find="&amp;$F295&amp;"%2C"&amp;$E295&amp;"&amp;marker="&amp;$F295&amp;","&amp;$E295&amp;",4326&amp;level=16"))),"Open"))</f>
        <v/>
      </c>
      <c r="T295" s="4"/>
      <c r="U295" s="4"/>
      <c r="V295" s="4"/>
      <c r="W295" s="4"/>
      <c r="X295" s="4"/>
      <c r="Y295" s="4"/>
      <c r="Z295" s="4"/>
      <c r="AA295" s="4"/>
      <c r="AB295" s="1" t="str">
        <f>IF(OR(_xlfn.SINGLE(JobAgolMap)="", $E295="", $F295=""),"",HYPERLINK(_xlfn.SINGLE(JobAgolMap)&amp;IF(ISNUMBER(FIND("?",_xlfn.SINGLE(JobAgolMap))),"&amp;","?")&amp;"center="&amp;$F295&amp;","&amp;$E295&amp;"&amp;level=16&amp;marker="&amp;$F295&amp;","&amp;$E295,"Open"))</f>
        <v/>
      </c>
    </row>
    <row r="296" spans="1:28" x14ac:dyDescent="0.45">
      <c r="A296" s="3"/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4"/>
      <c r="M296" s="1" t="str">
        <f t="shared" si="24"/>
        <v/>
      </c>
      <c r="N296" s="1" t="str">
        <f t="shared" si="25"/>
        <v/>
      </c>
      <c r="O296" s="1" t="str">
        <f t="shared" si="26"/>
        <v/>
      </c>
      <c r="P296" s="1" t="str">
        <f t="shared" si="27"/>
        <v/>
      </c>
      <c r="Q296" s="1" t="str">
        <f t="shared" si="28"/>
        <v/>
      </c>
      <c r="R296" s="1" t="str">
        <f t="shared" si="29"/>
        <v/>
      </c>
      <c r="S296" s="1" t="str">
        <f>IF(OR($E296="",$F296=""),"",HYPERLINK(IF(OR(_xlfn.SINGLE(JobState)="MI",_xlfn.SINGLE(JobState)=""),"https://fema.maps.arcgis.com/apps/mapviewer/index.html?url=https%3A%2F%2Fmdotgis.state.mi.us%2Farcgis%2Frest%2Fservices%2FWidget%2FNextGenPrFinderPub%2FFeatureServer%2F353&amp;find="&amp;$F296&amp;"%2C"&amp;$E296&amp;"&amp;marker="&amp;$F296&amp;","&amp;$E296&amp;",4326&amp;level=16",IF(_xlfn.SINGLE(JobState)="IN","https://fema.maps.arcgis.com/apps/mapviewer/index.html?url=https%3A%2F%2Fgisdata.in.gov%2Fserver%2Frest%2Fservices%2FHosted%2FLRSE_Functional_Class%2FFeatureServer%2F22&amp;find="&amp;$F296&amp;"%2C"&amp;$E296&amp;"&amp;marker="&amp;$F296&amp;","&amp;$E296&amp;",4326&amp;level=16",IF(_xlfn.SINGLE(JobState)="WI","https://fema.maps.arcgis.com/apps/mapviewer/index.html?url=https%3A%2F%2Fservices5.arcgis.com%2F0pgGLzT0Nh7FVjon%2Farcgis%2Frest%2Fservices%2FFFCL_gdb%2FFeatureServer%2F3&amp;find="&amp;$F296&amp;"%2C"&amp;$E296&amp;"&amp;marker="&amp;$F296&amp;","&amp;$E296&amp;",4326&amp;level=16","https://fema.maps.arcgis.com/apps/mapviewer/index.html?find="&amp;$F296&amp;"%2C"&amp;$E296&amp;"&amp;marker="&amp;$F296&amp;","&amp;$E296&amp;",4326&amp;level=16"))),"Open"))</f>
        <v/>
      </c>
      <c r="T296" s="4"/>
      <c r="U296" s="4"/>
      <c r="V296" s="4"/>
      <c r="W296" s="4"/>
      <c r="X296" s="4"/>
      <c r="Y296" s="4"/>
      <c r="Z296" s="4"/>
      <c r="AA296" s="4"/>
      <c r="AB296" s="1" t="str">
        <f>IF(OR(_xlfn.SINGLE(JobAgolMap)="", $E296="", $F296=""),"",HYPERLINK(_xlfn.SINGLE(JobAgolMap)&amp;IF(ISNUMBER(FIND("?",_xlfn.SINGLE(JobAgolMap))),"&amp;","?")&amp;"center="&amp;$F296&amp;","&amp;$E296&amp;"&amp;level=16&amp;marker="&amp;$F296&amp;","&amp;$E296,"Open"))</f>
        <v/>
      </c>
    </row>
    <row r="297" spans="1:28" x14ac:dyDescent="0.45">
      <c r="A297" s="3"/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4"/>
      <c r="M297" s="1" t="str">
        <f t="shared" si="24"/>
        <v/>
      </c>
      <c r="N297" s="1" t="str">
        <f t="shared" si="25"/>
        <v/>
      </c>
      <c r="O297" s="1" t="str">
        <f t="shared" si="26"/>
        <v/>
      </c>
      <c r="P297" s="1" t="str">
        <f t="shared" si="27"/>
        <v/>
      </c>
      <c r="Q297" s="1" t="str">
        <f t="shared" si="28"/>
        <v/>
      </c>
      <c r="R297" s="1" t="str">
        <f t="shared" si="29"/>
        <v/>
      </c>
      <c r="S297" s="1" t="str">
        <f>IF(OR($E297="",$F297=""),"",HYPERLINK(IF(OR(_xlfn.SINGLE(JobState)="MI",_xlfn.SINGLE(JobState)=""),"https://fema.maps.arcgis.com/apps/mapviewer/index.html?url=https%3A%2F%2Fmdotgis.state.mi.us%2Farcgis%2Frest%2Fservices%2FWidget%2FNextGenPrFinderPub%2FFeatureServer%2F353&amp;find="&amp;$F297&amp;"%2C"&amp;$E297&amp;"&amp;marker="&amp;$F297&amp;","&amp;$E297&amp;",4326&amp;level=16",IF(_xlfn.SINGLE(JobState)="IN","https://fema.maps.arcgis.com/apps/mapviewer/index.html?url=https%3A%2F%2Fgisdata.in.gov%2Fserver%2Frest%2Fservices%2FHosted%2FLRSE_Functional_Class%2FFeatureServer%2F22&amp;find="&amp;$F297&amp;"%2C"&amp;$E297&amp;"&amp;marker="&amp;$F297&amp;","&amp;$E297&amp;",4326&amp;level=16",IF(_xlfn.SINGLE(JobState)="WI","https://fema.maps.arcgis.com/apps/mapviewer/index.html?url=https%3A%2F%2Fservices5.arcgis.com%2F0pgGLzT0Nh7FVjon%2Farcgis%2Frest%2Fservices%2FFFCL_gdb%2FFeatureServer%2F3&amp;find="&amp;$F297&amp;"%2C"&amp;$E297&amp;"&amp;marker="&amp;$F297&amp;","&amp;$E297&amp;",4326&amp;level=16","https://fema.maps.arcgis.com/apps/mapviewer/index.html?find="&amp;$F297&amp;"%2C"&amp;$E297&amp;"&amp;marker="&amp;$F297&amp;","&amp;$E297&amp;",4326&amp;level=16"))),"Open"))</f>
        <v/>
      </c>
      <c r="T297" s="4"/>
      <c r="U297" s="4"/>
      <c r="V297" s="4"/>
      <c r="W297" s="4"/>
      <c r="X297" s="4"/>
      <c r="Y297" s="4"/>
      <c r="Z297" s="4"/>
      <c r="AA297" s="4"/>
      <c r="AB297" s="1" t="str">
        <f>IF(OR(_xlfn.SINGLE(JobAgolMap)="", $E297="", $F297=""),"",HYPERLINK(_xlfn.SINGLE(JobAgolMap)&amp;IF(ISNUMBER(FIND("?",_xlfn.SINGLE(JobAgolMap))),"&amp;","?")&amp;"center="&amp;$F297&amp;","&amp;$E297&amp;"&amp;level=16&amp;marker="&amp;$F297&amp;","&amp;$E297,"Open"))</f>
        <v/>
      </c>
    </row>
    <row r="298" spans="1:28" x14ac:dyDescent="0.45">
      <c r="A298" s="3"/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4"/>
      <c r="M298" s="1" t="str">
        <f t="shared" si="24"/>
        <v/>
      </c>
      <c r="N298" s="1" t="str">
        <f t="shared" si="25"/>
        <v/>
      </c>
      <c r="O298" s="1" t="str">
        <f t="shared" si="26"/>
        <v/>
      </c>
      <c r="P298" s="1" t="str">
        <f t="shared" si="27"/>
        <v/>
      </c>
      <c r="Q298" s="1" t="str">
        <f t="shared" si="28"/>
        <v/>
      </c>
      <c r="R298" s="1" t="str">
        <f t="shared" si="29"/>
        <v/>
      </c>
      <c r="S298" s="1" t="str">
        <f>IF(OR($E298="",$F298=""),"",HYPERLINK(IF(OR(_xlfn.SINGLE(JobState)="MI",_xlfn.SINGLE(JobState)=""),"https://fema.maps.arcgis.com/apps/mapviewer/index.html?url=https%3A%2F%2Fmdotgis.state.mi.us%2Farcgis%2Frest%2Fservices%2FWidget%2FNextGenPrFinderPub%2FFeatureServer%2F353&amp;find="&amp;$F298&amp;"%2C"&amp;$E298&amp;"&amp;marker="&amp;$F298&amp;","&amp;$E298&amp;",4326&amp;level=16",IF(_xlfn.SINGLE(JobState)="IN","https://fema.maps.arcgis.com/apps/mapviewer/index.html?url=https%3A%2F%2Fgisdata.in.gov%2Fserver%2Frest%2Fservices%2FHosted%2FLRSE_Functional_Class%2FFeatureServer%2F22&amp;find="&amp;$F298&amp;"%2C"&amp;$E298&amp;"&amp;marker="&amp;$F298&amp;","&amp;$E298&amp;",4326&amp;level=16",IF(_xlfn.SINGLE(JobState)="WI","https://fema.maps.arcgis.com/apps/mapviewer/index.html?url=https%3A%2F%2Fservices5.arcgis.com%2F0pgGLzT0Nh7FVjon%2Farcgis%2Frest%2Fservices%2FFFCL_gdb%2FFeatureServer%2F3&amp;find="&amp;$F298&amp;"%2C"&amp;$E298&amp;"&amp;marker="&amp;$F298&amp;","&amp;$E298&amp;",4326&amp;level=16","https://fema.maps.arcgis.com/apps/mapviewer/index.html?find="&amp;$F298&amp;"%2C"&amp;$E298&amp;"&amp;marker="&amp;$F298&amp;","&amp;$E298&amp;",4326&amp;level=16"))),"Open"))</f>
        <v/>
      </c>
      <c r="T298" s="4"/>
      <c r="U298" s="4"/>
      <c r="V298" s="4"/>
      <c r="W298" s="4"/>
      <c r="X298" s="4"/>
      <c r="Y298" s="4"/>
      <c r="Z298" s="4"/>
      <c r="AA298" s="4"/>
      <c r="AB298" s="1" t="str">
        <f>IF(OR(_xlfn.SINGLE(JobAgolMap)="", $E298="", $F298=""),"",HYPERLINK(_xlfn.SINGLE(JobAgolMap)&amp;IF(ISNUMBER(FIND("?",_xlfn.SINGLE(JobAgolMap))),"&amp;","?")&amp;"center="&amp;$F298&amp;","&amp;$E298&amp;"&amp;level=16&amp;marker="&amp;$F298&amp;","&amp;$E298,"Open"))</f>
        <v/>
      </c>
    </row>
    <row r="299" spans="1:28" x14ac:dyDescent="0.45">
      <c r="A299" s="3"/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4"/>
      <c r="M299" s="1" t="str">
        <f t="shared" si="24"/>
        <v/>
      </c>
      <c r="N299" s="1" t="str">
        <f t="shared" si="25"/>
        <v/>
      </c>
      <c r="O299" s="1" t="str">
        <f t="shared" si="26"/>
        <v/>
      </c>
      <c r="P299" s="1" t="str">
        <f t="shared" si="27"/>
        <v/>
      </c>
      <c r="Q299" s="1" t="str">
        <f t="shared" si="28"/>
        <v/>
      </c>
      <c r="R299" s="1" t="str">
        <f t="shared" si="29"/>
        <v/>
      </c>
      <c r="S299" s="1" t="str">
        <f>IF(OR($E299="",$F299=""),"",HYPERLINK(IF(OR(_xlfn.SINGLE(JobState)="MI",_xlfn.SINGLE(JobState)=""),"https://fema.maps.arcgis.com/apps/mapviewer/index.html?url=https%3A%2F%2Fmdotgis.state.mi.us%2Farcgis%2Frest%2Fservices%2FWidget%2FNextGenPrFinderPub%2FFeatureServer%2F353&amp;find="&amp;$F299&amp;"%2C"&amp;$E299&amp;"&amp;marker="&amp;$F299&amp;","&amp;$E299&amp;",4326&amp;level=16",IF(_xlfn.SINGLE(JobState)="IN","https://fema.maps.arcgis.com/apps/mapviewer/index.html?url=https%3A%2F%2Fgisdata.in.gov%2Fserver%2Frest%2Fservices%2FHosted%2FLRSE_Functional_Class%2FFeatureServer%2F22&amp;find="&amp;$F299&amp;"%2C"&amp;$E299&amp;"&amp;marker="&amp;$F299&amp;","&amp;$E299&amp;",4326&amp;level=16",IF(_xlfn.SINGLE(JobState)="WI","https://fema.maps.arcgis.com/apps/mapviewer/index.html?url=https%3A%2F%2Fservices5.arcgis.com%2F0pgGLzT0Nh7FVjon%2Farcgis%2Frest%2Fservices%2FFFCL_gdb%2FFeatureServer%2F3&amp;find="&amp;$F299&amp;"%2C"&amp;$E299&amp;"&amp;marker="&amp;$F299&amp;","&amp;$E299&amp;",4326&amp;level=16","https://fema.maps.arcgis.com/apps/mapviewer/index.html?find="&amp;$F299&amp;"%2C"&amp;$E299&amp;"&amp;marker="&amp;$F299&amp;","&amp;$E299&amp;",4326&amp;level=16"))),"Open"))</f>
        <v/>
      </c>
      <c r="T299" s="4"/>
      <c r="U299" s="4"/>
      <c r="V299" s="4"/>
      <c r="W299" s="4"/>
      <c r="X299" s="4"/>
      <c r="Y299" s="4"/>
      <c r="Z299" s="4"/>
      <c r="AA299" s="4"/>
      <c r="AB299" s="1" t="str">
        <f>IF(OR(_xlfn.SINGLE(JobAgolMap)="", $E299="", $F299=""),"",HYPERLINK(_xlfn.SINGLE(JobAgolMap)&amp;IF(ISNUMBER(FIND("?",_xlfn.SINGLE(JobAgolMap))),"&amp;","?")&amp;"center="&amp;$F299&amp;","&amp;$E299&amp;"&amp;level=16&amp;marker="&amp;$F299&amp;","&amp;$E299,"Open"))</f>
        <v/>
      </c>
    </row>
    <row r="300" spans="1:28" x14ac:dyDescent="0.45">
      <c r="A300" s="3"/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4"/>
      <c r="M300" s="1" t="str">
        <f t="shared" si="24"/>
        <v/>
      </c>
      <c r="N300" s="1" t="str">
        <f t="shared" si="25"/>
        <v/>
      </c>
      <c r="O300" s="1" t="str">
        <f t="shared" si="26"/>
        <v/>
      </c>
      <c r="P300" s="1" t="str">
        <f t="shared" si="27"/>
        <v/>
      </c>
      <c r="Q300" s="1" t="str">
        <f t="shared" si="28"/>
        <v/>
      </c>
      <c r="R300" s="1" t="str">
        <f t="shared" si="29"/>
        <v/>
      </c>
      <c r="S300" s="1" t="str">
        <f>IF(OR($E300="",$F300=""),"",HYPERLINK(IF(OR(_xlfn.SINGLE(JobState)="MI",_xlfn.SINGLE(JobState)=""),"https://fema.maps.arcgis.com/apps/mapviewer/index.html?url=https%3A%2F%2Fmdotgis.state.mi.us%2Farcgis%2Frest%2Fservices%2FWidget%2FNextGenPrFinderPub%2FFeatureServer%2F353&amp;find="&amp;$F300&amp;"%2C"&amp;$E300&amp;"&amp;marker="&amp;$F300&amp;","&amp;$E300&amp;",4326&amp;level=16",IF(_xlfn.SINGLE(JobState)="IN","https://fema.maps.arcgis.com/apps/mapviewer/index.html?url=https%3A%2F%2Fgisdata.in.gov%2Fserver%2Frest%2Fservices%2FHosted%2FLRSE_Functional_Class%2FFeatureServer%2F22&amp;find="&amp;$F300&amp;"%2C"&amp;$E300&amp;"&amp;marker="&amp;$F300&amp;","&amp;$E300&amp;",4326&amp;level=16",IF(_xlfn.SINGLE(JobState)="WI","https://fema.maps.arcgis.com/apps/mapviewer/index.html?url=https%3A%2F%2Fservices5.arcgis.com%2F0pgGLzT0Nh7FVjon%2Farcgis%2Frest%2Fservices%2FFFCL_gdb%2FFeatureServer%2F3&amp;find="&amp;$F300&amp;"%2C"&amp;$E300&amp;"&amp;marker="&amp;$F300&amp;","&amp;$E300&amp;",4326&amp;level=16","https://fema.maps.arcgis.com/apps/mapviewer/index.html?find="&amp;$F300&amp;"%2C"&amp;$E300&amp;"&amp;marker="&amp;$F300&amp;","&amp;$E300&amp;",4326&amp;level=16"))),"Open"))</f>
        <v/>
      </c>
      <c r="T300" s="4"/>
      <c r="U300" s="4"/>
      <c r="V300" s="4"/>
      <c r="W300" s="4"/>
      <c r="X300" s="4"/>
      <c r="Y300" s="4"/>
      <c r="Z300" s="4"/>
      <c r="AA300" s="4"/>
      <c r="AB300" s="1" t="str">
        <f>IF(OR(_xlfn.SINGLE(JobAgolMap)="", $E300="", $F300=""),"",HYPERLINK(_xlfn.SINGLE(JobAgolMap)&amp;IF(ISNUMBER(FIND("?",_xlfn.SINGLE(JobAgolMap))),"&amp;","?")&amp;"center="&amp;$F300&amp;","&amp;$E300&amp;"&amp;level=16&amp;marker="&amp;$F300&amp;","&amp;$E300,"Open"))</f>
        <v/>
      </c>
    </row>
    <row r="301" spans="1:28" x14ac:dyDescent="0.45">
      <c r="A301" s="3"/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4"/>
      <c r="M301" s="1" t="str">
        <f t="shared" si="24"/>
        <v/>
      </c>
      <c r="N301" s="1" t="str">
        <f t="shared" si="25"/>
        <v/>
      </c>
      <c r="O301" s="1" t="str">
        <f t="shared" si="26"/>
        <v/>
      </c>
      <c r="P301" s="1" t="str">
        <f t="shared" si="27"/>
        <v/>
      </c>
      <c r="Q301" s="1" t="str">
        <f t="shared" si="28"/>
        <v/>
      </c>
      <c r="R301" s="1" t="str">
        <f t="shared" si="29"/>
        <v/>
      </c>
      <c r="S301" s="1" t="str">
        <f>IF(OR($E301="",$F301=""),"",HYPERLINK(IF(OR(_xlfn.SINGLE(JobState)="MI",_xlfn.SINGLE(JobState)=""),"https://fema.maps.arcgis.com/apps/mapviewer/index.html?url=https%3A%2F%2Fmdotgis.state.mi.us%2Farcgis%2Frest%2Fservices%2FWidget%2FNextGenPrFinderPub%2FFeatureServer%2F353&amp;find="&amp;$F301&amp;"%2C"&amp;$E301&amp;"&amp;marker="&amp;$F301&amp;","&amp;$E301&amp;",4326&amp;level=16",IF(_xlfn.SINGLE(JobState)="IN","https://fema.maps.arcgis.com/apps/mapviewer/index.html?url=https%3A%2F%2Fgisdata.in.gov%2Fserver%2Frest%2Fservices%2FHosted%2FLRSE_Functional_Class%2FFeatureServer%2F22&amp;find="&amp;$F301&amp;"%2C"&amp;$E301&amp;"&amp;marker="&amp;$F301&amp;","&amp;$E301&amp;",4326&amp;level=16",IF(_xlfn.SINGLE(JobState)="WI","https://fema.maps.arcgis.com/apps/mapviewer/index.html?url=https%3A%2F%2Fservices5.arcgis.com%2F0pgGLzT0Nh7FVjon%2Farcgis%2Frest%2Fservices%2FFFCL_gdb%2FFeatureServer%2F3&amp;find="&amp;$F301&amp;"%2C"&amp;$E301&amp;"&amp;marker="&amp;$F301&amp;","&amp;$E301&amp;",4326&amp;level=16","https://fema.maps.arcgis.com/apps/mapviewer/index.html?find="&amp;$F301&amp;"%2C"&amp;$E301&amp;"&amp;marker="&amp;$F301&amp;","&amp;$E301&amp;",4326&amp;level=16"))),"Open"))</f>
        <v/>
      </c>
      <c r="T301" s="4"/>
      <c r="U301" s="4"/>
      <c r="V301" s="4"/>
      <c r="W301" s="4"/>
      <c r="X301" s="4"/>
      <c r="Y301" s="4"/>
      <c r="Z301" s="4"/>
      <c r="AA301" s="4"/>
      <c r="AB301" s="1" t="str">
        <f>IF(OR(_xlfn.SINGLE(JobAgolMap)="", $E301="", $F301=""),"",HYPERLINK(_xlfn.SINGLE(JobAgolMap)&amp;IF(ISNUMBER(FIND("?",_xlfn.SINGLE(JobAgolMap))),"&amp;","?")&amp;"center="&amp;$F301&amp;","&amp;$E301&amp;"&amp;level=16&amp;marker="&amp;$F301&amp;","&amp;$E301,"Open"))</f>
        <v/>
      </c>
    </row>
    <row r="302" spans="1:28" x14ac:dyDescent="0.45">
      <c r="A302" s="3"/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4"/>
      <c r="M302" s="1" t="str">
        <f t="shared" si="24"/>
        <v/>
      </c>
      <c r="N302" s="1" t="str">
        <f t="shared" si="25"/>
        <v/>
      </c>
      <c r="O302" s="1" t="str">
        <f t="shared" si="26"/>
        <v/>
      </c>
      <c r="P302" s="1" t="str">
        <f t="shared" si="27"/>
        <v/>
      </c>
      <c r="Q302" s="1" t="str">
        <f t="shared" si="28"/>
        <v/>
      </c>
      <c r="R302" s="1" t="str">
        <f t="shared" si="29"/>
        <v/>
      </c>
      <c r="S302" s="1" t="str">
        <f>IF(OR($E302="",$F302=""),"",HYPERLINK(IF(OR(_xlfn.SINGLE(JobState)="MI",_xlfn.SINGLE(JobState)=""),"https://fema.maps.arcgis.com/apps/mapviewer/index.html?url=https%3A%2F%2Fmdotgis.state.mi.us%2Farcgis%2Frest%2Fservices%2FWidget%2FNextGenPrFinderPub%2FFeatureServer%2F353&amp;find="&amp;$F302&amp;"%2C"&amp;$E302&amp;"&amp;marker="&amp;$F302&amp;","&amp;$E302&amp;",4326&amp;level=16",IF(_xlfn.SINGLE(JobState)="IN","https://fema.maps.arcgis.com/apps/mapviewer/index.html?url=https%3A%2F%2Fgisdata.in.gov%2Fserver%2Frest%2Fservices%2FHosted%2FLRSE_Functional_Class%2FFeatureServer%2F22&amp;find="&amp;$F302&amp;"%2C"&amp;$E302&amp;"&amp;marker="&amp;$F302&amp;","&amp;$E302&amp;",4326&amp;level=16",IF(_xlfn.SINGLE(JobState)="WI","https://fema.maps.arcgis.com/apps/mapviewer/index.html?url=https%3A%2F%2Fservices5.arcgis.com%2F0pgGLzT0Nh7FVjon%2Farcgis%2Frest%2Fservices%2FFFCL_gdb%2FFeatureServer%2F3&amp;find="&amp;$F302&amp;"%2C"&amp;$E302&amp;"&amp;marker="&amp;$F302&amp;","&amp;$E302&amp;",4326&amp;level=16","https://fema.maps.arcgis.com/apps/mapviewer/index.html?find="&amp;$F302&amp;"%2C"&amp;$E302&amp;"&amp;marker="&amp;$F302&amp;","&amp;$E302&amp;",4326&amp;level=16"))),"Open"))</f>
        <v/>
      </c>
      <c r="T302" s="4"/>
      <c r="U302" s="4"/>
      <c r="V302" s="4"/>
      <c r="W302" s="4"/>
      <c r="X302" s="4"/>
      <c r="Y302" s="4"/>
      <c r="Z302" s="4"/>
      <c r="AA302" s="4"/>
      <c r="AB302" s="1" t="str">
        <f>IF(OR(_xlfn.SINGLE(JobAgolMap)="", $E302="", $F302=""),"",HYPERLINK(_xlfn.SINGLE(JobAgolMap)&amp;IF(ISNUMBER(FIND("?",_xlfn.SINGLE(JobAgolMap))),"&amp;","?")&amp;"center="&amp;$F302&amp;","&amp;$E302&amp;"&amp;level=16&amp;marker="&amp;$F302&amp;","&amp;$E302,"Open"))</f>
        <v/>
      </c>
    </row>
    <row r="303" spans="1:28" x14ac:dyDescent="0.45">
      <c r="A303" s="3"/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4"/>
      <c r="M303" s="1" t="str">
        <f t="shared" si="24"/>
        <v/>
      </c>
      <c r="N303" s="1" t="str">
        <f t="shared" si="25"/>
        <v/>
      </c>
      <c r="O303" s="1" t="str">
        <f t="shared" si="26"/>
        <v/>
      </c>
      <c r="P303" s="1" t="str">
        <f t="shared" si="27"/>
        <v/>
      </c>
      <c r="Q303" s="1" t="str">
        <f t="shared" si="28"/>
        <v/>
      </c>
      <c r="R303" s="1" t="str">
        <f t="shared" si="29"/>
        <v/>
      </c>
      <c r="S303" s="1" t="str">
        <f>IF(OR($E303="",$F303=""),"",HYPERLINK(IF(OR(_xlfn.SINGLE(JobState)="MI",_xlfn.SINGLE(JobState)=""),"https://fema.maps.arcgis.com/apps/mapviewer/index.html?url=https%3A%2F%2Fmdotgis.state.mi.us%2Farcgis%2Frest%2Fservices%2FWidget%2FNextGenPrFinderPub%2FFeatureServer%2F353&amp;find="&amp;$F303&amp;"%2C"&amp;$E303&amp;"&amp;marker="&amp;$F303&amp;","&amp;$E303&amp;",4326&amp;level=16",IF(_xlfn.SINGLE(JobState)="IN","https://fema.maps.arcgis.com/apps/mapviewer/index.html?url=https%3A%2F%2Fgisdata.in.gov%2Fserver%2Frest%2Fservices%2FHosted%2FLRSE_Functional_Class%2FFeatureServer%2F22&amp;find="&amp;$F303&amp;"%2C"&amp;$E303&amp;"&amp;marker="&amp;$F303&amp;","&amp;$E303&amp;",4326&amp;level=16",IF(_xlfn.SINGLE(JobState)="WI","https://fema.maps.arcgis.com/apps/mapviewer/index.html?url=https%3A%2F%2Fservices5.arcgis.com%2F0pgGLzT0Nh7FVjon%2Farcgis%2Frest%2Fservices%2FFFCL_gdb%2FFeatureServer%2F3&amp;find="&amp;$F303&amp;"%2C"&amp;$E303&amp;"&amp;marker="&amp;$F303&amp;","&amp;$E303&amp;",4326&amp;level=16","https://fema.maps.arcgis.com/apps/mapviewer/index.html?find="&amp;$F303&amp;"%2C"&amp;$E303&amp;"&amp;marker="&amp;$F303&amp;","&amp;$E303&amp;",4326&amp;level=16"))),"Open"))</f>
        <v/>
      </c>
      <c r="T303" s="4"/>
      <c r="U303" s="4"/>
      <c r="V303" s="4"/>
      <c r="W303" s="4"/>
      <c r="X303" s="4"/>
      <c r="Y303" s="4"/>
      <c r="Z303" s="4"/>
      <c r="AA303" s="4"/>
      <c r="AB303" s="1" t="str">
        <f>IF(OR(_xlfn.SINGLE(JobAgolMap)="", $E303="", $F303=""),"",HYPERLINK(_xlfn.SINGLE(JobAgolMap)&amp;IF(ISNUMBER(FIND("?",_xlfn.SINGLE(JobAgolMap))),"&amp;","?")&amp;"center="&amp;$F303&amp;","&amp;$E303&amp;"&amp;level=16&amp;marker="&amp;$F303&amp;","&amp;$E303,"Open"))</f>
        <v/>
      </c>
    </row>
    <row r="304" spans="1:28" x14ac:dyDescent="0.45">
      <c r="A304" s="3"/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4"/>
      <c r="M304" s="1" t="str">
        <f t="shared" si="24"/>
        <v/>
      </c>
      <c r="N304" s="1" t="str">
        <f t="shared" si="25"/>
        <v/>
      </c>
      <c r="O304" s="1" t="str">
        <f t="shared" si="26"/>
        <v/>
      </c>
      <c r="P304" s="1" t="str">
        <f t="shared" si="27"/>
        <v/>
      </c>
      <c r="Q304" s="1" t="str">
        <f t="shared" si="28"/>
        <v/>
      </c>
      <c r="R304" s="1" t="str">
        <f t="shared" si="29"/>
        <v/>
      </c>
      <c r="S304" s="1" t="str">
        <f>IF(OR($E304="",$F304=""),"",HYPERLINK(IF(OR(_xlfn.SINGLE(JobState)="MI",_xlfn.SINGLE(JobState)=""),"https://fema.maps.arcgis.com/apps/mapviewer/index.html?url=https%3A%2F%2Fmdotgis.state.mi.us%2Farcgis%2Frest%2Fservices%2FWidget%2FNextGenPrFinderPub%2FFeatureServer%2F353&amp;find="&amp;$F304&amp;"%2C"&amp;$E304&amp;"&amp;marker="&amp;$F304&amp;","&amp;$E304&amp;",4326&amp;level=16",IF(_xlfn.SINGLE(JobState)="IN","https://fema.maps.arcgis.com/apps/mapviewer/index.html?url=https%3A%2F%2Fgisdata.in.gov%2Fserver%2Frest%2Fservices%2FHosted%2FLRSE_Functional_Class%2FFeatureServer%2F22&amp;find="&amp;$F304&amp;"%2C"&amp;$E304&amp;"&amp;marker="&amp;$F304&amp;","&amp;$E304&amp;",4326&amp;level=16",IF(_xlfn.SINGLE(JobState)="WI","https://fema.maps.arcgis.com/apps/mapviewer/index.html?url=https%3A%2F%2Fservices5.arcgis.com%2F0pgGLzT0Nh7FVjon%2Farcgis%2Frest%2Fservices%2FFFCL_gdb%2FFeatureServer%2F3&amp;find="&amp;$F304&amp;"%2C"&amp;$E304&amp;"&amp;marker="&amp;$F304&amp;","&amp;$E304&amp;",4326&amp;level=16","https://fema.maps.arcgis.com/apps/mapviewer/index.html?find="&amp;$F304&amp;"%2C"&amp;$E304&amp;"&amp;marker="&amp;$F304&amp;","&amp;$E304&amp;",4326&amp;level=16"))),"Open"))</f>
        <v/>
      </c>
      <c r="T304" s="4"/>
      <c r="U304" s="4"/>
      <c r="V304" s="4"/>
      <c r="W304" s="4"/>
      <c r="X304" s="4"/>
      <c r="Y304" s="4"/>
      <c r="Z304" s="4"/>
      <c r="AA304" s="4"/>
      <c r="AB304" s="1" t="str">
        <f>IF(OR(_xlfn.SINGLE(JobAgolMap)="", $E304="", $F304=""),"",HYPERLINK(_xlfn.SINGLE(JobAgolMap)&amp;IF(ISNUMBER(FIND("?",_xlfn.SINGLE(JobAgolMap))),"&amp;","?")&amp;"center="&amp;$F304&amp;","&amp;$E304&amp;"&amp;level=16&amp;marker="&amp;$F304&amp;","&amp;$E304,"Open"))</f>
        <v/>
      </c>
    </row>
    <row r="305" spans="1:28" x14ac:dyDescent="0.45">
      <c r="A305" s="3"/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4"/>
      <c r="M305" s="1" t="str">
        <f t="shared" si="24"/>
        <v/>
      </c>
      <c r="N305" s="1" t="str">
        <f t="shared" si="25"/>
        <v/>
      </c>
      <c r="O305" s="1" t="str">
        <f t="shared" si="26"/>
        <v/>
      </c>
      <c r="P305" s="1" t="str">
        <f t="shared" si="27"/>
        <v/>
      </c>
      <c r="Q305" s="1" t="str">
        <f t="shared" si="28"/>
        <v/>
      </c>
      <c r="R305" s="1" t="str">
        <f t="shared" si="29"/>
        <v/>
      </c>
      <c r="S305" s="1" t="str">
        <f>IF(OR($E305="",$F305=""),"",HYPERLINK(IF(OR(_xlfn.SINGLE(JobState)="MI",_xlfn.SINGLE(JobState)=""),"https://fema.maps.arcgis.com/apps/mapviewer/index.html?url=https%3A%2F%2Fmdotgis.state.mi.us%2Farcgis%2Frest%2Fservices%2FWidget%2FNextGenPrFinderPub%2FFeatureServer%2F353&amp;find="&amp;$F305&amp;"%2C"&amp;$E305&amp;"&amp;marker="&amp;$F305&amp;","&amp;$E305&amp;",4326&amp;level=16",IF(_xlfn.SINGLE(JobState)="IN","https://fema.maps.arcgis.com/apps/mapviewer/index.html?url=https%3A%2F%2Fgisdata.in.gov%2Fserver%2Frest%2Fservices%2FHosted%2FLRSE_Functional_Class%2FFeatureServer%2F22&amp;find="&amp;$F305&amp;"%2C"&amp;$E305&amp;"&amp;marker="&amp;$F305&amp;","&amp;$E305&amp;",4326&amp;level=16",IF(_xlfn.SINGLE(JobState)="WI","https://fema.maps.arcgis.com/apps/mapviewer/index.html?url=https%3A%2F%2Fservices5.arcgis.com%2F0pgGLzT0Nh7FVjon%2Farcgis%2Frest%2Fservices%2FFFCL_gdb%2FFeatureServer%2F3&amp;find="&amp;$F305&amp;"%2C"&amp;$E305&amp;"&amp;marker="&amp;$F305&amp;","&amp;$E305&amp;",4326&amp;level=16","https://fema.maps.arcgis.com/apps/mapviewer/index.html?find="&amp;$F305&amp;"%2C"&amp;$E305&amp;"&amp;marker="&amp;$F305&amp;","&amp;$E305&amp;",4326&amp;level=16"))),"Open"))</f>
        <v/>
      </c>
      <c r="T305" s="4"/>
      <c r="U305" s="4"/>
      <c r="V305" s="4"/>
      <c r="W305" s="4"/>
      <c r="X305" s="4"/>
      <c r="Y305" s="4"/>
      <c r="Z305" s="4"/>
      <c r="AA305" s="4"/>
      <c r="AB305" s="1" t="str">
        <f>IF(OR(_xlfn.SINGLE(JobAgolMap)="", $E305="", $F305=""),"",HYPERLINK(_xlfn.SINGLE(JobAgolMap)&amp;IF(ISNUMBER(FIND("?",_xlfn.SINGLE(JobAgolMap))),"&amp;","?")&amp;"center="&amp;$F305&amp;","&amp;$E305&amp;"&amp;level=16&amp;marker="&amp;$F305&amp;","&amp;$E305,"Open"))</f>
        <v/>
      </c>
    </row>
    <row r="306" spans="1:28" x14ac:dyDescent="0.45">
      <c r="A306" s="3"/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4"/>
      <c r="M306" s="1" t="str">
        <f t="shared" si="24"/>
        <v/>
      </c>
      <c r="N306" s="1" t="str">
        <f t="shared" si="25"/>
        <v/>
      </c>
      <c r="O306" s="1" t="str">
        <f t="shared" si="26"/>
        <v/>
      </c>
      <c r="P306" s="1" t="str">
        <f t="shared" si="27"/>
        <v/>
      </c>
      <c r="Q306" s="1" t="str">
        <f t="shared" si="28"/>
        <v/>
      </c>
      <c r="R306" s="1" t="str">
        <f t="shared" si="29"/>
        <v/>
      </c>
      <c r="S306" s="1" t="str">
        <f>IF(OR($E306="",$F306=""),"",HYPERLINK(IF(OR(_xlfn.SINGLE(JobState)="MI",_xlfn.SINGLE(JobState)=""),"https://fema.maps.arcgis.com/apps/mapviewer/index.html?url=https%3A%2F%2Fmdotgis.state.mi.us%2Farcgis%2Frest%2Fservices%2FWidget%2FNextGenPrFinderPub%2FFeatureServer%2F353&amp;find="&amp;$F306&amp;"%2C"&amp;$E306&amp;"&amp;marker="&amp;$F306&amp;","&amp;$E306&amp;",4326&amp;level=16",IF(_xlfn.SINGLE(JobState)="IN","https://fema.maps.arcgis.com/apps/mapviewer/index.html?url=https%3A%2F%2Fgisdata.in.gov%2Fserver%2Frest%2Fservices%2FHosted%2FLRSE_Functional_Class%2FFeatureServer%2F22&amp;find="&amp;$F306&amp;"%2C"&amp;$E306&amp;"&amp;marker="&amp;$F306&amp;","&amp;$E306&amp;",4326&amp;level=16",IF(_xlfn.SINGLE(JobState)="WI","https://fema.maps.arcgis.com/apps/mapviewer/index.html?url=https%3A%2F%2Fservices5.arcgis.com%2F0pgGLzT0Nh7FVjon%2Farcgis%2Frest%2Fservices%2FFFCL_gdb%2FFeatureServer%2F3&amp;find="&amp;$F306&amp;"%2C"&amp;$E306&amp;"&amp;marker="&amp;$F306&amp;","&amp;$E306&amp;",4326&amp;level=16","https://fema.maps.arcgis.com/apps/mapviewer/index.html?find="&amp;$F306&amp;"%2C"&amp;$E306&amp;"&amp;marker="&amp;$F306&amp;","&amp;$E306&amp;",4326&amp;level=16"))),"Open"))</f>
        <v/>
      </c>
      <c r="T306" s="4"/>
      <c r="U306" s="4"/>
      <c r="V306" s="4"/>
      <c r="W306" s="4"/>
      <c r="X306" s="4"/>
      <c r="Y306" s="4"/>
      <c r="Z306" s="4"/>
      <c r="AA306" s="4"/>
      <c r="AB306" s="1" t="str">
        <f>IF(OR(_xlfn.SINGLE(JobAgolMap)="", $E306="", $F306=""),"",HYPERLINK(_xlfn.SINGLE(JobAgolMap)&amp;IF(ISNUMBER(FIND("?",_xlfn.SINGLE(JobAgolMap))),"&amp;","?")&amp;"center="&amp;$F306&amp;","&amp;$E306&amp;"&amp;level=16&amp;marker="&amp;$F306&amp;","&amp;$E306,"Open"))</f>
        <v/>
      </c>
    </row>
    <row r="307" spans="1:28" x14ac:dyDescent="0.45">
      <c r="A307" s="3"/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4"/>
      <c r="M307" s="1" t="str">
        <f t="shared" si="24"/>
        <v/>
      </c>
      <c r="N307" s="1" t="str">
        <f t="shared" si="25"/>
        <v/>
      </c>
      <c r="O307" s="1" t="str">
        <f t="shared" si="26"/>
        <v/>
      </c>
      <c r="P307" s="1" t="str">
        <f t="shared" si="27"/>
        <v/>
      </c>
      <c r="Q307" s="1" t="str">
        <f t="shared" si="28"/>
        <v/>
      </c>
      <c r="R307" s="1" t="str">
        <f t="shared" si="29"/>
        <v/>
      </c>
      <c r="S307" s="1" t="str">
        <f>IF(OR($E307="",$F307=""),"",HYPERLINK(IF(OR(_xlfn.SINGLE(JobState)="MI",_xlfn.SINGLE(JobState)=""),"https://fema.maps.arcgis.com/apps/mapviewer/index.html?url=https%3A%2F%2Fmdotgis.state.mi.us%2Farcgis%2Frest%2Fservices%2FWidget%2FNextGenPrFinderPub%2FFeatureServer%2F353&amp;find="&amp;$F307&amp;"%2C"&amp;$E307&amp;"&amp;marker="&amp;$F307&amp;","&amp;$E307&amp;",4326&amp;level=16",IF(_xlfn.SINGLE(JobState)="IN","https://fema.maps.arcgis.com/apps/mapviewer/index.html?url=https%3A%2F%2Fgisdata.in.gov%2Fserver%2Frest%2Fservices%2FHosted%2FLRSE_Functional_Class%2FFeatureServer%2F22&amp;find="&amp;$F307&amp;"%2C"&amp;$E307&amp;"&amp;marker="&amp;$F307&amp;","&amp;$E307&amp;",4326&amp;level=16",IF(_xlfn.SINGLE(JobState)="WI","https://fema.maps.arcgis.com/apps/mapviewer/index.html?url=https%3A%2F%2Fservices5.arcgis.com%2F0pgGLzT0Nh7FVjon%2Farcgis%2Frest%2Fservices%2FFFCL_gdb%2FFeatureServer%2F3&amp;find="&amp;$F307&amp;"%2C"&amp;$E307&amp;"&amp;marker="&amp;$F307&amp;","&amp;$E307&amp;",4326&amp;level=16","https://fema.maps.arcgis.com/apps/mapviewer/index.html?find="&amp;$F307&amp;"%2C"&amp;$E307&amp;"&amp;marker="&amp;$F307&amp;","&amp;$E307&amp;",4326&amp;level=16"))),"Open"))</f>
        <v/>
      </c>
      <c r="T307" s="4"/>
      <c r="U307" s="4"/>
      <c r="V307" s="4"/>
      <c r="W307" s="4"/>
      <c r="X307" s="4"/>
      <c r="Y307" s="4"/>
      <c r="Z307" s="4"/>
      <c r="AA307" s="4"/>
      <c r="AB307" s="1" t="str">
        <f>IF(OR(_xlfn.SINGLE(JobAgolMap)="", $E307="", $F307=""),"",HYPERLINK(_xlfn.SINGLE(JobAgolMap)&amp;IF(ISNUMBER(FIND("?",_xlfn.SINGLE(JobAgolMap))),"&amp;","?")&amp;"center="&amp;$F307&amp;","&amp;$E307&amp;"&amp;level=16&amp;marker="&amp;$F307&amp;","&amp;$E307,"Open"))</f>
        <v/>
      </c>
    </row>
    <row r="308" spans="1:28" x14ac:dyDescent="0.45">
      <c r="A308" s="3"/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4"/>
      <c r="M308" s="1" t="str">
        <f t="shared" si="24"/>
        <v/>
      </c>
      <c r="N308" s="1" t="str">
        <f t="shared" si="25"/>
        <v/>
      </c>
      <c r="O308" s="1" t="str">
        <f t="shared" si="26"/>
        <v/>
      </c>
      <c r="P308" s="1" t="str">
        <f t="shared" si="27"/>
        <v/>
      </c>
      <c r="Q308" s="1" t="str">
        <f t="shared" si="28"/>
        <v/>
      </c>
      <c r="R308" s="1" t="str">
        <f t="shared" si="29"/>
        <v/>
      </c>
      <c r="S308" s="1" t="str">
        <f>IF(OR($E308="",$F308=""),"",HYPERLINK(IF(OR(_xlfn.SINGLE(JobState)="MI",_xlfn.SINGLE(JobState)=""),"https://fema.maps.arcgis.com/apps/mapviewer/index.html?url=https%3A%2F%2Fmdotgis.state.mi.us%2Farcgis%2Frest%2Fservices%2FWidget%2FNextGenPrFinderPub%2FFeatureServer%2F353&amp;find="&amp;$F308&amp;"%2C"&amp;$E308&amp;"&amp;marker="&amp;$F308&amp;","&amp;$E308&amp;",4326&amp;level=16",IF(_xlfn.SINGLE(JobState)="IN","https://fema.maps.arcgis.com/apps/mapviewer/index.html?url=https%3A%2F%2Fgisdata.in.gov%2Fserver%2Frest%2Fservices%2FHosted%2FLRSE_Functional_Class%2FFeatureServer%2F22&amp;find="&amp;$F308&amp;"%2C"&amp;$E308&amp;"&amp;marker="&amp;$F308&amp;","&amp;$E308&amp;",4326&amp;level=16",IF(_xlfn.SINGLE(JobState)="WI","https://fema.maps.arcgis.com/apps/mapviewer/index.html?url=https%3A%2F%2Fservices5.arcgis.com%2F0pgGLzT0Nh7FVjon%2Farcgis%2Frest%2Fservices%2FFFCL_gdb%2FFeatureServer%2F3&amp;find="&amp;$F308&amp;"%2C"&amp;$E308&amp;"&amp;marker="&amp;$F308&amp;","&amp;$E308&amp;",4326&amp;level=16","https://fema.maps.arcgis.com/apps/mapviewer/index.html?find="&amp;$F308&amp;"%2C"&amp;$E308&amp;"&amp;marker="&amp;$F308&amp;","&amp;$E308&amp;",4326&amp;level=16"))),"Open"))</f>
        <v/>
      </c>
      <c r="T308" s="4"/>
      <c r="U308" s="4"/>
      <c r="V308" s="4"/>
      <c r="W308" s="4"/>
      <c r="X308" s="4"/>
      <c r="Y308" s="4"/>
      <c r="Z308" s="4"/>
      <c r="AA308" s="4"/>
      <c r="AB308" s="1" t="str">
        <f>IF(OR(_xlfn.SINGLE(JobAgolMap)="", $E308="", $F308=""),"",HYPERLINK(_xlfn.SINGLE(JobAgolMap)&amp;IF(ISNUMBER(FIND("?",_xlfn.SINGLE(JobAgolMap))),"&amp;","?")&amp;"center="&amp;$F308&amp;","&amp;$E308&amp;"&amp;level=16&amp;marker="&amp;$F308&amp;","&amp;$E308,"Open"))</f>
        <v/>
      </c>
    </row>
    <row r="309" spans="1:28" x14ac:dyDescent="0.45">
      <c r="A309" s="3"/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4"/>
      <c r="M309" s="1" t="str">
        <f t="shared" si="24"/>
        <v/>
      </c>
      <c r="N309" s="1" t="str">
        <f t="shared" si="25"/>
        <v/>
      </c>
      <c r="O309" s="1" t="str">
        <f t="shared" si="26"/>
        <v/>
      </c>
      <c r="P309" s="1" t="str">
        <f t="shared" si="27"/>
        <v/>
      </c>
      <c r="Q309" s="1" t="str">
        <f t="shared" si="28"/>
        <v/>
      </c>
      <c r="R309" s="1" t="str">
        <f t="shared" si="29"/>
        <v/>
      </c>
      <c r="S309" s="1" t="str">
        <f>IF(OR($E309="",$F309=""),"",HYPERLINK(IF(OR(_xlfn.SINGLE(JobState)="MI",_xlfn.SINGLE(JobState)=""),"https://fema.maps.arcgis.com/apps/mapviewer/index.html?url=https%3A%2F%2Fmdotgis.state.mi.us%2Farcgis%2Frest%2Fservices%2FWidget%2FNextGenPrFinderPub%2FFeatureServer%2F353&amp;find="&amp;$F309&amp;"%2C"&amp;$E309&amp;"&amp;marker="&amp;$F309&amp;","&amp;$E309&amp;",4326&amp;level=16",IF(_xlfn.SINGLE(JobState)="IN","https://fema.maps.arcgis.com/apps/mapviewer/index.html?url=https%3A%2F%2Fgisdata.in.gov%2Fserver%2Frest%2Fservices%2FHosted%2FLRSE_Functional_Class%2FFeatureServer%2F22&amp;find="&amp;$F309&amp;"%2C"&amp;$E309&amp;"&amp;marker="&amp;$F309&amp;","&amp;$E309&amp;",4326&amp;level=16",IF(_xlfn.SINGLE(JobState)="WI","https://fema.maps.arcgis.com/apps/mapviewer/index.html?url=https%3A%2F%2Fservices5.arcgis.com%2F0pgGLzT0Nh7FVjon%2Farcgis%2Frest%2Fservices%2FFFCL_gdb%2FFeatureServer%2F3&amp;find="&amp;$F309&amp;"%2C"&amp;$E309&amp;"&amp;marker="&amp;$F309&amp;","&amp;$E309&amp;",4326&amp;level=16","https://fema.maps.arcgis.com/apps/mapviewer/index.html?find="&amp;$F309&amp;"%2C"&amp;$E309&amp;"&amp;marker="&amp;$F309&amp;","&amp;$E309&amp;",4326&amp;level=16"))),"Open"))</f>
        <v/>
      </c>
      <c r="T309" s="4"/>
      <c r="U309" s="4"/>
      <c r="V309" s="4"/>
      <c r="W309" s="4"/>
      <c r="X309" s="4"/>
      <c r="Y309" s="4"/>
      <c r="Z309" s="4"/>
      <c r="AA309" s="4"/>
      <c r="AB309" s="1" t="str">
        <f>IF(OR(_xlfn.SINGLE(JobAgolMap)="", $E309="", $F309=""),"",HYPERLINK(_xlfn.SINGLE(JobAgolMap)&amp;IF(ISNUMBER(FIND("?",_xlfn.SINGLE(JobAgolMap))),"&amp;","?")&amp;"center="&amp;$F309&amp;","&amp;$E309&amp;"&amp;level=16&amp;marker="&amp;$F309&amp;","&amp;$E309,"Open"))</f>
        <v/>
      </c>
    </row>
    <row r="310" spans="1:28" x14ac:dyDescent="0.45">
      <c r="A310" s="3"/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4"/>
      <c r="M310" s="1" t="str">
        <f t="shared" si="24"/>
        <v/>
      </c>
      <c r="N310" s="1" t="str">
        <f t="shared" si="25"/>
        <v/>
      </c>
      <c r="O310" s="1" t="str">
        <f t="shared" si="26"/>
        <v/>
      </c>
      <c r="P310" s="1" t="str">
        <f t="shared" si="27"/>
        <v/>
      </c>
      <c r="Q310" s="1" t="str">
        <f t="shared" si="28"/>
        <v/>
      </c>
      <c r="R310" s="1" t="str">
        <f t="shared" si="29"/>
        <v/>
      </c>
      <c r="S310" s="1" t="str">
        <f>IF(OR($E310="",$F310=""),"",HYPERLINK(IF(OR(_xlfn.SINGLE(JobState)="MI",_xlfn.SINGLE(JobState)=""),"https://fema.maps.arcgis.com/apps/mapviewer/index.html?url=https%3A%2F%2Fmdotgis.state.mi.us%2Farcgis%2Frest%2Fservices%2FWidget%2FNextGenPrFinderPub%2FFeatureServer%2F353&amp;find="&amp;$F310&amp;"%2C"&amp;$E310&amp;"&amp;marker="&amp;$F310&amp;","&amp;$E310&amp;",4326&amp;level=16",IF(_xlfn.SINGLE(JobState)="IN","https://fema.maps.arcgis.com/apps/mapviewer/index.html?url=https%3A%2F%2Fgisdata.in.gov%2Fserver%2Frest%2Fservices%2FHosted%2FLRSE_Functional_Class%2FFeatureServer%2F22&amp;find="&amp;$F310&amp;"%2C"&amp;$E310&amp;"&amp;marker="&amp;$F310&amp;","&amp;$E310&amp;",4326&amp;level=16",IF(_xlfn.SINGLE(JobState)="WI","https://fema.maps.arcgis.com/apps/mapviewer/index.html?url=https%3A%2F%2Fservices5.arcgis.com%2F0pgGLzT0Nh7FVjon%2Farcgis%2Frest%2Fservices%2FFFCL_gdb%2FFeatureServer%2F3&amp;find="&amp;$F310&amp;"%2C"&amp;$E310&amp;"&amp;marker="&amp;$F310&amp;","&amp;$E310&amp;",4326&amp;level=16","https://fema.maps.arcgis.com/apps/mapviewer/index.html?find="&amp;$F310&amp;"%2C"&amp;$E310&amp;"&amp;marker="&amp;$F310&amp;","&amp;$E310&amp;",4326&amp;level=16"))),"Open"))</f>
        <v/>
      </c>
      <c r="T310" s="4"/>
      <c r="U310" s="4"/>
      <c r="V310" s="4"/>
      <c r="W310" s="4"/>
      <c r="X310" s="4"/>
      <c r="Y310" s="4"/>
      <c r="Z310" s="4"/>
      <c r="AA310" s="4"/>
      <c r="AB310" s="1" t="str">
        <f>IF(OR(_xlfn.SINGLE(JobAgolMap)="", $E310="", $F310=""),"",HYPERLINK(_xlfn.SINGLE(JobAgolMap)&amp;IF(ISNUMBER(FIND("?",_xlfn.SINGLE(JobAgolMap))),"&amp;","?")&amp;"center="&amp;$F310&amp;","&amp;$E310&amp;"&amp;level=16&amp;marker="&amp;$F310&amp;","&amp;$E310,"Open"))</f>
        <v/>
      </c>
    </row>
    <row r="311" spans="1:28" x14ac:dyDescent="0.45">
      <c r="A311" s="3"/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4"/>
      <c r="M311" s="1" t="str">
        <f t="shared" si="24"/>
        <v/>
      </c>
      <c r="N311" s="1" t="str">
        <f t="shared" si="25"/>
        <v/>
      </c>
      <c r="O311" s="1" t="str">
        <f t="shared" si="26"/>
        <v/>
      </c>
      <c r="P311" s="1" t="str">
        <f t="shared" si="27"/>
        <v/>
      </c>
      <c r="Q311" s="1" t="str">
        <f t="shared" si="28"/>
        <v/>
      </c>
      <c r="R311" s="1" t="str">
        <f t="shared" si="29"/>
        <v/>
      </c>
      <c r="S311" s="1" t="str">
        <f>IF(OR($E311="",$F311=""),"",HYPERLINK(IF(OR(_xlfn.SINGLE(JobState)="MI",_xlfn.SINGLE(JobState)=""),"https://fema.maps.arcgis.com/apps/mapviewer/index.html?url=https%3A%2F%2Fmdotgis.state.mi.us%2Farcgis%2Frest%2Fservices%2FWidget%2FNextGenPrFinderPub%2FFeatureServer%2F353&amp;find="&amp;$F311&amp;"%2C"&amp;$E311&amp;"&amp;marker="&amp;$F311&amp;","&amp;$E311&amp;",4326&amp;level=16",IF(_xlfn.SINGLE(JobState)="IN","https://fema.maps.arcgis.com/apps/mapviewer/index.html?url=https%3A%2F%2Fgisdata.in.gov%2Fserver%2Frest%2Fservices%2FHosted%2FLRSE_Functional_Class%2FFeatureServer%2F22&amp;find="&amp;$F311&amp;"%2C"&amp;$E311&amp;"&amp;marker="&amp;$F311&amp;","&amp;$E311&amp;",4326&amp;level=16",IF(_xlfn.SINGLE(JobState)="WI","https://fema.maps.arcgis.com/apps/mapviewer/index.html?url=https%3A%2F%2Fservices5.arcgis.com%2F0pgGLzT0Nh7FVjon%2Farcgis%2Frest%2Fservices%2FFFCL_gdb%2FFeatureServer%2F3&amp;find="&amp;$F311&amp;"%2C"&amp;$E311&amp;"&amp;marker="&amp;$F311&amp;","&amp;$E311&amp;",4326&amp;level=16","https://fema.maps.arcgis.com/apps/mapviewer/index.html?find="&amp;$F311&amp;"%2C"&amp;$E311&amp;"&amp;marker="&amp;$F311&amp;","&amp;$E311&amp;",4326&amp;level=16"))),"Open"))</f>
        <v/>
      </c>
      <c r="T311" s="4"/>
      <c r="U311" s="4"/>
      <c r="V311" s="4"/>
      <c r="W311" s="4"/>
      <c r="X311" s="4"/>
      <c r="Y311" s="4"/>
      <c r="Z311" s="4"/>
      <c r="AA311" s="4"/>
      <c r="AB311" s="1" t="str">
        <f>IF(OR(_xlfn.SINGLE(JobAgolMap)="", $E311="", $F311=""),"",HYPERLINK(_xlfn.SINGLE(JobAgolMap)&amp;IF(ISNUMBER(FIND("?",_xlfn.SINGLE(JobAgolMap))),"&amp;","?")&amp;"center="&amp;$F311&amp;","&amp;$E311&amp;"&amp;level=16&amp;marker="&amp;$F311&amp;","&amp;$E311,"Open"))</f>
        <v/>
      </c>
    </row>
    <row r="312" spans="1:28" x14ac:dyDescent="0.45">
      <c r="A312" s="3"/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4"/>
      <c r="M312" s="1" t="str">
        <f t="shared" si="24"/>
        <v/>
      </c>
      <c r="N312" s="1" t="str">
        <f t="shared" si="25"/>
        <v/>
      </c>
      <c r="O312" s="1" t="str">
        <f t="shared" si="26"/>
        <v/>
      </c>
      <c r="P312" s="1" t="str">
        <f t="shared" si="27"/>
        <v/>
      </c>
      <c r="Q312" s="1" t="str">
        <f t="shared" si="28"/>
        <v/>
      </c>
      <c r="R312" s="1" t="str">
        <f t="shared" si="29"/>
        <v/>
      </c>
      <c r="S312" s="1" t="str">
        <f>IF(OR($E312="",$F312=""),"",HYPERLINK(IF(OR(_xlfn.SINGLE(JobState)="MI",_xlfn.SINGLE(JobState)=""),"https://fema.maps.arcgis.com/apps/mapviewer/index.html?url=https%3A%2F%2Fmdotgis.state.mi.us%2Farcgis%2Frest%2Fservices%2FWidget%2FNextGenPrFinderPub%2FFeatureServer%2F353&amp;find="&amp;$F312&amp;"%2C"&amp;$E312&amp;"&amp;marker="&amp;$F312&amp;","&amp;$E312&amp;",4326&amp;level=16",IF(_xlfn.SINGLE(JobState)="IN","https://fema.maps.arcgis.com/apps/mapviewer/index.html?url=https%3A%2F%2Fgisdata.in.gov%2Fserver%2Frest%2Fservices%2FHosted%2FLRSE_Functional_Class%2FFeatureServer%2F22&amp;find="&amp;$F312&amp;"%2C"&amp;$E312&amp;"&amp;marker="&amp;$F312&amp;","&amp;$E312&amp;",4326&amp;level=16",IF(_xlfn.SINGLE(JobState)="WI","https://fema.maps.arcgis.com/apps/mapviewer/index.html?url=https%3A%2F%2Fservices5.arcgis.com%2F0pgGLzT0Nh7FVjon%2Farcgis%2Frest%2Fservices%2FFFCL_gdb%2FFeatureServer%2F3&amp;find="&amp;$F312&amp;"%2C"&amp;$E312&amp;"&amp;marker="&amp;$F312&amp;","&amp;$E312&amp;",4326&amp;level=16","https://fema.maps.arcgis.com/apps/mapviewer/index.html?find="&amp;$F312&amp;"%2C"&amp;$E312&amp;"&amp;marker="&amp;$F312&amp;","&amp;$E312&amp;",4326&amp;level=16"))),"Open"))</f>
        <v/>
      </c>
      <c r="T312" s="4"/>
      <c r="U312" s="4"/>
      <c r="V312" s="4"/>
      <c r="W312" s="4"/>
      <c r="X312" s="4"/>
      <c r="Y312" s="4"/>
      <c r="Z312" s="4"/>
      <c r="AA312" s="4"/>
      <c r="AB312" s="1" t="str">
        <f>IF(OR(_xlfn.SINGLE(JobAgolMap)="", $E312="", $F312=""),"",HYPERLINK(_xlfn.SINGLE(JobAgolMap)&amp;IF(ISNUMBER(FIND("?",_xlfn.SINGLE(JobAgolMap))),"&amp;","?")&amp;"center="&amp;$F312&amp;","&amp;$E312&amp;"&amp;level=16&amp;marker="&amp;$F312&amp;","&amp;$E312,"Open"))</f>
        <v/>
      </c>
    </row>
    <row r="313" spans="1:28" x14ac:dyDescent="0.45">
      <c r="A313" s="3"/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4"/>
      <c r="M313" s="1" t="str">
        <f t="shared" si="24"/>
        <v/>
      </c>
      <c r="N313" s="1" t="str">
        <f t="shared" si="25"/>
        <v/>
      </c>
      <c r="O313" s="1" t="str">
        <f t="shared" si="26"/>
        <v/>
      </c>
      <c r="P313" s="1" t="str">
        <f t="shared" si="27"/>
        <v/>
      </c>
      <c r="Q313" s="1" t="str">
        <f t="shared" si="28"/>
        <v/>
      </c>
      <c r="R313" s="1" t="str">
        <f t="shared" si="29"/>
        <v/>
      </c>
      <c r="S313" s="1" t="str">
        <f>IF(OR($E313="",$F313=""),"",HYPERLINK(IF(OR(_xlfn.SINGLE(JobState)="MI",_xlfn.SINGLE(JobState)=""),"https://fema.maps.arcgis.com/apps/mapviewer/index.html?url=https%3A%2F%2Fmdotgis.state.mi.us%2Farcgis%2Frest%2Fservices%2FWidget%2FNextGenPrFinderPub%2FFeatureServer%2F353&amp;find="&amp;$F313&amp;"%2C"&amp;$E313&amp;"&amp;marker="&amp;$F313&amp;","&amp;$E313&amp;",4326&amp;level=16",IF(_xlfn.SINGLE(JobState)="IN","https://fema.maps.arcgis.com/apps/mapviewer/index.html?url=https%3A%2F%2Fgisdata.in.gov%2Fserver%2Frest%2Fservices%2FHosted%2FLRSE_Functional_Class%2FFeatureServer%2F22&amp;find="&amp;$F313&amp;"%2C"&amp;$E313&amp;"&amp;marker="&amp;$F313&amp;","&amp;$E313&amp;",4326&amp;level=16",IF(_xlfn.SINGLE(JobState)="WI","https://fema.maps.arcgis.com/apps/mapviewer/index.html?url=https%3A%2F%2Fservices5.arcgis.com%2F0pgGLzT0Nh7FVjon%2Farcgis%2Frest%2Fservices%2FFFCL_gdb%2FFeatureServer%2F3&amp;find="&amp;$F313&amp;"%2C"&amp;$E313&amp;"&amp;marker="&amp;$F313&amp;","&amp;$E313&amp;",4326&amp;level=16","https://fema.maps.arcgis.com/apps/mapviewer/index.html?find="&amp;$F313&amp;"%2C"&amp;$E313&amp;"&amp;marker="&amp;$F313&amp;","&amp;$E313&amp;",4326&amp;level=16"))),"Open"))</f>
        <v/>
      </c>
      <c r="T313" s="4"/>
      <c r="U313" s="4"/>
      <c r="V313" s="4"/>
      <c r="W313" s="4"/>
      <c r="X313" s="4"/>
      <c r="Y313" s="4"/>
      <c r="Z313" s="4"/>
      <c r="AA313" s="4"/>
      <c r="AB313" s="1" t="str">
        <f>IF(OR(_xlfn.SINGLE(JobAgolMap)="", $E313="", $F313=""),"",HYPERLINK(_xlfn.SINGLE(JobAgolMap)&amp;IF(ISNUMBER(FIND("?",_xlfn.SINGLE(JobAgolMap))),"&amp;","?")&amp;"center="&amp;$F313&amp;","&amp;$E313&amp;"&amp;level=16&amp;marker="&amp;$F313&amp;","&amp;$E313,"Open"))</f>
        <v/>
      </c>
    </row>
    <row r="314" spans="1:28" x14ac:dyDescent="0.45">
      <c r="A314" s="3"/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4"/>
      <c r="M314" s="1" t="str">
        <f t="shared" si="24"/>
        <v/>
      </c>
      <c r="N314" s="1" t="str">
        <f t="shared" si="25"/>
        <v/>
      </c>
      <c r="O314" s="1" t="str">
        <f t="shared" si="26"/>
        <v/>
      </c>
      <c r="P314" s="1" t="str">
        <f t="shared" si="27"/>
        <v/>
      </c>
      <c r="Q314" s="1" t="str">
        <f t="shared" si="28"/>
        <v/>
      </c>
      <c r="R314" s="1" t="str">
        <f t="shared" si="29"/>
        <v/>
      </c>
      <c r="S314" s="1" t="str">
        <f>IF(OR($E314="",$F314=""),"",HYPERLINK(IF(OR(_xlfn.SINGLE(JobState)="MI",_xlfn.SINGLE(JobState)=""),"https://fema.maps.arcgis.com/apps/mapviewer/index.html?url=https%3A%2F%2Fmdotgis.state.mi.us%2Farcgis%2Frest%2Fservices%2FWidget%2FNextGenPrFinderPub%2FFeatureServer%2F353&amp;find="&amp;$F314&amp;"%2C"&amp;$E314&amp;"&amp;marker="&amp;$F314&amp;","&amp;$E314&amp;",4326&amp;level=16",IF(_xlfn.SINGLE(JobState)="IN","https://fema.maps.arcgis.com/apps/mapviewer/index.html?url=https%3A%2F%2Fgisdata.in.gov%2Fserver%2Frest%2Fservices%2FHosted%2FLRSE_Functional_Class%2FFeatureServer%2F22&amp;find="&amp;$F314&amp;"%2C"&amp;$E314&amp;"&amp;marker="&amp;$F314&amp;","&amp;$E314&amp;",4326&amp;level=16",IF(_xlfn.SINGLE(JobState)="WI","https://fema.maps.arcgis.com/apps/mapviewer/index.html?url=https%3A%2F%2Fservices5.arcgis.com%2F0pgGLzT0Nh7FVjon%2Farcgis%2Frest%2Fservices%2FFFCL_gdb%2FFeatureServer%2F3&amp;find="&amp;$F314&amp;"%2C"&amp;$E314&amp;"&amp;marker="&amp;$F314&amp;","&amp;$E314&amp;",4326&amp;level=16","https://fema.maps.arcgis.com/apps/mapviewer/index.html?find="&amp;$F314&amp;"%2C"&amp;$E314&amp;"&amp;marker="&amp;$F314&amp;","&amp;$E314&amp;",4326&amp;level=16"))),"Open"))</f>
        <v/>
      </c>
      <c r="T314" s="4"/>
      <c r="U314" s="4"/>
      <c r="V314" s="4"/>
      <c r="W314" s="4"/>
      <c r="X314" s="4"/>
      <c r="Y314" s="4"/>
      <c r="Z314" s="4"/>
      <c r="AA314" s="4"/>
      <c r="AB314" s="1" t="str">
        <f>IF(OR(_xlfn.SINGLE(JobAgolMap)="", $E314="", $F314=""),"",HYPERLINK(_xlfn.SINGLE(JobAgolMap)&amp;IF(ISNUMBER(FIND("?",_xlfn.SINGLE(JobAgolMap))),"&amp;","?")&amp;"center="&amp;$F314&amp;","&amp;$E314&amp;"&amp;level=16&amp;marker="&amp;$F314&amp;","&amp;$E314,"Open"))</f>
        <v/>
      </c>
    </row>
    <row r="315" spans="1:28" x14ac:dyDescent="0.45">
      <c r="A315" s="3"/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4"/>
      <c r="M315" s="1" t="str">
        <f t="shared" si="24"/>
        <v/>
      </c>
      <c r="N315" s="1" t="str">
        <f t="shared" si="25"/>
        <v/>
      </c>
      <c r="O315" s="1" t="str">
        <f t="shared" si="26"/>
        <v/>
      </c>
      <c r="P315" s="1" t="str">
        <f t="shared" si="27"/>
        <v/>
      </c>
      <c r="Q315" s="1" t="str">
        <f t="shared" si="28"/>
        <v/>
      </c>
      <c r="R315" s="1" t="str">
        <f t="shared" si="29"/>
        <v/>
      </c>
      <c r="S315" s="1" t="str">
        <f>IF(OR($E315="",$F315=""),"",HYPERLINK(IF(OR(_xlfn.SINGLE(JobState)="MI",_xlfn.SINGLE(JobState)=""),"https://fema.maps.arcgis.com/apps/mapviewer/index.html?url=https%3A%2F%2Fmdotgis.state.mi.us%2Farcgis%2Frest%2Fservices%2FWidget%2FNextGenPrFinderPub%2FFeatureServer%2F353&amp;find="&amp;$F315&amp;"%2C"&amp;$E315&amp;"&amp;marker="&amp;$F315&amp;","&amp;$E315&amp;",4326&amp;level=16",IF(_xlfn.SINGLE(JobState)="IN","https://fema.maps.arcgis.com/apps/mapviewer/index.html?url=https%3A%2F%2Fgisdata.in.gov%2Fserver%2Frest%2Fservices%2FHosted%2FLRSE_Functional_Class%2FFeatureServer%2F22&amp;find="&amp;$F315&amp;"%2C"&amp;$E315&amp;"&amp;marker="&amp;$F315&amp;","&amp;$E315&amp;",4326&amp;level=16",IF(_xlfn.SINGLE(JobState)="WI","https://fema.maps.arcgis.com/apps/mapviewer/index.html?url=https%3A%2F%2Fservices5.arcgis.com%2F0pgGLzT0Nh7FVjon%2Farcgis%2Frest%2Fservices%2FFFCL_gdb%2FFeatureServer%2F3&amp;find="&amp;$F315&amp;"%2C"&amp;$E315&amp;"&amp;marker="&amp;$F315&amp;","&amp;$E315&amp;",4326&amp;level=16","https://fema.maps.arcgis.com/apps/mapviewer/index.html?find="&amp;$F315&amp;"%2C"&amp;$E315&amp;"&amp;marker="&amp;$F315&amp;","&amp;$E315&amp;",4326&amp;level=16"))),"Open"))</f>
        <v/>
      </c>
      <c r="T315" s="4"/>
      <c r="U315" s="4"/>
      <c r="V315" s="4"/>
      <c r="W315" s="4"/>
      <c r="X315" s="4"/>
      <c r="Y315" s="4"/>
      <c r="Z315" s="4"/>
      <c r="AA315" s="4"/>
      <c r="AB315" s="1" t="str">
        <f>IF(OR(_xlfn.SINGLE(JobAgolMap)="", $E315="", $F315=""),"",HYPERLINK(_xlfn.SINGLE(JobAgolMap)&amp;IF(ISNUMBER(FIND("?",_xlfn.SINGLE(JobAgolMap))),"&amp;","?")&amp;"center="&amp;$F315&amp;","&amp;$E315&amp;"&amp;level=16&amp;marker="&amp;$F315&amp;","&amp;$E315,"Open"))</f>
        <v/>
      </c>
    </row>
    <row r="316" spans="1:28" x14ac:dyDescent="0.45">
      <c r="A316" s="3"/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4"/>
      <c r="M316" s="1" t="str">
        <f t="shared" si="24"/>
        <v/>
      </c>
      <c r="N316" s="1" t="str">
        <f t="shared" si="25"/>
        <v/>
      </c>
      <c r="O316" s="1" t="str">
        <f t="shared" si="26"/>
        <v/>
      </c>
      <c r="P316" s="1" t="str">
        <f t="shared" si="27"/>
        <v/>
      </c>
      <c r="Q316" s="1" t="str">
        <f t="shared" si="28"/>
        <v/>
      </c>
      <c r="R316" s="1" t="str">
        <f t="shared" si="29"/>
        <v/>
      </c>
      <c r="S316" s="1" t="str">
        <f>IF(OR($E316="",$F316=""),"",HYPERLINK(IF(OR(_xlfn.SINGLE(JobState)="MI",_xlfn.SINGLE(JobState)=""),"https://fema.maps.arcgis.com/apps/mapviewer/index.html?url=https%3A%2F%2Fmdotgis.state.mi.us%2Farcgis%2Frest%2Fservices%2FWidget%2FNextGenPrFinderPub%2FFeatureServer%2F353&amp;find="&amp;$F316&amp;"%2C"&amp;$E316&amp;"&amp;marker="&amp;$F316&amp;","&amp;$E316&amp;",4326&amp;level=16",IF(_xlfn.SINGLE(JobState)="IN","https://fema.maps.arcgis.com/apps/mapviewer/index.html?url=https%3A%2F%2Fgisdata.in.gov%2Fserver%2Frest%2Fservices%2FHosted%2FLRSE_Functional_Class%2FFeatureServer%2F22&amp;find="&amp;$F316&amp;"%2C"&amp;$E316&amp;"&amp;marker="&amp;$F316&amp;","&amp;$E316&amp;",4326&amp;level=16",IF(_xlfn.SINGLE(JobState)="WI","https://fema.maps.arcgis.com/apps/mapviewer/index.html?url=https%3A%2F%2Fservices5.arcgis.com%2F0pgGLzT0Nh7FVjon%2Farcgis%2Frest%2Fservices%2FFFCL_gdb%2FFeatureServer%2F3&amp;find="&amp;$F316&amp;"%2C"&amp;$E316&amp;"&amp;marker="&amp;$F316&amp;","&amp;$E316&amp;",4326&amp;level=16","https://fema.maps.arcgis.com/apps/mapviewer/index.html?find="&amp;$F316&amp;"%2C"&amp;$E316&amp;"&amp;marker="&amp;$F316&amp;","&amp;$E316&amp;",4326&amp;level=16"))),"Open"))</f>
        <v/>
      </c>
      <c r="T316" s="4"/>
      <c r="U316" s="4"/>
      <c r="V316" s="4"/>
      <c r="W316" s="4"/>
      <c r="X316" s="4"/>
      <c r="Y316" s="4"/>
      <c r="Z316" s="4"/>
      <c r="AA316" s="4"/>
      <c r="AB316" s="1" t="str">
        <f>IF(OR(_xlfn.SINGLE(JobAgolMap)="", $E316="", $F316=""),"",HYPERLINK(_xlfn.SINGLE(JobAgolMap)&amp;IF(ISNUMBER(FIND("?",_xlfn.SINGLE(JobAgolMap))),"&amp;","?")&amp;"center="&amp;$F316&amp;","&amp;$E316&amp;"&amp;level=16&amp;marker="&amp;$F316&amp;","&amp;$E316,"Open"))</f>
        <v/>
      </c>
    </row>
    <row r="317" spans="1:28" x14ac:dyDescent="0.45">
      <c r="A317" s="3"/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4"/>
      <c r="M317" s="1" t="str">
        <f t="shared" si="24"/>
        <v/>
      </c>
      <c r="N317" s="1" t="str">
        <f t="shared" si="25"/>
        <v/>
      </c>
      <c r="O317" s="1" t="str">
        <f t="shared" si="26"/>
        <v/>
      </c>
      <c r="P317" s="1" t="str">
        <f t="shared" si="27"/>
        <v/>
      </c>
      <c r="Q317" s="1" t="str">
        <f t="shared" si="28"/>
        <v/>
      </c>
      <c r="R317" s="1" t="str">
        <f t="shared" si="29"/>
        <v/>
      </c>
      <c r="S317" s="1" t="str">
        <f>IF(OR($E317="",$F317=""),"",HYPERLINK(IF(OR(_xlfn.SINGLE(JobState)="MI",_xlfn.SINGLE(JobState)=""),"https://fema.maps.arcgis.com/apps/mapviewer/index.html?url=https%3A%2F%2Fmdotgis.state.mi.us%2Farcgis%2Frest%2Fservices%2FWidget%2FNextGenPrFinderPub%2FFeatureServer%2F353&amp;find="&amp;$F317&amp;"%2C"&amp;$E317&amp;"&amp;marker="&amp;$F317&amp;","&amp;$E317&amp;",4326&amp;level=16",IF(_xlfn.SINGLE(JobState)="IN","https://fema.maps.arcgis.com/apps/mapviewer/index.html?url=https%3A%2F%2Fgisdata.in.gov%2Fserver%2Frest%2Fservices%2FHosted%2FLRSE_Functional_Class%2FFeatureServer%2F22&amp;find="&amp;$F317&amp;"%2C"&amp;$E317&amp;"&amp;marker="&amp;$F317&amp;","&amp;$E317&amp;",4326&amp;level=16",IF(_xlfn.SINGLE(JobState)="WI","https://fema.maps.arcgis.com/apps/mapviewer/index.html?url=https%3A%2F%2Fservices5.arcgis.com%2F0pgGLzT0Nh7FVjon%2Farcgis%2Frest%2Fservices%2FFFCL_gdb%2FFeatureServer%2F3&amp;find="&amp;$F317&amp;"%2C"&amp;$E317&amp;"&amp;marker="&amp;$F317&amp;","&amp;$E317&amp;",4326&amp;level=16","https://fema.maps.arcgis.com/apps/mapviewer/index.html?find="&amp;$F317&amp;"%2C"&amp;$E317&amp;"&amp;marker="&amp;$F317&amp;","&amp;$E317&amp;",4326&amp;level=16"))),"Open"))</f>
        <v/>
      </c>
      <c r="T317" s="4"/>
      <c r="U317" s="4"/>
      <c r="V317" s="4"/>
      <c r="W317" s="4"/>
      <c r="X317" s="4"/>
      <c r="Y317" s="4"/>
      <c r="Z317" s="4"/>
      <c r="AA317" s="4"/>
      <c r="AB317" s="1" t="str">
        <f>IF(OR(_xlfn.SINGLE(JobAgolMap)="", $E317="", $F317=""),"",HYPERLINK(_xlfn.SINGLE(JobAgolMap)&amp;IF(ISNUMBER(FIND("?",_xlfn.SINGLE(JobAgolMap))),"&amp;","?")&amp;"center="&amp;$F317&amp;","&amp;$E317&amp;"&amp;level=16&amp;marker="&amp;$F317&amp;","&amp;$E317,"Open"))</f>
        <v/>
      </c>
    </row>
    <row r="318" spans="1:28" x14ac:dyDescent="0.45">
      <c r="A318" s="3"/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4"/>
      <c r="M318" s="1" t="str">
        <f t="shared" si="24"/>
        <v/>
      </c>
      <c r="N318" s="1" t="str">
        <f t="shared" si="25"/>
        <v/>
      </c>
      <c r="O318" s="1" t="str">
        <f t="shared" si="26"/>
        <v/>
      </c>
      <c r="P318" s="1" t="str">
        <f t="shared" si="27"/>
        <v/>
      </c>
      <c r="Q318" s="1" t="str">
        <f t="shared" si="28"/>
        <v/>
      </c>
      <c r="R318" s="1" t="str">
        <f t="shared" si="29"/>
        <v/>
      </c>
      <c r="S318" s="1" t="str">
        <f>IF(OR($E318="",$F318=""),"",HYPERLINK(IF(OR(_xlfn.SINGLE(JobState)="MI",_xlfn.SINGLE(JobState)=""),"https://fema.maps.arcgis.com/apps/mapviewer/index.html?url=https%3A%2F%2Fmdotgis.state.mi.us%2Farcgis%2Frest%2Fservices%2FWidget%2FNextGenPrFinderPub%2FFeatureServer%2F353&amp;find="&amp;$F318&amp;"%2C"&amp;$E318&amp;"&amp;marker="&amp;$F318&amp;","&amp;$E318&amp;",4326&amp;level=16",IF(_xlfn.SINGLE(JobState)="IN","https://fema.maps.arcgis.com/apps/mapviewer/index.html?url=https%3A%2F%2Fgisdata.in.gov%2Fserver%2Frest%2Fservices%2FHosted%2FLRSE_Functional_Class%2FFeatureServer%2F22&amp;find="&amp;$F318&amp;"%2C"&amp;$E318&amp;"&amp;marker="&amp;$F318&amp;","&amp;$E318&amp;",4326&amp;level=16",IF(_xlfn.SINGLE(JobState)="WI","https://fema.maps.arcgis.com/apps/mapviewer/index.html?url=https%3A%2F%2Fservices5.arcgis.com%2F0pgGLzT0Nh7FVjon%2Farcgis%2Frest%2Fservices%2FFFCL_gdb%2FFeatureServer%2F3&amp;find="&amp;$F318&amp;"%2C"&amp;$E318&amp;"&amp;marker="&amp;$F318&amp;","&amp;$E318&amp;",4326&amp;level=16","https://fema.maps.arcgis.com/apps/mapviewer/index.html?find="&amp;$F318&amp;"%2C"&amp;$E318&amp;"&amp;marker="&amp;$F318&amp;","&amp;$E318&amp;",4326&amp;level=16"))),"Open"))</f>
        <v/>
      </c>
      <c r="T318" s="4"/>
      <c r="U318" s="4"/>
      <c r="V318" s="4"/>
      <c r="W318" s="4"/>
      <c r="X318" s="4"/>
      <c r="Y318" s="4"/>
      <c r="Z318" s="4"/>
      <c r="AA318" s="4"/>
      <c r="AB318" s="1" t="str">
        <f>IF(OR(_xlfn.SINGLE(JobAgolMap)="", $E318="", $F318=""),"",HYPERLINK(_xlfn.SINGLE(JobAgolMap)&amp;IF(ISNUMBER(FIND("?",_xlfn.SINGLE(JobAgolMap))),"&amp;","?")&amp;"center="&amp;$F318&amp;","&amp;$E318&amp;"&amp;level=16&amp;marker="&amp;$F318&amp;","&amp;$E318,"Open"))</f>
        <v/>
      </c>
    </row>
    <row r="319" spans="1:28" x14ac:dyDescent="0.45">
      <c r="A319" s="3"/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4"/>
      <c r="M319" s="1" t="str">
        <f t="shared" si="24"/>
        <v/>
      </c>
      <c r="N319" s="1" t="str">
        <f t="shared" si="25"/>
        <v/>
      </c>
      <c r="O319" s="1" t="str">
        <f t="shared" si="26"/>
        <v/>
      </c>
      <c r="P319" s="1" t="str">
        <f t="shared" si="27"/>
        <v/>
      </c>
      <c r="Q319" s="1" t="str">
        <f t="shared" si="28"/>
        <v/>
      </c>
      <c r="R319" s="1" t="str">
        <f t="shared" si="29"/>
        <v/>
      </c>
      <c r="S319" s="1" t="str">
        <f>IF(OR($E319="",$F319=""),"",HYPERLINK(IF(OR(_xlfn.SINGLE(JobState)="MI",_xlfn.SINGLE(JobState)=""),"https://fema.maps.arcgis.com/apps/mapviewer/index.html?url=https%3A%2F%2Fmdotgis.state.mi.us%2Farcgis%2Frest%2Fservices%2FWidget%2FNextGenPrFinderPub%2FFeatureServer%2F353&amp;find="&amp;$F319&amp;"%2C"&amp;$E319&amp;"&amp;marker="&amp;$F319&amp;","&amp;$E319&amp;",4326&amp;level=16",IF(_xlfn.SINGLE(JobState)="IN","https://fema.maps.arcgis.com/apps/mapviewer/index.html?url=https%3A%2F%2Fgisdata.in.gov%2Fserver%2Frest%2Fservices%2FHosted%2FLRSE_Functional_Class%2FFeatureServer%2F22&amp;find="&amp;$F319&amp;"%2C"&amp;$E319&amp;"&amp;marker="&amp;$F319&amp;","&amp;$E319&amp;",4326&amp;level=16",IF(_xlfn.SINGLE(JobState)="WI","https://fema.maps.arcgis.com/apps/mapviewer/index.html?url=https%3A%2F%2Fservices5.arcgis.com%2F0pgGLzT0Nh7FVjon%2Farcgis%2Frest%2Fservices%2FFFCL_gdb%2FFeatureServer%2F3&amp;find="&amp;$F319&amp;"%2C"&amp;$E319&amp;"&amp;marker="&amp;$F319&amp;","&amp;$E319&amp;",4326&amp;level=16","https://fema.maps.arcgis.com/apps/mapviewer/index.html?find="&amp;$F319&amp;"%2C"&amp;$E319&amp;"&amp;marker="&amp;$F319&amp;","&amp;$E319&amp;",4326&amp;level=16"))),"Open"))</f>
        <v/>
      </c>
      <c r="T319" s="4"/>
      <c r="U319" s="4"/>
      <c r="V319" s="4"/>
      <c r="W319" s="4"/>
      <c r="X319" s="4"/>
      <c r="Y319" s="4"/>
      <c r="Z319" s="4"/>
      <c r="AA319" s="4"/>
      <c r="AB319" s="1" t="str">
        <f>IF(OR(_xlfn.SINGLE(JobAgolMap)="", $E319="", $F319=""),"",HYPERLINK(_xlfn.SINGLE(JobAgolMap)&amp;IF(ISNUMBER(FIND("?",_xlfn.SINGLE(JobAgolMap))),"&amp;","?")&amp;"center="&amp;$F319&amp;","&amp;$E319&amp;"&amp;level=16&amp;marker="&amp;$F319&amp;","&amp;$E319,"Open"))</f>
        <v/>
      </c>
    </row>
    <row r="320" spans="1:28" x14ac:dyDescent="0.45">
      <c r="A320" s="3"/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4"/>
      <c r="M320" s="1" t="str">
        <f t="shared" si="24"/>
        <v/>
      </c>
      <c r="N320" s="1" t="str">
        <f t="shared" si="25"/>
        <v/>
      </c>
      <c r="O320" s="1" t="str">
        <f t="shared" si="26"/>
        <v/>
      </c>
      <c r="P320" s="1" t="str">
        <f t="shared" si="27"/>
        <v/>
      </c>
      <c r="Q320" s="1" t="str">
        <f t="shared" si="28"/>
        <v/>
      </c>
      <c r="R320" s="1" t="str">
        <f t="shared" si="29"/>
        <v/>
      </c>
      <c r="S320" s="1" t="str">
        <f>IF(OR($E320="",$F320=""),"",HYPERLINK(IF(OR(_xlfn.SINGLE(JobState)="MI",_xlfn.SINGLE(JobState)=""),"https://fema.maps.arcgis.com/apps/mapviewer/index.html?url=https%3A%2F%2Fmdotgis.state.mi.us%2Farcgis%2Frest%2Fservices%2FWidget%2FNextGenPrFinderPub%2FFeatureServer%2F353&amp;find="&amp;$F320&amp;"%2C"&amp;$E320&amp;"&amp;marker="&amp;$F320&amp;","&amp;$E320&amp;",4326&amp;level=16",IF(_xlfn.SINGLE(JobState)="IN","https://fema.maps.arcgis.com/apps/mapviewer/index.html?url=https%3A%2F%2Fgisdata.in.gov%2Fserver%2Frest%2Fservices%2FHosted%2FLRSE_Functional_Class%2FFeatureServer%2F22&amp;find="&amp;$F320&amp;"%2C"&amp;$E320&amp;"&amp;marker="&amp;$F320&amp;","&amp;$E320&amp;",4326&amp;level=16",IF(_xlfn.SINGLE(JobState)="WI","https://fema.maps.arcgis.com/apps/mapviewer/index.html?url=https%3A%2F%2Fservices5.arcgis.com%2F0pgGLzT0Nh7FVjon%2Farcgis%2Frest%2Fservices%2FFFCL_gdb%2FFeatureServer%2F3&amp;find="&amp;$F320&amp;"%2C"&amp;$E320&amp;"&amp;marker="&amp;$F320&amp;","&amp;$E320&amp;",4326&amp;level=16","https://fema.maps.arcgis.com/apps/mapviewer/index.html?find="&amp;$F320&amp;"%2C"&amp;$E320&amp;"&amp;marker="&amp;$F320&amp;","&amp;$E320&amp;",4326&amp;level=16"))),"Open"))</f>
        <v/>
      </c>
      <c r="T320" s="4"/>
      <c r="U320" s="4"/>
      <c r="V320" s="4"/>
      <c r="W320" s="4"/>
      <c r="X320" s="4"/>
      <c r="Y320" s="4"/>
      <c r="Z320" s="4"/>
      <c r="AA320" s="4"/>
      <c r="AB320" s="1" t="str">
        <f>IF(OR(_xlfn.SINGLE(JobAgolMap)="", $E320="", $F320=""),"",HYPERLINK(_xlfn.SINGLE(JobAgolMap)&amp;IF(ISNUMBER(FIND("?",_xlfn.SINGLE(JobAgolMap))),"&amp;","?")&amp;"center="&amp;$F320&amp;","&amp;$E320&amp;"&amp;level=16&amp;marker="&amp;$F320&amp;","&amp;$E320,"Open"))</f>
        <v/>
      </c>
    </row>
    <row r="321" spans="1:28" x14ac:dyDescent="0.45">
      <c r="A321" s="3"/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4"/>
      <c r="M321" s="1" t="str">
        <f t="shared" si="24"/>
        <v/>
      </c>
      <c r="N321" s="1" t="str">
        <f t="shared" si="25"/>
        <v/>
      </c>
      <c r="O321" s="1" t="str">
        <f t="shared" si="26"/>
        <v/>
      </c>
      <c r="P321" s="1" t="str">
        <f t="shared" si="27"/>
        <v/>
      </c>
      <c r="Q321" s="1" t="str">
        <f t="shared" si="28"/>
        <v/>
      </c>
      <c r="R321" s="1" t="str">
        <f t="shared" si="29"/>
        <v/>
      </c>
      <c r="S321" s="1" t="str">
        <f>IF(OR($E321="",$F321=""),"",HYPERLINK(IF(OR(_xlfn.SINGLE(JobState)="MI",_xlfn.SINGLE(JobState)=""),"https://fema.maps.arcgis.com/apps/mapviewer/index.html?url=https%3A%2F%2Fmdotgis.state.mi.us%2Farcgis%2Frest%2Fservices%2FWidget%2FNextGenPrFinderPub%2FFeatureServer%2F353&amp;find="&amp;$F321&amp;"%2C"&amp;$E321&amp;"&amp;marker="&amp;$F321&amp;","&amp;$E321&amp;",4326&amp;level=16",IF(_xlfn.SINGLE(JobState)="IN","https://fema.maps.arcgis.com/apps/mapviewer/index.html?url=https%3A%2F%2Fgisdata.in.gov%2Fserver%2Frest%2Fservices%2FHosted%2FLRSE_Functional_Class%2FFeatureServer%2F22&amp;find="&amp;$F321&amp;"%2C"&amp;$E321&amp;"&amp;marker="&amp;$F321&amp;","&amp;$E321&amp;",4326&amp;level=16",IF(_xlfn.SINGLE(JobState)="WI","https://fema.maps.arcgis.com/apps/mapviewer/index.html?url=https%3A%2F%2Fservices5.arcgis.com%2F0pgGLzT0Nh7FVjon%2Farcgis%2Frest%2Fservices%2FFFCL_gdb%2FFeatureServer%2F3&amp;find="&amp;$F321&amp;"%2C"&amp;$E321&amp;"&amp;marker="&amp;$F321&amp;","&amp;$E321&amp;",4326&amp;level=16","https://fema.maps.arcgis.com/apps/mapviewer/index.html?find="&amp;$F321&amp;"%2C"&amp;$E321&amp;"&amp;marker="&amp;$F321&amp;","&amp;$E321&amp;",4326&amp;level=16"))),"Open"))</f>
        <v/>
      </c>
      <c r="T321" s="4"/>
      <c r="U321" s="4"/>
      <c r="V321" s="4"/>
      <c r="W321" s="4"/>
      <c r="X321" s="4"/>
      <c r="Y321" s="4"/>
      <c r="Z321" s="4"/>
      <c r="AA321" s="4"/>
      <c r="AB321" s="1" t="str">
        <f>IF(OR(_xlfn.SINGLE(JobAgolMap)="", $E321="", $F321=""),"",HYPERLINK(_xlfn.SINGLE(JobAgolMap)&amp;IF(ISNUMBER(FIND("?",_xlfn.SINGLE(JobAgolMap))),"&amp;","?")&amp;"center="&amp;$F321&amp;","&amp;$E321&amp;"&amp;level=16&amp;marker="&amp;$F321&amp;","&amp;$E321,"Open"))</f>
        <v/>
      </c>
    </row>
    <row r="322" spans="1:28" x14ac:dyDescent="0.45">
      <c r="A322" s="3"/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4"/>
      <c r="M322" s="1" t="str">
        <f t="shared" si="24"/>
        <v/>
      </c>
      <c r="N322" s="1" t="str">
        <f t="shared" si="25"/>
        <v/>
      </c>
      <c r="O322" s="1" t="str">
        <f t="shared" si="26"/>
        <v/>
      </c>
      <c r="P322" s="1" t="str">
        <f t="shared" si="27"/>
        <v/>
      </c>
      <c r="Q322" s="1" t="str">
        <f t="shared" si="28"/>
        <v/>
      </c>
      <c r="R322" s="1" t="str">
        <f t="shared" si="29"/>
        <v/>
      </c>
      <c r="S322" s="1" t="str">
        <f>IF(OR($E322="",$F322=""),"",HYPERLINK(IF(OR(_xlfn.SINGLE(JobState)="MI",_xlfn.SINGLE(JobState)=""),"https://fema.maps.arcgis.com/apps/mapviewer/index.html?url=https%3A%2F%2Fmdotgis.state.mi.us%2Farcgis%2Frest%2Fservices%2FWidget%2FNextGenPrFinderPub%2FFeatureServer%2F353&amp;find="&amp;$F322&amp;"%2C"&amp;$E322&amp;"&amp;marker="&amp;$F322&amp;","&amp;$E322&amp;",4326&amp;level=16",IF(_xlfn.SINGLE(JobState)="IN","https://fema.maps.arcgis.com/apps/mapviewer/index.html?url=https%3A%2F%2Fgisdata.in.gov%2Fserver%2Frest%2Fservices%2FHosted%2FLRSE_Functional_Class%2FFeatureServer%2F22&amp;find="&amp;$F322&amp;"%2C"&amp;$E322&amp;"&amp;marker="&amp;$F322&amp;","&amp;$E322&amp;",4326&amp;level=16",IF(_xlfn.SINGLE(JobState)="WI","https://fema.maps.arcgis.com/apps/mapviewer/index.html?url=https%3A%2F%2Fservices5.arcgis.com%2F0pgGLzT0Nh7FVjon%2Farcgis%2Frest%2Fservices%2FFFCL_gdb%2FFeatureServer%2F3&amp;find="&amp;$F322&amp;"%2C"&amp;$E322&amp;"&amp;marker="&amp;$F322&amp;","&amp;$E322&amp;",4326&amp;level=16","https://fema.maps.arcgis.com/apps/mapviewer/index.html?find="&amp;$F322&amp;"%2C"&amp;$E322&amp;"&amp;marker="&amp;$F322&amp;","&amp;$E322&amp;",4326&amp;level=16"))),"Open"))</f>
        <v/>
      </c>
      <c r="T322" s="4"/>
      <c r="U322" s="4"/>
      <c r="V322" s="4"/>
      <c r="W322" s="4"/>
      <c r="X322" s="4"/>
      <c r="Y322" s="4"/>
      <c r="Z322" s="4"/>
      <c r="AA322" s="4"/>
      <c r="AB322" s="1" t="str">
        <f>IF(OR(_xlfn.SINGLE(JobAgolMap)="", $E322="", $F322=""),"",HYPERLINK(_xlfn.SINGLE(JobAgolMap)&amp;IF(ISNUMBER(FIND("?",_xlfn.SINGLE(JobAgolMap))),"&amp;","?")&amp;"center="&amp;$F322&amp;","&amp;$E322&amp;"&amp;level=16&amp;marker="&amp;$F322&amp;","&amp;$E322,"Open"))</f>
        <v/>
      </c>
    </row>
    <row r="323" spans="1:28" x14ac:dyDescent="0.45">
      <c r="A323" s="3"/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4"/>
      <c r="M323" s="1" t="str">
        <f t="shared" ref="M323:M386" si="30">IF(OR($E323="",$F323=""),"",HYPERLINK("https://www.google.com/maps?q="&amp;$E323&amp;","&amp;$F323&amp;"","Map"))</f>
        <v/>
      </c>
      <c r="N323" s="1" t="str">
        <f t="shared" ref="N323:N386" si="31">IF(OR($E323="",$F323=""),"",HYPERLINK("https://www.google.com/maps?q&amp;layer=c&amp;cbll="&amp;$E323&amp;","&amp;$F323&amp;"","Street"))</f>
        <v/>
      </c>
      <c r="O323" s="1" t="str">
        <f t="shared" ref="O323:O386" si="32">IF(OR($E323="",$F323=""),"",HYPERLINK("https://www.bing.com/maps?cp="&amp;$E323&amp;"~"&amp;$F323&amp;"&amp;lvl=18&amp;style=h","Bing"))</f>
        <v/>
      </c>
      <c r="P323" s="1" t="str">
        <f t="shared" ref="P323:P386" si="33">IF(OR($E323="",$F323=""),"",HYPERLINK("https://earth.google.com/web/search/"&amp;$E323&amp;","&amp;$F323&amp;"","Earth"))</f>
        <v/>
      </c>
      <c r="Q323" s="1" t="str">
        <f t="shared" ref="Q323:Q386" si="34">IF(OR($E323="",$F323=""),"",HYPERLINK("https://fema.maps.arcgis.com/apps/mapviewer/index.html?find="&amp;$F323&amp;"%2C"&amp;$E323&amp;"&amp;marker="&amp;$F323&amp;","&amp;$E323&amp;",4326&amp;level=16","FEMA"))</f>
        <v/>
      </c>
      <c r="R323" s="1" t="str">
        <f t="shared" ref="R323:R386" si="35">IF(OR($E323="",$F323=""),"",HYPERLINK("https://msc.fema.gov/portal/firmette?latitude="&amp;$E323&amp;"&amp;longitude="&amp;$F323&amp;"","FIRMette"))</f>
        <v/>
      </c>
      <c r="S323" s="1" t="str">
        <f>IF(OR($E323="",$F323=""),"",HYPERLINK(IF(OR(_xlfn.SINGLE(JobState)="MI",_xlfn.SINGLE(JobState)=""),"https://fema.maps.arcgis.com/apps/mapviewer/index.html?url=https%3A%2F%2Fmdotgis.state.mi.us%2Farcgis%2Frest%2Fservices%2FWidget%2FNextGenPrFinderPub%2FFeatureServer%2F353&amp;find="&amp;$F323&amp;"%2C"&amp;$E323&amp;"&amp;marker="&amp;$F323&amp;","&amp;$E323&amp;",4326&amp;level=16",IF(_xlfn.SINGLE(JobState)="IN","https://fema.maps.arcgis.com/apps/mapviewer/index.html?url=https%3A%2F%2Fgisdata.in.gov%2Fserver%2Frest%2Fservices%2FHosted%2FLRSE_Functional_Class%2FFeatureServer%2F22&amp;find="&amp;$F323&amp;"%2C"&amp;$E323&amp;"&amp;marker="&amp;$F323&amp;","&amp;$E323&amp;",4326&amp;level=16",IF(_xlfn.SINGLE(JobState)="WI","https://fema.maps.arcgis.com/apps/mapviewer/index.html?url=https%3A%2F%2Fservices5.arcgis.com%2F0pgGLzT0Nh7FVjon%2Farcgis%2Frest%2Fservices%2FFFCL_gdb%2FFeatureServer%2F3&amp;find="&amp;$F323&amp;"%2C"&amp;$E323&amp;"&amp;marker="&amp;$F323&amp;","&amp;$E323&amp;",4326&amp;level=16","https://fema.maps.arcgis.com/apps/mapviewer/index.html?find="&amp;$F323&amp;"%2C"&amp;$E323&amp;"&amp;marker="&amp;$F323&amp;","&amp;$E323&amp;",4326&amp;level=16"))),"Open"))</f>
        <v/>
      </c>
      <c r="T323" s="4"/>
      <c r="U323" s="4"/>
      <c r="V323" s="4"/>
      <c r="W323" s="4"/>
      <c r="X323" s="4"/>
      <c r="Y323" s="4"/>
      <c r="Z323" s="4"/>
      <c r="AA323" s="4"/>
      <c r="AB323" s="1" t="str">
        <f>IF(OR(_xlfn.SINGLE(JobAgolMap)="", $E323="", $F323=""),"",HYPERLINK(_xlfn.SINGLE(JobAgolMap)&amp;IF(ISNUMBER(FIND("?",_xlfn.SINGLE(JobAgolMap))),"&amp;","?")&amp;"center="&amp;$F323&amp;","&amp;$E323&amp;"&amp;level=16&amp;marker="&amp;$F323&amp;","&amp;$E323,"Open"))</f>
        <v/>
      </c>
    </row>
    <row r="324" spans="1:28" x14ac:dyDescent="0.45">
      <c r="A324" s="3"/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4"/>
      <c r="M324" s="1" t="str">
        <f t="shared" si="30"/>
        <v/>
      </c>
      <c r="N324" s="1" t="str">
        <f t="shared" si="31"/>
        <v/>
      </c>
      <c r="O324" s="1" t="str">
        <f t="shared" si="32"/>
        <v/>
      </c>
      <c r="P324" s="1" t="str">
        <f t="shared" si="33"/>
        <v/>
      </c>
      <c r="Q324" s="1" t="str">
        <f t="shared" si="34"/>
        <v/>
      </c>
      <c r="R324" s="1" t="str">
        <f t="shared" si="35"/>
        <v/>
      </c>
      <c r="S324" s="1" t="str">
        <f>IF(OR($E324="",$F324=""),"",HYPERLINK(IF(OR(_xlfn.SINGLE(JobState)="MI",_xlfn.SINGLE(JobState)=""),"https://fema.maps.arcgis.com/apps/mapviewer/index.html?url=https%3A%2F%2Fmdotgis.state.mi.us%2Farcgis%2Frest%2Fservices%2FWidget%2FNextGenPrFinderPub%2FFeatureServer%2F353&amp;find="&amp;$F324&amp;"%2C"&amp;$E324&amp;"&amp;marker="&amp;$F324&amp;","&amp;$E324&amp;",4326&amp;level=16",IF(_xlfn.SINGLE(JobState)="IN","https://fema.maps.arcgis.com/apps/mapviewer/index.html?url=https%3A%2F%2Fgisdata.in.gov%2Fserver%2Frest%2Fservices%2FHosted%2FLRSE_Functional_Class%2FFeatureServer%2F22&amp;find="&amp;$F324&amp;"%2C"&amp;$E324&amp;"&amp;marker="&amp;$F324&amp;","&amp;$E324&amp;",4326&amp;level=16",IF(_xlfn.SINGLE(JobState)="WI","https://fema.maps.arcgis.com/apps/mapviewer/index.html?url=https%3A%2F%2Fservices5.arcgis.com%2F0pgGLzT0Nh7FVjon%2Farcgis%2Frest%2Fservices%2FFFCL_gdb%2FFeatureServer%2F3&amp;find="&amp;$F324&amp;"%2C"&amp;$E324&amp;"&amp;marker="&amp;$F324&amp;","&amp;$E324&amp;",4326&amp;level=16","https://fema.maps.arcgis.com/apps/mapviewer/index.html?find="&amp;$F324&amp;"%2C"&amp;$E324&amp;"&amp;marker="&amp;$F324&amp;","&amp;$E324&amp;",4326&amp;level=16"))),"Open"))</f>
        <v/>
      </c>
      <c r="T324" s="4"/>
      <c r="U324" s="4"/>
      <c r="V324" s="4"/>
      <c r="W324" s="4"/>
      <c r="X324" s="4"/>
      <c r="Y324" s="4"/>
      <c r="Z324" s="4"/>
      <c r="AA324" s="4"/>
      <c r="AB324" s="1" t="str">
        <f>IF(OR(_xlfn.SINGLE(JobAgolMap)="", $E324="", $F324=""),"",HYPERLINK(_xlfn.SINGLE(JobAgolMap)&amp;IF(ISNUMBER(FIND("?",_xlfn.SINGLE(JobAgolMap))),"&amp;","?")&amp;"center="&amp;$F324&amp;","&amp;$E324&amp;"&amp;level=16&amp;marker="&amp;$F324&amp;","&amp;$E324,"Open"))</f>
        <v/>
      </c>
    </row>
    <row r="325" spans="1:28" x14ac:dyDescent="0.45">
      <c r="A325" s="3"/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4"/>
      <c r="M325" s="1" t="str">
        <f t="shared" si="30"/>
        <v/>
      </c>
      <c r="N325" s="1" t="str">
        <f t="shared" si="31"/>
        <v/>
      </c>
      <c r="O325" s="1" t="str">
        <f t="shared" si="32"/>
        <v/>
      </c>
      <c r="P325" s="1" t="str">
        <f t="shared" si="33"/>
        <v/>
      </c>
      <c r="Q325" s="1" t="str">
        <f t="shared" si="34"/>
        <v/>
      </c>
      <c r="R325" s="1" t="str">
        <f t="shared" si="35"/>
        <v/>
      </c>
      <c r="S325" s="1" t="str">
        <f>IF(OR($E325="",$F325=""),"",HYPERLINK(IF(OR(_xlfn.SINGLE(JobState)="MI",_xlfn.SINGLE(JobState)=""),"https://fema.maps.arcgis.com/apps/mapviewer/index.html?url=https%3A%2F%2Fmdotgis.state.mi.us%2Farcgis%2Frest%2Fservices%2FWidget%2FNextGenPrFinderPub%2FFeatureServer%2F353&amp;find="&amp;$F325&amp;"%2C"&amp;$E325&amp;"&amp;marker="&amp;$F325&amp;","&amp;$E325&amp;",4326&amp;level=16",IF(_xlfn.SINGLE(JobState)="IN","https://fema.maps.arcgis.com/apps/mapviewer/index.html?url=https%3A%2F%2Fgisdata.in.gov%2Fserver%2Frest%2Fservices%2FHosted%2FLRSE_Functional_Class%2FFeatureServer%2F22&amp;find="&amp;$F325&amp;"%2C"&amp;$E325&amp;"&amp;marker="&amp;$F325&amp;","&amp;$E325&amp;",4326&amp;level=16",IF(_xlfn.SINGLE(JobState)="WI","https://fema.maps.arcgis.com/apps/mapviewer/index.html?url=https%3A%2F%2Fservices5.arcgis.com%2F0pgGLzT0Nh7FVjon%2Farcgis%2Frest%2Fservices%2FFFCL_gdb%2FFeatureServer%2F3&amp;find="&amp;$F325&amp;"%2C"&amp;$E325&amp;"&amp;marker="&amp;$F325&amp;","&amp;$E325&amp;",4326&amp;level=16","https://fema.maps.arcgis.com/apps/mapviewer/index.html?find="&amp;$F325&amp;"%2C"&amp;$E325&amp;"&amp;marker="&amp;$F325&amp;","&amp;$E325&amp;",4326&amp;level=16"))),"Open"))</f>
        <v/>
      </c>
      <c r="T325" s="4"/>
      <c r="U325" s="4"/>
      <c r="V325" s="4"/>
      <c r="W325" s="4"/>
      <c r="X325" s="4"/>
      <c r="Y325" s="4"/>
      <c r="Z325" s="4"/>
      <c r="AA325" s="4"/>
      <c r="AB325" s="1" t="str">
        <f>IF(OR(_xlfn.SINGLE(JobAgolMap)="", $E325="", $F325=""),"",HYPERLINK(_xlfn.SINGLE(JobAgolMap)&amp;IF(ISNUMBER(FIND("?",_xlfn.SINGLE(JobAgolMap))),"&amp;","?")&amp;"center="&amp;$F325&amp;","&amp;$E325&amp;"&amp;level=16&amp;marker="&amp;$F325&amp;","&amp;$E325,"Open"))</f>
        <v/>
      </c>
    </row>
    <row r="326" spans="1:28" x14ac:dyDescent="0.45">
      <c r="A326" s="3"/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4"/>
      <c r="M326" s="1" t="str">
        <f t="shared" si="30"/>
        <v/>
      </c>
      <c r="N326" s="1" t="str">
        <f t="shared" si="31"/>
        <v/>
      </c>
      <c r="O326" s="1" t="str">
        <f t="shared" si="32"/>
        <v/>
      </c>
      <c r="P326" s="1" t="str">
        <f t="shared" si="33"/>
        <v/>
      </c>
      <c r="Q326" s="1" t="str">
        <f t="shared" si="34"/>
        <v/>
      </c>
      <c r="R326" s="1" t="str">
        <f t="shared" si="35"/>
        <v/>
      </c>
      <c r="S326" s="1" t="str">
        <f>IF(OR($E326="",$F326=""),"",HYPERLINK(IF(OR(_xlfn.SINGLE(JobState)="MI",_xlfn.SINGLE(JobState)=""),"https://fema.maps.arcgis.com/apps/mapviewer/index.html?url=https%3A%2F%2Fmdotgis.state.mi.us%2Farcgis%2Frest%2Fservices%2FWidget%2FNextGenPrFinderPub%2FFeatureServer%2F353&amp;find="&amp;$F326&amp;"%2C"&amp;$E326&amp;"&amp;marker="&amp;$F326&amp;","&amp;$E326&amp;",4326&amp;level=16",IF(_xlfn.SINGLE(JobState)="IN","https://fema.maps.arcgis.com/apps/mapviewer/index.html?url=https%3A%2F%2Fgisdata.in.gov%2Fserver%2Frest%2Fservices%2FHosted%2FLRSE_Functional_Class%2FFeatureServer%2F22&amp;find="&amp;$F326&amp;"%2C"&amp;$E326&amp;"&amp;marker="&amp;$F326&amp;","&amp;$E326&amp;",4326&amp;level=16",IF(_xlfn.SINGLE(JobState)="WI","https://fema.maps.arcgis.com/apps/mapviewer/index.html?url=https%3A%2F%2Fservices5.arcgis.com%2F0pgGLzT0Nh7FVjon%2Farcgis%2Frest%2Fservices%2FFFCL_gdb%2FFeatureServer%2F3&amp;find="&amp;$F326&amp;"%2C"&amp;$E326&amp;"&amp;marker="&amp;$F326&amp;","&amp;$E326&amp;",4326&amp;level=16","https://fema.maps.arcgis.com/apps/mapviewer/index.html?find="&amp;$F326&amp;"%2C"&amp;$E326&amp;"&amp;marker="&amp;$F326&amp;","&amp;$E326&amp;",4326&amp;level=16"))),"Open"))</f>
        <v/>
      </c>
      <c r="T326" s="4"/>
      <c r="U326" s="4"/>
      <c r="V326" s="4"/>
      <c r="W326" s="4"/>
      <c r="X326" s="4"/>
      <c r="Y326" s="4"/>
      <c r="Z326" s="4"/>
      <c r="AA326" s="4"/>
      <c r="AB326" s="1" t="str">
        <f>IF(OR(_xlfn.SINGLE(JobAgolMap)="", $E326="", $F326=""),"",HYPERLINK(_xlfn.SINGLE(JobAgolMap)&amp;IF(ISNUMBER(FIND("?",_xlfn.SINGLE(JobAgolMap))),"&amp;","?")&amp;"center="&amp;$F326&amp;","&amp;$E326&amp;"&amp;level=16&amp;marker="&amp;$F326&amp;","&amp;$E326,"Open"))</f>
        <v/>
      </c>
    </row>
    <row r="327" spans="1:28" x14ac:dyDescent="0.45">
      <c r="A327" s="3"/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4"/>
      <c r="M327" s="1" t="str">
        <f t="shared" si="30"/>
        <v/>
      </c>
      <c r="N327" s="1" t="str">
        <f t="shared" si="31"/>
        <v/>
      </c>
      <c r="O327" s="1" t="str">
        <f t="shared" si="32"/>
        <v/>
      </c>
      <c r="P327" s="1" t="str">
        <f t="shared" si="33"/>
        <v/>
      </c>
      <c r="Q327" s="1" t="str">
        <f t="shared" si="34"/>
        <v/>
      </c>
      <c r="R327" s="1" t="str">
        <f t="shared" si="35"/>
        <v/>
      </c>
      <c r="S327" s="1" t="str">
        <f>IF(OR($E327="",$F327=""),"",HYPERLINK(IF(OR(_xlfn.SINGLE(JobState)="MI",_xlfn.SINGLE(JobState)=""),"https://fema.maps.arcgis.com/apps/mapviewer/index.html?url=https%3A%2F%2Fmdotgis.state.mi.us%2Farcgis%2Frest%2Fservices%2FWidget%2FNextGenPrFinderPub%2FFeatureServer%2F353&amp;find="&amp;$F327&amp;"%2C"&amp;$E327&amp;"&amp;marker="&amp;$F327&amp;","&amp;$E327&amp;",4326&amp;level=16",IF(_xlfn.SINGLE(JobState)="IN","https://fema.maps.arcgis.com/apps/mapviewer/index.html?url=https%3A%2F%2Fgisdata.in.gov%2Fserver%2Frest%2Fservices%2FHosted%2FLRSE_Functional_Class%2FFeatureServer%2F22&amp;find="&amp;$F327&amp;"%2C"&amp;$E327&amp;"&amp;marker="&amp;$F327&amp;","&amp;$E327&amp;",4326&amp;level=16",IF(_xlfn.SINGLE(JobState)="WI","https://fema.maps.arcgis.com/apps/mapviewer/index.html?url=https%3A%2F%2Fservices5.arcgis.com%2F0pgGLzT0Nh7FVjon%2Farcgis%2Frest%2Fservices%2FFFCL_gdb%2FFeatureServer%2F3&amp;find="&amp;$F327&amp;"%2C"&amp;$E327&amp;"&amp;marker="&amp;$F327&amp;","&amp;$E327&amp;",4326&amp;level=16","https://fema.maps.arcgis.com/apps/mapviewer/index.html?find="&amp;$F327&amp;"%2C"&amp;$E327&amp;"&amp;marker="&amp;$F327&amp;","&amp;$E327&amp;",4326&amp;level=16"))),"Open"))</f>
        <v/>
      </c>
      <c r="T327" s="4"/>
      <c r="U327" s="4"/>
      <c r="V327" s="4"/>
      <c r="W327" s="4"/>
      <c r="X327" s="4"/>
      <c r="Y327" s="4"/>
      <c r="Z327" s="4"/>
      <c r="AA327" s="4"/>
      <c r="AB327" s="1" t="str">
        <f>IF(OR(_xlfn.SINGLE(JobAgolMap)="", $E327="", $F327=""),"",HYPERLINK(_xlfn.SINGLE(JobAgolMap)&amp;IF(ISNUMBER(FIND("?",_xlfn.SINGLE(JobAgolMap))),"&amp;","?")&amp;"center="&amp;$F327&amp;","&amp;$E327&amp;"&amp;level=16&amp;marker="&amp;$F327&amp;","&amp;$E327,"Open"))</f>
        <v/>
      </c>
    </row>
    <row r="328" spans="1:28" x14ac:dyDescent="0.45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4"/>
      <c r="M328" s="1" t="str">
        <f t="shared" si="30"/>
        <v/>
      </c>
      <c r="N328" s="1" t="str">
        <f t="shared" si="31"/>
        <v/>
      </c>
      <c r="O328" s="1" t="str">
        <f t="shared" si="32"/>
        <v/>
      </c>
      <c r="P328" s="1" t="str">
        <f t="shared" si="33"/>
        <v/>
      </c>
      <c r="Q328" s="1" t="str">
        <f t="shared" si="34"/>
        <v/>
      </c>
      <c r="R328" s="1" t="str">
        <f t="shared" si="35"/>
        <v/>
      </c>
      <c r="S328" s="1" t="str">
        <f>IF(OR($E328="",$F328=""),"",HYPERLINK(IF(OR(_xlfn.SINGLE(JobState)="MI",_xlfn.SINGLE(JobState)=""),"https://fema.maps.arcgis.com/apps/mapviewer/index.html?url=https%3A%2F%2Fmdotgis.state.mi.us%2Farcgis%2Frest%2Fservices%2FWidget%2FNextGenPrFinderPub%2FFeatureServer%2F353&amp;find="&amp;$F328&amp;"%2C"&amp;$E328&amp;"&amp;marker="&amp;$F328&amp;","&amp;$E328&amp;",4326&amp;level=16",IF(_xlfn.SINGLE(JobState)="IN","https://fema.maps.arcgis.com/apps/mapviewer/index.html?url=https%3A%2F%2Fgisdata.in.gov%2Fserver%2Frest%2Fservices%2FHosted%2FLRSE_Functional_Class%2FFeatureServer%2F22&amp;find="&amp;$F328&amp;"%2C"&amp;$E328&amp;"&amp;marker="&amp;$F328&amp;","&amp;$E328&amp;",4326&amp;level=16",IF(_xlfn.SINGLE(JobState)="WI","https://fema.maps.arcgis.com/apps/mapviewer/index.html?url=https%3A%2F%2Fservices5.arcgis.com%2F0pgGLzT0Nh7FVjon%2Farcgis%2Frest%2Fservices%2FFFCL_gdb%2FFeatureServer%2F3&amp;find="&amp;$F328&amp;"%2C"&amp;$E328&amp;"&amp;marker="&amp;$F328&amp;","&amp;$E328&amp;",4326&amp;level=16","https://fema.maps.arcgis.com/apps/mapviewer/index.html?find="&amp;$F328&amp;"%2C"&amp;$E328&amp;"&amp;marker="&amp;$F328&amp;","&amp;$E328&amp;",4326&amp;level=16"))),"Open"))</f>
        <v/>
      </c>
      <c r="T328" s="4"/>
      <c r="U328" s="4"/>
      <c r="V328" s="4"/>
      <c r="W328" s="4"/>
      <c r="X328" s="4"/>
      <c r="Y328" s="4"/>
      <c r="Z328" s="4"/>
      <c r="AA328" s="4"/>
      <c r="AB328" s="1" t="str">
        <f>IF(OR(_xlfn.SINGLE(JobAgolMap)="", $E328="", $F328=""),"",HYPERLINK(_xlfn.SINGLE(JobAgolMap)&amp;IF(ISNUMBER(FIND("?",_xlfn.SINGLE(JobAgolMap))),"&amp;","?")&amp;"center="&amp;$F328&amp;","&amp;$E328&amp;"&amp;level=16&amp;marker="&amp;$F328&amp;","&amp;$E328,"Open"))</f>
        <v/>
      </c>
    </row>
    <row r="329" spans="1:28" x14ac:dyDescent="0.45">
      <c r="A329" s="3"/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4"/>
      <c r="M329" s="1" t="str">
        <f t="shared" si="30"/>
        <v/>
      </c>
      <c r="N329" s="1" t="str">
        <f t="shared" si="31"/>
        <v/>
      </c>
      <c r="O329" s="1" t="str">
        <f t="shared" si="32"/>
        <v/>
      </c>
      <c r="P329" s="1" t="str">
        <f t="shared" si="33"/>
        <v/>
      </c>
      <c r="Q329" s="1" t="str">
        <f t="shared" si="34"/>
        <v/>
      </c>
      <c r="R329" s="1" t="str">
        <f t="shared" si="35"/>
        <v/>
      </c>
      <c r="S329" s="1" t="str">
        <f>IF(OR($E329="",$F329=""),"",HYPERLINK(IF(OR(_xlfn.SINGLE(JobState)="MI",_xlfn.SINGLE(JobState)=""),"https://fema.maps.arcgis.com/apps/mapviewer/index.html?url=https%3A%2F%2Fmdotgis.state.mi.us%2Farcgis%2Frest%2Fservices%2FWidget%2FNextGenPrFinderPub%2FFeatureServer%2F353&amp;find="&amp;$F329&amp;"%2C"&amp;$E329&amp;"&amp;marker="&amp;$F329&amp;","&amp;$E329&amp;",4326&amp;level=16",IF(_xlfn.SINGLE(JobState)="IN","https://fema.maps.arcgis.com/apps/mapviewer/index.html?url=https%3A%2F%2Fgisdata.in.gov%2Fserver%2Frest%2Fservices%2FHosted%2FLRSE_Functional_Class%2FFeatureServer%2F22&amp;find="&amp;$F329&amp;"%2C"&amp;$E329&amp;"&amp;marker="&amp;$F329&amp;","&amp;$E329&amp;",4326&amp;level=16",IF(_xlfn.SINGLE(JobState)="WI","https://fema.maps.arcgis.com/apps/mapviewer/index.html?url=https%3A%2F%2Fservices5.arcgis.com%2F0pgGLzT0Nh7FVjon%2Farcgis%2Frest%2Fservices%2FFFCL_gdb%2FFeatureServer%2F3&amp;find="&amp;$F329&amp;"%2C"&amp;$E329&amp;"&amp;marker="&amp;$F329&amp;","&amp;$E329&amp;",4326&amp;level=16","https://fema.maps.arcgis.com/apps/mapviewer/index.html?find="&amp;$F329&amp;"%2C"&amp;$E329&amp;"&amp;marker="&amp;$F329&amp;","&amp;$E329&amp;",4326&amp;level=16"))),"Open"))</f>
        <v/>
      </c>
      <c r="T329" s="4"/>
      <c r="U329" s="4"/>
      <c r="V329" s="4"/>
      <c r="W329" s="4"/>
      <c r="X329" s="4"/>
      <c r="Y329" s="4"/>
      <c r="Z329" s="4"/>
      <c r="AA329" s="4"/>
      <c r="AB329" s="1" t="str">
        <f>IF(OR(_xlfn.SINGLE(JobAgolMap)="", $E329="", $F329=""),"",HYPERLINK(_xlfn.SINGLE(JobAgolMap)&amp;IF(ISNUMBER(FIND("?",_xlfn.SINGLE(JobAgolMap))),"&amp;","?")&amp;"center="&amp;$F329&amp;","&amp;$E329&amp;"&amp;level=16&amp;marker="&amp;$F329&amp;","&amp;$E329,"Open"))</f>
        <v/>
      </c>
    </row>
    <row r="330" spans="1:28" x14ac:dyDescent="0.45">
      <c r="A330" s="3"/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4"/>
      <c r="M330" s="1" t="str">
        <f t="shared" si="30"/>
        <v/>
      </c>
      <c r="N330" s="1" t="str">
        <f t="shared" si="31"/>
        <v/>
      </c>
      <c r="O330" s="1" t="str">
        <f t="shared" si="32"/>
        <v/>
      </c>
      <c r="P330" s="1" t="str">
        <f t="shared" si="33"/>
        <v/>
      </c>
      <c r="Q330" s="1" t="str">
        <f t="shared" si="34"/>
        <v/>
      </c>
      <c r="R330" s="1" t="str">
        <f t="shared" si="35"/>
        <v/>
      </c>
      <c r="S330" s="1" t="str">
        <f>IF(OR($E330="",$F330=""),"",HYPERLINK(IF(OR(_xlfn.SINGLE(JobState)="MI",_xlfn.SINGLE(JobState)=""),"https://fema.maps.arcgis.com/apps/mapviewer/index.html?url=https%3A%2F%2Fmdotgis.state.mi.us%2Farcgis%2Frest%2Fservices%2FWidget%2FNextGenPrFinderPub%2FFeatureServer%2F353&amp;find="&amp;$F330&amp;"%2C"&amp;$E330&amp;"&amp;marker="&amp;$F330&amp;","&amp;$E330&amp;",4326&amp;level=16",IF(_xlfn.SINGLE(JobState)="IN","https://fema.maps.arcgis.com/apps/mapviewer/index.html?url=https%3A%2F%2Fgisdata.in.gov%2Fserver%2Frest%2Fservices%2FHosted%2FLRSE_Functional_Class%2FFeatureServer%2F22&amp;find="&amp;$F330&amp;"%2C"&amp;$E330&amp;"&amp;marker="&amp;$F330&amp;","&amp;$E330&amp;",4326&amp;level=16",IF(_xlfn.SINGLE(JobState)="WI","https://fema.maps.arcgis.com/apps/mapviewer/index.html?url=https%3A%2F%2Fservices5.arcgis.com%2F0pgGLzT0Nh7FVjon%2Farcgis%2Frest%2Fservices%2FFFCL_gdb%2FFeatureServer%2F3&amp;find="&amp;$F330&amp;"%2C"&amp;$E330&amp;"&amp;marker="&amp;$F330&amp;","&amp;$E330&amp;",4326&amp;level=16","https://fema.maps.arcgis.com/apps/mapviewer/index.html?find="&amp;$F330&amp;"%2C"&amp;$E330&amp;"&amp;marker="&amp;$F330&amp;","&amp;$E330&amp;",4326&amp;level=16"))),"Open"))</f>
        <v/>
      </c>
      <c r="T330" s="4"/>
      <c r="U330" s="4"/>
      <c r="V330" s="4"/>
      <c r="W330" s="4"/>
      <c r="X330" s="4"/>
      <c r="Y330" s="4"/>
      <c r="Z330" s="4"/>
      <c r="AA330" s="4"/>
      <c r="AB330" s="1" t="str">
        <f>IF(OR(_xlfn.SINGLE(JobAgolMap)="", $E330="", $F330=""),"",HYPERLINK(_xlfn.SINGLE(JobAgolMap)&amp;IF(ISNUMBER(FIND("?",_xlfn.SINGLE(JobAgolMap))),"&amp;","?")&amp;"center="&amp;$F330&amp;","&amp;$E330&amp;"&amp;level=16&amp;marker="&amp;$F330&amp;","&amp;$E330,"Open"))</f>
        <v/>
      </c>
    </row>
    <row r="331" spans="1:28" x14ac:dyDescent="0.45">
      <c r="A331" s="3"/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4"/>
      <c r="M331" s="1" t="str">
        <f t="shared" si="30"/>
        <v/>
      </c>
      <c r="N331" s="1" t="str">
        <f t="shared" si="31"/>
        <v/>
      </c>
      <c r="O331" s="1" t="str">
        <f t="shared" si="32"/>
        <v/>
      </c>
      <c r="P331" s="1" t="str">
        <f t="shared" si="33"/>
        <v/>
      </c>
      <c r="Q331" s="1" t="str">
        <f t="shared" si="34"/>
        <v/>
      </c>
      <c r="R331" s="1" t="str">
        <f t="shared" si="35"/>
        <v/>
      </c>
      <c r="S331" s="1" t="str">
        <f>IF(OR($E331="",$F331=""),"",HYPERLINK(IF(OR(_xlfn.SINGLE(JobState)="MI",_xlfn.SINGLE(JobState)=""),"https://fema.maps.arcgis.com/apps/mapviewer/index.html?url=https%3A%2F%2Fmdotgis.state.mi.us%2Farcgis%2Frest%2Fservices%2FWidget%2FNextGenPrFinderPub%2FFeatureServer%2F353&amp;find="&amp;$F331&amp;"%2C"&amp;$E331&amp;"&amp;marker="&amp;$F331&amp;","&amp;$E331&amp;",4326&amp;level=16",IF(_xlfn.SINGLE(JobState)="IN","https://fema.maps.arcgis.com/apps/mapviewer/index.html?url=https%3A%2F%2Fgisdata.in.gov%2Fserver%2Frest%2Fservices%2FHosted%2FLRSE_Functional_Class%2FFeatureServer%2F22&amp;find="&amp;$F331&amp;"%2C"&amp;$E331&amp;"&amp;marker="&amp;$F331&amp;","&amp;$E331&amp;",4326&amp;level=16",IF(_xlfn.SINGLE(JobState)="WI","https://fema.maps.arcgis.com/apps/mapviewer/index.html?url=https%3A%2F%2Fservices5.arcgis.com%2F0pgGLzT0Nh7FVjon%2Farcgis%2Frest%2Fservices%2FFFCL_gdb%2FFeatureServer%2F3&amp;find="&amp;$F331&amp;"%2C"&amp;$E331&amp;"&amp;marker="&amp;$F331&amp;","&amp;$E331&amp;",4326&amp;level=16","https://fema.maps.arcgis.com/apps/mapviewer/index.html?find="&amp;$F331&amp;"%2C"&amp;$E331&amp;"&amp;marker="&amp;$F331&amp;","&amp;$E331&amp;",4326&amp;level=16"))),"Open"))</f>
        <v/>
      </c>
      <c r="T331" s="4"/>
      <c r="U331" s="4"/>
      <c r="V331" s="4"/>
      <c r="W331" s="4"/>
      <c r="X331" s="4"/>
      <c r="Y331" s="4"/>
      <c r="Z331" s="4"/>
      <c r="AA331" s="4"/>
      <c r="AB331" s="1" t="str">
        <f>IF(OR(_xlfn.SINGLE(JobAgolMap)="", $E331="", $F331=""),"",HYPERLINK(_xlfn.SINGLE(JobAgolMap)&amp;IF(ISNUMBER(FIND("?",_xlfn.SINGLE(JobAgolMap))),"&amp;","?")&amp;"center="&amp;$F331&amp;","&amp;$E331&amp;"&amp;level=16&amp;marker="&amp;$F331&amp;","&amp;$E331,"Open"))</f>
        <v/>
      </c>
    </row>
    <row r="332" spans="1:28" x14ac:dyDescent="0.45">
      <c r="A332" s="3"/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4"/>
      <c r="M332" s="1" t="str">
        <f t="shared" si="30"/>
        <v/>
      </c>
      <c r="N332" s="1" t="str">
        <f t="shared" si="31"/>
        <v/>
      </c>
      <c r="O332" s="1" t="str">
        <f t="shared" si="32"/>
        <v/>
      </c>
      <c r="P332" s="1" t="str">
        <f t="shared" si="33"/>
        <v/>
      </c>
      <c r="Q332" s="1" t="str">
        <f t="shared" si="34"/>
        <v/>
      </c>
      <c r="R332" s="1" t="str">
        <f t="shared" si="35"/>
        <v/>
      </c>
      <c r="S332" s="1" t="str">
        <f>IF(OR($E332="",$F332=""),"",HYPERLINK(IF(OR(_xlfn.SINGLE(JobState)="MI",_xlfn.SINGLE(JobState)=""),"https://fema.maps.arcgis.com/apps/mapviewer/index.html?url=https%3A%2F%2Fmdotgis.state.mi.us%2Farcgis%2Frest%2Fservices%2FWidget%2FNextGenPrFinderPub%2FFeatureServer%2F353&amp;find="&amp;$F332&amp;"%2C"&amp;$E332&amp;"&amp;marker="&amp;$F332&amp;","&amp;$E332&amp;",4326&amp;level=16",IF(_xlfn.SINGLE(JobState)="IN","https://fema.maps.arcgis.com/apps/mapviewer/index.html?url=https%3A%2F%2Fgisdata.in.gov%2Fserver%2Frest%2Fservices%2FHosted%2FLRSE_Functional_Class%2FFeatureServer%2F22&amp;find="&amp;$F332&amp;"%2C"&amp;$E332&amp;"&amp;marker="&amp;$F332&amp;","&amp;$E332&amp;",4326&amp;level=16",IF(_xlfn.SINGLE(JobState)="WI","https://fema.maps.arcgis.com/apps/mapviewer/index.html?url=https%3A%2F%2Fservices5.arcgis.com%2F0pgGLzT0Nh7FVjon%2Farcgis%2Frest%2Fservices%2FFFCL_gdb%2FFeatureServer%2F3&amp;find="&amp;$F332&amp;"%2C"&amp;$E332&amp;"&amp;marker="&amp;$F332&amp;","&amp;$E332&amp;",4326&amp;level=16","https://fema.maps.arcgis.com/apps/mapviewer/index.html?find="&amp;$F332&amp;"%2C"&amp;$E332&amp;"&amp;marker="&amp;$F332&amp;","&amp;$E332&amp;",4326&amp;level=16"))),"Open"))</f>
        <v/>
      </c>
      <c r="T332" s="4"/>
      <c r="U332" s="4"/>
      <c r="V332" s="4"/>
      <c r="W332" s="4"/>
      <c r="X332" s="4"/>
      <c r="Y332" s="4"/>
      <c r="Z332" s="4"/>
      <c r="AA332" s="4"/>
      <c r="AB332" s="1" t="str">
        <f>IF(OR(_xlfn.SINGLE(JobAgolMap)="", $E332="", $F332=""),"",HYPERLINK(_xlfn.SINGLE(JobAgolMap)&amp;IF(ISNUMBER(FIND("?",_xlfn.SINGLE(JobAgolMap))),"&amp;","?")&amp;"center="&amp;$F332&amp;","&amp;$E332&amp;"&amp;level=16&amp;marker="&amp;$F332&amp;","&amp;$E332,"Open"))</f>
        <v/>
      </c>
    </row>
    <row r="333" spans="1:28" x14ac:dyDescent="0.45">
      <c r="A333" s="3"/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4"/>
      <c r="M333" s="1" t="str">
        <f t="shared" si="30"/>
        <v/>
      </c>
      <c r="N333" s="1" t="str">
        <f t="shared" si="31"/>
        <v/>
      </c>
      <c r="O333" s="1" t="str">
        <f t="shared" si="32"/>
        <v/>
      </c>
      <c r="P333" s="1" t="str">
        <f t="shared" si="33"/>
        <v/>
      </c>
      <c r="Q333" s="1" t="str">
        <f t="shared" si="34"/>
        <v/>
      </c>
      <c r="R333" s="1" t="str">
        <f t="shared" si="35"/>
        <v/>
      </c>
      <c r="S333" s="1" t="str">
        <f>IF(OR($E333="",$F333=""),"",HYPERLINK(IF(OR(_xlfn.SINGLE(JobState)="MI",_xlfn.SINGLE(JobState)=""),"https://fema.maps.arcgis.com/apps/mapviewer/index.html?url=https%3A%2F%2Fmdotgis.state.mi.us%2Farcgis%2Frest%2Fservices%2FWidget%2FNextGenPrFinderPub%2FFeatureServer%2F353&amp;find="&amp;$F333&amp;"%2C"&amp;$E333&amp;"&amp;marker="&amp;$F333&amp;","&amp;$E333&amp;",4326&amp;level=16",IF(_xlfn.SINGLE(JobState)="IN","https://fema.maps.arcgis.com/apps/mapviewer/index.html?url=https%3A%2F%2Fgisdata.in.gov%2Fserver%2Frest%2Fservices%2FHosted%2FLRSE_Functional_Class%2FFeatureServer%2F22&amp;find="&amp;$F333&amp;"%2C"&amp;$E333&amp;"&amp;marker="&amp;$F333&amp;","&amp;$E333&amp;",4326&amp;level=16",IF(_xlfn.SINGLE(JobState)="WI","https://fema.maps.arcgis.com/apps/mapviewer/index.html?url=https%3A%2F%2Fservices5.arcgis.com%2F0pgGLzT0Nh7FVjon%2Farcgis%2Frest%2Fservices%2FFFCL_gdb%2FFeatureServer%2F3&amp;find="&amp;$F333&amp;"%2C"&amp;$E333&amp;"&amp;marker="&amp;$F333&amp;","&amp;$E333&amp;",4326&amp;level=16","https://fema.maps.arcgis.com/apps/mapviewer/index.html?find="&amp;$F333&amp;"%2C"&amp;$E333&amp;"&amp;marker="&amp;$F333&amp;","&amp;$E333&amp;",4326&amp;level=16"))),"Open"))</f>
        <v/>
      </c>
      <c r="T333" s="4"/>
      <c r="U333" s="4"/>
      <c r="V333" s="4"/>
      <c r="W333" s="4"/>
      <c r="X333" s="4"/>
      <c r="Y333" s="4"/>
      <c r="Z333" s="4"/>
      <c r="AA333" s="4"/>
      <c r="AB333" s="1" t="str">
        <f>IF(OR(_xlfn.SINGLE(JobAgolMap)="", $E333="", $F333=""),"",HYPERLINK(_xlfn.SINGLE(JobAgolMap)&amp;IF(ISNUMBER(FIND("?",_xlfn.SINGLE(JobAgolMap))),"&amp;","?")&amp;"center="&amp;$F333&amp;","&amp;$E333&amp;"&amp;level=16&amp;marker="&amp;$F333&amp;","&amp;$E333,"Open"))</f>
        <v/>
      </c>
    </row>
    <row r="334" spans="1:28" x14ac:dyDescent="0.45">
      <c r="A334" s="3"/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4"/>
      <c r="M334" s="1" t="str">
        <f t="shared" si="30"/>
        <v/>
      </c>
      <c r="N334" s="1" t="str">
        <f t="shared" si="31"/>
        <v/>
      </c>
      <c r="O334" s="1" t="str">
        <f t="shared" si="32"/>
        <v/>
      </c>
      <c r="P334" s="1" t="str">
        <f t="shared" si="33"/>
        <v/>
      </c>
      <c r="Q334" s="1" t="str">
        <f t="shared" si="34"/>
        <v/>
      </c>
      <c r="R334" s="1" t="str">
        <f t="shared" si="35"/>
        <v/>
      </c>
      <c r="S334" s="1" t="str">
        <f>IF(OR($E334="",$F334=""),"",HYPERLINK(IF(OR(_xlfn.SINGLE(JobState)="MI",_xlfn.SINGLE(JobState)=""),"https://fema.maps.arcgis.com/apps/mapviewer/index.html?url=https%3A%2F%2Fmdotgis.state.mi.us%2Farcgis%2Frest%2Fservices%2FWidget%2FNextGenPrFinderPub%2FFeatureServer%2F353&amp;find="&amp;$F334&amp;"%2C"&amp;$E334&amp;"&amp;marker="&amp;$F334&amp;","&amp;$E334&amp;",4326&amp;level=16",IF(_xlfn.SINGLE(JobState)="IN","https://fema.maps.arcgis.com/apps/mapviewer/index.html?url=https%3A%2F%2Fgisdata.in.gov%2Fserver%2Frest%2Fservices%2FHosted%2FLRSE_Functional_Class%2FFeatureServer%2F22&amp;find="&amp;$F334&amp;"%2C"&amp;$E334&amp;"&amp;marker="&amp;$F334&amp;","&amp;$E334&amp;",4326&amp;level=16",IF(_xlfn.SINGLE(JobState)="WI","https://fema.maps.arcgis.com/apps/mapviewer/index.html?url=https%3A%2F%2Fservices5.arcgis.com%2F0pgGLzT0Nh7FVjon%2Farcgis%2Frest%2Fservices%2FFFCL_gdb%2FFeatureServer%2F3&amp;find="&amp;$F334&amp;"%2C"&amp;$E334&amp;"&amp;marker="&amp;$F334&amp;","&amp;$E334&amp;",4326&amp;level=16","https://fema.maps.arcgis.com/apps/mapviewer/index.html?find="&amp;$F334&amp;"%2C"&amp;$E334&amp;"&amp;marker="&amp;$F334&amp;","&amp;$E334&amp;",4326&amp;level=16"))),"Open"))</f>
        <v/>
      </c>
      <c r="T334" s="4"/>
      <c r="U334" s="4"/>
      <c r="V334" s="4"/>
      <c r="W334" s="4"/>
      <c r="X334" s="4"/>
      <c r="Y334" s="4"/>
      <c r="Z334" s="4"/>
      <c r="AA334" s="4"/>
      <c r="AB334" s="1" t="str">
        <f>IF(OR(_xlfn.SINGLE(JobAgolMap)="", $E334="", $F334=""),"",HYPERLINK(_xlfn.SINGLE(JobAgolMap)&amp;IF(ISNUMBER(FIND("?",_xlfn.SINGLE(JobAgolMap))),"&amp;","?")&amp;"center="&amp;$F334&amp;","&amp;$E334&amp;"&amp;level=16&amp;marker="&amp;$F334&amp;","&amp;$E334,"Open"))</f>
        <v/>
      </c>
    </row>
    <row r="335" spans="1:28" x14ac:dyDescent="0.45">
      <c r="A335" s="3"/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4"/>
      <c r="M335" s="1" t="str">
        <f t="shared" si="30"/>
        <v/>
      </c>
      <c r="N335" s="1" t="str">
        <f t="shared" si="31"/>
        <v/>
      </c>
      <c r="O335" s="1" t="str">
        <f t="shared" si="32"/>
        <v/>
      </c>
      <c r="P335" s="1" t="str">
        <f t="shared" si="33"/>
        <v/>
      </c>
      <c r="Q335" s="1" t="str">
        <f t="shared" si="34"/>
        <v/>
      </c>
      <c r="R335" s="1" t="str">
        <f t="shared" si="35"/>
        <v/>
      </c>
      <c r="S335" s="1" t="str">
        <f>IF(OR($E335="",$F335=""),"",HYPERLINK(IF(OR(_xlfn.SINGLE(JobState)="MI",_xlfn.SINGLE(JobState)=""),"https://fema.maps.arcgis.com/apps/mapviewer/index.html?url=https%3A%2F%2Fmdotgis.state.mi.us%2Farcgis%2Frest%2Fservices%2FWidget%2FNextGenPrFinderPub%2FFeatureServer%2F353&amp;find="&amp;$F335&amp;"%2C"&amp;$E335&amp;"&amp;marker="&amp;$F335&amp;","&amp;$E335&amp;",4326&amp;level=16",IF(_xlfn.SINGLE(JobState)="IN","https://fema.maps.arcgis.com/apps/mapviewer/index.html?url=https%3A%2F%2Fgisdata.in.gov%2Fserver%2Frest%2Fservices%2FHosted%2FLRSE_Functional_Class%2FFeatureServer%2F22&amp;find="&amp;$F335&amp;"%2C"&amp;$E335&amp;"&amp;marker="&amp;$F335&amp;","&amp;$E335&amp;",4326&amp;level=16",IF(_xlfn.SINGLE(JobState)="WI","https://fema.maps.arcgis.com/apps/mapviewer/index.html?url=https%3A%2F%2Fservices5.arcgis.com%2F0pgGLzT0Nh7FVjon%2Farcgis%2Frest%2Fservices%2FFFCL_gdb%2FFeatureServer%2F3&amp;find="&amp;$F335&amp;"%2C"&amp;$E335&amp;"&amp;marker="&amp;$F335&amp;","&amp;$E335&amp;",4326&amp;level=16","https://fema.maps.arcgis.com/apps/mapviewer/index.html?find="&amp;$F335&amp;"%2C"&amp;$E335&amp;"&amp;marker="&amp;$F335&amp;","&amp;$E335&amp;",4326&amp;level=16"))),"Open"))</f>
        <v/>
      </c>
      <c r="T335" s="4"/>
      <c r="U335" s="4"/>
      <c r="V335" s="4"/>
      <c r="W335" s="4"/>
      <c r="X335" s="4"/>
      <c r="Y335" s="4"/>
      <c r="Z335" s="4"/>
      <c r="AA335" s="4"/>
      <c r="AB335" s="1" t="str">
        <f>IF(OR(_xlfn.SINGLE(JobAgolMap)="", $E335="", $F335=""),"",HYPERLINK(_xlfn.SINGLE(JobAgolMap)&amp;IF(ISNUMBER(FIND("?",_xlfn.SINGLE(JobAgolMap))),"&amp;","?")&amp;"center="&amp;$F335&amp;","&amp;$E335&amp;"&amp;level=16&amp;marker="&amp;$F335&amp;","&amp;$E335,"Open"))</f>
        <v/>
      </c>
    </row>
    <row r="336" spans="1:28" x14ac:dyDescent="0.45">
      <c r="A336" s="3"/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4"/>
      <c r="M336" s="1" t="str">
        <f t="shared" si="30"/>
        <v/>
      </c>
      <c r="N336" s="1" t="str">
        <f t="shared" si="31"/>
        <v/>
      </c>
      <c r="O336" s="1" t="str">
        <f t="shared" si="32"/>
        <v/>
      </c>
      <c r="P336" s="1" t="str">
        <f t="shared" si="33"/>
        <v/>
      </c>
      <c r="Q336" s="1" t="str">
        <f t="shared" si="34"/>
        <v/>
      </c>
      <c r="R336" s="1" t="str">
        <f t="shared" si="35"/>
        <v/>
      </c>
      <c r="S336" s="1" t="str">
        <f>IF(OR($E336="",$F336=""),"",HYPERLINK(IF(OR(_xlfn.SINGLE(JobState)="MI",_xlfn.SINGLE(JobState)=""),"https://fema.maps.arcgis.com/apps/mapviewer/index.html?url=https%3A%2F%2Fmdotgis.state.mi.us%2Farcgis%2Frest%2Fservices%2FWidget%2FNextGenPrFinderPub%2FFeatureServer%2F353&amp;find="&amp;$F336&amp;"%2C"&amp;$E336&amp;"&amp;marker="&amp;$F336&amp;","&amp;$E336&amp;",4326&amp;level=16",IF(_xlfn.SINGLE(JobState)="IN","https://fema.maps.arcgis.com/apps/mapviewer/index.html?url=https%3A%2F%2Fgisdata.in.gov%2Fserver%2Frest%2Fservices%2FHosted%2FLRSE_Functional_Class%2FFeatureServer%2F22&amp;find="&amp;$F336&amp;"%2C"&amp;$E336&amp;"&amp;marker="&amp;$F336&amp;","&amp;$E336&amp;",4326&amp;level=16",IF(_xlfn.SINGLE(JobState)="WI","https://fema.maps.arcgis.com/apps/mapviewer/index.html?url=https%3A%2F%2Fservices5.arcgis.com%2F0pgGLzT0Nh7FVjon%2Farcgis%2Frest%2Fservices%2FFFCL_gdb%2FFeatureServer%2F3&amp;find="&amp;$F336&amp;"%2C"&amp;$E336&amp;"&amp;marker="&amp;$F336&amp;","&amp;$E336&amp;",4326&amp;level=16","https://fema.maps.arcgis.com/apps/mapviewer/index.html?find="&amp;$F336&amp;"%2C"&amp;$E336&amp;"&amp;marker="&amp;$F336&amp;","&amp;$E336&amp;",4326&amp;level=16"))),"Open"))</f>
        <v/>
      </c>
      <c r="T336" s="4"/>
      <c r="U336" s="4"/>
      <c r="V336" s="4"/>
      <c r="W336" s="4"/>
      <c r="X336" s="4"/>
      <c r="Y336" s="4"/>
      <c r="Z336" s="4"/>
      <c r="AA336" s="4"/>
      <c r="AB336" s="1" t="str">
        <f>IF(OR(_xlfn.SINGLE(JobAgolMap)="", $E336="", $F336=""),"",HYPERLINK(_xlfn.SINGLE(JobAgolMap)&amp;IF(ISNUMBER(FIND("?",_xlfn.SINGLE(JobAgolMap))),"&amp;","?")&amp;"center="&amp;$F336&amp;","&amp;$E336&amp;"&amp;level=16&amp;marker="&amp;$F336&amp;","&amp;$E336,"Open"))</f>
        <v/>
      </c>
    </row>
    <row r="337" spans="1:28" x14ac:dyDescent="0.45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4"/>
      <c r="M337" s="1" t="str">
        <f t="shared" si="30"/>
        <v/>
      </c>
      <c r="N337" s="1" t="str">
        <f t="shared" si="31"/>
        <v/>
      </c>
      <c r="O337" s="1" t="str">
        <f t="shared" si="32"/>
        <v/>
      </c>
      <c r="P337" s="1" t="str">
        <f t="shared" si="33"/>
        <v/>
      </c>
      <c r="Q337" s="1" t="str">
        <f t="shared" si="34"/>
        <v/>
      </c>
      <c r="R337" s="1" t="str">
        <f t="shared" si="35"/>
        <v/>
      </c>
      <c r="S337" s="1" t="str">
        <f>IF(OR($E337="",$F337=""),"",HYPERLINK(IF(OR(_xlfn.SINGLE(JobState)="MI",_xlfn.SINGLE(JobState)=""),"https://fema.maps.arcgis.com/apps/mapviewer/index.html?url=https%3A%2F%2Fmdotgis.state.mi.us%2Farcgis%2Frest%2Fservices%2FWidget%2FNextGenPrFinderPub%2FFeatureServer%2F353&amp;find="&amp;$F337&amp;"%2C"&amp;$E337&amp;"&amp;marker="&amp;$F337&amp;","&amp;$E337&amp;",4326&amp;level=16",IF(_xlfn.SINGLE(JobState)="IN","https://fema.maps.arcgis.com/apps/mapviewer/index.html?url=https%3A%2F%2Fgisdata.in.gov%2Fserver%2Frest%2Fservices%2FHosted%2FLRSE_Functional_Class%2FFeatureServer%2F22&amp;find="&amp;$F337&amp;"%2C"&amp;$E337&amp;"&amp;marker="&amp;$F337&amp;","&amp;$E337&amp;",4326&amp;level=16",IF(_xlfn.SINGLE(JobState)="WI","https://fema.maps.arcgis.com/apps/mapviewer/index.html?url=https%3A%2F%2Fservices5.arcgis.com%2F0pgGLzT0Nh7FVjon%2Farcgis%2Frest%2Fservices%2FFFCL_gdb%2FFeatureServer%2F3&amp;find="&amp;$F337&amp;"%2C"&amp;$E337&amp;"&amp;marker="&amp;$F337&amp;","&amp;$E337&amp;",4326&amp;level=16","https://fema.maps.arcgis.com/apps/mapviewer/index.html?find="&amp;$F337&amp;"%2C"&amp;$E337&amp;"&amp;marker="&amp;$F337&amp;","&amp;$E337&amp;",4326&amp;level=16"))),"Open"))</f>
        <v/>
      </c>
      <c r="T337" s="4"/>
      <c r="U337" s="4"/>
      <c r="V337" s="4"/>
      <c r="W337" s="4"/>
      <c r="X337" s="4"/>
      <c r="Y337" s="4"/>
      <c r="Z337" s="4"/>
      <c r="AA337" s="4"/>
      <c r="AB337" s="1" t="str">
        <f>IF(OR(_xlfn.SINGLE(JobAgolMap)="", $E337="", $F337=""),"",HYPERLINK(_xlfn.SINGLE(JobAgolMap)&amp;IF(ISNUMBER(FIND("?",_xlfn.SINGLE(JobAgolMap))),"&amp;","?")&amp;"center="&amp;$F337&amp;","&amp;$E337&amp;"&amp;level=16&amp;marker="&amp;$F337&amp;","&amp;$E337,"Open"))</f>
        <v/>
      </c>
    </row>
    <row r="338" spans="1:28" x14ac:dyDescent="0.45">
      <c r="A338" s="3"/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4"/>
      <c r="M338" s="1" t="str">
        <f t="shared" si="30"/>
        <v/>
      </c>
      <c r="N338" s="1" t="str">
        <f t="shared" si="31"/>
        <v/>
      </c>
      <c r="O338" s="1" t="str">
        <f t="shared" si="32"/>
        <v/>
      </c>
      <c r="P338" s="1" t="str">
        <f t="shared" si="33"/>
        <v/>
      </c>
      <c r="Q338" s="1" t="str">
        <f t="shared" si="34"/>
        <v/>
      </c>
      <c r="R338" s="1" t="str">
        <f t="shared" si="35"/>
        <v/>
      </c>
      <c r="S338" s="1" t="str">
        <f>IF(OR($E338="",$F338=""),"",HYPERLINK(IF(OR(_xlfn.SINGLE(JobState)="MI",_xlfn.SINGLE(JobState)=""),"https://fema.maps.arcgis.com/apps/mapviewer/index.html?url=https%3A%2F%2Fmdotgis.state.mi.us%2Farcgis%2Frest%2Fservices%2FWidget%2FNextGenPrFinderPub%2FFeatureServer%2F353&amp;find="&amp;$F338&amp;"%2C"&amp;$E338&amp;"&amp;marker="&amp;$F338&amp;","&amp;$E338&amp;",4326&amp;level=16",IF(_xlfn.SINGLE(JobState)="IN","https://fema.maps.arcgis.com/apps/mapviewer/index.html?url=https%3A%2F%2Fgisdata.in.gov%2Fserver%2Frest%2Fservices%2FHosted%2FLRSE_Functional_Class%2FFeatureServer%2F22&amp;find="&amp;$F338&amp;"%2C"&amp;$E338&amp;"&amp;marker="&amp;$F338&amp;","&amp;$E338&amp;",4326&amp;level=16",IF(_xlfn.SINGLE(JobState)="WI","https://fema.maps.arcgis.com/apps/mapviewer/index.html?url=https%3A%2F%2Fservices5.arcgis.com%2F0pgGLzT0Nh7FVjon%2Farcgis%2Frest%2Fservices%2FFFCL_gdb%2FFeatureServer%2F3&amp;find="&amp;$F338&amp;"%2C"&amp;$E338&amp;"&amp;marker="&amp;$F338&amp;","&amp;$E338&amp;",4326&amp;level=16","https://fema.maps.arcgis.com/apps/mapviewer/index.html?find="&amp;$F338&amp;"%2C"&amp;$E338&amp;"&amp;marker="&amp;$F338&amp;","&amp;$E338&amp;",4326&amp;level=16"))),"Open"))</f>
        <v/>
      </c>
      <c r="T338" s="4"/>
      <c r="U338" s="4"/>
      <c r="V338" s="4"/>
      <c r="W338" s="4"/>
      <c r="X338" s="4"/>
      <c r="Y338" s="4"/>
      <c r="Z338" s="4"/>
      <c r="AA338" s="4"/>
      <c r="AB338" s="1" t="str">
        <f>IF(OR(_xlfn.SINGLE(JobAgolMap)="", $E338="", $F338=""),"",HYPERLINK(_xlfn.SINGLE(JobAgolMap)&amp;IF(ISNUMBER(FIND("?",_xlfn.SINGLE(JobAgolMap))),"&amp;","?")&amp;"center="&amp;$F338&amp;","&amp;$E338&amp;"&amp;level=16&amp;marker="&amp;$F338&amp;","&amp;$E338,"Open"))</f>
        <v/>
      </c>
    </row>
    <row r="339" spans="1:28" x14ac:dyDescent="0.45">
      <c r="A339" s="3"/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4"/>
      <c r="M339" s="1" t="str">
        <f t="shared" si="30"/>
        <v/>
      </c>
      <c r="N339" s="1" t="str">
        <f t="shared" si="31"/>
        <v/>
      </c>
      <c r="O339" s="1" t="str">
        <f t="shared" si="32"/>
        <v/>
      </c>
      <c r="P339" s="1" t="str">
        <f t="shared" si="33"/>
        <v/>
      </c>
      <c r="Q339" s="1" t="str">
        <f t="shared" si="34"/>
        <v/>
      </c>
      <c r="R339" s="1" t="str">
        <f t="shared" si="35"/>
        <v/>
      </c>
      <c r="S339" s="1" t="str">
        <f>IF(OR($E339="",$F339=""),"",HYPERLINK(IF(OR(_xlfn.SINGLE(JobState)="MI",_xlfn.SINGLE(JobState)=""),"https://fema.maps.arcgis.com/apps/mapviewer/index.html?url=https%3A%2F%2Fmdotgis.state.mi.us%2Farcgis%2Frest%2Fservices%2FWidget%2FNextGenPrFinderPub%2FFeatureServer%2F353&amp;find="&amp;$F339&amp;"%2C"&amp;$E339&amp;"&amp;marker="&amp;$F339&amp;","&amp;$E339&amp;",4326&amp;level=16",IF(_xlfn.SINGLE(JobState)="IN","https://fema.maps.arcgis.com/apps/mapviewer/index.html?url=https%3A%2F%2Fgisdata.in.gov%2Fserver%2Frest%2Fservices%2FHosted%2FLRSE_Functional_Class%2FFeatureServer%2F22&amp;find="&amp;$F339&amp;"%2C"&amp;$E339&amp;"&amp;marker="&amp;$F339&amp;","&amp;$E339&amp;",4326&amp;level=16",IF(_xlfn.SINGLE(JobState)="WI","https://fema.maps.arcgis.com/apps/mapviewer/index.html?url=https%3A%2F%2Fservices5.arcgis.com%2F0pgGLzT0Nh7FVjon%2Farcgis%2Frest%2Fservices%2FFFCL_gdb%2FFeatureServer%2F3&amp;find="&amp;$F339&amp;"%2C"&amp;$E339&amp;"&amp;marker="&amp;$F339&amp;","&amp;$E339&amp;",4326&amp;level=16","https://fema.maps.arcgis.com/apps/mapviewer/index.html?find="&amp;$F339&amp;"%2C"&amp;$E339&amp;"&amp;marker="&amp;$F339&amp;","&amp;$E339&amp;",4326&amp;level=16"))),"Open"))</f>
        <v/>
      </c>
      <c r="T339" s="4"/>
      <c r="U339" s="4"/>
      <c r="V339" s="4"/>
      <c r="W339" s="4"/>
      <c r="X339" s="4"/>
      <c r="Y339" s="4"/>
      <c r="Z339" s="4"/>
      <c r="AA339" s="4"/>
      <c r="AB339" s="1" t="str">
        <f>IF(OR(_xlfn.SINGLE(JobAgolMap)="", $E339="", $F339=""),"",HYPERLINK(_xlfn.SINGLE(JobAgolMap)&amp;IF(ISNUMBER(FIND("?",_xlfn.SINGLE(JobAgolMap))),"&amp;","?")&amp;"center="&amp;$F339&amp;","&amp;$E339&amp;"&amp;level=16&amp;marker="&amp;$F339&amp;","&amp;$E339,"Open"))</f>
        <v/>
      </c>
    </row>
    <row r="340" spans="1:28" x14ac:dyDescent="0.45">
      <c r="A340" s="3"/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4"/>
      <c r="M340" s="1" t="str">
        <f t="shared" si="30"/>
        <v/>
      </c>
      <c r="N340" s="1" t="str">
        <f t="shared" si="31"/>
        <v/>
      </c>
      <c r="O340" s="1" t="str">
        <f t="shared" si="32"/>
        <v/>
      </c>
      <c r="P340" s="1" t="str">
        <f t="shared" si="33"/>
        <v/>
      </c>
      <c r="Q340" s="1" t="str">
        <f t="shared" si="34"/>
        <v/>
      </c>
      <c r="R340" s="1" t="str">
        <f t="shared" si="35"/>
        <v/>
      </c>
      <c r="S340" s="1" t="str">
        <f>IF(OR($E340="",$F340=""),"",HYPERLINK(IF(OR(_xlfn.SINGLE(JobState)="MI",_xlfn.SINGLE(JobState)=""),"https://fema.maps.arcgis.com/apps/mapviewer/index.html?url=https%3A%2F%2Fmdotgis.state.mi.us%2Farcgis%2Frest%2Fservices%2FWidget%2FNextGenPrFinderPub%2FFeatureServer%2F353&amp;find="&amp;$F340&amp;"%2C"&amp;$E340&amp;"&amp;marker="&amp;$F340&amp;","&amp;$E340&amp;",4326&amp;level=16",IF(_xlfn.SINGLE(JobState)="IN","https://fema.maps.arcgis.com/apps/mapviewer/index.html?url=https%3A%2F%2Fgisdata.in.gov%2Fserver%2Frest%2Fservices%2FHosted%2FLRSE_Functional_Class%2FFeatureServer%2F22&amp;find="&amp;$F340&amp;"%2C"&amp;$E340&amp;"&amp;marker="&amp;$F340&amp;","&amp;$E340&amp;",4326&amp;level=16",IF(_xlfn.SINGLE(JobState)="WI","https://fema.maps.arcgis.com/apps/mapviewer/index.html?url=https%3A%2F%2Fservices5.arcgis.com%2F0pgGLzT0Nh7FVjon%2Farcgis%2Frest%2Fservices%2FFFCL_gdb%2FFeatureServer%2F3&amp;find="&amp;$F340&amp;"%2C"&amp;$E340&amp;"&amp;marker="&amp;$F340&amp;","&amp;$E340&amp;",4326&amp;level=16","https://fema.maps.arcgis.com/apps/mapviewer/index.html?find="&amp;$F340&amp;"%2C"&amp;$E340&amp;"&amp;marker="&amp;$F340&amp;","&amp;$E340&amp;",4326&amp;level=16"))),"Open"))</f>
        <v/>
      </c>
      <c r="T340" s="4"/>
      <c r="U340" s="4"/>
      <c r="V340" s="4"/>
      <c r="W340" s="4"/>
      <c r="X340" s="4"/>
      <c r="Y340" s="4"/>
      <c r="Z340" s="4"/>
      <c r="AA340" s="4"/>
      <c r="AB340" s="1" t="str">
        <f>IF(OR(_xlfn.SINGLE(JobAgolMap)="", $E340="", $F340=""),"",HYPERLINK(_xlfn.SINGLE(JobAgolMap)&amp;IF(ISNUMBER(FIND("?",_xlfn.SINGLE(JobAgolMap))),"&amp;","?")&amp;"center="&amp;$F340&amp;","&amp;$E340&amp;"&amp;level=16&amp;marker="&amp;$F340&amp;","&amp;$E340,"Open"))</f>
        <v/>
      </c>
    </row>
    <row r="341" spans="1:28" x14ac:dyDescent="0.45">
      <c r="A341" s="3"/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4"/>
      <c r="M341" s="1" t="str">
        <f t="shared" si="30"/>
        <v/>
      </c>
      <c r="N341" s="1" t="str">
        <f t="shared" si="31"/>
        <v/>
      </c>
      <c r="O341" s="1" t="str">
        <f t="shared" si="32"/>
        <v/>
      </c>
      <c r="P341" s="1" t="str">
        <f t="shared" si="33"/>
        <v/>
      </c>
      <c r="Q341" s="1" t="str">
        <f t="shared" si="34"/>
        <v/>
      </c>
      <c r="R341" s="1" t="str">
        <f t="shared" si="35"/>
        <v/>
      </c>
      <c r="S341" s="1" t="str">
        <f>IF(OR($E341="",$F341=""),"",HYPERLINK(IF(OR(_xlfn.SINGLE(JobState)="MI",_xlfn.SINGLE(JobState)=""),"https://fema.maps.arcgis.com/apps/mapviewer/index.html?url=https%3A%2F%2Fmdotgis.state.mi.us%2Farcgis%2Frest%2Fservices%2FWidget%2FNextGenPrFinderPub%2FFeatureServer%2F353&amp;find="&amp;$F341&amp;"%2C"&amp;$E341&amp;"&amp;marker="&amp;$F341&amp;","&amp;$E341&amp;",4326&amp;level=16",IF(_xlfn.SINGLE(JobState)="IN","https://fema.maps.arcgis.com/apps/mapviewer/index.html?url=https%3A%2F%2Fgisdata.in.gov%2Fserver%2Frest%2Fservices%2FHosted%2FLRSE_Functional_Class%2FFeatureServer%2F22&amp;find="&amp;$F341&amp;"%2C"&amp;$E341&amp;"&amp;marker="&amp;$F341&amp;","&amp;$E341&amp;",4326&amp;level=16",IF(_xlfn.SINGLE(JobState)="WI","https://fema.maps.arcgis.com/apps/mapviewer/index.html?url=https%3A%2F%2Fservices5.arcgis.com%2F0pgGLzT0Nh7FVjon%2Farcgis%2Frest%2Fservices%2FFFCL_gdb%2FFeatureServer%2F3&amp;find="&amp;$F341&amp;"%2C"&amp;$E341&amp;"&amp;marker="&amp;$F341&amp;","&amp;$E341&amp;",4326&amp;level=16","https://fema.maps.arcgis.com/apps/mapviewer/index.html?find="&amp;$F341&amp;"%2C"&amp;$E341&amp;"&amp;marker="&amp;$F341&amp;","&amp;$E341&amp;",4326&amp;level=16"))),"Open"))</f>
        <v/>
      </c>
      <c r="T341" s="4"/>
      <c r="U341" s="4"/>
      <c r="V341" s="4"/>
      <c r="W341" s="4"/>
      <c r="X341" s="4"/>
      <c r="Y341" s="4"/>
      <c r="Z341" s="4"/>
      <c r="AA341" s="4"/>
      <c r="AB341" s="1" t="str">
        <f>IF(OR(_xlfn.SINGLE(JobAgolMap)="", $E341="", $F341=""),"",HYPERLINK(_xlfn.SINGLE(JobAgolMap)&amp;IF(ISNUMBER(FIND("?",_xlfn.SINGLE(JobAgolMap))),"&amp;","?")&amp;"center="&amp;$F341&amp;","&amp;$E341&amp;"&amp;level=16&amp;marker="&amp;$F341&amp;","&amp;$E341,"Open"))</f>
        <v/>
      </c>
    </row>
    <row r="342" spans="1:28" x14ac:dyDescent="0.45">
      <c r="A342" s="3"/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4"/>
      <c r="M342" s="1" t="str">
        <f t="shared" si="30"/>
        <v/>
      </c>
      <c r="N342" s="1" t="str">
        <f t="shared" si="31"/>
        <v/>
      </c>
      <c r="O342" s="1" t="str">
        <f t="shared" si="32"/>
        <v/>
      </c>
      <c r="P342" s="1" t="str">
        <f t="shared" si="33"/>
        <v/>
      </c>
      <c r="Q342" s="1" t="str">
        <f t="shared" si="34"/>
        <v/>
      </c>
      <c r="R342" s="1" t="str">
        <f t="shared" si="35"/>
        <v/>
      </c>
      <c r="S342" s="1" t="str">
        <f>IF(OR($E342="",$F342=""),"",HYPERLINK(IF(OR(_xlfn.SINGLE(JobState)="MI",_xlfn.SINGLE(JobState)=""),"https://fema.maps.arcgis.com/apps/mapviewer/index.html?url=https%3A%2F%2Fmdotgis.state.mi.us%2Farcgis%2Frest%2Fservices%2FWidget%2FNextGenPrFinderPub%2FFeatureServer%2F353&amp;find="&amp;$F342&amp;"%2C"&amp;$E342&amp;"&amp;marker="&amp;$F342&amp;","&amp;$E342&amp;",4326&amp;level=16",IF(_xlfn.SINGLE(JobState)="IN","https://fema.maps.arcgis.com/apps/mapviewer/index.html?url=https%3A%2F%2Fgisdata.in.gov%2Fserver%2Frest%2Fservices%2FHosted%2FLRSE_Functional_Class%2FFeatureServer%2F22&amp;find="&amp;$F342&amp;"%2C"&amp;$E342&amp;"&amp;marker="&amp;$F342&amp;","&amp;$E342&amp;",4326&amp;level=16",IF(_xlfn.SINGLE(JobState)="WI","https://fema.maps.arcgis.com/apps/mapviewer/index.html?url=https%3A%2F%2Fservices5.arcgis.com%2F0pgGLzT0Nh7FVjon%2Farcgis%2Frest%2Fservices%2FFFCL_gdb%2FFeatureServer%2F3&amp;find="&amp;$F342&amp;"%2C"&amp;$E342&amp;"&amp;marker="&amp;$F342&amp;","&amp;$E342&amp;",4326&amp;level=16","https://fema.maps.arcgis.com/apps/mapviewer/index.html?find="&amp;$F342&amp;"%2C"&amp;$E342&amp;"&amp;marker="&amp;$F342&amp;","&amp;$E342&amp;",4326&amp;level=16"))),"Open"))</f>
        <v/>
      </c>
      <c r="T342" s="4"/>
      <c r="U342" s="4"/>
      <c r="V342" s="4"/>
      <c r="W342" s="4"/>
      <c r="X342" s="4"/>
      <c r="Y342" s="4"/>
      <c r="Z342" s="4"/>
      <c r="AA342" s="4"/>
      <c r="AB342" s="1" t="str">
        <f>IF(OR(_xlfn.SINGLE(JobAgolMap)="", $E342="", $F342=""),"",HYPERLINK(_xlfn.SINGLE(JobAgolMap)&amp;IF(ISNUMBER(FIND("?",_xlfn.SINGLE(JobAgolMap))),"&amp;","?")&amp;"center="&amp;$F342&amp;","&amp;$E342&amp;"&amp;level=16&amp;marker="&amp;$F342&amp;","&amp;$E342,"Open"))</f>
        <v/>
      </c>
    </row>
    <row r="343" spans="1:28" x14ac:dyDescent="0.45">
      <c r="A343" s="3"/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4"/>
      <c r="M343" s="1" t="str">
        <f t="shared" si="30"/>
        <v/>
      </c>
      <c r="N343" s="1" t="str">
        <f t="shared" si="31"/>
        <v/>
      </c>
      <c r="O343" s="1" t="str">
        <f t="shared" si="32"/>
        <v/>
      </c>
      <c r="P343" s="1" t="str">
        <f t="shared" si="33"/>
        <v/>
      </c>
      <c r="Q343" s="1" t="str">
        <f t="shared" si="34"/>
        <v/>
      </c>
      <c r="R343" s="1" t="str">
        <f t="shared" si="35"/>
        <v/>
      </c>
      <c r="S343" s="1" t="str">
        <f>IF(OR($E343="",$F343=""),"",HYPERLINK(IF(OR(_xlfn.SINGLE(JobState)="MI",_xlfn.SINGLE(JobState)=""),"https://fema.maps.arcgis.com/apps/mapviewer/index.html?url=https%3A%2F%2Fmdotgis.state.mi.us%2Farcgis%2Frest%2Fservices%2FWidget%2FNextGenPrFinderPub%2FFeatureServer%2F353&amp;find="&amp;$F343&amp;"%2C"&amp;$E343&amp;"&amp;marker="&amp;$F343&amp;","&amp;$E343&amp;",4326&amp;level=16",IF(_xlfn.SINGLE(JobState)="IN","https://fema.maps.arcgis.com/apps/mapviewer/index.html?url=https%3A%2F%2Fgisdata.in.gov%2Fserver%2Frest%2Fservices%2FHosted%2FLRSE_Functional_Class%2FFeatureServer%2F22&amp;find="&amp;$F343&amp;"%2C"&amp;$E343&amp;"&amp;marker="&amp;$F343&amp;","&amp;$E343&amp;",4326&amp;level=16",IF(_xlfn.SINGLE(JobState)="WI","https://fema.maps.arcgis.com/apps/mapviewer/index.html?url=https%3A%2F%2Fservices5.arcgis.com%2F0pgGLzT0Nh7FVjon%2Farcgis%2Frest%2Fservices%2FFFCL_gdb%2FFeatureServer%2F3&amp;find="&amp;$F343&amp;"%2C"&amp;$E343&amp;"&amp;marker="&amp;$F343&amp;","&amp;$E343&amp;",4326&amp;level=16","https://fema.maps.arcgis.com/apps/mapviewer/index.html?find="&amp;$F343&amp;"%2C"&amp;$E343&amp;"&amp;marker="&amp;$F343&amp;","&amp;$E343&amp;",4326&amp;level=16"))),"Open"))</f>
        <v/>
      </c>
      <c r="T343" s="4"/>
      <c r="U343" s="4"/>
      <c r="V343" s="4"/>
      <c r="W343" s="4"/>
      <c r="X343" s="4"/>
      <c r="Y343" s="4"/>
      <c r="Z343" s="4"/>
      <c r="AA343" s="4"/>
      <c r="AB343" s="1" t="str">
        <f>IF(OR(_xlfn.SINGLE(JobAgolMap)="", $E343="", $F343=""),"",HYPERLINK(_xlfn.SINGLE(JobAgolMap)&amp;IF(ISNUMBER(FIND("?",_xlfn.SINGLE(JobAgolMap))),"&amp;","?")&amp;"center="&amp;$F343&amp;","&amp;$E343&amp;"&amp;level=16&amp;marker="&amp;$F343&amp;","&amp;$E343,"Open"))</f>
        <v/>
      </c>
    </row>
    <row r="344" spans="1:28" x14ac:dyDescent="0.45">
      <c r="A344" s="3"/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4"/>
      <c r="M344" s="1" t="str">
        <f t="shared" si="30"/>
        <v/>
      </c>
      <c r="N344" s="1" t="str">
        <f t="shared" si="31"/>
        <v/>
      </c>
      <c r="O344" s="1" t="str">
        <f t="shared" si="32"/>
        <v/>
      </c>
      <c r="P344" s="1" t="str">
        <f t="shared" si="33"/>
        <v/>
      </c>
      <c r="Q344" s="1" t="str">
        <f t="shared" si="34"/>
        <v/>
      </c>
      <c r="R344" s="1" t="str">
        <f t="shared" si="35"/>
        <v/>
      </c>
      <c r="S344" s="1" t="str">
        <f>IF(OR($E344="",$F344=""),"",HYPERLINK(IF(OR(_xlfn.SINGLE(JobState)="MI",_xlfn.SINGLE(JobState)=""),"https://fema.maps.arcgis.com/apps/mapviewer/index.html?url=https%3A%2F%2Fmdotgis.state.mi.us%2Farcgis%2Frest%2Fservices%2FWidget%2FNextGenPrFinderPub%2FFeatureServer%2F353&amp;find="&amp;$F344&amp;"%2C"&amp;$E344&amp;"&amp;marker="&amp;$F344&amp;","&amp;$E344&amp;",4326&amp;level=16",IF(_xlfn.SINGLE(JobState)="IN","https://fema.maps.arcgis.com/apps/mapviewer/index.html?url=https%3A%2F%2Fgisdata.in.gov%2Fserver%2Frest%2Fservices%2FHosted%2FLRSE_Functional_Class%2FFeatureServer%2F22&amp;find="&amp;$F344&amp;"%2C"&amp;$E344&amp;"&amp;marker="&amp;$F344&amp;","&amp;$E344&amp;",4326&amp;level=16",IF(_xlfn.SINGLE(JobState)="WI","https://fema.maps.arcgis.com/apps/mapviewer/index.html?url=https%3A%2F%2Fservices5.arcgis.com%2F0pgGLzT0Nh7FVjon%2Farcgis%2Frest%2Fservices%2FFFCL_gdb%2FFeatureServer%2F3&amp;find="&amp;$F344&amp;"%2C"&amp;$E344&amp;"&amp;marker="&amp;$F344&amp;","&amp;$E344&amp;",4326&amp;level=16","https://fema.maps.arcgis.com/apps/mapviewer/index.html?find="&amp;$F344&amp;"%2C"&amp;$E344&amp;"&amp;marker="&amp;$F344&amp;","&amp;$E344&amp;",4326&amp;level=16"))),"Open"))</f>
        <v/>
      </c>
      <c r="T344" s="4"/>
      <c r="U344" s="4"/>
      <c r="V344" s="4"/>
      <c r="W344" s="4"/>
      <c r="X344" s="4"/>
      <c r="Y344" s="4"/>
      <c r="Z344" s="4"/>
      <c r="AA344" s="4"/>
      <c r="AB344" s="1" t="str">
        <f>IF(OR(_xlfn.SINGLE(JobAgolMap)="", $E344="", $F344=""),"",HYPERLINK(_xlfn.SINGLE(JobAgolMap)&amp;IF(ISNUMBER(FIND("?",_xlfn.SINGLE(JobAgolMap))),"&amp;","?")&amp;"center="&amp;$F344&amp;","&amp;$E344&amp;"&amp;level=16&amp;marker="&amp;$F344&amp;","&amp;$E344,"Open"))</f>
        <v/>
      </c>
    </row>
    <row r="345" spans="1:28" x14ac:dyDescent="0.45">
      <c r="A345" s="3"/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4"/>
      <c r="M345" s="1" t="str">
        <f t="shared" si="30"/>
        <v/>
      </c>
      <c r="N345" s="1" t="str">
        <f t="shared" si="31"/>
        <v/>
      </c>
      <c r="O345" s="1" t="str">
        <f t="shared" si="32"/>
        <v/>
      </c>
      <c r="P345" s="1" t="str">
        <f t="shared" si="33"/>
        <v/>
      </c>
      <c r="Q345" s="1" t="str">
        <f t="shared" si="34"/>
        <v/>
      </c>
      <c r="R345" s="1" t="str">
        <f t="shared" si="35"/>
        <v/>
      </c>
      <c r="S345" s="1" t="str">
        <f>IF(OR($E345="",$F345=""),"",HYPERLINK(IF(OR(_xlfn.SINGLE(JobState)="MI",_xlfn.SINGLE(JobState)=""),"https://fema.maps.arcgis.com/apps/mapviewer/index.html?url=https%3A%2F%2Fmdotgis.state.mi.us%2Farcgis%2Frest%2Fservices%2FWidget%2FNextGenPrFinderPub%2FFeatureServer%2F353&amp;find="&amp;$F345&amp;"%2C"&amp;$E345&amp;"&amp;marker="&amp;$F345&amp;","&amp;$E345&amp;",4326&amp;level=16",IF(_xlfn.SINGLE(JobState)="IN","https://fema.maps.arcgis.com/apps/mapviewer/index.html?url=https%3A%2F%2Fgisdata.in.gov%2Fserver%2Frest%2Fservices%2FHosted%2FLRSE_Functional_Class%2FFeatureServer%2F22&amp;find="&amp;$F345&amp;"%2C"&amp;$E345&amp;"&amp;marker="&amp;$F345&amp;","&amp;$E345&amp;",4326&amp;level=16",IF(_xlfn.SINGLE(JobState)="WI","https://fema.maps.arcgis.com/apps/mapviewer/index.html?url=https%3A%2F%2Fservices5.arcgis.com%2F0pgGLzT0Nh7FVjon%2Farcgis%2Frest%2Fservices%2FFFCL_gdb%2FFeatureServer%2F3&amp;find="&amp;$F345&amp;"%2C"&amp;$E345&amp;"&amp;marker="&amp;$F345&amp;","&amp;$E345&amp;",4326&amp;level=16","https://fema.maps.arcgis.com/apps/mapviewer/index.html?find="&amp;$F345&amp;"%2C"&amp;$E345&amp;"&amp;marker="&amp;$F345&amp;","&amp;$E345&amp;",4326&amp;level=16"))),"Open"))</f>
        <v/>
      </c>
      <c r="T345" s="4"/>
      <c r="U345" s="4"/>
      <c r="V345" s="4"/>
      <c r="W345" s="4"/>
      <c r="X345" s="4"/>
      <c r="Y345" s="4"/>
      <c r="Z345" s="4"/>
      <c r="AA345" s="4"/>
      <c r="AB345" s="1" t="str">
        <f>IF(OR(_xlfn.SINGLE(JobAgolMap)="", $E345="", $F345=""),"",HYPERLINK(_xlfn.SINGLE(JobAgolMap)&amp;IF(ISNUMBER(FIND("?",_xlfn.SINGLE(JobAgolMap))),"&amp;","?")&amp;"center="&amp;$F345&amp;","&amp;$E345&amp;"&amp;level=16&amp;marker="&amp;$F345&amp;","&amp;$E345,"Open"))</f>
        <v/>
      </c>
    </row>
    <row r="346" spans="1:28" x14ac:dyDescent="0.45">
      <c r="A346" s="3"/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4"/>
      <c r="M346" s="1" t="str">
        <f t="shared" si="30"/>
        <v/>
      </c>
      <c r="N346" s="1" t="str">
        <f t="shared" si="31"/>
        <v/>
      </c>
      <c r="O346" s="1" t="str">
        <f t="shared" si="32"/>
        <v/>
      </c>
      <c r="P346" s="1" t="str">
        <f t="shared" si="33"/>
        <v/>
      </c>
      <c r="Q346" s="1" t="str">
        <f t="shared" si="34"/>
        <v/>
      </c>
      <c r="R346" s="1" t="str">
        <f t="shared" si="35"/>
        <v/>
      </c>
      <c r="S346" s="1" t="str">
        <f>IF(OR($E346="",$F346=""),"",HYPERLINK(IF(OR(_xlfn.SINGLE(JobState)="MI",_xlfn.SINGLE(JobState)=""),"https://fema.maps.arcgis.com/apps/mapviewer/index.html?url=https%3A%2F%2Fmdotgis.state.mi.us%2Farcgis%2Frest%2Fservices%2FWidget%2FNextGenPrFinderPub%2FFeatureServer%2F353&amp;find="&amp;$F346&amp;"%2C"&amp;$E346&amp;"&amp;marker="&amp;$F346&amp;","&amp;$E346&amp;",4326&amp;level=16",IF(_xlfn.SINGLE(JobState)="IN","https://fema.maps.arcgis.com/apps/mapviewer/index.html?url=https%3A%2F%2Fgisdata.in.gov%2Fserver%2Frest%2Fservices%2FHosted%2FLRSE_Functional_Class%2FFeatureServer%2F22&amp;find="&amp;$F346&amp;"%2C"&amp;$E346&amp;"&amp;marker="&amp;$F346&amp;","&amp;$E346&amp;",4326&amp;level=16",IF(_xlfn.SINGLE(JobState)="WI","https://fema.maps.arcgis.com/apps/mapviewer/index.html?url=https%3A%2F%2Fservices5.arcgis.com%2F0pgGLzT0Nh7FVjon%2Farcgis%2Frest%2Fservices%2FFFCL_gdb%2FFeatureServer%2F3&amp;find="&amp;$F346&amp;"%2C"&amp;$E346&amp;"&amp;marker="&amp;$F346&amp;","&amp;$E346&amp;",4326&amp;level=16","https://fema.maps.arcgis.com/apps/mapviewer/index.html?find="&amp;$F346&amp;"%2C"&amp;$E346&amp;"&amp;marker="&amp;$F346&amp;","&amp;$E346&amp;",4326&amp;level=16"))),"Open"))</f>
        <v/>
      </c>
      <c r="T346" s="4"/>
      <c r="U346" s="4"/>
      <c r="V346" s="4"/>
      <c r="W346" s="4"/>
      <c r="X346" s="4"/>
      <c r="Y346" s="4"/>
      <c r="Z346" s="4"/>
      <c r="AA346" s="4"/>
      <c r="AB346" s="1" t="str">
        <f>IF(OR(_xlfn.SINGLE(JobAgolMap)="", $E346="", $F346=""),"",HYPERLINK(_xlfn.SINGLE(JobAgolMap)&amp;IF(ISNUMBER(FIND("?",_xlfn.SINGLE(JobAgolMap))),"&amp;","?")&amp;"center="&amp;$F346&amp;","&amp;$E346&amp;"&amp;level=16&amp;marker="&amp;$F346&amp;","&amp;$E346,"Open"))</f>
        <v/>
      </c>
    </row>
    <row r="347" spans="1:28" x14ac:dyDescent="0.45">
      <c r="A347" s="3"/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4"/>
      <c r="M347" s="1" t="str">
        <f t="shared" si="30"/>
        <v/>
      </c>
      <c r="N347" s="1" t="str">
        <f t="shared" si="31"/>
        <v/>
      </c>
      <c r="O347" s="1" t="str">
        <f t="shared" si="32"/>
        <v/>
      </c>
      <c r="P347" s="1" t="str">
        <f t="shared" si="33"/>
        <v/>
      </c>
      <c r="Q347" s="1" t="str">
        <f t="shared" si="34"/>
        <v/>
      </c>
      <c r="R347" s="1" t="str">
        <f t="shared" si="35"/>
        <v/>
      </c>
      <c r="S347" s="1" t="str">
        <f>IF(OR($E347="",$F347=""),"",HYPERLINK(IF(OR(_xlfn.SINGLE(JobState)="MI",_xlfn.SINGLE(JobState)=""),"https://fema.maps.arcgis.com/apps/mapviewer/index.html?url=https%3A%2F%2Fmdotgis.state.mi.us%2Farcgis%2Frest%2Fservices%2FWidget%2FNextGenPrFinderPub%2FFeatureServer%2F353&amp;find="&amp;$F347&amp;"%2C"&amp;$E347&amp;"&amp;marker="&amp;$F347&amp;","&amp;$E347&amp;",4326&amp;level=16",IF(_xlfn.SINGLE(JobState)="IN","https://fema.maps.arcgis.com/apps/mapviewer/index.html?url=https%3A%2F%2Fgisdata.in.gov%2Fserver%2Frest%2Fservices%2FHosted%2FLRSE_Functional_Class%2FFeatureServer%2F22&amp;find="&amp;$F347&amp;"%2C"&amp;$E347&amp;"&amp;marker="&amp;$F347&amp;","&amp;$E347&amp;",4326&amp;level=16",IF(_xlfn.SINGLE(JobState)="WI","https://fema.maps.arcgis.com/apps/mapviewer/index.html?url=https%3A%2F%2Fservices5.arcgis.com%2F0pgGLzT0Nh7FVjon%2Farcgis%2Frest%2Fservices%2FFFCL_gdb%2FFeatureServer%2F3&amp;find="&amp;$F347&amp;"%2C"&amp;$E347&amp;"&amp;marker="&amp;$F347&amp;","&amp;$E347&amp;",4326&amp;level=16","https://fema.maps.arcgis.com/apps/mapviewer/index.html?find="&amp;$F347&amp;"%2C"&amp;$E347&amp;"&amp;marker="&amp;$F347&amp;","&amp;$E347&amp;",4326&amp;level=16"))),"Open"))</f>
        <v/>
      </c>
      <c r="T347" s="4"/>
      <c r="U347" s="4"/>
      <c r="V347" s="4"/>
      <c r="W347" s="4"/>
      <c r="X347" s="4"/>
      <c r="Y347" s="4"/>
      <c r="Z347" s="4"/>
      <c r="AA347" s="4"/>
      <c r="AB347" s="1" t="str">
        <f>IF(OR(_xlfn.SINGLE(JobAgolMap)="", $E347="", $F347=""),"",HYPERLINK(_xlfn.SINGLE(JobAgolMap)&amp;IF(ISNUMBER(FIND("?",_xlfn.SINGLE(JobAgolMap))),"&amp;","?")&amp;"center="&amp;$F347&amp;","&amp;$E347&amp;"&amp;level=16&amp;marker="&amp;$F347&amp;","&amp;$E347,"Open"))</f>
        <v/>
      </c>
    </row>
    <row r="348" spans="1:28" x14ac:dyDescent="0.45">
      <c r="A348" s="3"/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4"/>
      <c r="M348" s="1" t="str">
        <f t="shared" si="30"/>
        <v/>
      </c>
      <c r="N348" s="1" t="str">
        <f t="shared" si="31"/>
        <v/>
      </c>
      <c r="O348" s="1" t="str">
        <f t="shared" si="32"/>
        <v/>
      </c>
      <c r="P348" s="1" t="str">
        <f t="shared" si="33"/>
        <v/>
      </c>
      <c r="Q348" s="1" t="str">
        <f t="shared" si="34"/>
        <v/>
      </c>
      <c r="R348" s="1" t="str">
        <f t="shared" si="35"/>
        <v/>
      </c>
      <c r="S348" s="1" t="str">
        <f>IF(OR($E348="",$F348=""),"",HYPERLINK(IF(OR(_xlfn.SINGLE(JobState)="MI",_xlfn.SINGLE(JobState)=""),"https://fema.maps.arcgis.com/apps/mapviewer/index.html?url=https%3A%2F%2Fmdotgis.state.mi.us%2Farcgis%2Frest%2Fservices%2FWidget%2FNextGenPrFinderPub%2FFeatureServer%2F353&amp;find="&amp;$F348&amp;"%2C"&amp;$E348&amp;"&amp;marker="&amp;$F348&amp;","&amp;$E348&amp;",4326&amp;level=16",IF(_xlfn.SINGLE(JobState)="IN","https://fema.maps.arcgis.com/apps/mapviewer/index.html?url=https%3A%2F%2Fgisdata.in.gov%2Fserver%2Frest%2Fservices%2FHosted%2FLRSE_Functional_Class%2FFeatureServer%2F22&amp;find="&amp;$F348&amp;"%2C"&amp;$E348&amp;"&amp;marker="&amp;$F348&amp;","&amp;$E348&amp;",4326&amp;level=16",IF(_xlfn.SINGLE(JobState)="WI","https://fema.maps.arcgis.com/apps/mapviewer/index.html?url=https%3A%2F%2Fservices5.arcgis.com%2F0pgGLzT0Nh7FVjon%2Farcgis%2Frest%2Fservices%2FFFCL_gdb%2FFeatureServer%2F3&amp;find="&amp;$F348&amp;"%2C"&amp;$E348&amp;"&amp;marker="&amp;$F348&amp;","&amp;$E348&amp;",4326&amp;level=16","https://fema.maps.arcgis.com/apps/mapviewer/index.html?find="&amp;$F348&amp;"%2C"&amp;$E348&amp;"&amp;marker="&amp;$F348&amp;","&amp;$E348&amp;",4326&amp;level=16"))),"Open"))</f>
        <v/>
      </c>
      <c r="T348" s="4"/>
      <c r="U348" s="4"/>
      <c r="V348" s="4"/>
      <c r="W348" s="4"/>
      <c r="X348" s="4"/>
      <c r="Y348" s="4"/>
      <c r="Z348" s="4"/>
      <c r="AA348" s="4"/>
      <c r="AB348" s="1" t="str">
        <f>IF(OR(_xlfn.SINGLE(JobAgolMap)="", $E348="", $F348=""),"",HYPERLINK(_xlfn.SINGLE(JobAgolMap)&amp;IF(ISNUMBER(FIND("?",_xlfn.SINGLE(JobAgolMap))),"&amp;","?")&amp;"center="&amp;$F348&amp;","&amp;$E348&amp;"&amp;level=16&amp;marker="&amp;$F348&amp;","&amp;$E348,"Open"))</f>
        <v/>
      </c>
    </row>
    <row r="349" spans="1:28" x14ac:dyDescent="0.45">
      <c r="A349" s="3"/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4"/>
      <c r="M349" s="1" t="str">
        <f t="shared" si="30"/>
        <v/>
      </c>
      <c r="N349" s="1" t="str">
        <f t="shared" si="31"/>
        <v/>
      </c>
      <c r="O349" s="1" t="str">
        <f t="shared" si="32"/>
        <v/>
      </c>
      <c r="P349" s="1" t="str">
        <f t="shared" si="33"/>
        <v/>
      </c>
      <c r="Q349" s="1" t="str">
        <f t="shared" si="34"/>
        <v/>
      </c>
      <c r="R349" s="1" t="str">
        <f t="shared" si="35"/>
        <v/>
      </c>
      <c r="S349" s="1" t="str">
        <f>IF(OR($E349="",$F349=""),"",HYPERLINK(IF(OR(_xlfn.SINGLE(JobState)="MI",_xlfn.SINGLE(JobState)=""),"https://fema.maps.arcgis.com/apps/mapviewer/index.html?url=https%3A%2F%2Fmdotgis.state.mi.us%2Farcgis%2Frest%2Fservices%2FWidget%2FNextGenPrFinderPub%2FFeatureServer%2F353&amp;find="&amp;$F349&amp;"%2C"&amp;$E349&amp;"&amp;marker="&amp;$F349&amp;","&amp;$E349&amp;",4326&amp;level=16",IF(_xlfn.SINGLE(JobState)="IN","https://fema.maps.arcgis.com/apps/mapviewer/index.html?url=https%3A%2F%2Fgisdata.in.gov%2Fserver%2Frest%2Fservices%2FHosted%2FLRSE_Functional_Class%2FFeatureServer%2F22&amp;find="&amp;$F349&amp;"%2C"&amp;$E349&amp;"&amp;marker="&amp;$F349&amp;","&amp;$E349&amp;",4326&amp;level=16",IF(_xlfn.SINGLE(JobState)="WI","https://fema.maps.arcgis.com/apps/mapviewer/index.html?url=https%3A%2F%2Fservices5.arcgis.com%2F0pgGLzT0Nh7FVjon%2Farcgis%2Frest%2Fservices%2FFFCL_gdb%2FFeatureServer%2F3&amp;find="&amp;$F349&amp;"%2C"&amp;$E349&amp;"&amp;marker="&amp;$F349&amp;","&amp;$E349&amp;",4326&amp;level=16","https://fema.maps.arcgis.com/apps/mapviewer/index.html?find="&amp;$F349&amp;"%2C"&amp;$E349&amp;"&amp;marker="&amp;$F349&amp;","&amp;$E349&amp;",4326&amp;level=16"))),"Open"))</f>
        <v/>
      </c>
      <c r="T349" s="4"/>
      <c r="U349" s="4"/>
      <c r="V349" s="4"/>
      <c r="W349" s="4"/>
      <c r="X349" s="4"/>
      <c r="Y349" s="4"/>
      <c r="Z349" s="4"/>
      <c r="AA349" s="4"/>
      <c r="AB349" s="1" t="str">
        <f>IF(OR(_xlfn.SINGLE(JobAgolMap)="", $E349="", $F349=""),"",HYPERLINK(_xlfn.SINGLE(JobAgolMap)&amp;IF(ISNUMBER(FIND("?",_xlfn.SINGLE(JobAgolMap))),"&amp;","?")&amp;"center="&amp;$F349&amp;","&amp;$E349&amp;"&amp;level=16&amp;marker="&amp;$F349&amp;","&amp;$E349,"Open"))</f>
        <v/>
      </c>
    </row>
    <row r="350" spans="1:28" x14ac:dyDescent="0.45">
      <c r="A350" s="3"/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4"/>
      <c r="M350" s="1" t="str">
        <f t="shared" si="30"/>
        <v/>
      </c>
      <c r="N350" s="1" t="str">
        <f t="shared" si="31"/>
        <v/>
      </c>
      <c r="O350" s="1" t="str">
        <f t="shared" si="32"/>
        <v/>
      </c>
      <c r="P350" s="1" t="str">
        <f t="shared" si="33"/>
        <v/>
      </c>
      <c r="Q350" s="1" t="str">
        <f t="shared" si="34"/>
        <v/>
      </c>
      <c r="R350" s="1" t="str">
        <f t="shared" si="35"/>
        <v/>
      </c>
      <c r="S350" s="1" t="str">
        <f>IF(OR($E350="",$F350=""),"",HYPERLINK(IF(OR(_xlfn.SINGLE(JobState)="MI",_xlfn.SINGLE(JobState)=""),"https://fema.maps.arcgis.com/apps/mapviewer/index.html?url=https%3A%2F%2Fmdotgis.state.mi.us%2Farcgis%2Frest%2Fservices%2FWidget%2FNextGenPrFinderPub%2FFeatureServer%2F353&amp;find="&amp;$F350&amp;"%2C"&amp;$E350&amp;"&amp;marker="&amp;$F350&amp;","&amp;$E350&amp;",4326&amp;level=16",IF(_xlfn.SINGLE(JobState)="IN","https://fema.maps.arcgis.com/apps/mapviewer/index.html?url=https%3A%2F%2Fgisdata.in.gov%2Fserver%2Frest%2Fservices%2FHosted%2FLRSE_Functional_Class%2FFeatureServer%2F22&amp;find="&amp;$F350&amp;"%2C"&amp;$E350&amp;"&amp;marker="&amp;$F350&amp;","&amp;$E350&amp;",4326&amp;level=16",IF(_xlfn.SINGLE(JobState)="WI","https://fema.maps.arcgis.com/apps/mapviewer/index.html?url=https%3A%2F%2Fservices5.arcgis.com%2F0pgGLzT0Nh7FVjon%2Farcgis%2Frest%2Fservices%2FFFCL_gdb%2FFeatureServer%2F3&amp;find="&amp;$F350&amp;"%2C"&amp;$E350&amp;"&amp;marker="&amp;$F350&amp;","&amp;$E350&amp;",4326&amp;level=16","https://fema.maps.arcgis.com/apps/mapviewer/index.html?find="&amp;$F350&amp;"%2C"&amp;$E350&amp;"&amp;marker="&amp;$F350&amp;","&amp;$E350&amp;",4326&amp;level=16"))),"Open"))</f>
        <v/>
      </c>
      <c r="T350" s="4"/>
      <c r="U350" s="4"/>
      <c r="V350" s="4"/>
      <c r="W350" s="4"/>
      <c r="X350" s="4"/>
      <c r="Y350" s="4"/>
      <c r="Z350" s="4"/>
      <c r="AA350" s="4"/>
      <c r="AB350" s="1" t="str">
        <f>IF(OR(_xlfn.SINGLE(JobAgolMap)="", $E350="", $F350=""),"",HYPERLINK(_xlfn.SINGLE(JobAgolMap)&amp;IF(ISNUMBER(FIND("?",_xlfn.SINGLE(JobAgolMap))),"&amp;","?")&amp;"center="&amp;$F350&amp;","&amp;$E350&amp;"&amp;level=16&amp;marker="&amp;$F350&amp;","&amp;$E350,"Open"))</f>
        <v/>
      </c>
    </row>
    <row r="351" spans="1:28" x14ac:dyDescent="0.45">
      <c r="A351" s="3"/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4"/>
      <c r="M351" s="1" t="str">
        <f t="shared" si="30"/>
        <v/>
      </c>
      <c r="N351" s="1" t="str">
        <f t="shared" si="31"/>
        <v/>
      </c>
      <c r="O351" s="1" t="str">
        <f t="shared" si="32"/>
        <v/>
      </c>
      <c r="P351" s="1" t="str">
        <f t="shared" si="33"/>
        <v/>
      </c>
      <c r="Q351" s="1" t="str">
        <f t="shared" si="34"/>
        <v/>
      </c>
      <c r="R351" s="1" t="str">
        <f t="shared" si="35"/>
        <v/>
      </c>
      <c r="S351" s="1" t="str">
        <f>IF(OR($E351="",$F351=""),"",HYPERLINK(IF(OR(_xlfn.SINGLE(JobState)="MI",_xlfn.SINGLE(JobState)=""),"https://fema.maps.arcgis.com/apps/mapviewer/index.html?url=https%3A%2F%2Fmdotgis.state.mi.us%2Farcgis%2Frest%2Fservices%2FWidget%2FNextGenPrFinderPub%2FFeatureServer%2F353&amp;find="&amp;$F351&amp;"%2C"&amp;$E351&amp;"&amp;marker="&amp;$F351&amp;","&amp;$E351&amp;",4326&amp;level=16",IF(_xlfn.SINGLE(JobState)="IN","https://fema.maps.arcgis.com/apps/mapviewer/index.html?url=https%3A%2F%2Fgisdata.in.gov%2Fserver%2Frest%2Fservices%2FHosted%2FLRSE_Functional_Class%2FFeatureServer%2F22&amp;find="&amp;$F351&amp;"%2C"&amp;$E351&amp;"&amp;marker="&amp;$F351&amp;","&amp;$E351&amp;",4326&amp;level=16",IF(_xlfn.SINGLE(JobState)="WI","https://fema.maps.arcgis.com/apps/mapviewer/index.html?url=https%3A%2F%2Fservices5.arcgis.com%2F0pgGLzT0Nh7FVjon%2Farcgis%2Frest%2Fservices%2FFFCL_gdb%2FFeatureServer%2F3&amp;find="&amp;$F351&amp;"%2C"&amp;$E351&amp;"&amp;marker="&amp;$F351&amp;","&amp;$E351&amp;",4326&amp;level=16","https://fema.maps.arcgis.com/apps/mapviewer/index.html?find="&amp;$F351&amp;"%2C"&amp;$E351&amp;"&amp;marker="&amp;$F351&amp;","&amp;$E351&amp;",4326&amp;level=16"))),"Open"))</f>
        <v/>
      </c>
      <c r="T351" s="4"/>
      <c r="U351" s="4"/>
      <c r="V351" s="4"/>
      <c r="W351" s="4"/>
      <c r="X351" s="4"/>
      <c r="Y351" s="4"/>
      <c r="Z351" s="4"/>
      <c r="AA351" s="4"/>
      <c r="AB351" s="1" t="str">
        <f>IF(OR(_xlfn.SINGLE(JobAgolMap)="", $E351="", $F351=""),"",HYPERLINK(_xlfn.SINGLE(JobAgolMap)&amp;IF(ISNUMBER(FIND("?",_xlfn.SINGLE(JobAgolMap))),"&amp;","?")&amp;"center="&amp;$F351&amp;","&amp;$E351&amp;"&amp;level=16&amp;marker="&amp;$F351&amp;","&amp;$E351,"Open"))</f>
        <v/>
      </c>
    </row>
    <row r="352" spans="1:28" x14ac:dyDescent="0.45">
      <c r="A352" s="3"/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4"/>
      <c r="M352" s="1" t="str">
        <f t="shared" si="30"/>
        <v/>
      </c>
      <c r="N352" s="1" t="str">
        <f t="shared" si="31"/>
        <v/>
      </c>
      <c r="O352" s="1" t="str">
        <f t="shared" si="32"/>
        <v/>
      </c>
      <c r="P352" s="1" t="str">
        <f t="shared" si="33"/>
        <v/>
      </c>
      <c r="Q352" s="1" t="str">
        <f t="shared" si="34"/>
        <v/>
      </c>
      <c r="R352" s="1" t="str">
        <f t="shared" si="35"/>
        <v/>
      </c>
      <c r="S352" s="1" t="str">
        <f>IF(OR($E352="",$F352=""),"",HYPERLINK(IF(OR(_xlfn.SINGLE(JobState)="MI",_xlfn.SINGLE(JobState)=""),"https://fema.maps.arcgis.com/apps/mapviewer/index.html?url=https%3A%2F%2Fmdotgis.state.mi.us%2Farcgis%2Frest%2Fservices%2FWidget%2FNextGenPrFinderPub%2FFeatureServer%2F353&amp;find="&amp;$F352&amp;"%2C"&amp;$E352&amp;"&amp;marker="&amp;$F352&amp;","&amp;$E352&amp;",4326&amp;level=16",IF(_xlfn.SINGLE(JobState)="IN","https://fema.maps.arcgis.com/apps/mapviewer/index.html?url=https%3A%2F%2Fgisdata.in.gov%2Fserver%2Frest%2Fservices%2FHosted%2FLRSE_Functional_Class%2FFeatureServer%2F22&amp;find="&amp;$F352&amp;"%2C"&amp;$E352&amp;"&amp;marker="&amp;$F352&amp;","&amp;$E352&amp;",4326&amp;level=16",IF(_xlfn.SINGLE(JobState)="WI","https://fema.maps.arcgis.com/apps/mapviewer/index.html?url=https%3A%2F%2Fservices5.arcgis.com%2F0pgGLzT0Nh7FVjon%2Farcgis%2Frest%2Fservices%2FFFCL_gdb%2FFeatureServer%2F3&amp;find="&amp;$F352&amp;"%2C"&amp;$E352&amp;"&amp;marker="&amp;$F352&amp;","&amp;$E352&amp;",4326&amp;level=16","https://fema.maps.arcgis.com/apps/mapviewer/index.html?find="&amp;$F352&amp;"%2C"&amp;$E352&amp;"&amp;marker="&amp;$F352&amp;","&amp;$E352&amp;",4326&amp;level=16"))),"Open"))</f>
        <v/>
      </c>
      <c r="T352" s="4"/>
      <c r="U352" s="4"/>
      <c r="V352" s="4"/>
      <c r="W352" s="4"/>
      <c r="X352" s="4"/>
      <c r="Y352" s="4"/>
      <c r="Z352" s="4"/>
      <c r="AA352" s="4"/>
      <c r="AB352" s="1" t="str">
        <f>IF(OR(_xlfn.SINGLE(JobAgolMap)="", $E352="", $F352=""),"",HYPERLINK(_xlfn.SINGLE(JobAgolMap)&amp;IF(ISNUMBER(FIND("?",_xlfn.SINGLE(JobAgolMap))),"&amp;","?")&amp;"center="&amp;$F352&amp;","&amp;$E352&amp;"&amp;level=16&amp;marker="&amp;$F352&amp;","&amp;$E352,"Open"))</f>
        <v/>
      </c>
    </row>
    <row r="353" spans="1:28" x14ac:dyDescent="0.45">
      <c r="A353" s="3"/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4"/>
      <c r="M353" s="1" t="str">
        <f t="shared" si="30"/>
        <v/>
      </c>
      <c r="N353" s="1" t="str">
        <f t="shared" si="31"/>
        <v/>
      </c>
      <c r="O353" s="1" t="str">
        <f t="shared" si="32"/>
        <v/>
      </c>
      <c r="P353" s="1" t="str">
        <f t="shared" si="33"/>
        <v/>
      </c>
      <c r="Q353" s="1" t="str">
        <f t="shared" si="34"/>
        <v/>
      </c>
      <c r="R353" s="1" t="str">
        <f t="shared" si="35"/>
        <v/>
      </c>
      <c r="S353" s="1" t="str">
        <f>IF(OR($E353="",$F353=""),"",HYPERLINK(IF(OR(_xlfn.SINGLE(JobState)="MI",_xlfn.SINGLE(JobState)=""),"https://fema.maps.arcgis.com/apps/mapviewer/index.html?url=https%3A%2F%2Fmdotgis.state.mi.us%2Farcgis%2Frest%2Fservices%2FWidget%2FNextGenPrFinderPub%2FFeatureServer%2F353&amp;find="&amp;$F353&amp;"%2C"&amp;$E353&amp;"&amp;marker="&amp;$F353&amp;","&amp;$E353&amp;",4326&amp;level=16",IF(_xlfn.SINGLE(JobState)="IN","https://fema.maps.arcgis.com/apps/mapviewer/index.html?url=https%3A%2F%2Fgisdata.in.gov%2Fserver%2Frest%2Fservices%2FHosted%2FLRSE_Functional_Class%2FFeatureServer%2F22&amp;find="&amp;$F353&amp;"%2C"&amp;$E353&amp;"&amp;marker="&amp;$F353&amp;","&amp;$E353&amp;",4326&amp;level=16",IF(_xlfn.SINGLE(JobState)="WI","https://fema.maps.arcgis.com/apps/mapviewer/index.html?url=https%3A%2F%2Fservices5.arcgis.com%2F0pgGLzT0Nh7FVjon%2Farcgis%2Frest%2Fservices%2FFFCL_gdb%2FFeatureServer%2F3&amp;find="&amp;$F353&amp;"%2C"&amp;$E353&amp;"&amp;marker="&amp;$F353&amp;","&amp;$E353&amp;",4326&amp;level=16","https://fema.maps.arcgis.com/apps/mapviewer/index.html?find="&amp;$F353&amp;"%2C"&amp;$E353&amp;"&amp;marker="&amp;$F353&amp;","&amp;$E353&amp;",4326&amp;level=16"))),"Open"))</f>
        <v/>
      </c>
      <c r="T353" s="4"/>
      <c r="U353" s="4"/>
      <c r="V353" s="4"/>
      <c r="W353" s="4"/>
      <c r="X353" s="4"/>
      <c r="Y353" s="4"/>
      <c r="Z353" s="4"/>
      <c r="AA353" s="4"/>
      <c r="AB353" s="1" t="str">
        <f>IF(OR(_xlfn.SINGLE(JobAgolMap)="", $E353="", $F353=""),"",HYPERLINK(_xlfn.SINGLE(JobAgolMap)&amp;IF(ISNUMBER(FIND("?",_xlfn.SINGLE(JobAgolMap))),"&amp;","?")&amp;"center="&amp;$F353&amp;","&amp;$E353&amp;"&amp;level=16&amp;marker="&amp;$F353&amp;","&amp;$E353,"Open"))</f>
        <v/>
      </c>
    </row>
    <row r="354" spans="1:28" x14ac:dyDescent="0.45">
      <c r="A354" s="3"/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4"/>
      <c r="M354" s="1" t="str">
        <f t="shared" si="30"/>
        <v/>
      </c>
      <c r="N354" s="1" t="str">
        <f t="shared" si="31"/>
        <v/>
      </c>
      <c r="O354" s="1" t="str">
        <f t="shared" si="32"/>
        <v/>
      </c>
      <c r="P354" s="1" t="str">
        <f t="shared" si="33"/>
        <v/>
      </c>
      <c r="Q354" s="1" t="str">
        <f t="shared" si="34"/>
        <v/>
      </c>
      <c r="R354" s="1" t="str">
        <f t="shared" si="35"/>
        <v/>
      </c>
      <c r="S354" s="1" t="str">
        <f>IF(OR($E354="",$F354=""),"",HYPERLINK(IF(OR(_xlfn.SINGLE(JobState)="MI",_xlfn.SINGLE(JobState)=""),"https://fema.maps.arcgis.com/apps/mapviewer/index.html?url=https%3A%2F%2Fmdotgis.state.mi.us%2Farcgis%2Frest%2Fservices%2FWidget%2FNextGenPrFinderPub%2FFeatureServer%2F353&amp;find="&amp;$F354&amp;"%2C"&amp;$E354&amp;"&amp;marker="&amp;$F354&amp;","&amp;$E354&amp;",4326&amp;level=16",IF(_xlfn.SINGLE(JobState)="IN","https://fema.maps.arcgis.com/apps/mapviewer/index.html?url=https%3A%2F%2Fgisdata.in.gov%2Fserver%2Frest%2Fservices%2FHosted%2FLRSE_Functional_Class%2FFeatureServer%2F22&amp;find="&amp;$F354&amp;"%2C"&amp;$E354&amp;"&amp;marker="&amp;$F354&amp;","&amp;$E354&amp;",4326&amp;level=16",IF(_xlfn.SINGLE(JobState)="WI","https://fema.maps.arcgis.com/apps/mapviewer/index.html?url=https%3A%2F%2Fservices5.arcgis.com%2F0pgGLzT0Nh7FVjon%2Farcgis%2Frest%2Fservices%2FFFCL_gdb%2FFeatureServer%2F3&amp;find="&amp;$F354&amp;"%2C"&amp;$E354&amp;"&amp;marker="&amp;$F354&amp;","&amp;$E354&amp;",4326&amp;level=16","https://fema.maps.arcgis.com/apps/mapviewer/index.html?find="&amp;$F354&amp;"%2C"&amp;$E354&amp;"&amp;marker="&amp;$F354&amp;","&amp;$E354&amp;",4326&amp;level=16"))),"Open"))</f>
        <v/>
      </c>
      <c r="T354" s="4"/>
      <c r="U354" s="4"/>
      <c r="V354" s="4"/>
      <c r="W354" s="4"/>
      <c r="X354" s="4"/>
      <c r="Y354" s="4"/>
      <c r="Z354" s="4"/>
      <c r="AA354" s="4"/>
      <c r="AB354" s="1" t="str">
        <f>IF(OR(_xlfn.SINGLE(JobAgolMap)="", $E354="", $F354=""),"",HYPERLINK(_xlfn.SINGLE(JobAgolMap)&amp;IF(ISNUMBER(FIND("?",_xlfn.SINGLE(JobAgolMap))),"&amp;","?")&amp;"center="&amp;$F354&amp;","&amp;$E354&amp;"&amp;level=16&amp;marker="&amp;$F354&amp;","&amp;$E354,"Open"))</f>
        <v/>
      </c>
    </row>
    <row r="355" spans="1:28" x14ac:dyDescent="0.45">
      <c r="A355" s="3"/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4"/>
      <c r="M355" s="1" t="str">
        <f t="shared" si="30"/>
        <v/>
      </c>
      <c r="N355" s="1" t="str">
        <f t="shared" si="31"/>
        <v/>
      </c>
      <c r="O355" s="1" t="str">
        <f t="shared" si="32"/>
        <v/>
      </c>
      <c r="P355" s="1" t="str">
        <f t="shared" si="33"/>
        <v/>
      </c>
      <c r="Q355" s="1" t="str">
        <f t="shared" si="34"/>
        <v/>
      </c>
      <c r="R355" s="1" t="str">
        <f t="shared" si="35"/>
        <v/>
      </c>
      <c r="S355" s="1" t="str">
        <f>IF(OR($E355="",$F355=""),"",HYPERLINK(IF(OR(_xlfn.SINGLE(JobState)="MI",_xlfn.SINGLE(JobState)=""),"https://fema.maps.arcgis.com/apps/mapviewer/index.html?url=https%3A%2F%2Fmdotgis.state.mi.us%2Farcgis%2Frest%2Fservices%2FWidget%2FNextGenPrFinderPub%2FFeatureServer%2F353&amp;find="&amp;$F355&amp;"%2C"&amp;$E355&amp;"&amp;marker="&amp;$F355&amp;","&amp;$E355&amp;",4326&amp;level=16",IF(_xlfn.SINGLE(JobState)="IN","https://fema.maps.arcgis.com/apps/mapviewer/index.html?url=https%3A%2F%2Fgisdata.in.gov%2Fserver%2Frest%2Fservices%2FHosted%2FLRSE_Functional_Class%2FFeatureServer%2F22&amp;find="&amp;$F355&amp;"%2C"&amp;$E355&amp;"&amp;marker="&amp;$F355&amp;","&amp;$E355&amp;",4326&amp;level=16",IF(_xlfn.SINGLE(JobState)="WI","https://fema.maps.arcgis.com/apps/mapviewer/index.html?url=https%3A%2F%2Fservices5.arcgis.com%2F0pgGLzT0Nh7FVjon%2Farcgis%2Frest%2Fservices%2FFFCL_gdb%2FFeatureServer%2F3&amp;find="&amp;$F355&amp;"%2C"&amp;$E355&amp;"&amp;marker="&amp;$F355&amp;","&amp;$E355&amp;",4326&amp;level=16","https://fema.maps.arcgis.com/apps/mapviewer/index.html?find="&amp;$F355&amp;"%2C"&amp;$E355&amp;"&amp;marker="&amp;$F355&amp;","&amp;$E355&amp;",4326&amp;level=16"))),"Open"))</f>
        <v/>
      </c>
      <c r="T355" s="4"/>
      <c r="U355" s="4"/>
      <c r="V355" s="4"/>
      <c r="W355" s="4"/>
      <c r="X355" s="4"/>
      <c r="Y355" s="4"/>
      <c r="Z355" s="4"/>
      <c r="AA355" s="4"/>
      <c r="AB355" s="1" t="str">
        <f>IF(OR(_xlfn.SINGLE(JobAgolMap)="", $E355="", $F355=""),"",HYPERLINK(_xlfn.SINGLE(JobAgolMap)&amp;IF(ISNUMBER(FIND("?",_xlfn.SINGLE(JobAgolMap))),"&amp;","?")&amp;"center="&amp;$F355&amp;","&amp;$E355&amp;"&amp;level=16&amp;marker="&amp;$F355&amp;","&amp;$E355,"Open"))</f>
        <v/>
      </c>
    </row>
    <row r="356" spans="1:28" x14ac:dyDescent="0.45">
      <c r="A356" s="3"/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4"/>
      <c r="M356" s="1" t="str">
        <f t="shared" si="30"/>
        <v/>
      </c>
      <c r="N356" s="1" t="str">
        <f t="shared" si="31"/>
        <v/>
      </c>
      <c r="O356" s="1" t="str">
        <f t="shared" si="32"/>
        <v/>
      </c>
      <c r="P356" s="1" t="str">
        <f t="shared" si="33"/>
        <v/>
      </c>
      <c r="Q356" s="1" t="str">
        <f t="shared" si="34"/>
        <v/>
      </c>
      <c r="R356" s="1" t="str">
        <f t="shared" si="35"/>
        <v/>
      </c>
      <c r="S356" s="1" t="str">
        <f>IF(OR($E356="",$F356=""),"",HYPERLINK(IF(OR(_xlfn.SINGLE(JobState)="MI",_xlfn.SINGLE(JobState)=""),"https://fema.maps.arcgis.com/apps/mapviewer/index.html?url=https%3A%2F%2Fmdotgis.state.mi.us%2Farcgis%2Frest%2Fservices%2FWidget%2FNextGenPrFinderPub%2FFeatureServer%2F353&amp;find="&amp;$F356&amp;"%2C"&amp;$E356&amp;"&amp;marker="&amp;$F356&amp;","&amp;$E356&amp;",4326&amp;level=16",IF(_xlfn.SINGLE(JobState)="IN","https://fema.maps.arcgis.com/apps/mapviewer/index.html?url=https%3A%2F%2Fgisdata.in.gov%2Fserver%2Frest%2Fservices%2FHosted%2FLRSE_Functional_Class%2FFeatureServer%2F22&amp;find="&amp;$F356&amp;"%2C"&amp;$E356&amp;"&amp;marker="&amp;$F356&amp;","&amp;$E356&amp;",4326&amp;level=16",IF(_xlfn.SINGLE(JobState)="WI","https://fema.maps.arcgis.com/apps/mapviewer/index.html?url=https%3A%2F%2Fservices5.arcgis.com%2F0pgGLzT0Nh7FVjon%2Farcgis%2Frest%2Fservices%2FFFCL_gdb%2FFeatureServer%2F3&amp;find="&amp;$F356&amp;"%2C"&amp;$E356&amp;"&amp;marker="&amp;$F356&amp;","&amp;$E356&amp;",4326&amp;level=16","https://fema.maps.arcgis.com/apps/mapviewer/index.html?find="&amp;$F356&amp;"%2C"&amp;$E356&amp;"&amp;marker="&amp;$F356&amp;","&amp;$E356&amp;",4326&amp;level=16"))),"Open"))</f>
        <v/>
      </c>
      <c r="T356" s="4"/>
      <c r="U356" s="4"/>
      <c r="V356" s="4"/>
      <c r="W356" s="4"/>
      <c r="X356" s="4"/>
      <c r="Y356" s="4"/>
      <c r="Z356" s="4"/>
      <c r="AA356" s="4"/>
      <c r="AB356" s="1" t="str">
        <f>IF(OR(_xlfn.SINGLE(JobAgolMap)="", $E356="", $F356=""),"",HYPERLINK(_xlfn.SINGLE(JobAgolMap)&amp;IF(ISNUMBER(FIND("?",_xlfn.SINGLE(JobAgolMap))),"&amp;","?")&amp;"center="&amp;$F356&amp;","&amp;$E356&amp;"&amp;level=16&amp;marker="&amp;$F356&amp;","&amp;$E356,"Open"))</f>
        <v/>
      </c>
    </row>
    <row r="357" spans="1:28" x14ac:dyDescent="0.45">
      <c r="A357" s="3"/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4"/>
      <c r="M357" s="1" t="str">
        <f t="shared" si="30"/>
        <v/>
      </c>
      <c r="N357" s="1" t="str">
        <f t="shared" si="31"/>
        <v/>
      </c>
      <c r="O357" s="1" t="str">
        <f t="shared" si="32"/>
        <v/>
      </c>
      <c r="P357" s="1" t="str">
        <f t="shared" si="33"/>
        <v/>
      </c>
      <c r="Q357" s="1" t="str">
        <f t="shared" si="34"/>
        <v/>
      </c>
      <c r="R357" s="1" t="str">
        <f t="shared" si="35"/>
        <v/>
      </c>
      <c r="S357" s="1" t="str">
        <f>IF(OR($E357="",$F357=""),"",HYPERLINK(IF(OR(_xlfn.SINGLE(JobState)="MI",_xlfn.SINGLE(JobState)=""),"https://fema.maps.arcgis.com/apps/mapviewer/index.html?url=https%3A%2F%2Fmdotgis.state.mi.us%2Farcgis%2Frest%2Fservices%2FWidget%2FNextGenPrFinderPub%2FFeatureServer%2F353&amp;find="&amp;$F357&amp;"%2C"&amp;$E357&amp;"&amp;marker="&amp;$F357&amp;","&amp;$E357&amp;",4326&amp;level=16",IF(_xlfn.SINGLE(JobState)="IN","https://fema.maps.arcgis.com/apps/mapviewer/index.html?url=https%3A%2F%2Fgisdata.in.gov%2Fserver%2Frest%2Fservices%2FHosted%2FLRSE_Functional_Class%2FFeatureServer%2F22&amp;find="&amp;$F357&amp;"%2C"&amp;$E357&amp;"&amp;marker="&amp;$F357&amp;","&amp;$E357&amp;",4326&amp;level=16",IF(_xlfn.SINGLE(JobState)="WI","https://fema.maps.arcgis.com/apps/mapviewer/index.html?url=https%3A%2F%2Fservices5.arcgis.com%2F0pgGLzT0Nh7FVjon%2Farcgis%2Frest%2Fservices%2FFFCL_gdb%2FFeatureServer%2F3&amp;find="&amp;$F357&amp;"%2C"&amp;$E357&amp;"&amp;marker="&amp;$F357&amp;","&amp;$E357&amp;",4326&amp;level=16","https://fema.maps.arcgis.com/apps/mapviewer/index.html?find="&amp;$F357&amp;"%2C"&amp;$E357&amp;"&amp;marker="&amp;$F357&amp;","&amp;$E357&amp;",4326&amp;level=16"))),"Open"))</f>
        <v/>
      </c>
      <c r="T357" s="4"/>
      <c r="U357" s="4"/>
      <c r="V357" s="4"/>
      <c r="W357" s="4"/>
      <c r="X357" s="4"/>
      <c r="Y357" s="4"/>
      <c r="Z357" s="4"/>
      <c r="AA357" s="4"/>
      <c r="AB357" s="1" t="str">
        <f>IF(OR(_xlfn.SINGLE(JobAgolMap)="", $E357="", $F357=""),"",HYPERLINK(_xlfn.SINGLE(JobAgolMap)&amp;IF(ISNUMBER(FIND("?",_xlfn.SINGLE(JobAgolMap))),"&amp;","?")&amp;"center="&amp;$F357&amp;","&amp;$E357&amp;"&amp;level=16&amp;marker="&amp;$F357&amp;","&amp;$E357,"Open"))</f>
        <v/>
      </c>
    </row>
    <row r="358" spans="1:28" x14ac:dyDescent="0.45">
      <c r="A358" s="3"/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4"/>
      <c r="M358" s="1" t="str">
        <f t="shared" si="30"/>
        <v/>
      </c>
      <c r="N358" s="1" t="str">
        <f t="shared" si="31"/>
        <v/>
      </c>
      <c r="O358" s="1" t="str">
        <f t="shared" si="32"/>
        <v/>
      </c>
      <c r="P358" s="1" t="str">
        <f t="shared" si="33"/>
        <v/>
      </c>
      <c r="Q358" s="1" t="str">
        <f t="shared" si="34"/>
        <v/>
      </c>
      <c r="R358" s="1" t="str">
        <f t="shared" si="35"/>
        <v/>
      </c>
      <c r="S358" s="1" t="str">
        <f>IF(OR($E358="",$F358=""),"",HYPERLINK(IF(OR(_xlfn.SINGLE(JobState)="MI",_xlfn.SINGLE(JobState)=""),"https://fema.maps.arcgis.com/apps/mapviewer/index.html?url=https%3A%2F%2Fmdotgis.state.mi.us%2Farcgis%2Frest%2Fservices%2FWidget%2FNextGenPrFinderPub%2FFeatureServer%2F353&amp;find="&amp;$F358&amp;"%2C"&amp;$E358&amp;"&amp;marker="&amp;$F358&amp;","&amp;$E358&amp;",4326&amp;level=16",IF(_xlfn.SINGLE(JobState)="IN","https://fema.maps.arcgis.com/apps/mapviewer/index.html?url=https%3A%2F%2Fgisdata.in.gov%2Fserver%2Frest%2Fservices%2FHosted%2FLRSE_Functional_Class%2FFeatureServer%2F22&amp;find="&amp;$F358&amp;"%2C"&amp;$E358&amp;"&amp;marker="&amp;$F358&amp;","&amp;$E358&amp;",4326&amp;level=16",IF(_xlfn.SINGLE(JobState)="WI","https://fema.maps.arcgis.com/apps/mapviewer/index.html?url=https%3A%2F%2Fservices5.arcgis.com%2F0pgGLzT0Nh7FVjon%2Farcgis%2Frest%2Fservices%2FFFCL_gdb%2FFeatureServer%2F3&amp;find="&amp;$F358&amp;"%2C"&amp;$E358&amp;"&amp;marker="&amp;$F358&amp;","&amp;$E358&amp;",4326&amp;level=16","https://fema.maps.arcgis.com/apps/mapviewer/index.html?find="&amp;$F358&amp;"%2C"&amp;$E358&amp;"&amp;marker="&amp;$F358&amp;","&amp;$E358&amp;",4326&amp;level=16"))),"Open"))</f>
        <v/>
      </c>
      <c r="T358" s="4"/>
      <c r="U358" s="4"/>
      <c r="V358" s="4"/>
      <c r="W358" s="4"/>
      <c r="X358" s="4"/>
      <c r="Y358" s="4"/>
      <c r="Z358" s="4"/>
      <c r="AA358" s="4"/>
      <c r="AB358" s="1" t="str">
        <f>IF(OR(_xlfn.SINGLE(JobAgolMap)="", $E358="", $F358=""),"",HYPERLINK(_xlfn.SINGLE(JobAgolMap)&amp;IF(ISNUMBER(FIND("?",_xlfn.SINGLE(JobAgolMap))),"&amp;","?")&amp;"center="&amp;$F358&amp;","&amp;$E358&amp;"&amp;level=16&amp;marker="&amp;$F358&amp;","&amp;$E358,"Open"))</f>
        <v/>
      </c>
    </row>
    <row r="359" spans="1:28" x14ac:dyDescent="0.45">
      <c r="A359" s="3"/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4"/>
      <c r="M359" s="1" t="str">
        <f t="shared" si="30"/>
        <v/>
      </c>
      <c r="N359" s="1" t="str">
        <f t="shared" si="31"/>
        <v/>
      </c>
      <c r="O359" s="1" t="str">
        <f t="shared" si="32"/>
        <v/>
      </c>
      <c r="P359" s="1" t="str">
        <f t="shared" si="33"/>
        <v/>
      </c>
      <c r="Q359" s="1" t="str">
        <f t="shared" si="34"/>
        <v/>
      </c>
      <c r="R359" s="1" t="str">
        <f t="shared" si="35"/>
        <v/>
      </c>
      <c r="S359" s="1" t="str">
        <f>IF(OR($E359="",$F359=""),"",HYPERLINK(IF(OR(_xlfn.SINGLE(JobState)="MI",_xlfn.SINGLE(JobState)=""),"https://fema.maps.arcgis.com/apps/mapviewer/index.html?url=https%3A%2F%2Fmdotgis.state.mi.us%2Farcgis%2Frest%2Fservices%2FWidget%2FNextGenPrFinderPub%2FFeatureServer%2F353&amp;find="&amp;$F359&amp;"%2C"&amp;$E359&amp;"&amp;marker="&amp;$F359&amp;","&amp;$E359&amp;",4326&amp;level=16",IF(_xlfn.SINGLE(JobState)="IN","https://fema.maps.arcgis.com/apps/mapviewer/index.html?url=https%3A%2F%2Fgisdata.in.gov%2Fserver%2Frest%2Fservices%2FHosted%2FLRSE_Functional_Class%2FFeatureServer%2F22&amp;find="&amp;$F359&amp;"%2C"&amp;$E359&amp;"&amp;marker="&amp;$F359&amp;","&amp;$E359&amp;",4326&amp;level=16",IF(_xlfn.SINGLE(JobState)="WI","https://fema.maps.arcgis.com/apps/mapviewer/index.html?url=https%3A%2F%2Fservices5.arcgis.com%2F0pgGLzT0Nh7FVjon%2Farcgis%2Frest%2Fservices%2FFFCL_gdb%2FFeatureServer%2F3&amp;find="&amp;$F359&amp;"%2C"&amp;$E359&amp;"&amp;marker="&amp;$F359&amp;","&amp;$E359&amp;",4326&amp;level=16","https://fema.maps.arcgis.com/apps/mapviewer/index.html?find="&amp;$F359&amp;"%2C"&amp;$E359&amp;"&amp;marker="&amp;$F359&amp;","&amp;$E359&amp;",4326&amp;level=16"))),"Open"))</f>
        <v/>
      </c>
      <c r="T359" s="4"/>
      <c r="U359" s="4"/>
      <c r="V359" s="4"/>
      <c r="W359" s="4"/>
      <c r="X359" s="4"/>
      <c r="Y359" s="4"/>
      <c r="Z359" s="4"/>
      <c r="AA359" s="4"/>
      <c r="AB359" s="1" t="str">
        <f>IF(OR(_xlfn.SINGLE(JobAgolMap)="", $E359="", $F359=""),"",HYPERLINK(_xlfn.SINGLE(JobAgolMap)&amp;IF(ISNUMBER(FIND("?",_xlfn.SINGLE(JobAgolMap))),"&amp;","?")&amp;"center="&amp;$F359&amp;","&amp;$E359&amp;"&amp;level=16&amp;marker="&amp;$F359&amp;","&amp;$E359,"Open"))</f>
        <v/>
      </c>
    </row>
    <row r="360" spans="1:28" x14ac:dyDescent="0.45">
      <c r="A360" s="3"/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4"/>
      <c r="M360" s="1" t="str">
        <f t="shared" si="30"/>
        <v/>
      </c>
      <c r="N360" s="1" t="str">
        <f t="shared" si="31"/>
        <v/>
      </c>
      <c r="O360" s="1" t="str">
        <f t="shared" si="32"/>
        <v/>
      </c>
      <c r="P360" s="1" t="str">
        <f t="shared" si="33"/>
        <v/>
      </c>
      <c r="Q360" s="1" t="str">
        <f t="shared" si="34"/>
        <v/>
      </c>
      <c r="R360" s="1" t="str">
        <f t="shared" si="35"/>
        <v/>
      </c>
      <c r="S360" s="1" t="str">
        <f>IF(OR($E360="",$F360=""),"",HYPERLINK(IF(OR(_xlfn.SINGLE(JobState)="MI",_xlfn.SINGLE(JobState)=""),"https://fema.maps.arcgis.com/apps/mapviewer/index.html?url=https%3A%2F%2Fmdotgis.state.mi.us%2Farcgis%2Frest%2Fservices%2FWidget%2FNextGenPrFinderPub%2FFeatureServer%2F353&amp;find="&amp;$F360&amp;"%2C"&amp;$E360&amp;"&amp;marker="&amp;$F360&amp;","&amp;$E360&amp;",4326&amp;level=16",IF(_xlfn.SINGLE(JobState)="IN","https://fema.maps.arcgis.com/apps/mapviewer/index.html?url=https%3A%2F%2Fgisdata.in.gov%2Fserver%2Frest%2Fservices%2FHosted%2FLRSE_Functional_Class%2FFeatureServer%2F22&amp;find="&amp;$F360&amp;"%2C"&amp;$E360&amp;"&amp;marker="&amp;$F360&amp;","&amp;$E360&amp;",4326&amp;level=16",IF(_xlfn.SINGLE(JobState)="WI","https://fema.maps.arcgis.com/apps/mapviewer/index.html?url=https%3A%2F%2Fservices5.arcgis.com%2F0pgGLzT0Nh7FVjon%2Farcgis%2Frest%2Fservices%2FFFCL_gdb%2FFeatureServer%2F3&amp;find="&amp;$F360&amp;"%2C"&amp;$E360&amp;"&amp;marker="&amp;$F360&amp;","&amp;$E360&amp;",4326&amp;level=16","https://fema.maps.arcgis.com/apps/mapviewer/index.html?find="&amp;$F360&amp;"%2C"&amp;$E360&amp;"&amp;marker="&amp;$F360&amp;","&amp;$E360&amp;",4326&amp;level=16"))),"Open"))</f>
        <v/>
      </c>
      <c r="T360" s="4"/>
      <c r="U360" s="4"/>
      <c r="V360" s="4"/>
      <c r="W360" s="4"/>
      <c r="X360" s="4"/>
      <c r="Y360" s="4"/>
      <c r="Z360" s="4"/>
      <c r="AA360" s="4"/>
      <c r="AB360" s="1" t="str">
        <f>IF(OR(_xlfn.SINGLE(JobAgolMap)="", $E360="", $F360=""),"",HYPERLINK(_xlfn.SINGLE(JobAgolMap)&amp;IF(ISNUMBER(FIND("?",_xlfn.SINGLE(JobAgolMap))),"&amp;","?")&amp;"center="&amp;$F360&amp;","&amp;$E360&amp;"&amp;level=16&amp;marker="&amp;$F360&amp;","&amp;$E360,"Open"))</f>
        <v/>
      </c>
    </row>
    <row r="361" spans="1:28" x14ac:dyDescent="0.45">
      <c r="A361" s="3"/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4"/>
      <c r="M361" s="1" t="str">
        <f t="shared" si="30"/>
        <v/>
      </c>
      <c r="N361" s="1" t="str">
        <f t="shared" si="31"/>
        <v/>
      </c>
      <c r="O361" s="1" t="str">
        <f t="shared" si="32"/>
        <v/>
      </c>
      <c r="P361" s="1" t="str">
        <f t="shared" si="33"/>
        <v/>
      </c>
      <c r="Q361" s="1" t="str">
        <f t="shared" si="34"/>
        <v/>
      </c>
      <c r="R361" s="1" t="str">
        <f t="shared" si="35"/>
        <v/>
      </c>
      <c r="S361" s="1" t="str">
        <f>IF(OR($E361="",$F361=""),"",HYPERLINK(IF(OR(_xlfn.SINGLE(JobState)="MI",_xlfn.SINGLE(JobState)=""),"https://fema.maps.arcgis.com/apps/mapviewer/index.html?url=https%3A%2F%2Fmdotgis.state.mi.us%2Farcgis%2Frest%2Fservices%2FWidget%2FNextGenPrFinderPub%2FFeatureServer%2F353&amp;find="&amp;$F361&amp;"%2C"&amp;$E361&amp;"&amp;marker="&amp;$F361&amp;","&amp;$E361&amp;",4326&amp;level=16",IF(_xlfn.SINGLE(JobState)="IN","https://fema.maps.arcgis.com/apps/mapviewer/index.html?url=https%3A%2F%2Fgisdata.in.gov%2Fserver%2Frest%2Fservices%2FHosted%2FLRSE_Functional_Class%2FFeatureServer%2F22&amp;find="&amp;$F361&amp;"%2C"&amp;$E361&amp;"&amp;marker="&amp;$F361&amp;","&amp;$E361&amp;",4326&amp;level=16",IF(_xlfn.SINGLE(JobState)="WI","https://fema.maps.arcgis.com/apps/mapviewer/index.html?url=https%3A%2F%2Fservices5.arcgis.com%2F0pgGLzT0Nh7FVjon%2Farcgis%2Frest%2Fservices%2FFFCL_gdb%2FFeatureServer%2F3&amp;find="&amp;$F361&amp;"%2C"&amp;$E361&amp;"&amp;marker="&amp;$F361&amp;","&amp;$E361&amp;",4326&amp;level=16","https://fema.maps.arcgis.com/apps/mapviewer/index.html?find="&amp;$F361&amp;"%2C"&amp;$E361&amp;"&amp;marker="&amp;$F361&amp;","&amp;$E361&amp;",4326&amp;level=16"))),"Open"))</f>
        <v/>
      </c>
      <c r="T361" s="4"/>
      <c r="U361" s="4"/>
      <c r="V361" s="4"/>
      <c r="W361" s="4"/>
      <c r="X361" s="4"/>
      <c r="Y361" s="4"/>
      <c r="Z361" s="4"/>
      <c r="AA361" s="4"/>
      <c r="AB361" s="1" t="str">
        <f>IF(OR(_xlfn.SINGLE(JobAgolMap)="", $E361="", $F361=""),"",HYPERLINK(_xlfn.SINGLE(JobAgolMap)&amp;IF(ISNUMBER(FIND("?",_xlfn.SINGLE(JobAgolMap))),"&amp;","?")&amp;"center="&amp;$F361&amp;","&amp;$E361&amp;"&amp;level=16&amp;marker="&amp;$F361&amp;","&amp;$E361,"Open"))</f>
        <v/>
      </c>
    </row>
    <row r="362" spans="1:28" x14ac:dyDescent="0.45">
      <c r="A362" s="3"/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4"/>
      <c r="M362" s="1" t="str">
        <f t="shared" si="30"/>
        <v/>
      </c>
      <c r="N362" s="1" t="str">
        <f t="shared" si="31"/>
        <v/>
      </c>
      <c r="O362" s="1" t="str">
        <f t="shared" si="32"/>
        <v/>
      </c>
      <c r="P362" s="1" t="str">
        <f t="shared" si="33"/>
        <v/>
      </c>
      <c r="Q362" s="1" t="str">
        <f t="shared" si="34"/>
        <v/>
      </c>
      <c r="R362" s="1" t="str">
        <f t="shared" si="35"/>
        <v/>
      </c>
      <c r="S362" s="1" t="str">
        <f>IF(OR($E362="",$F362=""),"",HYPERLINK(IF(OR(_xlfn.SINGLE(JobState)="MI",_xlfn.SINGLE(JobState)=""),"https://fema.maps.arcgis.com/apps/mapviewer/index.html?url=https%3A%2F%2Fmdotgis.state.mi.us%2Farcgis%2Frest%2Fservices%2FWidget%2FNextGenPrFinderPub%2FFeatureServer%2F353&amp;find="&amp;$F362&amp;"%2C"&amp;$E362&amp;"&amp;marker="&amp;$F362&amp;","&amp;$E362&amp;",4326&amp;level=16",IF(_xlfn.SINGLE(JobState)="IN","https://fema.maps.arcgis.com/apps/mapviewer/index.html?url=https%3A%2F%2Fgisdata.in.gov%2Fserver%2Frest%2Fservices%2FHosted%2FLRSE_Functional_Class%2FFeatureServer%2F22&amp;find="&amp;$F362&amp;"%2C"&amp;$E362&amp;"&amp;marker="&amp;$F362&amp;","&amp;$E362&amp;",4326&amp;level=16",IF(_xlfn.SINGLE(JobState)="WI","https://fema.maps.arcgis.com/apps/mapviewer/index.html?url=https%3A%2F%2Fservices5.arcgis.com%2F0pgGLzT0Nh7FVjon%2Farcgis%2Frest%2Fservices%2FFFCL_gdb%2FFeatureServer%2F3&amp;find="&amp;$F362&amp;"%2C"&amp;$E362&amp;"&amp;marker="&amp;$F362&amp;","&amp;$E362&amp;",4326&amp;level=16","https://fema.maps.arcgis.com/apps/mapviewer/index.html?find="&amp;$F362&amp;"%2C"&amp;$E362&amp;"&amp;marker="&amp;$F362&amp;","&amp;$E362&amp;",4326&amp;level=16"))),"Open"))</f>
        <v/>
      </c>
      <c r="T362" s="4"/>
      <c r="U362" s="4"/>
      <c r="V362" s="4"/>
      <c r="W362" s="4"/>
      <c r="X362" s="4"/>
      <c r="Y362" s="4"/>
      <c r="Z362" s="4"/>
      <c r="AA362" s="4"/>
      <c r="AB362" s="1" t="str">
        <f>IF(OR(_xlfn.SINGLE(JobAgolMap)="", $E362="", $F362=""),"",HYPERLINK(_xlfn.SINGLE(JobAgolMap)&amp;IF(ISNUMBER(FIND("?",_xlfn.SINGLE(JobAgolMap))),"&amp;","?")&amp;"center="&amp;$F362&amp;","&amp;$E362&amp;"&amp;level=16&amp;marker="&amp;$F362&amp;","&amp;$E362,"Open"))</f>
        <v/>
      </c>
    </row>
    <row r="363" spans="1:28" x14ac:dyDescent="0.45">
      <c r="A363" s="3"/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4"/>
      <c r="M363" s="1" t="str">
        <f t="shared" si="30"/>
        <v/>
      </c>
      <c r="N363" s="1" t="str">
        <f t="shared" si="31"/>
        <v/>
      </c>
      <c r="O363" s="1" t="str">
        <f t="shared" si="32"/>
        <v/>
      </c>
      <c r="P363" s="1" t="str">
        <f t="shared" si="33"/>
        <v/>
      </c>
      <c r="Q363" s="1" t="str">
        <f t="shared" si="34"/>
        <v/>
      </c>
      <c r="R363" s="1" t="str">
        <f t="shared" si="35"/>
        <v/>
      </c>
      <c r="S363" s="1" t="str">
        <f>IF(OR($E363="",$F363=""),"",HYPERLINK(IF(OR(_xlfn.SINGLE(JobState)="MI",_xlfn.SINGLE(JobState)=""),"https://fema.maps.arcgis.com/apps/mapviewer/index.html?url=https%3A%2F%2Fmdotgis.state.mi.us%2Farcgis%2Frest%2Fservices%2FWidget%2FNextGenPrFinderPub%2FFeatureServer%2F353&amp;find="&amp;$F363&amp;"%2C"&amp;$E363&amp;"&amp;marker="&amp;$F363&amp;","&amp;$E363&amp;",4326&amp;level=16",IF(_xlfn.SINGLE(JobState)="IN","https://fema.maps.arcgis.com/apps/mapviewer/index.html?url=https%3A%2F%2Fgisdata.in.gov%2Fserver%2Frest%2Fservices%2FHosted%2FLRSE_Functional_Class%2FFeatureServer%2F22&amp;find="&amp;$F363&amp;"%2C"&amp;$E363&amp;"&amp;marker="&amp;$F363&amp;","&amp;$E363&amp;",4326&amp;level=16",IF(_xlfn.SINGLE(JobState)="WI","https://fema.maps.arcgis.com/apps/mapviewer/index.html?url=https%3A%2F%2Fservices5.arcgis.com%2F0pgGLzT0Nh7FVjon%2Farcgis%2Frest%2Fservices%2FFFCL_gdb%2FFeatureServer%2F3&amp;find="&amp;$F363&amp;"%2C"&amp;$E363&amp;"&amp;marker="&amp;$F363&amp;","&amp;$E363&amp;",4326&amp;level=16","https://fema.maps.arcgis.com/apps/mapviewer/index.html?find="&amp;$F363&amp;"%2C"&amp;$E363&amp;"&amp;marker="&amp;$F363&amp;","&amp;$E363&amp;",4326&amp;level=16"))),"Open"))</f>
        <v/>
      </c>
      <c r="T363" s="4"/>
      <c r="U363" s="4"/>
      <c r="V363" s="4"/>
      <c r="W363" s="4"/>
      <c r="X363" s="4"/>
      <c r="Y363" s="4"/>
      <c r="Z363" s="4"/>
      <c r="AA363" s="4"/>
      <c r="AB363" s="1" t="str">
        <f>IF(OR(_xlfn.SINGLE(JobAgolMap)="", $E363="", $F363=""),"",HYPERLINK(_xlfn.SINGLE(JobAgolMap)&amp;IF(ISNUMBER(FIND("?",_xlfn.SINGLE(JobAgolMap))),"&amp;","?")&amp;"center="&amp;$F363&amp;","&amp;$E363&amp;"&amp;level=16&amp;marker="&amp;$F363&amp;","&amp;$E363,"Open"))</f>
        <v/>
      </c>
    </row>
    <row r="364" spans="1:28" x14ac:dyDescent="0.45">
      <c r="A364" s="3"/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4"/>
      <c r="M364" s="1" t="str">
        <f t="shared" si="30"/>
        <v/>
      </c>
      <c r="N364" s="1" t="str">
        <f t="shared" si="31"/>
        <v/>
      </c>
      <c r="O364" s="1" t="str">
        <f t="shared" si="32"/>
        <v/>
      </c>
      <c r="P364" s="1" t="str">
        <f t="shared" si="33"/>
        <v/>
      </c>
      <c r="Q364" s="1" t="str">
        <f t="shared" si="34"/>
        <v/>
      </c>
      <c r="R364" s="1" t="str">
        <f t="shared" si="35"/>
        <v/>
      </c>
      <c r="S364" s="1" t="str">
        <f>IF(OR($E364="",$F364=""),"",HYPERLINK(IF(OR(_xlfn.SINGLE(JobState)="MI",_xlfn.SINGLE(JobState)=""),"https://fema.maps.arcgis.com/apps/mapviewer/index.html?url=https%3A%2F%2Fmdotgis.state.mi.us%2Farcgis%2Frest%2Fservices%2FWidget%2FNextGenPrFinderPub%2FFeatureServer%2F353&amp;find="&amp;$F364&amp;"%2C"&amp;$E364&amp;"&amp;marker="&amp;$F364&amp;","&amp;$E364&amp;",4326&amp;level=16",IF(_xlfn.SINGLE(JobState)="IN","https://fema.maps.arcgis.com/apps/mapviewer/index.html?url=https%3A%2F%2Fgisdata.in.gov%2Fserver%2Frest%2Fservices%2FHosted%2FLRSE_Functional_Class%2FFeatureServer%2F22&amp;find="&amp;$F364&amp;"%2C"&amp;$E364&amp;"&amp;marker="&amp;$F364&amp;","&amp;$E364&amp;",4326&amp;level=16",IF(_xlfn.SINGLE(JobState)="WI","https://fema.maps.arcgis.com/apps/mapviewer/index.html?url=https%3A%2F%2Fservices5.arcgis.com%2F0pgGLzT0Nh7FVjon%2Farcgis%2Frest%2Fservices%2FFFCL_gdb%2FFeatureServer%2F3&amp;find="&amp;$F364&amp;"%2C"&amp;$E364&amp;"&amp;marker="&amp;$F364&amp;","&amp;$E364&amp;",4326&amp;level=16","https://fema.maps.arcgis.com/apps/mapviewer/index.html?find="&amp;$F364&amp;"%2C"&amp;$E364&amp;"&amp;marker="&amp;$F364&amp;","&amp;$E364&amp;",4326&amp;level=16"))),"Open"))</f>
        <v/>
      </c>
      <c r="T364" s="4"/>
      <c r="U364" s="4"/>
      <c r="V364" s="4"/>
      <c r="W364" s="4"/>
      <c r="X364" s="4"/>
      <c r="Y364" s="4"/>
      <c r="Z364" s="4"/>
      <c r="AA364" s="4"/>
      <c r="AB364" s="1" t="str">
        <f>IF(OR(_xlfn.SINGLE(JobAgolMap)="", $E364="", $F364=""),"",HYPERLINK(_xlfn.SINGLE(JobAgolMap)&amp;IF(ISNUMBER(FIND("?",_xlfn.SINGLE(JobAgolMap))),"&amp;","?")&amp;"center="&amp;$F364&amp;","&amp;$E364&amp;"&amp;level=16&amp;marker="&amp;$F364&amp;","&amp;$E364,"Open"))</f>
        <v/>
      </c>
    </row>
    <row r="365" spans="1:28" x14ac:dyDescent="0.45">
      <c r="A365" s="3"/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4"/>
      <c r="M365" s="1" t="str">
        <f t="shared" si="30"/>
        <v/>
      </c>
      <c r="N365" s="1" t="str">
        <f t="shared" si="31"/>
        <v/>
      </c>
      <c r="O365" s="1" t="str">
        <f t="shared" si="32"/>
        <v/>
      </c>
      <c r="P365" s="1" t="str">
        <f t="shared" si="33"/>
        <v/>
      </c>
      <c r="Q365" s="1" t="str">
        <f t="shared" si="34"/>
        <v/>
      </c>
      <c r="R365" s="1" t="str">
        <f t="shared" si="35"/>
        <v/>
      </c>
      <c r="S365" s="1" t="str">
        <f>IF(OR($E365="",$F365=""),"",HYPERLINK(IF(OR(_xlfn.SINGLE(JobState)="MI",_xlfn.SINGLE(JobState)=""),"https://fema.maps.arcgis.com/apps/mapviewer/index.html?url=https%3A%2F%2Fmdotgis.state.mi.us%2Farcgis%2Frest%2Fservices%2FWidget%2FNextGenPrFinderPub%2FFeatureServer%2F353&amp;find="&amp;$F365&amp;"%2C"&amp;$E365&amp;"&amp;marker="&amp;$F365&amp;","&amp;$E365&amp;",4326&amp;level=16",IF(_xlfn.SINGLE(JobState)="IN","https://fema.maps.arcgis.com/apps/mapviewer/index.html?url=https%3A%2F%2Fgisdata.in.gov%2Fserver%2Frest%2Fservices%2FHosted%2FLRSE_Functional_Class%2FFeatureServer%2F22&amp;find="&amp;$F365&amp;"%2C"&amp;$E365&amp;"&amp;marker="&amp;$F365&amp;","&amp;$E365&amp;",4326&amp;level=16",IF(_xlfn.SINGLE(JobState)="WI","https://fema.maps.arcgis.com/apps/mapviewer/index.html?url=https%3A%2F%2Fservices5.arcgis.com%2F0pgGLzT0Nh7FVjon%2Farcgis%2Frest%2Fservices%2FFFCL_gdb%2FFeatureServer%2F3&amp;find="&amp;$F365&amp;"%2C"&amp;$E365&amp;"&amp;marker="&amp;$F365&amp;","&amp;$E365&amp;",4326&amp;level=16","https://fema.maps.arcgis.com/apps/mapviewer/index.html?find="&amp;$F365&amp;"%2C"&amp;$E365&amp;"&amp;marker="&amp;$F365&amp;","&amp;$E365&amp;",4326&amp;level=16"))),"Open"))</f>
        <v/>
      </c>
      <c r="T365" s="4"/>
      <c r="U365" s="4"/>
      <c r="V365" s="4"/>
      <c r="W365" s="4"/>
      <c r="X365" s="4"/>
      <c r="Y365" s="4"/>
      <c r="Z365" s="4"/>
      <c r="AA365" s="4"/>
      <c r="AB365" s="1" t="str">
        <f>IF(OR(_xlfn.SINGLE(JobAgolMap)="", $E365="", $F365=""),"",HYPERLINK(_xlfn.SINGLE(JobAgolMap)&amp;IF(ISNUMBER(FIND("?",_xlfn.SINGLE(JobAgolMap))),"&amp;","?")&amp;"center="&amp;$F365&amp;","&amp;$E365&amp;"&amp;level=16&amp;marker="&amp;$F365&amp;","&amp;$E365,"Open"))</f>
        <v/>
      </c>
    </row>
    <row r="366" spans="1:28" x14ac:dyDescent="0.45">
      <c r="A366" s="3"/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4"/>
      <c r="M366" s="1" t="str">
        <f t="shared" si="30"/>
        <v/>
      </c>
      <c r="N366" s="1" t="str">
        <f t="shared" si="31"/>
        <v/>
      </c>
      <c r="O366" s="1" t="str">
        <f t="shared" si="32"/>
        <v/>
      </c>
      <c r="P366" s="1" t="str">
        <f t="shared" si="33"/>
        <v/>
      </c>
      <c r="Q366" s="1" t="str">
        <f t="shared" si="34"/>
        <v/>
      </c>
      <c r="R366" s="1" t="str">
        <f t="shared" si="35"/>
        <v/>
      </c>
      <c r="S366" s="1" t="str">
        <f>IF(OR($E366="",$F366=""),"",HYPERLINK(IF(OR(_xlfn.SINGLE(JobState)="MI",_xlfn.SINGLE(JobState)=""),"https://fema.maps.arcgis.com/apps/mapviewer/index.html?url=https%3A%2F%2Fmdotgis.state.mi.us%2Farcgis%2Frest%2Fservices%2FWidget%2FNextGenPrFinderPub%2FFeatureServer%2F353&amp;find="&amp;$F366&amp;"%2C"&amp;$E366&amp;"&amp;marker="&amp;$F366&amp;","&amp;$E366&amp;",4326&amp;level=16",IF(_xlfn.SINGLE(JobState)="IN","https://fema.maps.arcgis.com/apps/mapviewer/index.html?url=https%3A%2F%2Fgisdata.in.gov%2Fserver%2Frest%2Fservices%2FHosted%2FLRSE_Functional_Class%2FFeatureServer%2F22&amp;find="&amp;$F366&amp;"%2C"&amp;$E366&amp;"&amp;marker="&amp;$F366&amp;","&amp;$E366&amp;",4326&amp;level=16",IF(_xlfn.SINGLE(JobState)="WI","https://fema.maps.arcgis.com/apps/mapviewer/index.html?url=https%3A%2F%2Fservices5.arcgis.com%2F0pgGLzT0Nh7FVjon%2Farcgis%2Frest%2Fservices%2FFFCL_gdb%2FFeatureServer%2F3&amp;find="&amp;$F366&amp;"%2C"&amp;$E366&amp;"&amp;marker="&amp;$F366&amp;","&amp;$E366&amp;",4326&amp;level=16","https://fema.maps.arcgis.com/apps/mapviewer/index.html?find="&amp;$F366&amp;"%2C"&amp;$E366&amp;"&amp;marker="&amp;$F366&amp;","&amp;$E366&amp;",4326&amp;level=16"))),"Open"))</f>
        <v/>
      </c>
      <c r="T366" s="4"/>
      <c r="U366" s="4"/>
      <c r="V366" s="4"/>
      <c r="W366" s="4"/>
      <c r="X366" s="4"/>
      <c r="Y366" s="4"/>
      <c r="Z366" s="4"/>
      <c r="AA366" s="4"/>
      <c r="AB366" s="1" t="str">
        <f>IF(OR(_xlfn.SINGLE(JobAgolMap)="", $E366="", $F366=""),"",HYPERLINK(_xlfn.SINGLE(JobAgolMap)&amp;IF(ISNUMBER(FIND("?",_xlfn.SINGLE(JobAgolMap))),"&amp;","?")&amp;"center="&amp;$F366&amp;","&amp;$E366&amp;"&amp;level=16&amp;marker="&amp;$F366&amp;","&amp;$E366,"Open"))</f>
        <v/>
      </c>
    </row>
    <row r="367" spans="1:28" x14ac:dyDescent="0.45">
      <c r="A367" s="3"/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4"/>
      <c r="M367" s="1" t="str">
        <f t="shared" si="30"/>
        <v/>
      </c>
      <c r="N367" s="1" t="str">
        <f t="shared" si="31"/>
        <v/>
      </c>
      <c r="O367" s="1" t="str">
        <f t="shared" si="32"/>
        <v/>
      </c>
      <c r="P367" s="1" t="str">
        <f t="shared" si="33"/>
        <v/>
      </c>
      <c r="Q367" s="1" t="str">
        <f t="shared" si="34"/>
        <v/>
      </c>
      <c r="R367" s="1" t="str">
        <f t="shared" si="35"/>
        <v/>
      </c>
      <c r="S367" s="1" t="str">
        <f>IF(OR($E367="",$F367=""),"",HYPERLINK(IF(OR(_xlfn.SINGLE(JobState)="MI",_xlfn.SINGLE(JobState)=""),"https://fema.maps.arcgis.com/apps/mapviewer/index.html?url=https%3A%2F%2Fmdotgis.state.mi.us%2Farcgis%2Frest%2Fservices%2FWidget%2FNextGenPrFinderPub%2FFeatureServer%2F353&amp;find="&amp;$F367&amp;"%2C"&amp;$E367&amp;"&amp;marker="&amp;$F367&amp;","&amp;$E367&amp;",4326&amp;level=16",IF(_xlfn.SINGLE(JobState)="IN","https://fema.maps.arcgis.com/apps/mapviewer/index.html?url=https%3A%2F%2Fgisdata.in.gov%2Fserver%2Frest%2Fservices%2FHosted%2FLRSE_Functional_Class%2FFeatureServer%2F22&amp;find="&amp;$F367&amp;"%2C"&amp;$E367&amp;"&amp;marker="&amp;$F367&amp;","&amp;$E367&amp;",4326&amp;level=16",IF(_xlfn.SINGLE(JobState)="WI","https://fema.maps.arcgis.com/apps/mapviewer/index.html?url=https%3A%2F%2Fservices5.arcgis.com%2F0pgGLzT0Nh7FVjon%2Farcgis%2Frest%2Fservices%2FFFCL_gdb%2FFeatureServer%2F3&amp;find="&amp;$F367&amp;"%2C"&amp;$E367&amp;"&amp;marker="&amp;$F367&amp;","&amp;$E367&amp;",4326&amp;level=16","https://fema.maps.arcgis.com/apps/mapviewer/index.html?find="&amp;$F367&amp;"%2C"&amp;$E367&amp;"&amp;marker="&amp;$F367&amp;","&amp;$E367&amp;",4326&amp;level=16"))),"Open"))</f>
        <v/>
      </c>
      <c r="T367" s="4"/>
      <c r="U367" s="4"/>
      <c r="V367" s="4"/>
      <c r="W367" s="4"/>
      <c r="X367" s="4"/>
      <c r="Y367" s="4"/>
      <c r="Z367" s="4"/>
      <c r="AA367" s="4"/>
      <c r="AB367" s="1" t="str">
        <f>IF(OR(_xlfn.SINGLE(JobAgolMap)="", $E367="", $F367=""),"",HYPERLINK(_xlfn.SINGLE(JobAgolMap)&amp;IF(ISNUMBER(FIND("?",_xlfn.SINGLE(JobAgolMap))),"&amp;","?")&amp;"center="&amp;$F367&amp;","&amp;$E367&amp;"&amp;level=16&amp;marker="&amp;$F367&amp;","&amp;$E367,"Open"))</f>
        <v/>
      </c>
    </row>
    <row r="368" spans="1:28" x14ac:dyDescent="0.45">
      <c r="A368" s="3"/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4"/>
      <c r="M368" s="1" t="str">
        <f t="shared" si="30"/>
        <v/>
      </c>
      <c r="N368" s="1" t="str">
        <f t="shared" si="31"/>
        <v/>
      </c>
      <c r="O368" s="1" t="str">
        <f t="shared" si="32"/>
        <v/>
      </c>
      <c r="P368" s="1" t="str">
        <f t="shared" si="33"/>
        <v/>
      </c>
      <c r="Q368" s="1" t="str">
        <f t="shared" si="34"/>
        <v/>
      </c>
      <c r="R368" s="1" t="str">
        <f t="shared" si="35"/>
        <v/>
      </c>
      <c r="S368" s="1" t="str">
        <f>IF(OR($E368="",$F368=""),"",HYPERLINK(IF(OR(_xlfn.SINGLE(JobState)="MI",_xlfn.SINGLE(JobState)=""),"https://fema.maps.arcgis.com/apps/mapviewer/index.html?url=https%3A%2F%2Fmdotgis.state.mi.us%2Farcgis%2Frest%2Fservices%2FWidget%2FNextGenPrFinderPub%2FFeatureServer%2F353&amp;find="&amp;$F368&amp;"%2C"&amp;$E368&amp;"&amp;marker="&amp;$F368&amp;","&amp;$E368&amp;",4326&amp;level=16",IF(_xlfn.SINGLE(JobState)="IN","https://fema.maps.arcgis.com/apps/mapviewer/index.html?url=https%3A%2F%2Fgisdata.in.gov%2Fserver%2Frest%2Fservices%2FHosted%2FLRSE_Functional_Class%2FFeatureServer%2F22&amp;find="&amp;$F368&amp;"%2C"&amp;$E368&amp;"&amp;marker="&amp;$F368&amp;","&amp;$E368&amp;",4326&amp;level=16",IF(_xlfn.SINGLE(JobState)="WI","https://fema.maps.arcgis.com/apps/mapviewer/index.html?url=https%3A%2F%2Fservices5.arcgis.com%2F0pgGLzT0Nh7FVjon%2Farcgis%2Frest%2Fservices%2FFFCL_gdb%2FFeatureServer%2F3&amp;find="&amp;$F368&amp;"%2C"&amp;$E368&amp;"&amp;marker="&amp;$F368&amp;","&amp;$E368&amp;",4326&amp;level=16","https://fema.maps.arcgis.com/apps/mapviewer/index.html?find="&amp;$F368&amp;"%2C"&amp;$E368&amp;"&amp;marker="&amp;$F368&amp;","&amp;$E368&amp;",4326&amp;level=16"))),"Open"))</f>
        <v/>
      </c>
      <c r="T368" s="4"/>
      <c r="U368" s="4"/>
      <c r="V368" s="4"/>
      <c r="W368" s="4"/>
      <c r="X368" s="4"/>
      <c r="Y368" s="4"/>
      <c r="Z368" s="4"/>
      <c r="AA368" s="4"/>
      <c r="AB368" s="1" t="str">
        <f>IF(OR(_xlfn.SINGLE(JobAgolMap)="", $E368="", $F368=""),"",HYPERLINK(_xlfn.SINGLE(JobAgolMap)&amp;IF(ISNUMBER(FIND("?",_xlfn.SINGLE(JobAgolMap))),"&amp;","?")&amp;"center="&amp;$F368&amp;","&amp;$E368&amp;"&amp;level=16&amp;marker="&amp;$F368&amp;","&amp;$E368,"Open"))</f>
        <v/>
      </c>
    </row>
    <row r="369" spans="1:28" x14ac:dyDescent="0.45">
      <c r="A369" s="3"/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4"/>
      <c r="M369" s="1" t="str">
        <f t="shared" si="30"/>
        <v/>
      </c>
      <c r="N369" s="1" t="str">
        <f t="shared" si="31"/>
        <v/>
      </c>
      <c r="O369" s="1" t="str">
        <f t="shared" si="32"/>
        <v/>
      </c>
      <c r="P369" s="1" t="str">
        <f t="shared" si="33"/>
        <v/>
      </c>
      <c r="Q369" s="1" t="str">
        <f t="shared" si="34"/>
        <v/>
      </c>
      <c r="R369" s="1" t="str">
        <f t="shared" si="35"/>
        <v/>
      </c>
      <c r="S369" s="1" t="str">
        <f>IF(OR($E369="",$F369=""),"",HYPERLINK(IF(OR(_xlfn.SINGLE(JobState)="MI",_xlfn.SINGLE(JobState)=""),"https://fema.maps.arcgis.com/apps/mapviewer/index.html?url=https%3A%2F%2Fmdotgis.state.mi.us%2Farcgis%2Frest%2Fservices%2FWidget%2FNextGenPrFinderPub%2FFeatureServer%2F353&amp;find="&amp;$F369&amp;"%2C"&amp;$E369&amp;"&amp;marker="&amp;$F369&amp;","&amp;$E369&amp;",4326&amp;level=16",IF(_xlfn.SINGLE(JobState)="IN","https://fema.maps.arcgis.com/apps/mapviewer/index.html?url=https%3A%2F%2Fgisdata.in.gov%2Fserver%2Frest%2Fservices%2FHosted%2FLRSE_Functional_Class%2FFeatureServer%2F22&amp;find="&amp;$F369&amp;"%2C"&amp;$E369&amp;"&amp;marker="&amp;$F369&amp;","&amp;$E369&amp;",4326&amp;level=16",IF(_xlfn.SINGLE(JobState)="WI","https://fema.maps.arcgis.com/apps/mapviewer/index.html?url=https%3A%2F%2Fservices5.arcgis.com%2F0pgGLzT0Nh7FVjon%2Farcgis%2Frest%2Fservices%2FFFCL_gdb%2FFeatureServer%2F3&amp;find="&amp;$F369&amp;"%2C"&amp;$E369&amp;"&amp;marker="&amp;$F369&amp;","&amp;$E369&amp;",4326&amp;level=16","https://fema.maps.arcgis.com/apps/mapviewer/index.html?find="&amp;$F369&amp;"%2C"&amp;$E369&amp;"&amp;marker="&amp;$F369&amp;","&amp;$E369&amp;",4326&amp;level=16"))),"Open"))</f>
        <v/>
      </c>
      <c r="T369" s="4"/>
      <c r="U369" s="4"/>
      <c r="V369" s="4"/>
      <c r="W369" s="4"/>
      <c r="X369" s="4"/>
      <c r="Y369" s="4"/>
      <c r="Z369" s="4"/>
      <c r="AA369" s="4"/>
      <c r="AB369" s="1" t="str">
        <f>IF(OR(_xlfn.SINGLE(JobAgolMap)="", $E369="", $F369=""),"",HYPERLINK(_xlfn.SINGLE(JobAgolMap)&amp;IF(ISNUMBER(FIND("?",_xlfn.SINGLE(JobAgolMap))),"&amp;","?")&amp;"center="&amp;$F369&amp;","&amp;$E369&amp;"&amp;level=16&amp;marker="&amp;$F369&amp;","&amp;$E369,"Open"))</f>
        <v/>
      </c>
    </row>
    <row r="370" spans="1:28" x14ac:dyDescent="0.45">
      <c r="A370" s="3"/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4"/>
      <c r="M370" s="1" t="str">
        <f t="shared" si="30"/>
        <v/>
      </c>
      <c r="N370" s="1" t="str">
        <f t="shared" si="31"/>
        <v/>
      </c>
      <c r="O370" s="1" t="str">
        <f t="shared" si="32"/>
        <v/>
      </c>
      <c r="P370" s="1" t="str">
        <f t="shared" si="33"/>
        <v/>
      </c>
      <c r="Q370" s="1" t="str">
        <f t="shared" si="34"/>
        <v/>
      </c>
      <c r="R370" s="1" t="str">
        <f t="shared" si="35"/>
        <v/>
      </c>
      <c r="S370" s="1" t="str">
        <f>IF(OR($E370="",$F370=""),"",HYPERLINK(IF(OR(_xlfn.SINGLE(JobState)="MI",_xlfn.SINGLE(JobState)=""),"https://fema.maps.arcgis.com/apps/mapviewer/index.html?url=https%3A%2F%2Fmdotgis.state.mi.us%2Farcgis%2Frest%2Fservices%2FWidget%2FNextGenPrFinderPub%2FFeatureServer%2F353&amp;find="&amp;$F370&amp;"%2C"&amp;$E370&amp;"&amp;marker="&amp;$F370&amp;","&amp;$E370&amp;",4326&amp;level=16",IF(_xlfn.SINGLE(JobState)="IN","https://fema.maps.arcgis.com/apps/mapviewer/index.html?url=https%3A%2F%2Fgisdata.in.gov%2Fserver%2Frest%2Fservices%2FHosted%2FLRSE_Functional_Class%2FFeatureServer%2F22&amp;find="&amp;$F370&amp;"%2C"&amp;$E370&amp;"&amp;marker="&amp;$F370&amp;","&amp;$E370&amp;",4326&amp;level=16",IF(_xlfn.SINGLE(JobState)="WI","https://fema.maps.arcgis.com/apps/mapviewer/index.html?url=https%3A%2F%2Fservices5.arcgis.com%2F0pgGLzT0Nh7FVjon%2Farcgis%2Frest%2Fservices%2FFFCL_gdb%2FFeatureServer%2F3&amp;find="&amp;$F370&amp;"%2C"&amp;$E370&amp;"&amp;marker="&amp;$F370&amp;","&amp;$E370&amp;",4326&amp;level=16","https://fema.maps.arcgis.com/apps/mapviewer/index.html?find="&amp;$F370&amp;"%2C"&amp;$E370&amp;"&amp;marker="&amp;$F370&amp;","&amp;$E370&amp;",4326&amp;level=16"))),"Open"))</f>
        <v/>
      </c>
      <c r="T370" s="4"/>
      <c r="U370" s="4"/>
      <c r="V370" s="4"/>
      <c r="W370" s="4"/>
      <c r="X370" s="4"/>
      <c r="Y370" s="4"/>
      <c r="Z370" s="4"/>
      <c r="AA370" s="4"/>
      <c r="AB370" s="1" t="str">
        <f>IF(OR(_xlfn.SINGLE(JobAgolMap)="", $E370="", $F370=""),"",HYPERLINK(_xlfn.SINGLE(JobAgolMap)&amp;IF(ISNUMBER(FIND("?",_xlfn.SINGLE(JobAgolMap))),"&amp;","?")&amp;"center="&amp;$F370&amp;","&amp;$E370&amp;"&amp;level=16&amp;marker="&amp;$F370&amp;","&amp;$E370,"Open"))</f>
        <v/>
      </c>
    </row>
    <row r="371" spans="1:28" x14ac:dyDescent="0.45">
      <c r="A371" s="3"/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4"/>
      <c r="M371" s="1" t="str">
        <f t="shared" si="30"/>
        <v/>
      </c>
      <c r="N371" s="1" t="str">
        <f t="shared" si="31"/>
        <v/>
      </c>
      <c r="O371" s="1" t="str">
        <f t="shared" si="32"/>
        <v/>
      </c>
      <c r="P371" s="1" t="str">
        <f t="shared" si="33"/>
        <v/>
      </c>
      <c r="Q371" s="1" t="str">
        <f t="shared" si="34"/>
        <v/>
      </c>
      <c r="R371" s="1" t="str">
        <f t="shared" si="35"/>
        <v/>
      </c>
      <c r="S371" s="1" t="str">
        <f>IF(OR($E371="",$F371=""),"",HYPERLINK(IF(OR(_xlfn.SINGLE(JobState)="MI",_xlfn.SINGLE(JobState)=""),"https://fema.maps.arcgis.com/apps/mapviewer/index.html?url=https%3A%2F%2Fmdotgis.state.mi.us%2Farcgis%2Frest%2Fservices%2FWidget%2FNextGenPrFinderPub%2FFeatureServer%2F353&amp;find="&amp;$F371&amp;"%2C"&amp;$E371&amp;"&amp;marker="&amp;$F371&amp;","&amp;$E371&amp;",4326&amp;level=16",IF(_xlfn.SINGLE(JobState)="IN","https://fema.maps.arcgis.com/apps/mapviewer/index.html?url=https%3A%2F%2Fgisdata.in.gov%2Fserver%2Frest%2Fservices%2FHosted%2FLRSE_Functional_Class%2FFeatureServer%2F22&amp;find="&amp;$F371&amp;"%2C"&amp;$E371&amp;"&amp;marker="&amp;$F371&amp;","&amp;$E371&amp;",4326&amp;level=16",IF(_xlfn.SINGLE(JobState)="WI","https://fema.maps.arcgis.com/apps/mapviewer/index.html?url=https%3A%2F%2Fservices5.arcgis.com%2F0pgGLzT0Nh7FVjon%2Farcgis%2Frest%2Fservices%2FFFCL_gdb%2FFeatureServer%2F3&amp;find="&amp;$F371&amp;"%2C"&amp;$E371&amp;"&amp;marker="&amp;$F371&amp;","&amp;$E371&amp;",4326&amp;level=16","https://fema.maps.arcgis.com/apps/mapviewer/index.html?find="&amp;$F371&amp;"%2C"&amp;$E371&amp;"&amp;marker="&amp;$F371&amp;","&amp;$E371&amp;",4326&amp;level=16"))),"Open"))</f>
        <v/>
      </c>
      <c r="T371" s="4"/>
      <c r="U371" s="4"/>
      <c r="V371" s="4"/>
      <c r="W371" s="4"/>
      <c r="X371" s="4"/>
      <c r="Y371" s="4"/>
      <c r="Z371" s="4"/>
      <c r="AA371" s="4"/>
      <c r="AB371" s="1" t="str">
        <f>IF(OR(_xlfn.SINGLE(JobAgolMap)="", $E371="", $F371=""),"",HYPERLINK(_xlfn.SINGLE(JobAgolMap)&amp;IF(ISNUMBER(FIND("?",_xlfn.SINGLE(JobAgolMap))),"&amp;","?")&amp;"center="&amp;$F371&amp;","&amp;$E371&amp;"&amp;level=16&amp;marker="&amp;$F371&amp;","&amp;$E371,"Open"))</f>
        <v/>
      </c>
    </row>
    <row r="372" spans="1:28" x14ac:dyDescent="0.45">
      <c r="A372" s="3"/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4"/>
      <c r="M372" s="1" t="str">
        <f t="shared" si="30"/>
        <v/>
      </c>
      <c r="N372" s="1" t="str">
        <f t="shared" si="31"/>
        <v/>
      </c>
      <c r="O372" s="1" t="str">
        <f t="shared" si="32"/>
        <v/>
      </c>
      <c r="P372" s="1" t="str">
        <f t="shared" si="33"/>
        <v/>
      </c>
      <c r="Q372" s="1" t="str">
        <f t="shared" si="34"/>
        <v/>
      </c>
      <c r="R372" s="1" t="str">
        <f t="shared" si="35"/>
        <v/>
      </c>
      <c r="S372" s="1" t="str">
        <f>IF(OR($E372="",$F372=""),"",HYPERLINK(IF(OR(_xlfn.SINGLE(JobState)="MI",_xlfn.SINGLE(JobState)=""),"https://fema.maps.arcgis.com/apps/mapviewer/index.html?url=https%3A%2F%2Fmdotgis.state.mi.us%2Farcgis%2Frest%2Fservices%2FWidget%2FNextGenPrFinderPub%2FFeatureServer%2F353&amp;find="&amp;$F372&amp;"%2C"&amp;$E372&amp;"&amp;marker="&amp;$F372&amp;","&amp;$E372&amp;",4326&amp;level=16",IF(_xlfn.SINGLE(JobState)="IN","https://fema.maps.arcgis.com/apps/mapviewer/index.html?url=https%3A%2F%2Fgisdata.in.gov%2Fserver%2Frest%2Fservices%2FHosted%2FLRSE_Functional_Class%2FFeatureServer%2F22&amp;find="&amp;$F372&amp;"%2C"&amp;$E372&amp;"&amp;marker="&amp;$F372&amp;","&amp;$E372&amp;",4326&amp;level=16",IF(_xlfn.SINGLE(JobState)="WI","https://fema.maps.arcgis.com/apps/mapviewer/index.html?url=https%3A%2F%2Fservices5.arcgis.com%2F0pgGLzT0Nh7FVjon%2Farcgis%2Frest%2Fservices%2FFFCL_gdb%2FFeatureServer%2F3&amp;find="&amp;$F372&amp;"%2C"&amp;$E372&amp;"&amp;marker="&amp;$F372&amp;","&amp;$E372&amp;",4326&amp;level=16","https://fema.maps.arcgis.com/apps/mapviewer/index.html?find="&amp;$F372&amp;"%2C"&amp;$E372&amp;"&amp;marker="&amp;$F372&amp;","&amp;$E372&amp;",4326&amp;level=16"))),"Open"))</f>
        <v/>
      </c>
      <c r="T372" s="4"/>
      <c r="U372" s="4"/>
      <c r="V372" s="4"/>
      <c r="W372" s="4"/>
      <c r="X372" s="4"/>
      <c r="Y372" s="4"/>
      <c r="Z372" s="4"/>
      <c r="AA372" s="4"/>
      <c r="AB372" s="1" t="str">
        <f>IF(OR(_xlfn.SINGLE(JobAgolMap)="", $E372="", $F372=""),"",HYPERLINK(_xlfn.SINGLE(JobAgolMap)&amp;IF(ISNUMBER(FIND("?",_xlfn.SINGLE(JobAgolMap))),"&amp;","?")&amp;"center="&amp;$F372&amp;","&amp;$E372&amp;"&amp;level=16&amp;marker="&amp;$F372&amp;","&amp;$E372,"Open"))</f>
        <v/>
      </c>
    </row>
    <row r="373" spans="1:28" x14ac:dyDescent="0.45">
      <c r="A373" s="3"/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4"/>
      <c r="M373" s="1" t="str">
        <f t="shared" si="30"/>
        <v/>
      </c>
      <c r="N373" s="1" t="str">
        <f t="shared" si="31"/>
        <v/>
      </c>
      <c r="O373" s="1" t="str">
        <f t="shared" si="32"/>
        <v/>
      </c>
      <c r="P373" s="1" t="str">
        <f t="shared" si="33"/>
        <v/>
      </c>
      <c r="Q373" s="1" t="str">
        <f t="shared" si="34"/>
        <v/>
      </c>
      <c r="R373" s="1" t="str">
        <f t="shared" si="35"/>
        <v/>
      </c>
      <c r="S373" s="1" t="str">
        <f>IF(OR($E373="",$F373=""),"",HYPERLINK(IF(OR(_xlfn.SINGLE(JobState)="MI",_xlfn.SINGLE(JobState)=""),"https://fema.maps.arcgis.com/apps/mapviewer/index.html?url=https%3A%2F%2Fmdotgis.state.mi.us%2Farcgis%2Frest%2Fservices%2FWidget%2FNextGenPrFinderPub%2FFeatureServer%2F353&amp;find="&amp;$F373&amp;"%2C"&amp;$E373&amp;"&amp;marker="&amp;$F373&amp;","&amp;$E373&amp;",4326&amp;level=16",IF(_xlfn.SINGLE(JobState)="IN","https://fema.maps.arcgis.com/apps/mapviewer/index.html?url=https%3A%2F%2Fgisdata.in.gov%2Fserver%2Frest%2Fservices%2FHosted%2FLRSE_Functional_Class%2FFeatureServer%2F22&amp;find="&amp;$F373&amp;"%2C"&amp;$E373&amp;"&amp;marker="&amp;$F373&amp;","&amp;$E373&amp;",4326&amp;level=16",IF(_xlfn.SINGLE(JobState)="WI","https://fema.maps.arcgis.com/apps/mapviewer/index.html?url=https%3A%2F%2Fservices5.arcgis.com%2F0pgGLzT0Nh7FVjon%2Farcgis%2Frest%2Fservices%2FFFCL_gdb%2FFeatureServer%2F3&amp;find="&amp;$F373&amp;"%2C"&amp;$E373&amp;"&amp;marker="&amp;$F373&amp;","&amp;$E373&amp;",4326&amp;level=16","https://fema.maps.arcgis.com/apps/mapviewer/index.html?find="&amp;$F373&amp;"%2C"&amp;$E373&amp;"&amp;marker="&amp;$F373&amp;","&amp;$E373&amp;",4326&amp;level=16"))),"Open"))</f>
        <v/>
      </c>
      <c r="T373" s="4"/>
      <c r="U373" s="4"/>
      <c r="V373" s="4"/>
      <c r="W373" s="4"/>
      <c r="X373" s="4"/>
      <c r="Y373" s="4"/>
      <c r="Z373" s="4"/>
      <c r="AA373" s="4"/>
      <c r="AB373" s="1" t="str">
        <f>IF(OR(_xlfn.SINGLE(JobAgolMap)="", $E373="", $F373=""),"",HYPERLINK(_xlfn.SINGLE(JobAgolMap)&amp;IF(ISNUMBER(FIND("?",_xlfn.SINGLE(JobAgolMap))),"&amp;","?")&amp;"center="&amp;$F373&amp;","&amp;$E373&amp;"&amp;level=16&amp;marker="&amp;$F373&amp;","&amp;$E373,"Open"))</f>
        <v/>
      </c>
    </row>
    <row r="374" spans="1:28" x14ac:dyDescent="0.45">
      <c r="A374" s="3"/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4"/>
      <c r="M374" s="1" t="str">
        <f t="shared" si="30"/>
        <v/>
      </c>
      <c r="N374" s="1" t="str">
        <f t="shared" si="31"/>
        <v/>
      </c>
      <c r="O374" s="1" t="str">
        <f t="shared" si="32"/>
        <v/>
      </c>
      <c r="P374" s="1" t="str">
        <f t="shared" si="33"/>
        <v/>
      </c>
      <c r="Q374" s="1" t="str">
        <f t="shared" si="34"/>
        <v/>
      </c>
      <c r="R374" s="1" t="str">
        <f t="shared" si="35"/>
        <v/>
      </c>
      <c r="S374" s="1" t="str">
        <f>IF(OR($E374="",$F374=""),"",HYPERLINK(IF(OR(_xlfn.SINGLE(JobState)="MI",_xlfn.SINGLE(JobState)=""),"https://fema.maps.arcgis.com/apps/mapviewer/index.html?url=https%3A%2F%2Fmdotgis.state.mi.us%2Farcgis%2Frest%2Fservices%2FWidget%2FNextGenPrFinderPub%2FFeatureServer%2F353&amp;find="&amp;$F374&amp;"%2C"&amp;$E374&amp;"&amp;marker="&amp;$F374&amp;","&amp;$E374&amp;",4326&amp;level=16",IF(_xlfn.SINGLE(JobState)="IN","https://fema.maps.arcgis.com/apps/mapviewer/index.html?url=https%3A%2F%2Fgisdata.in.gov%2Fserver%2Frest%2Fservices%2FHosted%2FLRSE_Functional_Class%2FFeatureServer%2F22&amp;find="&amp;$F374&amp;"%2C"&amp;$E374&amp;"&amp;marker="&amp;$F374&amp;","&amp;$E374&amp;",4326&amp;level=16",IF(_xlfn.SINGLE(JobState)="WI","https://fema.maps.arcgis.com/apps/mapviewer/index.html?url=https%3A%2F%2Fservices5.arcgis.com%2F0pgGLzT0Nh7FVjon%2Farcgis%2Frest%2Fservices%2FFFCL_gdb%2FFeatureServer%2F3&amp;find="&amp;$F374&amp;"%2C"&amp;$E374&amp;"&amp;marker="&amp;$F374&amp;","&amp;$E374&amp;",4326&amp;level=16","https://fema.maps.arcgis.com/apps/mapviewer/index.html?find="&amp;$F374&amp;"%2C"&amp;$E374&amp;"&amp;marker="&amp;$F374&amp;","&amp;$E374&amp;",4326&amp;level=16"))),"Open"))</f>
        <v/>
      </c>
      <c r="T374" s="4"/>
      <c r="U374" s="4"/>
      <c r="V374" s="4"/>
      <c r="W374" s="4"/>
      <c r="X374" s="4"/>
      <c r="Y374" s="4"/>
      <c r="Z374" s="4"/>
      <c r="AA374" s="4"/>
      <c r="AB374" s="1" t="str">
        <f>IF(OR(_xlfn.SINGLE(JobAgolMap)="", $E374="", $F374=""),"",HYPERLINK(_xlfn.SINGLE(JobAgolMap)&amp;IF(ISNUMBER(FIND("?",_xlfn.SINGLE(JobAgolMap))),"&amp;","?")&amp;"center="&amp;$F374&amp;","&amp;$E374&amp;"&amp;level=16&amp;marker="&amp;$F374&amp;","&amp;$E374,"Open"))</f>
        <v/>
      </c>
    </row>
    <row r="375" spans="1:28" x14ac:dyDescent="0.45">
      <c r="A375" s="3"/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4"/>
      <c r="M375" s="1" t="str">
        <f t="shared" si="30"/>
        <v/>
      </c>
      <c r="N375" s="1" t="str">
        <f t="shared" si="31"/>
        <v/>
      </c>
      <c r="O375" s="1" t="str">
        <f t="shared" si="32"/>
        <v/>
      </c>
      <c r="P375" s="1" t="str">
        <f t="shared" si="33"/>
        <v/>
      </c>
      <c r="Q375" s="1" t="str">
        <f t="shared" si="34"/>
        <v/>
      </c>
      <c r="R375" s="1" t="str">
        <f t="shared" si="35"/>
        <v/>
      </c>
      <c r="S375" s="1" t="str">
        <f>IF(OR($E375="",$F375=""),"",HYPERLINK(IF(OR(_xlfn.SINGLE(JobState)="MI",_xlfn.SINGLE(JobState)=""),"https://fema.maps.arcgis.com/apps/mapviewer/index.html?url=https%3A%2F%2Fmdotgis.state.mi.us%2Farcgis%2Frest%2Fservices%2FWidget%2FNextGenPrFinderPub%2FFeatureServer%2F353&amp;find="&amp;$F375&amp;"%2C"&amp;$E375&amp;"&amp;marker="&amp;$F375&amp;","&amp;$E375&amp;",4326&amp;level=16",IF(_xlfn.SINGLE(JobState)="IN","https://fema.maps.arcgis.com/apps/mapviewer/index.html?url=https%3A%2F%2Fgisdata.in.gov%2Fserver%2Frest%2Fservices%2FHosted%2FLRSE_Functional_Class%2FFeatureServer%2F22&amp;find="&amp;$F375&amp;"%2C"&amp;$E375&amp;"&amp;marker="&amp;$F375&amp;","&amp;$E375&amp;",4326&amp;level=16",IF(_xlfn.SINGLE(JobState)="WI","https://fema.maps.arcgis.com/apps/mapviewer/index.html?url=https%3A%2F%2Fservices5.arcgis.com%2F0pgGLzT0Nh7FVjon%2Farcgis%2Frest%2Fservices%2FFFCL_gdb%2FFeatureServer%2F3&amp;find="&amp;$F375&amp;"%2C"&amp;$E375&amp;"&amp;marker="&amp;$F375&amp;","&amp;$E375&amp;",4326&amp;level=16","https://fema.maps.arcgis.com/apps/mapviewer/index.html?find="&amp;$F375&amp;"%2C"&amp;$E375&amp;"&amp;marker="&amp;$F375&amp;","&amp;$E375&amp;",4326&amp;level=16"))),"Open"))</f>
        <v/>
      </c>
      <c r="T375" s="4"/>
      <c r="U375" s="4"/>
      <c r="V375" s="4"/>
      <c r="W375" s="4"/>
      <c r="X375" s="4"/>
      <c r="Y375" s="4"/>
      <c r="Z375" s="4"/>
      <c r="AA375" s="4"/>
      <c r="AB375" s="1" t="str">
        <f>IF(OR(_xlfn.SINGLE(JobAgolMap)="", $E375="", $F375=""),"",HYPERLINK(_xlfn.SINGLE(JobAgolMap)&amp;IF(ISNUMBER(FIND("?",_xlfn.SINGLE(JobAgolMap))),"&amp;","?")&amp;"center="&amp;$F375&amp;","&amp;$E375&amp;"&amp;level=16&amp;marker="&amp;$F375&amp;","&amp;$E375,"Open"))</f>
        <v/>
      </c>
    </row>
    <row r="376" spans="1:28" x14ac:dyDescent="0.45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4"/>
      <c r="M376" s="1" t="str">
        <f t="shared" si="30"/>
        <v/>
      </c>
      <c r="N376" s="1" t="str">
        <f t="shared" si="31"/>
        <v/>
      </c>
      <c r="O376" s="1" t="str">
        <f t="shared" si="32"/>
        <v/>
      </c>
      <c r="P376" s="1" t="str">
        <f t="shared" si="33"/>
        <v/>
      </c>
      <c r="Q376" s="1" t="str">
        <f t="shared" si="34"/>
        <v/>
      </c>
      <c r="R376" s="1" t="str">
        <f t="shared" si="35"/>
        <v/>
      </c>
      <c r="S376" s="1" t="str">
        <f>IF(OR($E376="",$F376=""),"",HYPERLINK(IF(OR(_xlfn.SINGLE(JobState)="MI",_xlfn.SINGLE(JobState)=""),"https://fema.maps.arcgis.com/apps/mapviewer/index.html?url=https%3A%2F%2Fmdotgis.state.mi.us%2Farcgis%2Frest%2Fservices%2FWidget%2FNextGenPrFinderPub%2FFeatureServer%2F353&amp;find="&amp;$F376&amp;"%2C"&amp;$E376&amp;"&amp;marker="&amp;$F376&amp;","&amp;$E376&amp;",4326&amp;level=16",IF(_xlfn.SINGLE(JobState)="IN","https://fema.maps.arcgis.com/apps/mapviewer/index.html?url=https%3A%2F%2Fgisdata.in.gov%2Fserver%2Frest%2Fservices%2FHosted%2FLRSE_Functional_Class%2FFeatureServer%2F22&amp;find="&amp;$F376&amp;"%2C"&amp;$E376&amp;"&amp;marker="&amp;$F376&amp;","&amp;$E376&amp;",4326&amp;level=16",IF(_xlfn.SINGLE(JobState)="WI","https://fema.maps.arcgis.com/apps/mapviewer/index.html?url=https%3A%2F%2Fservices5.arcgis.com%2F0pgGLzT0Nh7FVjon%2Farcgis%2Frest%2Fservices%2FFFCL_gdb%2FFeatureServer%2F3&amp;find="&amp;$F376&amp;"%2C"&amp;$E376&amp;"&amp;marker="&amp;$F376&amp;","&amp;$E376&amp;",4326&amp;level=16","https://fema.maps.arcgis.com/apps/mapviewer/index.html?find="&amp;$F376&amp;"%2C"&amp;$E376&amp;"&amp;marker="&amp;$F376&amp;","&amp;$E376&amp;",4326&amp;level=16"))),"Open"))</f>
        <v/>
      </c>
      <c r="T376" s="4"/>
      <c r="U376" s="4"/>
      <c r="V376" s="4"/>
      <c r="W376" s="4"/>
      <c r="X376" s="4"/>
      <c r="Y376" s="4"/>
      <c r="Z376" s="4"/>
      <c r="AA376" s="4"/>
      <c r="AB376" s="1" t="str">
        <f>IF(OR(_xlfn.SINGLE(JobAgolMap)="", $E376="", $F376=""),"",HYPERLINK(_xlfn.SINGLE(JobAgolMap)&amp;IF(ISNUMBER(FIND("?",_xlfn.SINGLE(JobAgolMap))),"&amp;","?")&amp;"center="&amp;$F376&amp;","&amp;$E376&amp;"&amp;level=16&amp;marker="&amp;$F376&amp;","&amp;$E376,"Open"))</f>
        <v/>
      </c>
    </row>
    <row r="377" spans="1:28" x14ac:dyDescent="0.45">
      <c r="A377" s="3"/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4"/>
      <c r="M377" s="1" t="str">
        <f t="shared" si="30"/>
        <v/>
      </c>
      <c r="N377" s="1" t="str">
        <f t="shared" si="31"/>
        <v/>
      </c>
      <c r="O377" s="1" t="str">
        <f t="shared" si="32"/>
        <v/>
      </c>
      <c r="P377" s="1" t="str">
        <f t="shared" si="33"/>
        <v/>
      </c>
      <c r="Q377" s="1" t="str">
        <f t="shared" si="34"/>
        <v/>
      </c>
      <c r="R377" s="1" t="str">
        <f t="shared" si="35"/>
        <v/>
      </c>
      <c r="S377" s="1" t="str">
        <f>IF(OR($E377="",$F377=""),"",HYPERLINK(IF(OR(_xlfn.SINGLE(JobState)="MI",_xlfn.SINGLE(JobState)=""),"https://fema.maps.arcgis.com/apps/mapviewer/index.html?url=https%3A%2F%2Fmdotgis.state.mi.us%2Farcgis%2Frest%2Fservices%2FWidget%2FNextGenPrFinderPub%2FFeatureServer%2F353&amp;find="&amp;$F377&amp;"%2C"&amp;$E377&amp;"&amp;marker="&amp;$F377&amp;","&amp;$E377&amp;",4326&amp;level=16",IF(_xlfn.SINGLE(JobState)="IN","https://fema.maps.arcgis.com/apps/mapviewer/index.html?url=https%3A%2F%2Fgisdata.in.gov%2Fserver%2Frest%2Fservices%2FHosted%2FLRSE_Functional_Class%2FFeatureServer%2F22&amp;find="&amp;$F377&amp;"%2C"&amp;$E377&amp;"&amp;marker="&amp;$F377&amp;","&amp;$E377&amp;",4326&amp;level=16",IF(_xlfn.SINGLE(JobState)="WI","https://fema.maps.arcgis.com/apps/mapviewer/index.html?url=https%3A%2F%2Fservices5.arcgis.com%2F0pgGLzT0Nh7FVjon%2Farcgis%2Frest%2Fservices%2FFFCL_gdb%2FFeatureServer%2F3&amp;find="&amp;$F377&amp;"%2C"&amp;$E377&amp;"&amp;marker="&amp;$F377&amp;","&amp;$E377&amp;",4326&amp;level=16","https://fema.maps.arcgis.com/apps/mapviewer/index.html?find="&amp;$F377&amp;"%2C"&amp;$E377&amp;"&amp;marker="&amp;$F377&amp;","&amp;$E377&amp;",4326&amp;level=16"))),"Open"))</f>
        <v/>
      </c>
      <c r="T377" s="4"/>
      <c r="U377" s="4"/>
      <c r="V377" s="4"/>
      <c r="W377" s="4"/>
      <c r="X377" s="4"/>
      <c r="Y377" s="4"/>
      <c r="Z377" s="4"/>
      <c r="AA377" s="4"/>
      <c r="AB377" s="1" t="str">
        <f>IF(OR(_xlfn.SINGLE(JobAgolMap)="", $E377="", $F377=""),"",HYPERLINK(_xlfn.SINGLE(JobAgolMap)&amp;IF(ISNUMBER(FIND("?",_xlfn.SINGLE(JobAgolMap))),"&amp;","?")&amp;"center="&amp;$F377&amp;","&amp;$E377&amp;"&amp;level=16&amp;marker="&amp;$F377&amp;","&amp;$E377,"Open"))</f>
        <v/>
      </c>
    </row>
    <row r="378" spans="1:28" x14ac:dyDescent="0.45">
      <c r="A378" s="3"/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4"/>
      <c r="M378" s="1" t="str">
        <f t="shared" si="30"/>
        <v/>
      </c>
      <c r="N378" s="1" t="str">
        <f t="shared" si="31"/>
        <v/>
      </c>
      <c r="O378" s="1" t="str">
        <f t="shared" si="32"/>
        <v/>
      </c>
      <c r="P378" s="1" t="str">
        <f t="shared" si="33"/>
        <v/>
      </c>
      <c r="Q378" s="1" t="str">
        <f t="shared" si="34"/>
        <v/>
      </c>
      <c r="R378" s="1" t="str">
        <f t="shared" si="35"/>
        <v/>
      </c>
      <c r="S378" s="1" t="str">
        <f>IF(OR($E378="",$F378=""),"",HYPERLINK(IF(OR(_xlfn.SINGLE(JobState)="MI",_xlfn.SINGLE(JobState)=""),"https://fema.maps.arcgis.com/apps/mapviewer/index.html?url=https%3A%2F%2Fmdotgis.state.mi.us%2Farcgis%2Frest%2Fservices%2FWidget%2FNextGenPrFinderPub%2FFeatureServer%2F353&amp;find="&amp;$F378&amp;"%2C"&amp;$E378&amp;"&amp;marker="&amp;$F378&amp;","&amp;$E378&amp;",4326&amp;level=16",IF(_xlfn.SINGLE(JobState)="IN","https://fema.maps.arcgis.com/apps/mapviewer/index.html?url=https%3A%2F%2Fgisdata.in.gov%2Fserver%2Frest%2Fservices%2FHosted%2FLRSE_Functional_Class%2FFeatureServer%2F22&amp;find="&amp;$F378&amp;"%2C"&amp;$E378&amp;"&amp;marker="&amp;$F378&amp;","&amp;$E378&amp;",4326&amp;level=16",IF(_xlfn.SINGLE(JobState)="WI","https://fema.maps.arcgis.com/apps/mapviewer/index.html?url=https%3A%2F%2Fservices5.arcgis.com%2F0pgGLzT0Nh7FVjon%2Farcgis%2Frest%2Fservices%2FFFCL_gdb%2FFeatureServer%2F3&amp;find="&amp;$F378&amp;"%2C"&amp;$E378&amp;"&amp;marker="&amp;$F378&amp;","&amp;$E378&amp;",4326&amp;level=16","https://fema.maps.arcgis.com/apps/mapviewer/index.html?find="&amp;$F378&amp;"%2C"&amp;$E378&amp;"&amp;marker="&amp;$F378&amp;","&amp;$E378&amp;",4326&amp;level=16"))),"Open"))</f>
        <v/>
      </c>
      <c r="T378" s="4"/>
      <c r="U378" s="4"/>
      <c r="V378" s="4"/>
      <c r="W378" s="4"/>
      <c r="X378" s="4"/>
      <c r="Y378" s="4"/>
      <c r="Z378" s="4"/>
      <c r="AA378" s="4"/>
      <c r="AB378" s="1" t="str">
        <f>IF(OR(_xlfn.SINGLE(JobAgolMap)="", $E378="", $F378=""),"",HYPERLINK(_xlfn.SINGLE(JobAgolMap)&amp;IF(ISNUMBER(FIND("?",_xlfn.SINGLE(JobAgolMap))),"&amp;","?")&amp;"center="&amp;$F378&amp;","&amp;$E378&amp;"&amp;level=16&amp;marker="&amp;$F378&amp;","&amp;$E378,"Open"))</f>
        <v/>
      </c>
    </row>
    <row r="379" spans="1:28" x14ac:dyDescent="0.45">
      <c r="A379" s="3"/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4"/>
      <c r="M379" s="1" t="str">
        <f t="shared" si="30"/>
        <v/>
      </c>
      <c r="N379" s="1" t="str">
        <f t="shared" si="31"/>
        <v/>
      </c>
      <c r="O379" s="1" t="str">
        <f t="shared" si="32"/>
        <v/>
      </c>
      <c r="P379" s="1" t="str">
        <f t="shared" si="33"/>
        <v/>
      </c>
      <c r="Q379" s="1" t="str">
        <f t="shared" si="34"/>
        <v/>
      </c>
      <c r="R379" s="1" t="str">
        <f t="shared" si="35"/>
        <v/>
      </c>
      <c r="S379" s="1" t="str">
        <f>IF(OR($E379="",$F379=""),"",HYPERLINK(IF(OR(_xlfn.SINGLE(JobState)="MI",_xlfn.SINGLE(JobState)=""),"https://fema.maps.arcgis.com/apps/mapviewer/index.html?url=https%3A%2F%2Fmdotgis.state.mi.us%2Farcgis%2Frest%2Fservices%2FWidget%2FNextGenPrFinderPub%2FFeatureServer%2F353&amp;find="&amp;$F379&amp;"%2C"&amp;$E379&amp;"&amp;marker="&amp;$F379&amp;","&amp;$E379&amp;",4326&amp;level=16",IF(_xlfn.SINGLE(JobState)="IN","https://fema.maps.arcgis.com/apps/mapviewer/index.html?url=https%3A%2F%2Fgisdata.in.gov%2Fserver%2Frest%2Fservices%2FHosted%2FLRSE_Functional_Class%2FFeatureServer%2F22&amp;find="&amp;$F379&amp;"%2C"&amp;$E379&amp;"&amp;marker="&amp;$F379&amp;","&amp;$E379&amp;",4326&amp;level=16",IF(_xlfn.SINGLE(JobState)="WI","https://fema.maps.arcgis.com/apps/mapviewer/index.html?url=https%3A%2F%2Fservices5.arcgis.com%2F0pgGLzT0Nh7FVjon%2Farcgis%2Frest%2Fservices%2FFFCL_gdb%2FFeatureServer%2F3&amp;find="&amp;$F379&amp;"%2C"&amp;$E379&amp;"&amp;marker="&amp;$F379&amp;","&amp;$E379&amp;",4326&amp;level=16","https://fema.maps.arcgis.com/apps/mapviewer/index.html?find="&amp;$F379&amp;"%2C"&amp;$E379&amp;"&amp;marker="&amp;$F379&amp;","&amp;$E379&amp;",4326&amp;level=16"))),"Open"))</f>
        <v/>
      </c>
      <c r="T379" s="4"/>
      <c r="U379" s="4"/>
      <c r="V379" s="4"/>
      <c r="W379" s="4"/>
      <c r="X379" s="4"/>
      <c r="Y379" s="4"/>
      <c r="Z379" s="4"/>
      <c r="AA379" s="4"/>
      <c r="AB379" s="1" t="str">
        <f>IF(OR(_xlfn.SINGLE(JobAgolMap)="", $E379="", $F379=""),"",HYPERLINK(_xlfn.SINGLE(JobAgolMap)&amp;IF(ISNUMBER(FIND("?",_xlfn.SINGLE(JobAgolMap))),"&amp;","?")&amp;"center="&amp;$F379&amp;","&amp;$E379&amp;"&amp;level=16&amp;marker="&amp;$F379&amp;","&amp;$E379,"Open"))</f>
        <v/>
      </c>
    </row>
    <row r="380" spans="1:28" x14ac:dyDescent="0.45">
      <c r="A380" s="3"/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4"/>
      <c r="M380" s="1" t="str">
        <f t="shared" si="30"/>
        <v/>
      </c>
      <c r="N380" s="1" t="str">
        <f t="shared" si="31"/>
        <v/>
      </c>
      <c r="O380" s="1" t="str">
        <f t="shared" si="32"/>
        <v/>
      </c>
      <c r="P380" s="1" t="str">
        <f t="shared" si="33"/>
        <v/>
      </c>
      <c r="Q380" s="1" t="str">
        <f t="shared" si="34"/>
        <v/>
      </c>
      <c r="R380" s="1" t="str">
        <f t="shared" si="35"/>
        <v/>
      </c>
      <c r="S380" s="1" t="str">
        <f>IF(OR($E380="",$F380=""),"",HYPERLINK(IF(OR(_xlfn.SINGLE(JobState)="MI",_xlfn.SINGLE(JobState)=""),"https://fema.maps.arcgis.com/apps/mapviewer/index.html?url=https%3A%2F%2Fmdotgis.state.mi.us%2Farcgis%2Frest%2Fservices%2FWidget%2FNextGenPrFinderPub%2FFeatureServer%2F353&amp;find="&amp;$F380&amp;"%2C"&amp;$E380&amp;"&amp;marker="&amp;$F380&amp;","&amp;$E380&amp;",4326&amp;level=16",IF(_xlfn.SINGLE(JobState)="IN","https://fema.maps.arcgis.com/apps/mapviewer/index.html?url=https%3A%2F%2Fgisdata.in.gov%2Fserver%2Frest%2Fservices%2FHosted%2FLRSE_Functional_Class%2FFeatureServer%2F22&amp;find="&amp;$F380&amp;"%2C"&amp;$E380&amp;"&amp;marker="&amp;$F380&amp;","&amp;$E380&amp;",4326&amp;level=16",IF(_xlfn.SINGLE(JobState)="WI","https://fema.maps.arcgis.com/apps/mapviewer/index.html?url=https%3A%2F%2Fservices5.arcgis.com%2F0pgGLzT0Nh7FVjon%2Farcgis%2Frest%2Fservices%2FFFCL_gdb%2FFeatureServer%2F3&amp;find="&amp;$F380&amp;"%2C"&amp;$E380&amp;"&amp;marker="&amp;$F380&amp;","&amp;$E380&amp;",4326&amp;level=16","https://fema.maps.arcgis.com/apps/mapviewer/index.html?find="&amp;$F380&amp;"%2C"&amp;$E380&amp;"&amp;marker="&amp;$F380&amp;","&amp;$E380&amp;",4326&amp;level=16"))),"Open"))</f>
        <v/>
      </c>
      <c r="T380" s="4"/>
      <c r="U380" s="4"/>
      <c r="V380" s="4"/>
      <c r="W380" s="4"/>
      <c r="X380" s="4"/>
      <c r="Y380" s="4"/>
      <c r="Z380" s="4"/>
      <c r="AA380" s="4"/>
      <c r="AB380" s="1" t="str">
        <f>IF(OR(_xlfn.SINGLE(JobAgolMap)="", $E380="", $F380=""),"",HYPERLINK(_xlfn.SINGLE(JobAgolMap)&amp;IF(ISNUMBER(FIND("?",_xlfn.SINGLE(JobAgolMap))),"&amp;","?")&amp;"center="&amp;$F380&amp;","&amp;$E380&amp;"&amp;level=16&amp;marker="&amp;$F380&amp;","&amp;$E380,"Open"))</f>
        <v/>
      </c>
    </row>
    <row r="381" spans="1:28" x14ac:dyDescent="0.45">
      <c r="A381" s="3"/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4"/>
      <c r="M381" s="1" t="str">
        <f t="shared" si="30"/>
        <v/>
      </c>
      <c r="N381" s="1" t="str">
        <f t="shared" si="31"/>
        <v/>
      </c>
      <c r="O381" s="1" t="str">
        <f t="shared" si="32"/>
        <v/>
      </c>
      <c r="P381" s="1" t="str">
        <f t="shared" si="33"/>
        <v/>
      </c>
      <c r="Q381" s="1" t="str">
        <f t="shared" si="34"/>
        <v/>
      </c>
      <c r="R381" s="1" t="str">
        <f t="shared" si="35"/>
        <v/>
      </c>
      <c r="S381" s="1" t="str">
        <f>IF(OR($E381="",$F381=""),"",HYPERLINK(IF(OR(_xlfn.SINGLE(JobState)="MI",_xlfn.SINGLE(JobState)=""),"https://fema.maps.arcgis.com/apps/mapviewer/index.html?url=https%3A%2F%2Fmdotgis.state.mi.us%2Farcgis%2Frest%2Fservices%2FWidget%2FNextGenPrFinderPub%2FFeatureServer%2F353&amp;find="&amp;$F381&amp;"%2C"&amp;$E381&amp;"&amp;marker="&amp;$F381&amp;","&amp;$E381&amp;",4326&amp;level=16",IF(_xlfn.SINGLE(JobState)="IN","https://fema.maps.arcgis.com/apps/mapviewer/index.html?url=https%3A%2F%2Fgisdata.in.gov%2Fserver%2Frest%2Fservices%2FHosted%2FLRSE_Functional_Class%2FFeatureServer%2F22&amp;find="&amp;$F381&amp;"%2C"&amp;$E381&amp;"&amp;marker="&amp;$F381&amp;","&amp;$E381&amp;",4326&amp;level=16",IF(_xlfn.SINGLE(JobState)="WI","https://fema.maps.arcgis.com/apps/mapviewer/index.html?url=https%3A%2F%2Fservices5.arcgis.com%2F0pgGLzT0Nh7FVjon%2Farcgis%2Frest%2Fservices%2FFFCL_gdb%2FFeatureServer%2F3&amp;find="&amp;$F381&amp;"%2C"&amp;$E381&amp;"&amp;marker="&amp;$F381&amp;","&amp;$E381&amp;",4326&amp;level=16","https://fema.maps.arcgis.com/apps/mapviewer/index.html?find="&amp;$F381&amp;"%2C"&amp;$E381&amp;"&amp;marker="&amp;$F381&amp;","&amp;$E381&amp;",4326&amp;level=16"))),"Open"))</f>
        <v/>
      </c>
      <c r="T381" s="4"/>
      <c r="U381" s="4"/>
      <c r="V381" s="4"/>
      <c r="W381" s="4"/>
      <c r="X381" s="4"/>
      <c r="Y381" s="4"/>
      <c r="Z381" s="4"/>
      <c r="AA381" s="4"/>
      <c r="AB381" s="1" t="str">
        <f>IF(OR(_xlfn.SINGLE(JobAgolMap)="", $E381="", $F381=""),"",HYPERLINK(_xlfn.SINGLE(JobAgolMap)&amp;IF(ISNUMBER(FIND("?",_xlfn.SINGLE(JobAgolMap))),"&amp;","?")&amp;"center="&amp;$F381&amp;","&amp;$E381&amp;"&amp;level=16&amp;marker="&amp;$F381&amp;","&amp;$E381,"Open"))</f>
        <v/>
      </c>
    </row>
    <row r="382" spans="1:28" x14ac:dyDescent="0.45">
      <c r="A382" s="3"/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4"/>
      <c r="M382" s="1" t="str">
        <f t="shared" si="30"/>
        <v/>
      </c>
      <c r="N382" s="1" t="str">
        <f t="shared" si="31"/>
        <v/>
      </c>
      <c r="O382" s="1" t="str">
        <f t="shared" si="32"/>
        <v/>
      </c>
      <c r="P382" s="1" t="str">
        <f t="shared" si="33"/>
        <v/>
      </c>
      <c r="Q382" s="1" t="str">
        <f t="shared" si="34"/>
        <v/>
      </c>
      <c r="R382" s="1" t="str">
        <f t="shared" si="35"/>
        <v/>
      </c>
      <c r="S382" s="1" t="str">
        <f>IF(OR($E382="",$F382=""),"",HYPERLINK(IF(OR(_xlfn.SINGLE(JobState)="MI",_xlfn.SINGLE(JobState)=""),"https://fema.maps.arcgis.com/apps/mapviewer/index.html?url=https%3A%2F%2Fmdotgis.state.mi.us%2Farcgis%2Frest%2Fservices%2FWidget%2FNextGenPrFinderPub%2FFeatureServer%2F353&amp;find="&amp;$F382&amp;"%2C"&amp;$E382&amp;"&amp;marker="&amp;$F382&amp;","&amp;$E382&amp;",4326&amp;level=16",IF(_xlfn.SINGLE(JobState)="IN","https://fema.maps.arcgis.com/apps/mapviewer/index.html?url=https%3A%2F%2Fgisdata.in.gov%2Fserver%2Frest%2Fservices%2FHosted%2FLRSE_Functional_Class%2FFeatureServer%2F22&amp;find="&amp;$F382&amp;"%2C"&amp;$E382&amp;"&amp;marker="&amp;$F382&amp;","&amp;$E382&amp;",4326&amp;level=16",IF(_xlfn.SINGLE(JobState)="WI","https://fema.maps.arcgis.com/apps/mapviewer/index.html?url=https%3A%2F%2Fservices5.arcgis.com%2F0pgGLzT0Nh7FVjon%2Farcgis%2Frest%2Fservices%2FFFCL_gdb%2FFeatureServer%2F3&amp;find="&amp;$F382&amp;"%2C"&amp;$E382&amp;"&amp;marker="&amp;$F382&amp;","&amp;$E382&amp;",4326&amp;level=16","https://fema.maps.arcgis.com/apps/mapviewer/index.html?find="&amp;$F382&amp;"%2C"&amp;$E382&amp;"&amp;marker="&amp;$F382&amp;","&amp;$E382&amp;",4326&amp;level=16"))),"Open"))</f>
        <v/>
      </c>
      <c r="T382" s="4"/>
      <c r="U382" s="4"/>
      <c r="V382" s="4"/>
      <c r="W382" s="4"/>
      <c r="X382" s="4"/>
      <c r="Y382" s="4"/>
      <c r="Z382" s="4"/>
      <c r="AA382" s="4"/>
      <c r="AB382" s="1" t="str">
        <f>IF(OR(_xlfn.SINGLE(JobAgolMap)="", $E382="", $F382=""),"",HYPERLINK(_xlfn.SINGLE(JobAgolMap)&amp;IF(ISNUMBER(FIND("?",_xlfn.SINGLE(JobAgolMap))),"&amp;","?")&amp;"center="&amp;$F382&amp;","&amp;$E382&amp;"&amp;level=16&amp;marker="&amp;$F382&amp;","&amp;$E382,"Open"))</f>
        <v/>
      </c>
    </row>
    <row r="383" spans="1:28" x14ac:dyDescent="0.45">
      <c r="A383" s="3"/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4"/>
      <c r="M383" s="1" t="str">
        <f t="shared" si="30"/>
        <v/>
      </c>
      <c r="N383" s="1" t="str">
        <f t="shared" si="31"/>
        <v/>
      </c>
      <c r="O383" s="1" t="str">
        <f t="shared" si="32"/>
        <v/>
      </c>
      <c r="P383" s="1" t="str">
        <f t="shared" si="33"/>
        <v/>
      </c>
      <c r="Q383" s="1" t="str">
        <f t="shared" si="34"/>
        <v/>
      </c>
      <c r="R383" s="1" t="str">
        <f t="shared" si="35"/>
        <v/>
      </c>
      <c r="S383" s="1" t="str">
        <f>IF(OR($E383="",$F383=""),"",HYPERLINK(IF(OR(_xlfn.SINGLE(JobState)="MI",_xlfn.SINGLE(JobState)=""),"https://fema.maps.arcgis.com/apps/mapviewer/index.html?url=https%3A%2F%2Fmdotgis.state.mi.us%2Farcgis%2Frest%2Fservices%2FWidget%2FNextGenPrFinderPub%2FFeatureServer%2F353&amp;find="&amp;$F383&amp;"%2C"&amp;$E383&amp;"&amp;marker="&amp;$F383&amp;","&amp;$E383&amp;",4326&amp;level=16",IF(_xlfn.SINGLE(JobState)="IN","https://fema.maps.arcgis.com/apps/mapviewer/index.html?url=https%3A%2F%2Fgisdata.in.gov%2Fserver%2Frest%2Fservices%2FHosted%2FLRSE_Functional_Class%2FFeatureServer%2F22&amp;find="&amp;$F383&amp;"%2C"&amp;$E383&amp;"&amp;marker="&amp;$F383&amp;","&amp;$E383&amp;",4326&amp;level=16",IF(_xlfn.SINGLE(JobState)="WI","https://fema.maps.arcgis.com/apps/mapviewer/index.html?url=https%3A%2F%2Fservices5.arcgis.com%2F0pgGLzT0Nh7FVjon%2Farcgis%2Frest%2Fservices%2FFFCL_gdb%2FFeatureServer%2F3&amp;find="&amp;$F383&amp;"%2C"&amp;$E383&amp;"&amp;marker="&amp;$F383&amp;","&amp;$E383&amp;",4326&amp;level=16","https://fema.maps.arcgis.com/apps/mapviewer/index.html?find="&amp;$F383&amp;"%2C"&amp;$E383&amp;"&amp;marker="&amp;$F383&amp;","&amp;$E383&amp;",4326&amp;level=16"))),"Open"))</f>
        <v/>
      </c>
      <c r="T383" s="4"/>
      <c r="U383" s="4"/>
      <c r="V383" s="4"/>
      <c r="W383" s="4"/>
      <c r="X383" s="4"/>
      <c r="Y383" s="4"/>
      <c r="Z383" s="4"/>
      <c r="AA383" s="4"/>
      <c r="AB383" s="1" t="str">
        <f>IF(OR(_xlfn.SINGLE(JobAgolMap)="", $E383="", $F383=""),"",HYPERLINK(_xlfn.SINGLE(JobAgolMap)&amp;IF(ISNUMBER(FIND("?",_xlfn.SINGLE(JobAgolMap))),"&amp;","?")&amp;"center="&amp;$F383&amp;","&amp;$E383&amp;"&amp;level=16&amp;marker="&amp;$F383&amp;","&amp;$E383,"Open"))</f>
        <v/>
      </c>
    </row>
    <row r="384" spans="1:28" x14ac:dyDescent="0.45">
      <c r="A384" s="3"/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4"/>
      <c r="M384" s="1" t="str">
        <f t="shared" si="30"/>
        <v/>
      </c>
      <c r="N384" s="1" t="str">
        <f t="shared" si="31"/>
        <v/>
      </c>
      <c r="O384" s="1" t="str">
        <f t="shared" si="32"/>
        <v/>
      </c>
      <c r="P384" s="1" t="str">
        <f t="shared" si="33"/>
        <v/>
      </c>
      <c r="Q384" s="1" t="str">
        <f t="shared" si="34"/>
        <v/>
      </c>
      <c r="R384" s="1" t="str">
        <f t="shared" si="35"/>
        <v/>
      </c>
      <c r="S384" s="1" t="str">
        <f>IF(OR($E384="",$F384=""),"",HYPERLINK(IF(OR(_xlfn.SINGLE(JobState)="MI",_xlfn.SINGLE(JobState)=""),"https://fema.maps.arcgis.com/apps/mapviewer/index.html?url=https%3A%2F%2Fmdotgis.state.mi.us%2Farcgis%2Frest%2Fservices%2FWidget%2FNextGenPrFinderPub%2FFeatureServer%2F353&amp;find="&amp;$F384&amp;"%2C"&amp;$E384&amp;"&amp;marker="&amp;$F384&amp;","&amp;$E384&amp;",4326&amp;level=16",IF(_xlfn.SINGLE(JobState)="IN","https://fema.maps.arcgis.com/apps/mapviewer/index.html?url=https%3A%2F%2Fgisdata.in.gov%2Fserver%2Frest%2Fservices%2FHosted%2FLRSE_Functional_Class%2FFeatureServer%2F22&amp;find="&amp;$F384&amp;"%2C"&amp;$E384&amp;"&amp;marker="&amp;$F384&amp;","&amp;$E384&amp;",4326&amp;level=16",IF(_xlfn.SINGLE(JobState)="WI","https://fema.maps.arcgis.com/apps/mapviewer/index.html?url=https%3A%2F%2Fservices5.arcgis.com%2F0pgGLzT0Nh7FVjon%2Farcgis%2Frest%2Fservices%2FFFCL_gdb%2FFeatureServer%2F3&amp;find="&amp;$F384&amp;"%2C"&amp;$E384&amp;"&amp;marker="&amp;$F384&amp;","&amp;$E384&amp;",4326&amp;level=16","https://fema.maps.arcgis.com/apps/mapviewer/index.html?find="&amp;$F384&amp;"%2C"&amp;$E384&amp;"&amp;marker="&amp;$F384&amp;","&amp;$E384&amp;",4326&amp;level=16"))),"Open"))</f>
        <v/>
      </c>
      <c r="T384" s="4"/>
      <c r="U384" s="4"/>
      <c r="V384" s="4"/>
      <c r="W384" s="4"/>
      <c r="X384" s="4"/>
      <c r="Y384" s="4"/>
      <c r="Z384" s="4"/>
      <c r="AA384" s="4"/>
      <c r="AB384" s="1" t="str">
        <f>IF(OR(_xlfn.SINGLE(JobAgolMap)="", $E384="", $F384=""),"",HYPERLINK(_xlfn.SINGLE(JobAgolMap)&amp;IF(ISNUMBER(FIND("?",_xlfn.SINGLE(JobAgolMap))),"&amp;","?")&amp;"center="&amp;$F384&amp;","&amp;$E384&amp;"&amp;level=16&amp;marker="&amp;$F384&amp;","&amp;$E384,"Open"))</f>
        <v/>
      </c>
    </row>
    <row r="385" spans="1:28" x14ac:dyDescent="0.45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4"/>
      <c r="M385" s="1" t="str">
        <f t="shared" si="30"/>
        <v/>
      </c>
      <c r="N385" s="1" t="str">
        <f t="shared" si="31"/>
        <v/>
      </c>
      <c r="O385" s="1" t="str">
        <f t="shared" si="32"/>
        <v/>
      </c>
      <c r="P385" s="1" t="str">
        <f t="shared" si="33"/>
        <v/>
      </c>
      <c r="Q385" s="1" t="str">
        <f t="shared" si="34"/>
        <v/>
      </c>
      <c r="R385" s="1" t="str">
        <f t="shared" si="35"/>
        <v/>
      </c>
      <c r="S385" s="1" t="str">
        <f>IF(OR($E385="",$F385=""),"",HYPERLINK(IF(OR(_xlfn.SINGLE(JobState)="MI",_xlfn.SINGLE(JobState)=""),"https://fema.maps.arcgis.com/apps/mapviewer/index.html?url=https%3A%2F%2Fmdotgis.state.mi.us%2Farcgis%2Frest%2Fservices%2FWidget%2FNextGenPrFinderPub%2FFeatureServer%2F353&amp;find="&amp;$F385&amp;"%2C"&amp;$E385&amp;"&amp;marker="&amp;$F385&amp;","&amp;$E385&amp;",4326&amp;level=16",IF(_xlfn.SINGLE(JobState)="IN","https://fema.maps.arcgis.com/apps/mapviewer/index.html?url=https%3A%2F%2Fgisdata.in.gov%2Fserver%2Frest%2Fservices%2FHosted%2FLRSE_Functional_Class%2FFeatureServer%2F22&amp;find="&amp;$F385&amp;"%2C"&amp;$E385&amp;"&amp;marker="&amp;$F385&amp;","&amp;$E385&amp;",4326&amp;level=16",IF(_xlfn.SINGLE(JobState)="WI","https://fema.maps.arcgis.com/apps/mapviewer/index.html?url=https%3A%2F%2Fservices5.arcgis.com%2F0pgGLzT0Nh7FVjon%2Farcgis%2Frest%2Fservices%2FFFCL_gdb%2FFeatureServer%2F3&amp;find="&amp;$F385&amp;"%2C"&amp;$E385&amp;"&amp;marker="&amp;$F385&amp;","&amp;$E385&amp;",4326&amp;level=16","https://fema.maps.arcgis.com/apps/mapviewer/index.html?find="&amp;$F385&amp;"%2C"&amp;$E385&amp;"&amp;marker="&amp;$F385&amp;","&amp;$E385&amp;",4326&amp;level=16"))),"Open"))</f>
        <v/>
      </c>
      <c r="T385" s="4"/>
      <c r="U385" s="4"/>
      <c r="V385" s="4"/>
      <c r="W385" s="4"/>
      <c r="X385" s="4"/>
      <c r="Y385" s="4"/>
      <c r="Z385" s="4"/>
      <c r="AA385" s="4"/>
      <c r="AB385" s="1" t="str">
        <f>IF(OR(_xlfn.SINGLE(JobAgolMap)="", $E385="", $F385=""),"",HYPERLINK(_xlfn.SINGLE(JobAgolMap)&amp;IF(ISNUMBER(FIND("?",_xlfn.SINGLE(JobAgolMap))),"&amp;","?")&amp;"center="&amp;$F385&amp;","&amp;$E385&amp;"&amp;level=16&amp;marker="&amp;$F385&amp;","&amp;$E385,"Open"))</f>
        <v/>
      </c>
    </row>
    <row r="386" spans="1:28" x14ac:dyDescent="0.45">
      <c r="A386" s="3"/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4"/>
      <c r="M386" s="1" t="str">
        <f t="shared" si="30"/>
        <v/>
      </c>
      <c r="N386" s="1" t="str">
        <f t="shared" si="31"/>
        <v/>
      </c>
      <c r="O386" s="1" t="str">
        <f t="shared" si="32"/>
        <v/>
      </c>
      <c r="P386" s="1" t="str">
        <f t="shared" si="33"/>
        <v/>
      </c>
      <c r="Q386" s="1" t="str">
        <f t="shared" si="34"/>
        <v/>
      </c>
      <c r="R386" s="1" t="str">
        <f t="shared" si="35"/>
        <v/>
      </c>
      <c r="S386" s="1" t="str">
        <f>IF(OR($E386="",$F386=""),"",HYPERLINK(IF(OR(_xlfn.SINGLE(JobState)="MI",_xlfn.SINGLE(JobState)=""),"https://fema.maps.arcgis.com/apps/mapviewer/index.html?url=https%3A%2F%2Fmdotgis.state.mi.us%2Farcgis%2Frest%2Fservices%2FWidget%2FNextGenPrFinderPub%2FFeatureServer%2F353&amp;find="&amp;$F386&amp;"%2C"&amp;$E386&amp;"&amp;marker="&amp;$F386&amp;","&amp;$E386&amp;",4326&amp;level=16",IF(_xlfn.SINGLE(JobState)="IN","https://fema.maps.arcgis.com/apps/mapviewer/index.html?url=https%3A%2F%2Fgisdata.in.gov%2Fserver%2Frest%2Fservices%2FHosted%2FLRSE_Functional_Class%2FFeatureServer%2F22&amp;find="&amp;$F386&amp;"%2C"&amp;$E386&amp;"&amp;marker="&amp;$F386&amp;","&amp;$E386&amp;",4326&amp;level=16",IF(_xlfn.SINGLE(JobState)="WI","https://fema.maps.arcgis.com/apps/mapviewer/index.html?url=https%3A%2F%2Fservices5.arcgis.com%2F0pgGLzT0Nh7FVjon%2Farcgis%2Frest%2Fservices%2FFFCL_gdb%2FFeatureServer%2F3&amp;find="&amp;$F386&amp;"%2C"&amp;$E386&amp;"&amp;marker="&amp;$F386&amp;","&amp;$E386&amp;",4326&amp;level=16","https://fema.maps.arcgis.com/apps/mapviewer/index.html?find="&amp;$F386&amp;"%2C"&amp;$E386&amp;"&amp;marker="&amp;$F386&amp;","&amp;$E386&amp;",4326&amp;level=16"))),"Open"))</f>
        <v/>
      </c>
      <c r="T386" s="4"/>
      <c r="U386" s="4"/>
      <c r="V386" s="4"/>
      <c r="W386" s="4"/>
      <c r="X386" s="4"/>
      <c r="Y386" s="4"/>
      <c r="Z386" s="4"/>
      <c r="AA386" s="4"/>
      <c r="AB386" s="1" t="str">
        <f>IF(OR(_xlfn.SINGLE(JobAgolMap)="", $E386="", $F386=""),"",HYPERLINK(_xlfn.SINGLE(JobAgolMap)&amp;IF(ISNUMBER(FIND("?",_xlfn.SINGLE(JobAgolMap))),"&amp;","?")&amp;"center="&amp;$F386&amp;","&amp;$E386&amp;"&amp;level=16&amp;marker="&amp;$F386&amp;","&amp;$E386,"Open"))</f>
        <v/>
      </c>
    </row>
    <row r="387" spans="1:28" x14ac:dyDescent="0.45">
      <c r="A387" s="3"/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4"/>
      <c r="M387" s="1" t="str">
        <f t="shared" ref="M387:M450" si="36">IF(OR($E387="",$F387=""),"",HYPERLINK("https://www.google.com/maps?q="&amp;$E387&amp;","&amp;$F387&amp;"","Map"))</f>
        <v/>
      </c>
      <c r="N387" s="1" t="str">
        <f t="shared" ref="N387:N450" si="37">IF(OR($E387="",$F387=""),"",HYPERLINK("https://www.google.com/maps?q&amp;layer=c&amp;cbll="&amp;$E387&amp;","&amp;$F387&amp;"","Street"))</f>
        <v/>
      </c>
      <c r="O387" s="1" t="str">
        <f t="shared" ref="O387:O450" si="38">IF(OR($E387="",$F387=""),"",HYPERLINK("https://www.bing.com/maps?cp="&amp;$E387&amp;"~"&amp;$F387&amp;"&amp;lvl=18&amp;style=h","Bing"))</f>
        <v/>
      </c>
      <c r="P387" s="1" t="str">
        <f t="shared" ref="P387:P450" si="39">IF(OR($E387="",$F387=""),"",HYPERLINK("https://earth.google.com/web/search/"&amp;$E387&amp;","&amp;$F387&amp;"","Earth"))</f>
        <v/>
      </c>
      <c r="Q387" s="1" t="str">
        <f t="shared" ref="Q387:Q450" si="40">IF(OR($E387="",$F387=""),"",HYPERLINK("https://fema.maps.arcgis.com/apps/mapviewer/index.html?find="&amp;$F387&amp;"%2C"&amp;$E387&amp;"&amp;marker="&amp;$F387&amp;","&amp;$E387&amp;",4326&amp;level=16","FEMA"))</f>
        <v/>
      </c>
      <c r="R387" s="1" t="str">
        <f t="shared" ref="R387:R450" si="41">IF(OR($E387="",$F387=""),"",HYPERLINK("https://msc.fema.gov/portal/firmette?latitude="&amp;$E387&amp;"&amp;longitude="&amp;$F387&amp;"","FIRMette"))</f>
        <v/>
      </c>
      <c r="S387" s="1" t="str">
        <f>IF(OR($E387="",$F387=""),"",HYPERLINK(IF(OR(_xlfn.SINGLE(JobState)="MI",_xlfn.SINGLE(JobState)=""),"https://fema.maps.arcgis.com/apps/mapviewer/index.html?url=https%3A%2F%2Fmdotgis.state.mi.us%2Farcgis%2Frest%2Fservices%2FWidget%2FNextGenPrFinderPub%2FFeatureServer%2F353&amp;find="&amp;$F387&amp;"%2C"&amp;$E387&amp;"&amp;marker="&amp;$F387&amp;","&amp;$E387&amp;",4326&amp;level=16",IF(_xlfn.SINGLE(JobState)="IN","https://fema.maps.arcgis.com/apps/mapviewer/index.html?url=https%3A%2F%2Fgisdata.in.gov%2Fserver%2Frest%2Fservices%2FHosted%2FLRSE_Functional_Class%2FFeatureServer%2F22&amp;find="&amp;$F387&amp;"%2C"&amp;$E387&amp;"&amp;marker="&amp;$F387&amp;","&amp;$E387&amp;",4326&amp;level=16",IF(_xlfn.SINGLE(JobState)="WI","https://fema.maps.arcgis.com/apps/mapviewer/index.html?url=https%3A%2F%2Fservices5.arcgis.com%2F0pgGLzT0Nh7FVjon%2Farcgis%2Frest%2Fservices%2FFFCL_gdb%2FFeatureServer%2F3&amp;find="&amp;$F387&amp;"%2C"&amp;$E387&amp;"&amp;marker="&amp;$F387&amp;","&amp;$E387&amp;",4326&amp;level=16","https://fema.maps.arcgis.com/apps/mapviewer/index.html?find="&amp;$F387&amp;"%2C"&amp;$E387&amp;"&amp;marker="&amp;$F387&amp;","&amp;$E387&amp;",4326&amp;level=16"))),"Open"))</f>
        <v/>
      </c>
      <c r="T387" s="4"/>
      <c r="U387" s="4"/>
      <c r="V387" s="4"/>
      <c r="W387" s="4"/>
      <c r="X387" s="4"/>
      <c r="Y387" s="4"/>
      <c r="Z387" s="4"/>
      <c r="AA387" s="4"/>
      <c r="AB387" s="1" t="str">
        <f>IF(OR(_xlfn.SINGLE(JobAgolMap)="", $E387="", $F387=""),"",HYPERLINK(_xlfn.SINGLE(JobAgolMap)&amp;IF(ISNUMBER(FIND("?",_xlfn.SINGLE(JobAgolMap))),"&amp;","?")&amp;"center="&amp;$F387&amp;","&amp;$E387&amp;"&amp;level=16&amp;marker="&amp;$F387&amp;","&amp;$E387,"Open"))</f>
        <v/>
      </c>
    </row>
    <row r="388" spans="1:28" x14ac:dyDescent="0.45">
      <c r="A388" s="3"/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4"/>
      <c r="M388" s="1" t="str">
        <f t="shared" si="36"/>
        <v/>
      </c>
      <c r="N388" s="1" t="str">
        <f t="shared" si="37"/>
        <v/>
      </c>
      <c r="O388" s="1" t="str">
        <f t="shared" si="38"/>
        <v/>
      </c>
      <c r="P388" s="1" t="str">
        <f t="shared" si="39"/>
        <v/>
      </c>
      <c r="Q388" s="1" t="str">
        <f t="shared" si="40"/>
        <v/>
      </c>
      <c r="R388" s="1" t="str">
        <f t="shared" si="41"/>
        <v/>
      </c>
      <c r="S388" s="1" t="str">
        <f>IF(OR($E388="",$F388=""),"",HYPERLINK(IF(OR(_xlfn.SINGLE(JobState)="MI",_xlfn.SINGLE(JobState)=""),"https://fema.maps.arcgis.com/apps/mapviewer/index.html?url=https%3A%2F%2Fmdotgis.state.mi.us%2Farcgis%2Frest%2Fservices%2FWidget%2FNextGenPrFinderPub%2FFeatureServer%2F353&amp;find="&amp;$F388&amp;"%2C"&amp;$E388&amp;"&amp;marker="&amp;$F388&amp;","&amp;$E388&amp;",4326&amp;level=16",IF(_xlfn.SINGLE(JobState)="IN","https://fema.maps.arcgis.com/apps/mapviewer/index.html?url=https%3A%2F%2Fgisdata.in.gov%2Fserver%2Frest%2Fservices%2FHosted%2FLRSE_Functional_Class%2FFeatureServer%2F22&amp;find="&amp;$F388&amp;"%2C"&amp;$E388&amp;"&amp;marker="&amp;$F388&amp;","&amp;$E388&amp;",4326&amp;level=16",IF(_xlfn.SINGLE(JobState)="WI","https://fema.maps.arcgis.com/apps/mapviewer/index.html?url=https%3A%2F%2Fservices5.arcgis.com%2F0pgGLzT0Nh7FVjon%2Farcgis%2Frest%2Fservices%2FFFCL_gdb%2FFeatureServer%2F3&amp;find="&amp;$F388&amp;"%2C"&amp;$E388&amp;"&amp;marker="&amp;$F388&amp;","&amp;$E388&amp;",4326&amp;level=16","https://fema.maps.arcgis.com/apps/mapviewer/index.html?find="&amp;$F388&amp;"%2C"&amp;$E388&amp;"&amp;marker="&amp;$F388&amp;","&amp;$E388&amp;",4326&amp;level=16"))),"Open"))</f>
        <v/>
      </c>
      <c r="T388" s="4"/>
      <c r="U388" s="4"/>
      <c r="V388" s="4"/>
      <c r="W388" s="4"/>
      <c r="X388" s="4"/>
      <c r="Y388" s="4"/>
      <c r="Z388" s="4"/>
      <c r="AA388" s="4"/>
      <c r="AB388" s="1" t="str">
        <f>IF(OR(_xlfn.SINGLE(JobAgolMap)="", $E388="", $F388=""),"",HYPERLINK(_xlfn.SINGLE(JobAgolMap)&amp;IF(ISNUMBER(FIND("?",_xlfn.SINGLE(JobAgolMap))),"&amp;","?")&amp;"center="&amp;$F388&amp;","&amp;$E388&amp;"&amp;level=16&amp;marker="&amp;$F388&amp;","&amp;$E388,"Open"))</f>
        <v/>
      </c>
    </row>
    <row r="389" spans="1:28" x14ac:dyDescent="0.45">
      <c r="A389" s="3"/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4"/>
      <c r="M389" s="1" t="str">
        <f t="shared" si="36"/>
        <v/>
      </c>
      <c r="N389" s="1" t="str">
        <f t="shared" si="37"/>
        <v/>
      </c>
      <c r="O389" s="1" t="str">
        <f t="shared" si="38"/>
        <v/>
      </c>
      <c r="P389" s="1" t="str">
        <f t="shared" si="39"/>
        <v/>
      </c>
      <c r="Q389" s="1" t="str">
        <f t="shared" si="40"/>
        <v/>
      </c>
      <c r="R389" s="1" t="str">
        <f t="shared" si="41"/>
        <v/>
      </c>
      <c r="S389" s="1" t="str">
        <f>IF(OR($E389="",$F389=""),"",HYPERLINK(IF(OR(_xlfn.SINGLE(JobState)="MI",_xlfn.SINGLE(JobState)=""),"https://fema.maps.arcgis.com/apps/mapviewer/index.html?url=https%3A%2F%2Fmdotgis.state.mi.us%2Farcgis%2Frest%2Fservices%2FWidget%2FNextGenPrFinderPub%2FFeatureServer%2F353&amp;find="&amp;$F389&amp;"%2C"&amp;$E389&amp;"&amp;marker="&amp;$F389&amp;","&amp;$E389&amp;",4326&amp;level=16",IF(_xlfn.SINGLE(JobState)="IN","https://fema.maps.arcgis.com/apps/mapviewer/index.html?url=https%3A%2F%2Fgisdata.in.gov%2Fserver%2Frest%2Fservices%2FHosted%2FLRSE_Functional_Class%2FFeatureServer%2F22&amp;find="&amp;$F389&amp;"%2C"&amp;$E389&amp;"&amp;marker="&amp;$F389&amp;","&amp;$E389&amp;",4326&amp;level=16",IF(_xlfn.SINGLE(JobState)="WI","https://fema.maps.arcgis.com/apps/mapviewer/index.html?url=https%3A%2F%2Fservices5.arcgis.com%2F0pgGLzT0Nh7FVjon%2Farcgis%2Frest%2Fservices%2FFFCL_gdb%2FFeatureServer%2F3&amp;find="&amp;$F389&amp;"%2C"&amp;$E389&amp;"&amp;marker="&amp;$F389&amp;","&amp;$E389&amp;",4326&amp;level=16","https://fema.maps.arcgis.com/apps/mapviewer/index.html?find="&amp;$F389&amp;"%2C"&amp;$E389&amp;"&amp;marker="&amp;$F389&amp;","&amp;$E389&amp;",4326&amp;level=16"))),"Open"))</f>
        <v/>
      </c>
      <c r="T389" s="4"/>
      <c r="U389" s="4"/>
      <c r="V389" s="4"/>
      <c r="W389" s="4"/>
      <c r="X389" s="4"/>
      <c r="Y389" s="4"/>
      <c r="Z389" s="4"/>
      <c r="AA389" s="4"/>
      <c r="AB389" s="1" t="str">
        <f>IF(OR(_xlfn.SINGLE(JobAgolMap)="", $E389="", $F389=""),"",HYPERLINK(_xlfn.SINGLE(JobAgolMap)&amp;IF(ISNUMBER(FIND("?",_xlfn.SINGLE(JobAgolMap))),"&amp;","?")&amp;"center="&amp;$F389&amp;","&amp;$E389&amp;"&amp;level=16&amp;marker="&amp;$F389&amp;","&amp;$E389,"Open"))</f>
        <v/>
      </c>
    </row>
    <row r="390" spans="1:28" x14ac:dyDescent="0.45">
      <c r="A390" s="3"/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4"/>
      <c r="M390" s="1" t="str">
        <f t="shared" si="36"/>
        <v/>
      </c>
      <c r="N390" s="1" t="str">
        <f t="shared" si="37"/>
        <v/>
      </c>
      <c r="O390" s="1" t="str">
        <f t="shared" si="38"/>
        <v/>
      </c>
      <c r="P390" s="1" t="str">
        <f t="shared" si="39"/>
        <v/>
      </c>
      <c r="Q390" s="1" t="str">
        <f t="shared" si="40"/>
        <v/>
      </c>
      <c r="R390" s="1" t="str">
        <f t="shared" si="41"/>
        <v/>
      </c>
      <c r="S390" s="1" t="str">
        <f>IF(OR($E390="",$F390=""),"",HYPERLINK(IF(OR(_xlfn.SINGLE(JobState)="MI",_xlfn.SINGLE(JobState)=""),"https://fema.maps.arcgis.com/apps/mapviewer/index.html?url=https%3A%2F%2Fmdotgis.state.mi.us%2Farcgis%2Frest%2Fservices%2FWidget%2FNextGenPrFinderPub%2FFeatureServer%2F353&amp;find="&amp;$F390&amp;"%2C"&amp;$E390&amp;"&amp;marker="&amp;$F390&amp;","&amp;$E390&amp;",4326&amp;level=16",IF(_xlfn.SINGLE(JobState)="IN","https://fema.maps.arcgis.com/apps/mapviewer/index.html?url=https%3A%2F%2Fgisdata.in.gov%2Fserver%2Frest%2Fservices%2FHosted%2FLRSE_Functional_Class%2FFeatureServer%2F22&amp;find="&amp;$F390&amp;"%2C"&amp;$E390&amp;"&amp;marker="&amp;$F390&amp;","&amp;$E390&amp;",4326&amp;level=16",IF(_xlfn.SINGLE(JobState)="WI","https://fema.maps.arcgis.com/apps/mapviewer/index.html?url=https%3A%2F%2Fservices5.arcgis.com%2F0pgGLzT0Nh7FVjon%2Farcgis%2Frest%2Fservices%2FFFCL_gdb%2FFeatureServer%2F3&amp;find="&amp;$F390&amp;"%2C"&amp;$E390&amp;"&amp;marker="&amp;$F390&amp;","&amp;$E390&amp;",4326&amp;level=16","https://fema.maps.arcgis.com/apps/mapviewer/index.html?find="&amp;$F390&amp;"%2C"&amp;$E390&amp;"&amp;marker="&amp;$F390&amp;","&amp;$E390&amp;",4326&amp;level=16"))),"Open"))</f>
        <v/>
      </c>
      <c r="T390" s="4"/>
      <c r="U390" s="4"/>
      <c r="V390" s="4"/>
      <c r="W390" s="4"/>
      <c r="X390" s="4"/>
      <c r="Y390" s="4"/>
      <c r="Z390" s="4"/>
      <c r="AA390" s="4"/>
      <c r="AB390" s="1" t="str">
        <f>IF(OR(_xlfn.SINGLE(JobAgolMap)="", $E390="", $F390=""),"",HYPERLINK(_xlfn.SINGLE(JobAgolMap)&amp;IF(ISNUMBER(FIND("?",_xlfn.SINGLE(JobAgolMap))),"&amp;","?")&amp;"center="&amp;$F390&amp;","&amp;$E390&amp;"&amp;level=16&amp;marker="&amp;$F390&amp;","&amp;$E390,"Open"))</f>
        <v/>
      </c>
    </row>
    <row r="391" spans="1:28" x14ac:dyDescent="0.45">
      <c r="A391" s="3"/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4"/>
      <c r="M391" s="1" t="str">
        <f t="shared" si="36"/>
        <v/>
      </c>
      <c r="N391" s="1" t="str">
        <f t="shared" si="37"/>
        <v/>
      </c>
      <c r="O391" s="1" t="str">
        <f t="shared" si="38"/>
        <v/>
      </c>
      <c r="P391" s="1" t="str">
        <f t="shared" si="39"/>
        <v/>
      </c>
      <c r="Q391" s="1" t="str">
        <f t="shared" si="40"/>
        <v/>
      </c>
      <c r="R391" s="1" t="str">
        <f t="shared" si="41"/>
        <v/>
      </c>
      <c r="S391" s="1" t="str">
        <f>IF(OR($E391="",$F391=""),"",HYPERLINK(IF(OR(_xlfn.SINGLE(JobState)="MI",_xlfn.SINGLE(JobState)=""),"https://fema.maps.arcgis.com/apps/mapviewer/index.html?url=https%3A%2F%2Fmdotgis.state.mi.us%2Farcgis%2Frest%2Fservices%2FWidget%2FNextGenPrFinderPub%2FFeatureServer%2F353&amp;find="&amp;$F391&amp;"%2C"&amp;$E391&amp;"&amp;marker="&amp;$F391&amp;","&amp;$E391&amp;",4326&amp;level=16",IF(_xlfn.SINGLE(JobState)="IN","https://fema.maps.arcgis.com/apps/mapviewer/index.html?url=https%3A%2F%2Fgisdata.in.gov%2Fserver%2Frest%2Fservices%2FHosted%2FLRSE_Functional_Class%2FFeatureServer%2F22&amp;find="&amp;$F391&amp;"%2C"&amp;$E391&amp;"&amp;marker="&amp;$F391&amp;","&amp;$E391&amp;",4326&amp;level=16",IF(_xlfn.SINGLE(JobState)="WI","https://fema.maps.arcgis.com/apps/mapviewer/index.html?url=https%3A%2F%2Fservices5.arcgis.com%2F0pgGLzT0Nh7FVjon%2Farcgis%2Frest%2Fservices%2FFFCL_gdb%2FFeatureServer%2F3&amp;find="&amp;$F391&amp;"%2C"&amp;$E391&amp;"&amp;marker="&amp;$F391&amp;","&amp;$E391&amp;",4326&amp;level=16","https://fema.maps.arcgis.com/apps/mapviewer/index.html?find="&amp;$F391&amp;"%2C"&amp;$E391&amp;"&amp;marker="&amp;$F391&amp;","&amp;$E391&amp;",4326&amp;level=16"))),"Open"))</f>
        <v/>
      </c>
      <c r="T391" s="4"/>
      <c r="U391" s="4"/>
      <c r="V391" s="4"/>
      <c r="W391" s="4"/>
      <c r="X391" s="4"/>
      <c r="Y391" s="4"/>
      <c r="Z391" s="4"/>
      <c r="AA391" s="4"/>
      <c r="AB391" s="1" t="str">
        <f>IF(OR(_xlfn.SINGLE(JobAgolMap)="", $E391="", $F391=""),"",HYPERLINK(_xlfn.SINGLE(JobAgolMap)&amp;IF(ISNUMBER(FIND("?",_xlfn.SINGLE(JobAgolMap))),"&amp;","?")&amp;"center="&amp;$F391&amp;","&amp;$E391&amp;"&amp;level=16&amp;marker="&amp;$F391&amp;","&amp;$E391,"Open"))</f>
        <v/>
      </c>
    </row>
    <row r="392" spans="1:28" x14ac:dyDescent="0.45">
      <c r="A392" s="3"/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4"/>
      <c r="M392" s="1" t="str">
        <f t="shared" si="36"/>
        <v/>
      </c>
      <c r="N392" s="1" t="str">
        <f t="shared" si="37"/>
        <v/>
      </c>
      <c r="O392" s="1" t="str">
        <f t="shared" si="38"/>
        <v/>
      </c>
      <c r="P392" s="1" t="str">
        <f t="shared" si="39"/>
        <v/>
      </c>
      <c r="Q392" s="1" t="str">
        <f t="shared" si="40"/>
        <v/>
      </c>
      <c r="R392" s="1" t="str">
        <f t="shared" si="41"/>
        <v/>
      </c>
      <c r="S392" s="1" t="str">
        <f>IF(OR($E392="",$F392=""),"",HYPERLINK(IF(OR(_xlfn.SINGLE(JobState)="MI",_xlfn.SINGLE(JobState)=""),"https://fema.maps.arcgis.com/apps/mapviewer/index.html?url=https%3A%2F%2Fmdotgis.state.mi.us%2Farcgis%2Frest%2Fservices%2FWidget%2FNextGenPrFinderPub%2FFeatureServer%2F353&amp;find="&amp;$F392&amp;"%2C"&amp;$E392&amp;"&amp;marker="&amp;$F392&amp;","&amp;$E392&amp;",4326&amp;level=16",IF(_xlfn.SINGLE(JobState)="IN","https://fema.maps.arcgis.com/apps/mapviewer/index.html?url=https%3A%2F%2Fgisdata.in.gov%2Fserver%2Frest%2Fservices%2FHosted%2FLRSE_Functional_Class%2FFeatureServer%2F22&amp;find="&amp;$F392&amp;"%2C"&amp;$E392&amp;"&amp;marker="&amp;$F392&amp;","&amp;$E392&amp;",4326&amp;level=16",IF(_xlfn.SINGLE(JobState)="WI","https://fema.maps.arcgis.com/apps/mapviewer/index.html?url=https%3A%2F%2Fservices5.arcgis.com%2F0pgGLzT0Nh7FVjon%2Farcgis%2Frest%2Fservices%2FFFCL_gdb%2FFeatureServer%2F3&amp;find="&amp;$F392&amp;"%2C"&amp;$E392&amp;"&amp;marker="&amp;$F392&amp;","&amp;$E392&amp;",4326&amp;level=16","https://fema.maps.arcgis.com/apps/mapviewer/index.html?find="&amp;$F392&amp;"%2C"&amp;$E392&amp;"&amp;marker="&amp;$F392&amp;","&amp;$E392&amp;",4326&amp;level=16"))),"Open"))</f>
        <v/>
      </c>
      <c r="T392" s="4"/>
      <c r="U392" s="4"/>
      <c r="V392" s="4"/>
      <c r="W392" s="4"/>
      <c r="X392" s="4"/>
      <c r="Y392" s="4"/>
      <c r="Z392" s="4"/>
      <c r="AA392" s="4"/>
      <c r="AB392" s="1" t="str">
        <f>IF(OR(_xlfn.SINGLE(JobAgolMap)="", $E392="", $F392=""),"",HYPERLINK(_xlfn.SINGLE(JobAgolMap)&amp;IF(ISNUMBER(FIND("?",_xlfn.SINGLE(JobAgolMap))),"&amp;","?")&amp;"center="&amp;$F392&amp;","&amp;$E392&amp;"&amp;level=16&amp;marker="&amp;$F392&amp;","&amp;$E392,"Open"))</f>
        <v/>
      </c>
    </row>
    <row r="393" spans="1:28" x14ac:dyDescent="0.45">
      <c r="A393" s="3"/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4"/>
      <c r="M393" s="1" t="str">
        <f t="shared" si="36"/>
        <v/>
      </c>
      <c r="N393" s="1" t="str">
        <f t="shared" si="37"/>
        <v/>
      </c>
      <c r="O393" s="1" t="str">
        <f t="shared" si="38"/>
        <v/>
      </c>
      <c r="P393" s="1" t="str">
        <f t="shared" si="39"/>
        <v/>
      </c>
      <c r="Q393" s="1" t="str">
        <f t="shared" si="40"/>
        <v/>
      </c>
      <c r="R393" s="1" t="str">
        <f t="shared" si="41"/>
        <v/>
      </c>
      <c r="S393" s="1" t="str">
        <f>IF(OR($E393="",$F393=""),"",HYPERLINK(IF(OR(_xlfn.SINGLE(JobState)="MI",_xlfn.SINGLE(JobState)=""),"https://fema.maps.arcgis.com/apps/mapviewer/index.html?url=https%3A%2F%2Fmdotgis.state.mi.us%2Farcgis%2Frest%2Fservices%2FWidget%2FNextGenPrFinderPub%2FFeatureServer%2F353&amp;find="&amp;$F393&amp;"%2C"&amp;$E393&amp;"&amp;marker="&amp;$F393&amp;","&amp;$E393&amp;",4326&amp;level=16",IF(_xlfn.SINGLE(JobState)="IN","https://fema.maps.arcgis.com/apps/mapviewer/index.html?url=https%3A%2F%2Fgisdata.in.gov%2Fserver%2Frest%2Fservices%2FHosted%2FLRSE_Functional_Class%2FFeatureServer%2F22&amp;find="&amp;$F393&amp;"%2C"&amp;$E393&amp;"&amp;marker="&amp;$F393&amp;","&amp;$E393&amp;",4326&amp;level=16",IF(_xlfn.SINGLE(JobState)="WI","https://fema.maps.arcgis.com/apps/mapviewer/index.html?url=https%3A%2F%2Fservices5.arcgis.com%2F0pgGLzT0Nh7FVjon%2Farcgis%2Frest%2Fservices%2FFFCL_gdb%2FFeatureServer%2F3&amp;find="&amp;$F393&amp;"%2C"&amp;$E393&amp;"&amp;marker="&amp;$F393&amp;","&amp;$E393&amp;",4326&amp;level=16","https://fema.maps.arcgis.com/apps/mapviewer/index.html?find="&amp;$F393&amp;"%2C"&amp;$E393&amp;"&amp;marker="&amp;$F393&amp;","&amp;$E393&amp;",4326&amp;level=16"))),"Open"))</f>
        <v/>
      </c>
      <c r="T393" s="4"/>
      <c r="U393" s="4"/>
      <c r="V393" s="4"/>
      <c r="W393" s="4"/>
      <c r="X393" s="4"/>
      <c r="Y393" s="4"/>
      <c r="Z393" s="4"/>
      <c r="AA393" s="4"/>
      <c r="AB393" s="1" t="str">
        <f>IF(OR(_xlfn.SINGLE(JobAgolMap)="", $E393="", $F393=""),"",HYPERLINK(_xlfn.SINGLE(JobAgolMap)&amp;IF(ISNUMBER(FIND("?",_xlfn.SINGLE(JobAgolMap))),"&amp;","?")&amp;"center="&amp;$F393&amp;","&amp;$E393&amp;"&amp;level=16&amp;marker="&amp;$F393&amp;","&amp;$E393,"Open"))</f>
        <v/>
      </c>
    </row>
    <row r="394" spans="1:28" x14ac:dyDescent="0.45">
      <c r="A394" s="3"/>
      <c r="B394" s="3"/>
      <c r="C394" s="3"/>
      <c r="D394" s="3"/>
      <c r="E394" s="3"/>
      <c r="F394" s="3"/>
      <c r="G394" s="3"/>
      <c r="H394" s="3"/>
      <c r="I394" s="3"/>
      <c r="J394" s="3"/>
      <c r="K394" s="3"/>
      <c r="L394" s="4"/>
      <c r="M394" s="1" t="str">
        <f t="shared" si="36"/>
        <v/>
      </c>
      <c r="N394" s="1" t="str">
        <f t="shared" si="37"/>
        <v/>
      </c>
      <c r="O394" s="1" t="str">
        <f t="shared" si="38"/>
        <v/>
      </c>
      <c r="P394" s="1" t="str">
        <f t="shared" si="39"/>
        <v/>
      </c>
      <c r="Q394" s="1" t="str">
        <f t="shared" si="40"/>
        <v/>
      </c>
      <c r="R394" s="1" t="str">
        <f t="shared" si="41"/>
        <v/>
      </c>
      <c r="S394" s="1" t="str">
        <f>IF(OR($E394="",$F394=""),"",HYPERLINK(IF(OR(_xlfn.SINGLE(JobState)="MI",_xlfn.SINGLE(JobState)=""),"https://fema.maps.arcgis.com/apps/mapviewer/index.html?url=https%3A%2F%2Fmdotgis.state.mi.us%2Farcgis%2Frest%2Fservices%2FWidget%2FNextGenPrFinderPub%2FFeatureServer%2F353&amp;find="&amp;$F394&amp;"%2C"&amp;$E394&amp;"&amp;marker="&amp;$F394&amp;","&amp;$E394&amp;",4326&amp;level=16",IF(_xlfn.SINGLE(JobState)="IN","https://fema.maps.arcgis.com/apps/mapviewer/index.html?url=https%3A%2F%2Fgisdata.in.gov%2Fserver%2Frest%2Fservices%2FHosted%2FLRSE_Functional_Class%2FFeatureServer%2F22&amp;find="&amp;$F394&amp;"%2C"&amp;$E394&amp;"&amp;marker="&amp;$F394&amp;","&amp;$E394&amp;",4326&amp;level=16",IF(_xlfn.SINGLE(JobState)="WI","https://fema.maps.arcgis.com/apps/mapviewer/index.html?url=https%3A%2F%2Fservices5.arcgis.com%2F0pgGLzT0Nh7FVjon%2Farcgis%2Frest%2Fservices%2FFFCL_gdb%2FFeatureServer%2F3&amp;find="&amp;$F394&amp;"%2C"&amp;$E394&amp;"&amp;marker="&amp;$F394&amp;","&amp;$E394&amp;",4326&amp;level=16","https://fema.maps.arcgis.com/apps/mapviewer/index.html?find="&amp;$F394&amp;"%2C"&amp;$E394&amp;"&amp;marker="&amp;$F394&amp;","&amp;$E394&amp;",4326&amp;level=16"))),"Open"))</f>
        <v/>
      </c>
      <c r="T394" s="4"/>
      <c r="U394" s="4"/>
      <c r="V394" s="4"/>
      <c r="W394" s="4"/>
      <c r="X394" s="4"/>
      <c r="Y394" s="4"/>
      <c r="Z394" s="4"/>
      <c r="AA394" s="4"/>
      <c r="AB394" s="1" t="str">
        <f>IF(OR(_xlfn.SINGLE(JobAgolMap)="", $E394="", $F394=""),"",HYPERLINK(_xlfn.SINGLE(JobAgolMap)&amp;IF(ISNUMBER(FIND("?",_xlfn.SINGLE(JobAgolMap))),"&amp;","?")&amp;"center="&amp;$F394&amp;","&amp;$E394&amp;"&amp;level=16&amp;marker="&amp;$F394&amp;","&amp;$E394,"Open"))</f>
        <v/>
      </c>
    </row>
    <row r="395" spans="1:28" x14ac:dyDescent="0.45">
      <c r="A395" s="3"/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4"/>
      <c r="M395" s="1" t="str">
        <f t="shared" si="36"/>
        <v/>
      </c>
      <c r="N395" s="1" t="str">
        <f t="shared" si="37"/>
        <v/>
      </c>
      <c r="O395" s="1" t="str">
        <f t="shared" si="38"/>
        <v/>
      </c>
      <c r="P395" s="1" t="str">
        <f t="shared" si="39"/>
        <v/>
      </c>
      <c r="Q395" s="1" t="str">
        <f t="shared" si="40"/>
        <v/>
      </c>
      <c r="R395" s="1" t="str">
        <f t="shared" si="41"/>
        <v/>
      </c>
      <c r="S395" s="1" t="str">
        <f>IF(OR($E395="",$F395=""),"",HYPERLINK(IF(OR(_xlfn.SINGLE(JobState)="MI",_xlfn.SINGLE(JobState)=""),"https://fema.maps.arcgis.com/apps/mapviewer/index.html?url=https%3A%2F%2Fmdotgis.state.mi.us%2Farcgis%2Frest%2Fservices%2FWidget%2FNextGenPrFinderPub%2FFeatureServer%2F353&amp;find="&amp;$F395&amp;"%2C"&amp;$E395&amp;"&amp;marker="&amp;$F395&amp;","&amp;$E395&amp;",4326&amp;level=16",IF(_xlfn.SINGLE(JobState)="IN","https://fema.maps.arcgis.com/apps/mapviewer/index.html?url=https%3A%2F%2Fgisdata.in.gov%2Fserver%2Frest%2Fservices%2FHosted%2FLRSE_Functional_Class%2FFeatureServer%2F22&amp;find="&amp;$F395&amp;"%2C"&amp;$E395&amp;"&amp;marker="&amp;$F395&amp;","&amp;$E395&amp;",4326&amp;level=16",IF(_xlfn.SINGLE(JobState)="WI","https://fema.maps.arcgis.com/apps/mapviewer/index.html?url=https%3A%2F%2Fservices5.arcgis.com%2F0pgGLzT0Nh7FVjon%2Farcgis%2Frest%2Fservices%2FFFCL_gdb%2FFeatureServer%2F3&amp;find="&amp;$F395&amp;"%2C"&amp;$E395&amp;"&amp;marker="&amp;$F395&amp;","&amp;$E395&amp;",4326&amp;level=16","https://fema.maps.arcgis.com/apps/mapviewer/index.html?find="&amp;$F395&amp;"%2C"&amp;$E395&amp;"&amp;marker="&amp;$F395&amp;","&amp;$E395&amp;",4326&amp;level=16"))),"Open"))</f>
        <v/>
      </c>
      <c r="T395" s="4"/>
      <c r="U395" s="4"/>
      <c r="V395" s="4"/>
      <c r="W395" s="4"/>
      <c r="X395" s="4"/>
      <c r="Y395" s="4"/>
      <c r="Z395" s="4"/>
      <c r="AA395" s="4"/>
      <c r="AB395" s="1" t="str">
        <f>IF(OR(_xlfn.SINGLE(JobAgolMap)="", $E395="", $F395=""),"",HYPERLINK(_xlfn.SINGLE(JobAgolMap)&amp;IF(ISNUMBER(FIND("?",_xlfn.SINGLE(JobAgolMap))),"&amp;","?")&amp;"center="&amp;$F395&amp;","&amp;$E395&amp;"&amp;level=16&amp;marker="&amp;$F395&amp;","&amp;$E395,"Open"))</f>
        <v/>
      </c>
    </row>
    <row r="396" spans="1:28" x14ac:dyDescent="0.45">
      <c r="A396" s="3"/>
      <c r="B396" s="3"/>
      <c r="C396" s="3"/>
      <c r="D396" s="3"/>
      <c r="E396" s="3"/>
      <c r="F396" s="3"/>
      <c r="G396" s="3"/>
      <c r="H396" s="3"/>
      <c r="I396" s="3"/>
      <c r="J396" s="3"/>
      <c r="K396" s="3"/>
      <c r="L396" s="4"/>
      <c r="M396" s="1" t="str">
        <f t="shared" si="36"/>
        <v/>
      </c>
      <c r="N396" s="1" t="str">
        <f t="shared" si="37"/>
        <v/>
      </c>
      <c r="O396" s="1" t="str">
        <f t="shared" si="38"/>
        <v/>
      </c>
      <c r="P396" s="1" t="str">
        <f t="shared" si="39"/>
        <v/>
      </c>
      <c r="Q396" s="1" t="str">
        <f t="shared" si="40"/>
        <v/>
      </c>
      <c r="R396" s="1" t="str">
        <f t="shared" si="41"/>
        <v/>
      </c>
      <c r="S396" s="1" t="str">
        <f>IF(OR($E396="",$F396=""),"",HYPERLINK(IF(OR(_xlfn.SINGLE(JobState)="MI",_xlfn.SINGLE(JobState)=""),"https://fema.maps.arcgis.com/apps/mapviewer/index.html?url=https%3A%2F%2Fmdotgis.state.mi.us%2Farcgis%2Frest%2Fservices%2FWidget%2FNextGenPrFinderPub%2FFeatureServer%2F353&amp;find="&amp;$F396&amp;"%2C"&amp;$E396&amp;"&amp;marker="&amp;$F396&amp;","&amp;$E396&amp;",4326&amp;level=16",IF(_xlfn.SINGLE(JobState)="IN","https://fema.maps.arcgis.com/apps/mapviewer/index.html?url=https%3A%2F%2Fgisdata.in.gov%2Fserver%2Frest%2Fservices%2FHosted%2FLRSE_Functional_Class%2FFeatureServer%2F22&amp;find="&amp;$F396&amp;"%2C"&amp;$E396&amp;"&amp;marker="&amp;$F396&amp;","&amp;$E396&amp;",4326&amp;level=16",IF(_xlfn.SINGLE(JobState)="WI","https://fema.maps.arcgis.com/apps/mapviewer/index.html?url=https%3A%2F%2Fservices5.arcgis.com%2F0pgGLzT0Nh7FVjon%2Farcgis%2Frest%2Fservices%2FFFCL_gdb%2FFeatureServer%2F3&amp;find="&amp;$F396&amp;"%2C"&amp;$E396&amp;"&amp;marker="&amp;$F396&amp;","&amp;$E396&amp;",4326&amp;level=16","https://fema.maps.arcgis.com/apps/mapviewer/index.html?find="&amp;$F396&amp;"%2C"&amp;$E396&amp;"&amp;marker="&amp;$F396&amp;","&amp;$E396&amp;",4326&amp;level=16"))),"Open"))</f>
        <v/>
      </c>
      <c r="T396" s="4"/>
      <c r="U396" s="4"/>
      <c r="V396" s="4"/>
      <c r="W396" s="4"/>
      <c r="X396" s="4"/>
      <c r="Y396" s="4"/>
      <c r="Z396" s="4"/>
      <c r="AA396" s="4"/>
      <c r="AB396" s="1" t="str">
        <f>IF(OR(_xlfn.SINGLE(JobAgolMap)="", $E396="", $F396=""),"",HYPERLINK(_xlfn.SINGLE(JobAgolMap)&amp;IF(ISNUMBER(FIND("?",_xlfn.SINGLE(JobAgolMap))),"&amp;","?")&amp;"center="&amp;$F396&amp;","&amp;$E396&amp;"&amp;level=16&amp;marker="&amp;$F396&amp;","&amp;$E396,"Open"))</f>
        <v/>
      </c>
    </row>
    <row r="397" spans="1:28" x14ac:dyDescent="0.45">
      <c r="A397" s="3"/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4"/>
      <c r="M397" s="1" t="str">
        <f t="shared" si="36"/>
        <v/>
      </c>
      <c r="N397" s="1" t="str">
        <f t="shared" si="37"/>
        <v/>
      </c>
      <c r="O397" s="1" t="str">
        <f t="shared" si="38"/>
        <v/>
      </c>
      <c r="P397" s="1" t="str">
        <f t="shared" si="39"/>
        <v/>
      </c>
      <c r="Q397" s="1" t="str">
        <f t="shared" si="40"/>
        <v/>
      </c>
      <c r="R397" s="1" t="str">
        <f t="shared" si="41"/>
        <v/>
      </c>
      <c r="S397" s="1" t="str">
        <f>IF(OR($E397="",$F397=""),"",HYPERLINK(IF(OR(_xlfn.SINGLE(JobState)="MI",_xlfn.SINGLE(JobState)=""),"https://fema.maps.arcgis.com/apps/mapviewer/index.html?url=https%3A%2F%2Fmdotgis.state.mi.us%2Farcgis%2Frest%2Fservices%2FWidget%2FNextGenPrFinderPub%2FFeatureServer%2F353&amp;find="&amp;$F397&amp;"%2C"&amp;$E397&amp;"&amp;marker="&amp;$F397&amp;","&amp;$E397&amp;",4326&amp;level=16",IF(_xlfn.SINGLE(JobState)="IN","https://fema.maps.arcgis.com/apps/mapviewer/index.html?url=https%3A%2F%2Fgisdata.in.gov%2Fserver%2Frest%2Fservices%2FHosted%2FLRSE_Functional_Class%2FFeatureServer%2F22&amp;find="&amp;$F397&amp;"%2C"&amp;$E397&amp;"&amp;marker="&amp;$F397&amp;","&amp;$E397&amp;",4326&amp;level=16",IF(_xlfn.SINGLE(JobState)="WI","https://fema.maps.arcgis.com/apps/mapviewer/index.html?url=https%3A%2F%2Fservices5.arcgis.com%2F0pgGLzT0Nh7FVjon%2Farcgis%2Frest%2Fservices%2FFFCL_gdb%2FFeatureServer%2F3&amp;find="&amp;$F397&amp;"%2C"&amp;$E397&amp;"&amp;marker="&amp;$F397&amp;","&amp;$E397&amp;",4326&amp;level=16","https://fema.maps.arcgis.com/apps/mapviewer/index.html?find="&amp;$F397&amp;"%2C"&amp;$E397&amp;"&amp;marker="&amp;$F397&amp;","&amp;$E397&amp;",4326&amp;level=16"))),"Open"))</f>
        <v/>
      </c>
      <c r="T397" s="4"/>
      <c r="U397" s="4"/>
      <c r="V397" s="4"/>
      <c r="W397" s="4"/>
      <c r="X397" s="4"/>
      <c r="Y397" s="4"/>
      <c r="Z397" s="4"/>
      <c r="AA397" s="4"/>
      <c r="AB397" s="1" t="str">
        <f>IF(OR(_xlfn.SINGLE(JobAgolMap)="", $E397="", $F397=""),"",HYPERLINK(_xlfn.SINGLE(JobAgolMap)&amp;IF(ISNUMBER(FIND("?",_xlfn.SINGLE(JobAgolMap))),"&amp;","?")&amp;"center="&amp;$F397&amp;","&amp;$E397&amp;"&amp;level=16&amp;marker="&amp;$F397&amp;","&amp;$E397,"Open"))</f>
        <v/>
      </c>
    </row>
    <row r="398" spans="1:28" x14ac:dyDescent="0.45">
      <c r="A398" s="3"/>
      <c r="B398" s="3"/>
      <c r="C398" s="3"/>
      <c r="D398" s="3"/>
      <c r="E398" s="3"/>
      <c r="F398" s="3"/>
      <c r="G398" s="3"/>
      <c r="H398" s="3"/>
      <c r="I398" s="3"/>
      <c r="J398" s="3"/>
      <c r="K398" s="3"/>
      <c r="L398" s="4"/>
      <c r="M398" s="1" t="str">
        <f t="shared" si="36"/>
        <v/>
      </c>
      <c r="N398" s="1" t="str">
        <f t="shared" si="37"/>
        <v/>
      </c>
      <c r="O398" s="1" t="str">
        <f t="shared" si="38"/>
        <v/>
      </c>
      <c r="P398" s="1" t="str">
        <f t="shared" si="39"/>
        <v/>
      </c>
      <c r="Q398" s="1" t="str">
        <f t="shared" si="40"/>
        <v/>
      </c>
      <c r="R398" s="1" t="str">
        <f t="shared" si="41"/>
        <v/>
      </c>
      <c r="S398" s="1" t="str">
        <f>IF(OR($E398="",$F398=""),"",HYPERLINK(IF(OR(_xlfn.SINGLE(JobState)="MI",_xlfn.SINGLE(JobState)=""),"https://fema.maps.arcgis.com/apps/mapviewer/index.html?url=https%3A%2F%2Fmdotgis.state.mi.us%2Farcgis%2Frest%2Fservices%2FWidget%2FNextGenPrFinderPub%2FFeatureServer%2F353&amp;find="&amp;$F398&amp;"%2C"&amp;$E398&amp;"&amp;marker="&amp;$F398&amp;","&amp;$E398&amp;",4326&amp;level=16",IF(_xlfn.SINGLE(JobState)="IN","https://fema.maps.arcgis.com/apps/mapviewer/index.html?url=https%3A%2F%2Fgisdata.in.gov%2Fserver%2Frest%2Fservices%2FHosted%2FLRSE_Functional_Class%2FFeatureServer%2F22&amp;find="&amp;$F398&amp;"%2C"&amp;$E398&amp;"&amp;marker="&amp;$F398&amp;","&amp;$E398&amp;",4326&amp;level=16",IF(_xlfn.SINGLE(JobState)="WI","https://fema.maps.arcgis.com/apps/mapviewer/index.html?url=https%3A%2F%2Fservices5.arcgis.com%2F0pgGLzT0Nh7FVjon%2Farcgis%2Frest%2Fservices%2FFFCL_gdb%2FFeatureServer%2F3&amp;find="&amp;$F398&amp;"%2C"&amp;$E398&amp;"&amp;marker="&amp;$F398&amp;","&amp;$E398&amp;",4326&amp;level=16","https://fema.maps.arcgis.com/apps/mapviewer/index.html?find="&amp;$F398&amp;"%2C"&amp;$E398&amp;"&amp;marker="&amp;$F398&amp;","&amp;$E398&amp;",4326&amp;level=16"))),"Open"))</f>
        <v/>
      </c>
      <c r="T398" s="4"/>
      <c r="U398" s="4"/>
      <c r="V398" s="4"/>
      <c r="W398" s="4"/>
      <c r="X398" s="4"/>
      <c r="Y398" s="4"/>
      <c r="Z398" s="4"/>
      <c r="AA398" s="4"/>
      <c r="AB398" s="1" t="str">
        <f>IF(OR(_xlfn.SINGLE(JobAgolMap)="", $E398="", $F398=""),"",HYPERLINK(_xlfn.SINGLE(JobAgolMap)&amp;IF(ISNUMBER(FIND("?",_xlfn.SINGLE(JobAgolMap))),"&amp;","?")&amp;"center="&amp;$F398&amp;","&amp;$E398&amp;"&amp;level=16&amp;marker="&amp;$F398&amp;","&amp;$E398,"Open"))</f>
        <v/>
      </c>
    </row>
    <row r="399" spans="1:28" x14ac:dyDescent="0.45">
      <c r="A399" s="3"/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4"/>
      <c r="M399" s="1" t="str">
        <f t="shared" si="36"/>
        <v/>
      </c>
      <c r="N399" s="1" t="str">
        <f t="shared" si="37"/>
        <v/>
      </c>
      <c r="O399" s="1" t="str">
        <f t="shared" si="38"/>
        <v/>
      </c>
      <c r="P399" s="1" t="str">
        <f t="shared" si="39"/>
        <v/>
      </c>
      <c r="Q399" s="1" t="str">
        <f t="shared" si="40"/>
        <v/>
      </c>
      <c r="R399" s="1" t="str">
        <f t="shared" si="41"/>
        <v/>
      </c>
      <c r="S399" s="1" t="str">
        <f>IF(OR($E399="",$F399=""),"",HYPERLINK(IF(OR(_xlfn.SINGLE(JobState)="MI",_xlfn.SINGLE(JobState)=""),"https://fema.maps.arcgis.com/apps/mapviewer/index.html?url=https%3A%2F%2Fmdotgis.state.mi.us%2Farcgis%2Frest%2Fservices%2FWidget%2FNextGenPrFinderPub%2FFeatureServer%2F353&amp;find="&amp;$F399&amp;"%2C"&amp;$E399&amp;"&amp;marker="&amp;$F399&amp;","&amp;$E399&amp;",4326&amp;level=16",IF(_xlfn.SINGLE(JobState)="IN","https://fema.maps.arcgis.com/apps/mapviewer/index.html?url=https%3A%2F%2Fgisdata.in.gov%2Fserver%2Frest%2Fservices%2FHosted%2FLRSE_Functional_Class%2FFeatureServer%2F22&amp;find="&amp;$F399&amp;"%2C"&amp;$E399&amp;"&amp;marker="&amp;$F399&amp;","&amp;$E399&amp;",4326&amp;level=16",IF(_xlfn.SINGLE(JobState)="WI","https://fema.maps.arcgis.com/apps/mapviewer/index.html?url=https%3A%2F%2Fservices5.arcgis.com%2F0pgGLzT0Nh7FVjon%2Farcgis%2Frest%2Fservices%2FFFCL_gdb%2FFeatureServer%2F3&amp;find="&amp;$F399&amp;"%2C"&amp;$E399&amp;"&amp;marker="&amp;$F399&amp;","&amp;$E399&amp;",4326&amp;level=16","https://fema.maps.arcgis.com/apps/mapviewer/index.html?find="&amp;$F399&amp;"%2C"&amp;$E399&amp;"&amp;marker="&amp;$F399&amp;","&amp;$E399&amp;",4326&amp;level=16"))),"Open"))</f>
        <v/>
      </c>
      <c r="T399" s="4"/>
      <c r="U399" s="4"/>
      <c r="V399" s="4"/>
      <c r="W399" s="4"/>
      <c r="X399" s="4"/>
      <c r="Y399" s="4"/>
      <c r="Z399" s="4"/>
      <c r="AA399" s="4"/>
      <c r="AB399" s="1" t="str">
        <f>IF(OR(_xlfn.SINGLE(JobAgolMap)="", $E399="", $F399=""),"",HYPERLINK(_xlfn.SINGLE(JobAgolMap)&amp;IF(ISNUMBER(FIND("?",_xlfn.SINGLE(JobAgolMap))),"&amp;","?")&amp;"center="&amp;$F399&amp;","&amp;$E399&amp;"&amp;level=16&amp;marker="&amp;$F399&amp;","&amp;$E399,"Open"))</f>
        <v/>
      </c>
    </row>
    <row r="400" spans="1:28" x14ac:dyDescent="0.45">
      <c r="A400" s="3"/>
      <c r="B400" s="3"/>
      <c r="C400" s="3"/>
      <c r="D400" s="3"/>
      <c r="E400" s="3"/>
      <c r="F400" s="3"/>
      <c r="G400" s="3"/>
      <c r="H400" s="3"/>
      <c r="I400" s="3"/>
      <c r="J400" s="3"/>
      <c r="K400" s="3"/>
      <c r="L400" s="4"/>
      <c r="M400" s="1" t="str">
        <f t="shared" si="36"/>
        <v/>
      </c>
      <c r="N400" s="1" t="str">
        <f t="shared" si="37"/>
        <v/>
      </c>
      <c r="O400" s="1" t="str">
        <f t="shared" si="38"/>
        <v/>
      </c>
      <c r="P400" s="1" t="str">
        <f t="shared" si="39"/>
        <v/>
      </c>
      <c r="Q400" s="1" t="str">
        <f t="shared" si="40"/>
        <v/>
      </c>
      <c r="R400" s="1" t="str">
        <f t="shared" si="41"/>
        <v/>
      </c>
      <c r="S400" s="1" t="str">
        <f>IF(OR($E400="",$F400=""),"",HYPERLINK(IF(OR(_xlfn.SINGLE(JobState)="MI",_xlfn.SINGLE(JobState)=""),"https://fema.maps.arcgis.com/apps/mapviewer/index.html?url=https%3A%2F%2Fmdotgis.state.mi.us%2Farcgis%2Frest%2Fservices%2FWidget%2FNextGenPrFinderPub%2FFeatureServer%2F353&amp;find="&amp;$F400&amp;"%2C"&amp;$E400&amp;"&amp;marker="&amp;$F400&amp;","&amp;$E400&amp;",4326&amp;level=16",IF(_xlfn.SINGLE(JobState)="IN","https://fema.maps.arcgis.com/apps/mapviewer/index.html?url=https%3A%2F%2Fgisdata.in.gov%2Fserver%2Frest%2Fservices%2FHosted%2FLRSE_Functional_Class%2FFeatureServer%2F22&amp;find="&amp;$F400&amp;"%2C"&amp;$E400&amp;"&amp;marker="&amp;$F400&amp;","&amp;$E400&amp;",4326&amp;level=16",IF(_xlfn.SINGLE(JobState)="WI","https://fema.maps.arcgis.com/apps/mapviewer/index.html?url=https%3A%2F%2Fservices5.arcgis.com%2F0pgGLzT0Nh7FVjon%2Farcgis%2Frest%2Fservices%2FFFCL_gdb%2FFeatureServer%2F3&amp;find="&amp;$F400&amp;"%2C"&amp;$E400&amp;"&amp;marker="&amp;$F400&amp;","&amp;$E400&amp;",4326&amp;level=16","https://fema.maps.arcgis.com/apps/mapviewer/index.html?find="&amp;$F400&amp;"%2C"&amp;$E400&amp;"&amp;marker="&amp;$F400&amp;","&amp;$E400&amp;",4326&amp;level=16"))),"Open"))</f>
        <v/>
      </c>
      <c r="T400" s="4"/>
      <c r="U400" s="4"/>
      <c r="V400" s="4"/>
      <c r="W400" s="4"/>
      <c r="X400" s="4"/>
      <c r="Y400" s="4"/>
      <c r="Z400" s="4"/>
      <c r="AA400" s="4"/>
      <c r="AB400" s="1" t="str">
        <f>IF(OR(_xlfn.SINGLE(JobAgolMap)="", $E400="", $F400=""),"",HYPERLINK(_xlfn.SINGLE(JobAgolMap)&amp;IF(ISNUMBER(FIND("?",_xlfn.SINGLE(JobAgolMap))),"&amp;","?")&amp;"center="&amp;$F400&amp;","&amp;$E400&amp;"&amp;level=16&amp;marker="&amp;$F400&amp;","&amp;$E400,"Open"))</f>
        <v/>
      </c>
    </row>
    <row r="401" spans="1:28" x14ac:dyDescent="0.45">
      <c r="A401" s="3"/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4"/>
      <c r="M401" s="1" t="str">
        <f t="shared" si="36"/>
        <v/>
      </c>
      <c r="N401" s="1" t="str">
        <f t="shared" si="37"/>
        <v/>
      </c>
      <c r="O401" s="1" t="str">
        <f t="shared" si="38"/>
        <v/>
      </c>
      <c r="P401" s="1" t="str">
        <f t="shared" si="39"/>
        <v/>
      </c>
      <c r="Q401" s="1" t="str">
        <f t="shared" si="40"/>
        <v/>
      </c>
      <c r="R401" s="1" t="str">
        <f t="shared" si="41"/>
        <v/>
      </c>
      <c r="S401" s="1" t="str">
        <f>IF(OR($E401="",$F401=""),"",HYPERLINK(IF(OR(_xlfn.SINGLE(JobState)="MI",_xlfn.SINGLE(JobState)=""),"https://fema.maps.arcgis.com/apps/mapviewer/index.html?url=https%3A%2F%2Fmdotgis.state.mi.us%2Farcgis%2Frest%2Fservices%2FWidget%2FNextGenPrFinderPub%2FFeatureServer%2F353&amp;find="&amp;$F401&amp;"%2C"&amp;$E401&amp;"&amp;marker="&amp;$F401&amp;","&amp;$E401&amp;",4326&amp;level=16",IF(_xlfn.SINGLE(JobState)="IN","https://fema.maps.arcgis.com/apps/mapviewer/index.html?url=https%3A%2F%2Fgisdata.in.gov%2Fserver%2Frest%2Fservices%2FHosted%2FLRSE_Functional_Class%2FFeatureServer%2F22&amp;find="&amp;$F401&amp;"%2C"&amp;$E401&amp;"&amp;marker="&amp;$F401&amp;","&amp;$E401&amp;",4326&amp;level=16",IF(_xlfn.SINGLE(JobState)="WI","https://fema.maps.arcgis.com/apps/mapviewer/index.html?url=https%3A%2F%2Fservices5.arcgis.com%2F0pgGLzT0Nh7FVjon%2Farcgis%2Frest%2Fservices%2FFFCL_gdb%2FFeatureServer%2F3&amp;find="&amp;$F401&amp;"%2C"&amp;$E401&amp;"&amp;marker="&amp;$F401&amp;","&amp;$E401&amp;",4326&amp;level=16","https://fema.maps.arcgis.com/apps/mapviewer/index.html?find="&amp;$F401&amp;"%2C"&amp;$E401&amp;"&amp;marker="&amp;$F401&amp;","&amp;$E401&amp;",4326&amp;level=16"))),"Open"))</f>
        <v/>
      </c>
      <c r="T401" s="4"/>
      <c r="U401" s="4"/>
      <c r="V401" s="4"/>
      <c r="W401" s="4"/>
      <c r="X401" s="4"/>
      <c r="Y401" s="4"/>
      <c r="Z401" s="4"/>
      <c r="AA401" s="4"/>
      <c r="AB401" s="1" t="str">
        <f>IF(OR(_xlfn.SINGLE(JobAgolMap)="", $E401="", $F401=""),"",HYPERLINK(_xlfn.SINGLE(JobAgolMap)&amp;IF(ISNUMBER(FIND("?",_xlfn.SINGLE(JobAgolMap))),"&amp;","?")&amp;"center="&amp;$F401&amp;","&amp;$E401&amp;"&amp;level=16&amp;marker="&amp;$F401&amp;","&amp;$E401,"Open"))</f>
        <v/>
      </c>
    </row>
    <row r="402" spans="1:28" x14ac:dyDescent="0.45">
      <c r="A402" s="3"/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4"/>
      <c r="M402" s="1" t="str">
        <f t="shared" si="36"/>
        <v/>
      </c>
      <c r="N402" s="1" t="str">
        <f t="shared" si="37"/>
        <v/>
      </c>
      <c r="O402" s="1" t="str">
        <f t="shared" si="38"/>
        <v/>
      </c>
      <c r="P402" s="1" t="str">
        <f t="shared" si="39"/>
        <v/>
      </c>
      <c r="Q402" s="1" t="str">
        <f t="shared" si="40"/>
        <v/>
      </c>
      <c r="R402" s="1" t="str">
        <f t="shared" si="41"/>
        <v/>
      </c>
      <c r="S402" s="1" t="str">
        <f>IF(OR($E402="",$F402=""),"",HYPERLINK(IF(OR(_xlfn.SINGLE(JobState)="MI",_xlfn.SINGLE(JobState)=""),"https://fema.maps.arcgis.com/apps/mapviewer/index.html?url=https%3A%2F%2Fmdotgis.state.mi.us%2Farcgis%2Frest%2Fservices%2FWidget%2FNextGenPrFinderPub%2FFeatureServer%2F353&amp;find="&amp;$F402&amp;"%2C"&amp;$E402&amp;"&amp;marker="&amp;$F402&amp;","&amp;$E402&amp;",4326&amp;level=16",IF(_xlfn.SINGLE(JobState)="IN","https://fema.maps.arcgis.com/apps/mapviewer/index.html?url=https%3A%2F%2Fgisdata.in.gov%2Fserver%2Frest%2Fservices%2FHosted%2FLRSE_Functional_Class%2FFeatureServer%2F22&amp;find="&amp;$F402&amp;"%2C"&amp;$E402&amp;"&amp;marker="&amp;$F402&amp;","&amp;$E402&amp;",4326&amp;level=16",IF(_xlfn.SINGLE(JobState)="WI","https://fema.maps.arcgis.com/apps/mapviewer/index.html?url=https%3A%2F%2Fservices5.arcgis.com%2F0pgGLzT0Nh7FVjon%2Farcgis%2Frest%2Fservices%2FFFCL_gdb%2FFeatureServer%2F3&amp;find="&amp;$F402&amp;"%2C"&amp;$E402&amp;"&amp;marker="&amp;$F402&amp;","&amp;$E402&amp;",4326&amp;level=16","https://fema.maps.arcgis.com/apps/mapviewer/index.html?find="&amp;$F402&amp;"%2C"&amp;$E402&amp;"&amp;marker="&amp;$F402&amp;","&amp;$E402&amp;",4326&amp;level=16"))),"Open"))</f>
        <v/>
      </c>
      <c r="T402" s="4"/>
      <c r="U402" s="4"/>
      <c r="V402" s="4"/>
      <c r="W402" s="4"/>
      <c r="X402" s="4"/>
      <c r="Y402" s="4"/>
      <c r="Z402" s="4"/>
      <c r="AA402" s="4"/>
      <c r="AB402" s="1" t="str">
        <f>IF(OR(_xlfn.SINGLE(JobAgolMap)="", $E402="", $F402=""),"",HYPERLINK(_xlfn.SINGLE(JobAgolMap)&amp;IF(ISNUMBER(FIND("?",_xlfn.SINGLE(JobAgolMap))),"&amp;","?")&amp;"center="&amp;$F402&amp;","&amp;$E402&amp;"&amp;level=16&amp;marker="&amp;$F402&amp;","&amp;$E402,"Open"))</f>
        <v/>
      </c>
    </row>
    <row r="403" spans="1:28" x14ac:dyDescent="0.45">
      <c r="A403" s="3"/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4"/>
      <c r="M403" s="1" t="str">
        <f t="shared" si="36"/>
        <v/>
      </c>
      <c r="N403" s="1" t="str">
        <f t="shared" si="37"/>
        <v/>
      </c>
      <c r="O403" s="1" t="str">
        <f t="shared" si="38"/>
        <v/>
      </c>
      <c r="P403" s="1" t="str">
        <f t="shared" si="39"/>
        <v/>
      </c>
      <c r="Q403" s="1" t="str">
        <f t="shared" si="40"/>
        <v/>
      </c>
      <c r="R403" s="1" t="str">
        <f t="shared" si="41"/>
        <v/>
      </c>
      <c r="S403" s="1" t="str">
        <f>IF(OR($E403="",$F403=""),"",HYPERLINK(IF(OR(_xlfn.SINGLE(JobState)="MI",_xlfn.SINGLE(JobState)=""),"https://fema.maps.arcgis.com/apps/mapviewer/index.html?url=https%3A%2F%2Fmdotgis.state.mi.us%2Farcgis%2Frest%2Fservices%2FWidget%2FNextGenPrFinderPub%2FFeatureServer%2F353&amp;find="&amp;$F403&amp;"%2C"&amp;$E403&amp;"&amp;marker="&amp;$F403&amp;","&amp;$E403&amp;",4326&amp;level=16",IF(_xlfn.SINGLE(JobState)="IN","https://fema.maps.arcgis.com/apps/mapviewer/index.html?url=https%3A%2F%2Fgisdata.in.gov%2Fserver%2Frest%2Fservices%2FHosted%2FLRSE_Functional_Class%2FFeatureServer%2F22&amp;find="&amp;$F403&amp;"%2C"&amp;$E403&amp;"&amp;marker="&amp;$F403&amp;","&amp;$E403&amp;",4326&amp;level=16",IF(_xlfn.SINGLE(JobState)="WI","https://fema.maps.arcgis.com/apps/mapviewer/index.html?url=https%3A%2F%2Fservices5.arcgis.com%2F0pgGLzT0Nh7FVjon%2Farcgis%2Frest%2Fservices%2FFFCL_gdb%2FFeatureServer%2F3&amp;find="&amp;$F403&amp;"%2C"&amp;$E403&amp;"&amp;marker="&amp;$F403&amp;","&amp;$E403&amp;",4326&amp;level=16","https://fema.maps.arcgis.com/apps/mapviewer/index.html?find="&amp;$F403&amp;"%2C"&amp;$E403&amp;"&amp;marker="&amp;$F403&amp;","&amp;$E403&amp;",4326&amp;level=16"))),"Open"))</f>
        <v/>
      </c>
      <c r="T403" s="4"/>
      <c r="U403" s="4"/>
      <c r="V403" s="4"/>
      <c r="W403" s="4"/>
      <c r="X403" s="4"/>
      <c r="Y403" s="4"/>
      <c r="Z403" s="4"/>
      <c r="AA403" s="4"/>
      <c r="AB403" s="1" t="str">
        <f>IF(OR(_xlfn.SINGLE(JobAgolMap)="", $E403="", $F403=""),"",HYPERLINK(_xlfn.SINGLE(JobAgolMap)&amp;IF(ISNUMBER(FIND("?",_xlfn.SINGLE(JobAgolMap))),"&amp;","?")&amp;"center="&amp;$F403&amp;","&amp;$E403&amp;"&amp;level=16&amp;marker="&amp;$F403&amp;","&amp;$E403,"Open"))</f>
        <v/>
      </c>
    </row>
    <row r="404" spans="1:28" x14ac:dyDescent="0.45">
      <c r="A404" s="3"/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4"/>
      <c r="M404" s="1" t="str">
        <f t="shared" si="36"/>
        <v/>
      </c>
      <c r="N404" s="1" t="str">
        <f t="shared" si="37"/>
        <v/>
      </c>
      <c r="O404" s="1" t="str">
        <f t="shared" si="38"/>
        <v/>
      </c>
      <c r="P404" s="1" t="str">
        <f t="shared" si="39"/>
        <v/>
      </c>
      <c r="Q404" s="1" t="str">
        <f t="shared" si="40"/>
        <v/>
      </c>
      <c r="R404" s="1" t="str">
        <f t="shared" si="41"/>
        <v/>
      </c>
      <c r="S404" s="1" t="str">
        <f>IF(OR($E404="",$F404=""),"",HYPERLINK(IF(OR(_xlfn.SINGLE(JobState)="MI",_xlfn.SINGLE(JobState)=""),"https://fema.maps.arcgis.com/apps/mapviewer/index.html?url=https%3A%2F%2Fmdotgis.state.mi.us%2Farcgis%2Frest%2Fservices%2FWidget%2FNextGenPrFinderPub%2FFeatureServer%2F353&amp;find="&amp;$F404&amp;"%2C"&amp;$E404&amp;"&amp;marker="&amp;$F404&amp;","&amp;$E404&amp;",4326&amp;level=16",IF(_xlfn.SINGLE(JobState)="IN","https://fema.maps.arcgis.com/apps/mapviewer/index.html?url=https%3A%2F%2Fgisdata.in.gov%2Fserver%2Frest%2Fservices%2FHosted%2FLRSE_Functional_Class%2FFeatureServer%2F22&amp;find="&amp;$F404&amp;"%2C"&amp;$E404&amp;"&amp;marker="&amp;$F404&amp;","&amp;$E404&amp;",4326&amp;level=16",IF(_xlfn.SINGLE(JobState)="WI","https://fema.maps.arcgis.com/apps/mapviewer/index.html?url=https%3A%2F%2Fservices5.arcgis.com%2F0pgGLzT0Nh7FVjon%2Farcgis%2Frest%2Fservices%2FFFCL_gdb%2FFeatureServer%2F3&amp;find="&amp;$F404&amp;"%2C"&amp;$E404&amp;"&amp;marker="&amp;$F404&amp;","&amp;$E404&amp;",4326&amp;level=16","https://fema.maps.arcgis.com/apps/mapviewer/index.html?find="&amp;$F404&amp;"%2C"&amp;$E404&amp;"&amp;marker="&amp;$F404&amp;","&amp;$E404&amp;",4326&amp;level=16"))),"Open"))</f>
        <v/>
      </c>
      <c r="T404" s="4"/>
      <c r="U404" s="4"/>
      <c r="V404" s="4"/>
      <c r="W404" s="4"/>
      <c r="X404" s="4"/>
      <c r="Y404" s="4"/>
      <c r="Z404" s="4"/>
      <c r="AA404" s="4"/>
      <c r="AB404" s="1" t="str">
        <f>IF(OR(_xlfn.SINGLE(JobAgolMap)="", $E404="", $F404=""),"",HYPERLINK(_xlfn.SINGLE(JobAgolMap)&amp;IF(ISNUMBER(FIND("?",_xlfn.SINGLE(JobAgolMap))),"&amp;","?")&amp;"center="&amp;$F404&amp;","&amp;$E404&amp;"&amp;level=16&amp;marker="&amp;$F404&amp;","&amp;$E404,"Open"))</f>
        <v/>
      </c>
    </row>
    <row r="405" spans="1:28" x14ac:dyDescent="0.45">
      <c r="A405" s="3"/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4"/>
      <c r="M405" s="1" t="str">
        <f t="shared" si="36"/>
        <v/>
      </c>
      <c r="N405" s="1" t="str">
        <f t="shared" si="37"/>
        <v/>
      </c>
      <c r="O405" s="1" t="str">
        <f t="shared" si="38"/>
        <v/>
      </c>
      <c r="P405" s="1" t="str">
        <f t="shared" si="39"/>
        <v/>
      </c>
      <c r="Q405" s="1" t="str">
        <f t="shared" si="40"/>
        <v/>
      </c>
      <c r="R405" s="1" t="str">
        <f t="shared" si="41"/>
        <v/>
      </c>
      <c r="S405" s="1" t="str">
        <f>IF(OR($E405="",$F405=""),"",HYPERLINK(IF(OR(_xlfn.SINGLE(JobState)="MI",_xlfn.SINGLE(JobState)=""),"https://fema.maps.arcgis.com/apps/mapviewer/index.html?url=https%3A%2F%2Fmdotgis.state.mi.us%2Farcgis%2Frest%2Fservices%2FWidget%2FNextGenPrFinderPub%2FFeatureServer%2F353&amp;find="&amp;$F405&amp;"%2C"&amp;$E405&amp;"&amp;marker="&amp;$F405&amp;","&amp;$E405&amp;",4326&amp;level=16",IF(_xlfn.SINGLE(JobState)="IN","https://fema.maps.arcgis.com/apps/mapviewer/index.html?url=https%3A%2F%2Fgisdata.in.gov%2Fserver%2Frest%2Fservices%2FHosted%2FLRSE_Functional_Class%2FFeatureServer%2F22&amp;find="&amp;$F405&amp;"%2C"&amp;$E405&amp;"&amp;marker="&amp;$F405&amp;","&amp;$E405&amp;",4326&amp;level=16",IF(_xlfn.SINGLE(JobState)="WI","https://fema.maps.arcgis.com/apps/mapviewer/index.html?url=https%3A%2F%2Fservices5.arcgis.com%2F0pgGLzT0Nh7FVjon%2Farcgis%2Frest%2Fservices%2FFFCL_gdb%2FFeatureServer%2F3&amp;find="&amp;$F405&amp;"%2C"&amp;$E405&amp;"&amp;marker="&amp;$F405&amp;","&amp;$E405&amp;",4326&amp;level=16","https://fema.maps.arcgis.com/apps/mapviewer/index.html?find="&amp;$F405&amp;"%2C"&amp;$E405&amp;"&amp;marker="&amp;$F405&amp;","&amp;$E405&amp;",4326&amp;level=16"))),"Open"))</f>
        <v/>
      </c>
      <c r="T405" s="4"/>
      <c r="U405" s="4"/>
      <c r="V405" s="4"/>
      <c r="W405" s="4"/>
      <c r="X405" s="4"/>
      <c r="Y405" s="4"/>
      <c r="Z405" s="4"/>
      <c r="AA405" s="4"/>
      <c r="AB405" s="1" t="str">
        <f>IF(OR(_xlfn.SINGLE(JobAgolMap)="", $E405="", $F405=""),"",HYPERLINK(_xlfn.SINGLE(JobAgolMap)&amp;IF(ISNUMBER(FIND("?",_xlfn.SINGLE(JobAgolMap))),"&amp;","?")&amp;"center="&amp;$F405&amp;","&amp;$E405&amp;"&amp;level=16&amp;marker="&amp;$F405&amp;","&amp;$E405,"Open"))</f>
        <v/>
      </c>
    </row>
    <row r="406" spans="1:28" x14ac:dyDescent="0.45">
      <c r="A406" s="3"/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4"/>
      <c r="M406" s="1" t="str">
        <f t="shared" si="36"/>
        <v/>
      </c>
      <c r="N406" s="1" t="str">
        <f t="shared" si="37"/>
        <v/>
      </c>
      <c r="O406" s="1" t="str">
        <f t="shared" si="38"/>
        <v/>
      </c>
      <c r="P406" s="1" t="str">
        <f t="shared" si="39"/>
        <v/>
      </c>
      <c r="Q406" s="1" t="str">
        <f t="shared" si="40"/>
        <v/>
      </c>
      <c r="R406" s="1" t="str">
        <f t="shared" si="41"/>
        <v/>
      </c>
      <c r="S406" s="1" t="str">
        <f>IF(OR($E406="",$F406=""),"",HYPERLINK(IF(OR(_xlfn.SINGLE(JobState)="MI",_xlfn.SINGLE(JobState)=""),"https://fema.maps.arcgis.com/apps/mapviewer/index.html?url=https%3A%2F%2Fmdotgis.state.mi.us%2Farcgis%2Frest%2Fservices%2FWidget%2FNextGenPrFinderPub%2FFeatureServer%2F353&amp;find="&amp;$F406&amp;"%2C"&amp;$E406&amp;"&amp;marker="&amp;$F406&amp;","&amp;$E406&amp;",4326&amp;level=16",IF(_xlfn.SINGLE(JobState)="IN","https://fema.maps.arcgis.com/apps/mapviewer/index.html?url=https%3A%2F%2Fgisdata.in.gov%2Fserver%2Frest%2Fservices%2FHosted%2FLRSE_Functional_Class%2FFeatureServer%2F22&amp;find="&amp;$F406&amp;"%2C"&amp;$E406&amp;"&amp;marker="&amp;$F406&amp;","&amp;$E406&amp;",4326&amp;level=16",IF(_xlfn.SINGLE(JobState)="WI","https://fema.maps.arcgis.com/apps/mapviewer/index.html?url=https%3A%2F%2Fservices5.arcgis.com%2F0pgGLzT0Nh7FVjon%2Farcgis%2Frest%2Fservices%2FFFCL_gdb%2FFeatureServer%2F3&amp;find="&amp;$F406&amp;"%2C"&amp;$E406&amp;"&amp;marker="&amp;$F406&amp;","&amp;$E406&amp;",4326&amp;level=16","https://fema.maps.arcgis.com/apps/mapviewer/index.html?find="&amp;$F406&amp;"%2C"&amp;$E406&amp;"&amp;marker="&amp;$F406&amp;","&amp;$E406&amp;",4326&amp;level=16"))),"Open"))</f>
        <v/>
      </c>
      <c r="T406" s="4"/>
      <c r="U406" s="4"/>
      <c r="V406" s="4"/>
      <c r="W406" s="4"/>
      <c r="X406" s="4"/>
      <c r="Y406" s="4"/>
      <c r="Z406" s="4"/>
      <c r="AA406" s="4"/>
      <c r="AB406" s="1" t="str">
        <f>IF(OR(_xlfn.SINGLE(JobAgolMap)="", $E406="", $F406=""),"",HYPERLINK(_xlfn.SINGLE(JobAgolMap)&amp;IF(ISNUMBER(FIND("?",_xlfn.SINGLE(JobAgolMap))),"&amp;","?")&amp;"center="&amp;$F406&amp;","&amp;$E406&amp;"&amp;level=16&amp;marker="&amp;$F406&amp;","&amp;$E406,"Open"))</f>
        <v/>
      </c>
    </row>
    <row r="407" spans="1:28" x14ac:dyDescent="0.45">
      <c r="A407" s="3"/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4"/>
      <c r="M407" s="1" t="str">
        <f t="shared" si="36"/>
        <v/>
      </c>
      <c r="N407" s="1" t="str">
        <f t="shared" si="37"/>
        <v/>
      </c>
      <c r="O407" s="1" t="str">
        <f t="shared" si="38"/>
        <v/>
      </c>
      <c r="P407" s="1" t="str">
        <f t="shared" si="39"/>
        <v/>
      </c>
      <c r="Q407" s="1" t="str">
        <f t="shared" si="40"/>
        <v/>
      </c>
      <c r="R407" s="1" t="str">
        <f t="shared" si="41"/>
        <v/>
      </c>
      <c r="S407" s="1" t="str">
        <f>IF(OR($E407="",$F407=""),"",HYPERLINK(IF(OR(_xlfn.SINGLE(JobState)="MI",_xlfn.SINGLE(JobState)=""),"https://fema.maps.arcgis.com/apps/mapviewer/index.html?url=https%3A%2F%2Fmdotgis.state.mi.us%2Farcgis%2Frest%2Fservices%2FWidget%2FNextGenPrFinderPub%2FFeatureServer%2F353&amp;find="&amp;$F407&amp;"%2C"&amp;$E407&amp;"&amp;marker="&amp;$F407&amp;","&amp;$E407&amp;",4326&amp;level=16",IF(_xlfn.SINGLE(JobState)="IN","https://fema.maps.arcgis.com/apps/mapviewer/index.html?url=https%3A%2F%2Fgisdata.in.gov%2Fserver%2Frest%2Fservices%2FHosted%2FLRSE_Functional_Class%2FFeatureServer%2F22&amp;find="&amp;$F407&amp;"%2C"&amp;$E407&amp;"&amp;marker="&amp;$F407&amp;","&amp;$E407&amp;",4326&amp;level=16",IF(_xlfn.SINGLE(JobState)="WI","https://fema.maps.arcgis.com/apps/mapviewer/index.html?url=https%3A%2F%2Fservices5.arcgis.com%2F0pgGLzT0Nh7FVjon%2Farcgis%2Frest%2Fservices%2FFFCL_gdb%2FFeatureServer%2F3&amp;find="&amp;$F407&amp;"%2C"&amp;$E407&amp;"&amp;marker="&amp;$F407&amp;","&amp;$E407&amp;",4326&amp;level=16","https://fema.maps.arcgis.com/apps/mapviewer/index.html?find="&amp;$F407&amp;"%2C"&amp;$E407&amp;"&amp;marker="&amp;$F407&amp;","&amp;$E407&amp;",4326&amp;level=16"))),"Open"))</f>
        <v/>
      </c>
      <c r="T407" s="4"/>
      <c r="U407" s="4"/>
      <c r="V407" s="4"/>
      <c r="W407" s="4"/>
      <c r="X407" s="4"/>
      <c r="Y407" s="4"/>
      <c r="Z407" s="4"/>
      <c r="AA407" s="4"/>
      <c r="AB407" s="1" t="str">
        <f>IF(OR(_xlfn.SINGLE(JobAgolMap)="", $E407="", $F407=""),"",HYPERLINK(_xlfn.SINGLE(JobAgolMap)&amp;IF(ISNUMBER(FIND("?",_xlfn.SINGLE(JobAgolMap))),"&amp;","?")&amp;"center="&amp;$F407&amp;","&amp;$E407&amp;"&amp;level=16&amp;marker="&amp;$F407&amp;","&amp;$E407,"Open"))</f>
        <v/>
      </c>
    </row>
    <row r="408" spans="1:28" x14ac:dyDescent="0.45">
      <c r="A408" s="3"/>
      <c r="B408" s="3"/>
      <c r="C408" s="3"/>
      <c r="D408" s="3"/>
      <c r="E408" s="3"/>
      <c r="F408" s="3"/>
      <c r="G408" s="3"/>
      <c r="H408" s="3"/>
      <c r="I408" s="3"/>
      <c r="J408" s="3"/>
      <c r="K408" s="3"/>
      <c r="L408" s="4"/>
      <c r="M408" s="1" t="str">
        <f t="shared" si="36"/>
        <v/>
      </c>
      <c r="N408" s="1" t="str">
        <f t="shared" si="37"/>
        <v/>
      </c>
      <c r="O408" s="1" t="str">
        <f t="shared" si="38"/>
        <v/>
      </c>
      <c r="P408" s="1" t="str">
        <f t="shared" si="39"/>
        <v/>
      </c>
      <c r="Q408" s="1" t="str">
        <f t="shared" si="40"/>
        <v/>
      </c>
      <c r="R408" s="1" t="str">
        <f t="shared" si="41"/>
        <v/>
      </c>
      <c r="S408" s="1" t="str">
        <f>IF(OR($E408="",$F408=""),"",HYPERLINK(IF(OR(_xlfn.SINGLE(JobState)="MI",_xlfn.SINGLE(JobState)=""),"https://fema.maps.arcgis.com/apps/mapviewer/index.html?url=https%3A%2F%2Fmdotgis.state.mi.us%2Farcgis%2Frest%2Fservices%2FWidget%2FNextGenPrFinderPub%2FFeatureServer%2F353&amp;find="&amp;$F408&amp;"%2C"&amp;$E408&amp;"&amp;marker="&amp;$F408&amp;","&amp;$E408&amp;",4326&amp;level=16",IF(_xlfn.SINGLE(JobState)="IN","https://fema.maps.arcgis.com/apps/mapviewer/index.html?url=https%3A%2F%2Fgisdata.in.gov%2Fserver%2Frest%2Fservices%2FHosted%2FLRSE_Functional_Class%2FFeatureServer%2F22&amp;find="&amp;$F408&amp;"%2C"&amp;$E408&amp;"&amp;marker="&amp;$F408&amp;","&amp;$E408&amp;",4326&amp;level=16",IF(_xlfn.SINGLE(JobState)="WI","https://fema.maps.arcgis.com/apps/mapviewer/index.html?url=https%3A%2F%2Fservices5.arcgis.com%2F0pgGLzT0Nh7FVjon%2Farcgis%2Frest%2Fservices%2FFFCL_gdb%2FFeatureServer%2F3&amp;find="&amp;$F408&amp;"%2C"&amp;$E408&amp;"&amp;marker="&amp;$F408&amp;","&amp;$E408&amp;",4326&amp;level=16","https://fema.maps.arcgis.com/apps/mapviewer/index.html?find="&amp;$F408&amp;"%2C"&amp;$E408&amp;"&amp;marker="&amp;$F408&amp;","&amp;$E408&amp;",4326&amp;level=16"))),"Open"))</f>
        <v/>
      </c>
      <c r="T408" s="4"/>
      <c r="U408" s="4"/>
      <c r="V408" s="4"/>
      <c r="W408" s="4"/>
      <c r="X408" s="4"/>
      <c r="Y408" s="4"/>
      <c r="Z408" s="4"/>
      <c r="AA408" s="4"/>
      <c r="AB408" s="1" t="str">
        <f>IF(OR(_xlfn.SINGLE(JobAgolMap)="", $E408="", $F408=""),"",HYPERLINK(_xlfn.SINGLE(JobAgolMap)&amp;IF(ISNUMBER(FIND("?",_xlfn.SINGLE(JobAgolMap))),"&amp;","?")&amp;"center="&amp;$F408&amp;","&amp;$E408&amp;"&amp;level=16&amp;marker="&amp;$F408&amp;","&amp;$E408,"Open"))</f>
        <v/>
      </c>
    </row>
    <row r="409" spans="1:28" x14ac:dyDescent="0.45">
      <c r="A409" s="3"/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4"/>
      <c r="M409" s="1" t="str">
        <f t="shared" si="36"/>
        <v/>
      </c>
      <c r="N409" s="1" t="str">
        <f t="shared" si="37"/>
        <v/>
      </c>
      <c r="O409" s="1" t="str">
        <f t="shared" si="38"/>
        <v/>
      </c>
      <c r="P409" s="1" t="str">
        <f t="shared" si="39"/>
        <v/>
      </c>
      <c r="Q409" s="1" t="str">
        <f t="shared" si="40"/>
        <v/>
      </c>
      <c r="R409" s="1" t="str">
        <f t="shared" si="41"/>
        <v/>
      </c>
      <c r="S409" s="1" t="str">
        <f>IF(OR($E409="",$F409=""),"",HYPERLINK(IF(OR(_xlfn.SINGLE(JobState)="MI",_xlfn.SINGLE(JobState)=""),"https://fema.maps.arcgis.com/apps/mapviewer/index.html?url=https%3A%2F%2Fmdotgis.state.mi.us%2Farcgis%2Frest%2Fservices%2FWidget%2FNextGenPrFinderPub%2FFeatureServer%2F353&amp;find="&amp;$F409&amp;"%2C"&amp;$E409&amp;"&amp;marker="&amp;$F409&amp;","&amp;$E409&amp;",4326&amp;level=16",IF(_xlfn.SINGLE(JobState)="IN","https://fema.maps.arcgis.com/apps/mapviewer/index.html?url=https%3A%2F%2Fgisdata.in.gov%2Fserver%2Frest%2Fservices%2FHosted%2FLRSE_Functional_Class%2FFeatureServer%2F22&amp;find="&amp;$F409&amp;"%2C"&amp;$E409&amp;"&amp;marker="&amp;$F409&amp;","&amp;$E409&amp;",4326&amp;level=16",IF(_xlfn.SINGLE(JobState)="WI","https://fema.maps.arcgis.com/apps/mapviewer/index.html?url=https%3A%2F%2Fservices5.arcgis.com%2F0pgGLzT0Nh7FVjon%2Farcgis%2Frest%2Fservices%2FFFCL_gdb%2FFeatureServer%2F3&amp;find="&amp;$F409&amp;"%2C"&amp;$E409&amp;"&amp;marker="&amp;$F409&amp;","&amp;$E409&amp;",4326&amp;level=16","https://fema.maps.arcgis.com/apps/mapviewer/index.html?find="&amp;$F409&amp;"%2C"&amp;$E409&amp;"&amp;marker="&amp;$F409&amp;","&amp;$E409&amp;",4326&amp;level=16"))),"Open"))</f>
        <v/>
      </c>
      <c r="T409" s="4"/>
      <c r="U409" s="4"/>
      <c r="V409" s="4"/>
      <c r="W409" s="4"/>
      <c r="X409" s="4"/>
      <c r="Y409" s="4"/>
      <c r="Z409" s="4"/>
      <c r="AA409" s="4"/>
      <c r="AB409" s="1" t="str">
        <f>IF(OR(_xlfn.SINGLE(JobAgolMap)="", $E409="", $F409=""),"",HYPERLINK(_xlfn.SINGLE(JobAgolMap)&amp;IF(ISNUMBER(FIND("?",_xlfn.SINGLE(JobAgolMap))),"&amp;","?")&amp;"center="&amp;$F409&amp;","&amp;$E409&amp;"&amp;level=16&amp;marker="&amp;$F409&amp;","&amp;$E409,"Open"))</f>
        <v/>
      </c>
    </row>
    <row r="410" spans="1:28" x14ac:dyDescent="0.45">
      <c r="A410" s="3"/>
      <c r="B410" s="3"/>
      <c r="C410" s="3"/>
      <c r="D410" s="3"/>
      <c r="E410" s="3"/>
      <c r="F410" s="3"/>
      <c r="G410" s="3"/>
      <c r="H410" s="3"/>
      <c r="I410" s="3"/>
      <c r="J410" s="3"/>
      <c r="K410" s="3"/>
      <c r="L410" s="4"/>
      <c r="M410" s="1" t="str">
        <f t="shared" si="36"/>
        <v/>
      </c>
      <c r="N410" s="1" t="str">
        <f t="shared" si="37"/>
        <v/>
      </c>
      <c r="O410" s="1" t="str">
        <f t="shared" si="38"/>
        <v/>
      </c>
      <c r="P410" s="1" t="str">
        <f t="shared" si="39"/>
        <v/>
      </c>
      <c r="Q410" s="1" t="str">
        <f t="shared" si="40"/>
        <v/>
      </c>
      <c r="R410" s="1" t="str">
        <f t="shared" si="41"/>
        <v/>
      </c>
      <c r="S410" s="1" t="str">
        <f>IF(OR($E410="",$F410=""),"",HYPERLINK(IF(OR(_xlfn.SINGLE(JobState)="MI",_xlfn.SINGLE(JobState)=""),"https://fema.maps.arcgis.com/apps/mapviewer/index.html?url=https%3A%2F%2Fmdotgis.state.mi.us%2Farcgis%2Frest%2Fservices%2FWidget%2FNextGenPrFinderPub%2FFeatureServer%2F353&amp;find="&amp;$F410&amp;"%2C"&amp;$E410&amp;"&amp;marker="&amp;$F410&amp;","&amp;$E410&amp;",4326&amp;level=16",IF(_xlfn.SINGLE(JobState)="IN","https://fema.maps.arcgis.com/apps/mapviewer/index.html?url=https%3A%2F%2Fgisdata.in.gov%2Fserver%2Frest%2Fservices%2FHosted%2FLRSE_Functional_Class%2FFeatureServer%2F22&amp;find="&amp;$F410&amp;"%2C"&amp;$E410&amp;"&amp;marker="&amp;$F410&amp;","&amp;$E410&amp;",4326&amp;level=16",IF(_xlfn.SINGLE(JobState)="WI","https://fema.maps.arcgis.com/apps/mapviewer/index.html?url=https%3A%2F%2Fservices5.arcgis.com%2F0pgGLzT0Nh7FVjon%2Farcgis%2Frest%2Fservices%2FFFCL_gdb%2FFeatureServer%2F3&amp;find="&amp;$F410&amp;"%2C"&amp;$E410&amp;"&amp;marker="&amp;$F410&amp;","&amp;$E410&amp;",4326&amp;level=16","https://fema.maps.arcgis.com/apps/mapviewer/index.html?find="&amp;$F410&amp;"%2C"&amp;$E410&amp;"&amp;marker="&amp;$F410&amp;","&amp;$E410&amp;",4326&amp;level=16"))),"Open"))</f>
        <v/>
      </c>
      <c r="T410" s="4"/>
      <c r="U410" s="4"/>
      <c r="V410" s="4"/>
      <c r="W410" s="4"/>
      <c r="X410" s="4"/>
      <c r="Y410" s="4"/>
      <c r="Z410" s="4"/>
      <c r="AA410" s="4"/>
      <c r="AB410" s="1" t="str">
        <f>IF(OR(_xlfn.SINGLE(JobAgolMap)="", $E410="", $F410=""),"",HYPERLINK(_xlfn.SINGLE(JobAgolMap)&amp;IF(ISNUMBER(FIND("?",_xlfn.SINGLE(JobAgolMap))),"&amp;","?")&amp;"center="&amp;$F410&amp;","&amp;$E410&amp;"&amp;level=16&amp;marker="&amp;$F410&amp;","&amp;$E410,"Open"))</f>
        <v/>
      </c>
    </row>
    <row r="411" spans="1:28" x14ac:dyDescent="0.45">
      <c r="A411" s="3"/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4"/>
      <c r="M411" s="1" t="str">
        <f t="shared" si="36"/>
        <v/>
      </c>
      <c r="N411" s="1" t="str">
        <f t="shared" si="37"/>
        <v/>
      </c>
      <c r="O411" s="1" t="str">
        <f t="shared" si="38"/>
        <v/>
      </c>
      <c r="P411" s="1" t="str">
        <f t="shared" si="39"/>
        <v/>
      </c>
      <c r="Q411" s="1" t="str">
        <f t="shared" si="40"/>
        <v/>
      </c>
      <c r="R411" s="1" t="str">
        <f t="shared" si="41"/>
        <v/>
      </c>
      <c r="S411" s="1" t="str">
        <f>IF(OR($E411="",$F411=""),"",HYPERLINK(IF(OR(_xlfn.SINGLE(JobState)="MI",_xlfn.SINGLE(JobState)=""),"https://fema.maps.arcgis.com/apps/mapviewer/index.html?url=https%3A%2F%2Fmdotgis.state.mi.us%2Farcgis%2Frest%2Fservices%2FWidget%2FNextGenPrFinderPub%2FFeatureServer%2F353&amp;find="&amp;$F411&amp;"%2C"&amp;$E411&amp;"&amp;marker="&amp;$F411&amp;","&amp;$E411&amp;",4326&amp;level=16",IF(_xlfn.SINGLE(JobState)="IN","https://fema.maps.arcgis.com/apps/mapviewer/index.html?url=https%3A%2F%2Fgisdata.in.gov%2Fserver%2Frest%2Fservices%2FHosted%2FLRSE_Functional_Class%2FFeatureServer%2F22&amp;find="&amp;$F411&amp;"%2C"&amp;$E411&amp;"&amp;marker="&amp;$F411&amp;","&amp;$E411&amp;",4326&amp;level=16",IF(_xlfn.SINGLE(JobState)="WI","https://fema.maps.arcgis.com/apps/mapviewer/index.html?url=https%3A%2F%2Fservices5.arcgis.com%2F0pgGLzT0Nh7FVjon%2Farcgis%2Frest%2Fservices%2FFFCL_gdb%2FFeatureServer%2F3&amp;find="&amp;$F411&amp;"%2C"&amp;$E411&amp;"&amp;marker="&amp;$F411&amp;","&amp;$E411&amp;",4326&amp;level=16","https://fema.maps.arcgis.com/apps/mapviewer/index.html?find="&amp;$F411&amp;"%2C"&amp;$E411&amp;"&amp;marker="&amp;$F411&amp;","&amp;$E411&amp;",4326&amp;level=16"))),"Open"))</f>
        <v/>
      </c>
      <c r="T411" s="4"/>
      <c r="U411" s="4"/>
      <c r="V411" s="4"/>
      <c r="W411" s="4"/>
      <c r="X411" s="4"/>
      <c r="Y411" s="4"/>
      <c r="Z411" s="4"/>
      <c r="AA411" s="4"/>
      <c r="AB411" s="1" t="str">
        <f>IF(OR(_xlfn.SINGLE(JobAgolMap)="", $E411="", $F411=""),"",HYPERLINK(_xlfn.SINGLE(JobAgolMap)&amp;IF(ISNUMBER(FIND("?",_xlfn.SINGLE(JobAgolMap))),"&amp;","?")&amp;"center="&amp;$F411&amp;","&amp;$E411&amp;"&amp;level=16&amp;marker="&amp;$F411&amp;","&amp;$E411,"Open"))</f>
        <v/>
      </c>
    </row>
    <row r="412" spans="1:28" x14ac:dyDescent="0.45">
      <c r="A412" s="3"/>
      <c r="B412" s="3"/>
      <c r="C412" s="3"/>
      <c r="D412" s="3"/>
      <c r="E412" s="3"/>
      <c r="F412" s="3"/>
      <c r="G412" s="3"/>
      <c r="H412" s="3"/>
      <c r="I412" s="3"/>
      <c r="J412" s="3"/>
      <c r="K412" s="3"/>
      <c r="L412" s="4"/>
      <c r="M412" s="1" t="str">
        <f t="shared" si="36"/>
        <v/>
      </c>
      <c r="N412" s="1" t="str">
        <f t="shared" si="37"/>
        <v/>
      </c>
      <c r="O412" s="1" t="str">
        <f t="shared" si="38"/>
        <v/>
      </c>
      <c r="P412" s="1" t="str">
        <f t="shared" si="39"/>
        <v/>
      </c>
      <c r="Q412" s="1" t="str">
        <f t="shared" si="40"/>
        <v/>
      </c>
      <c r="R412" s="1" t="str">
        <f t="shared" si="41"/>
        <v/>
      </c>
      <c r="S412" s="1" t="str">
        <f>IF(OR($E412="",$F412=""),"",HYPERLINK(IF(OR(_xlfn.SINGLE(JobState)="MI",_xlfn.SINGLE(JobState)=""),"https://fema.maps.arcgis.com/apps/mapviewer/index.html?url=https%3A%2F%2Fmdotgis.state.mi.us%2Farcgis%2Frest%2Fservices%2FWidget%2FNextGenPrFinderPub%2FFeatureServer%2F353&amp;find="&amp;$F412&amp;"%2C"&amp;$E412&amp;"&amp;marker="&amp;$F412&amp;","&amp;$E412&amp;",4326&amp;level=16",IF(_xlfn.SINGLE(JobState)="IN","https://fema.maps.arcgis.com/apps/mapviewer/index.html?url=https%3A%2F%2Fgisdata.in.gov%2Fserver%2Frest%2Fservices%2FHosted%2FLRSE_Functional_Class%2FFeatureServer%2F22&amp;find="&amp;$F412&amp;"%2C"&amp;$E412&amp;"&amp;marker="&amp;$F412&amp;","&amp;$E412&amp;",4326&amp;level=16",IF(_xlfn.SINGLE(JobState)="WI","https://fema.maps.arcgis.com/apps/mapviewer/index.html?url=https%3A%2F%2Fservices5.arcgis.com%2F0pgGLzT0Nh7FVjon%2Farcgis%2Frest%2Fservices%2FFFCL_gdb%2FFeatureServer%2F3&amp;find="&amp;$F412&amp;"%2C"&amp;$E412&amp;"&amp;marker="&amp;$F412&amp;","&amp;$E412&amp;",4326&amp;level=16","https://fema.maps.arcgis.com/apps/mapviewer/index.html?find="&amp;$F412&amp;"%2C"&amp;$E412&amp;"&amp;marker="&amp;$F412&amp;","&amp;$E412&amp;",4326&amp;level=16"))),"Open"))</f>
        <v/>
      </c>
      <c r="T412" s="4"/>
      <c r="U412" s="4"/>
      <c r="V412" s="4"/>
      <c r="W412" s="4"/>
      <c r="X412" s="4"/>
      <c r="Y412" s="4"/>
      <c r="Z412" s="4"/>
      <c r="AA412" s="4"/>
      <c r="AB412" s="1" t="str">
        <f>IF(OR(_xlfn.SINGLE(JobAgolMap)="", $E412="", $F412=""),"",HYPERLINK(_xlfn.SINGLE(JobAgolMap)&amp;IF(ISNUMBER(FIND("?",_xlfn.SINGLE(JobAgolMap))),"&amp;","?")&amp;"center="&amp;$F412&amp;","&amp;$E412&amp;"&amp;level=16&amp;marker="&amp;$F412&amp;","&amp;$E412,"Open"))</f>
        <v/>
      </c>
    </row>
    <row r="413" spans="1:28" x14ac:dyDescent="0.45">
      <c r="A413" s="3"/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4"/>
      <c r="M413" s="1" t="str">
        <f t="shared" si="36"/>
        <v/>
      </c>
      <c r="N413" s="1" t="str">
        <f t="shared" si="37"/>
        <v/>
      </c>
      <c r="O413" s="1" t="str">
        <f t="shared" si="38"/>
        <v/>
      </c>
      <c r="P413" s="1" t="str">
        <f t="shared" si="39"/>
        <v/>
      </c>
      <c r="Q413" s="1" t="str">
        <f t="shared" si="40"/>
        <v/>
      </c>
      <c r="R413" s="1" t="str">
        <f t="shared" si="41"/>
        <v/>
      </c>
      <c r="S413" s="1" t="str">
        <f>IF(OR($E413="",$F413=""),"",HYPERLINK(IF(OR(_xlfn.SINGLE(JobState)="MI",_xlfn.SINGLE(JobState)=""),"https://fema.maps.arcgis.com/apps/mapviewer/index.html?url=https%3A%2F%2Fmdotgis.state.mi.us%2Farcgis%2Frest%2Fservices%2FWidget%2FNextGenPrFinderPub%2FFeatureServer%2F353&amp;find="&amp;$F413&amp;"%2C"&amp;$E413&amp;"&amp;marker="&amp;$F413&amp;","&amp;$E413&amp;",4326&amp;level=16",IF(_xlfn.SINGLE(JobState)="IN","https://fema.maps.arcgis.com/apps/mapviewer/index.html?url=https%3A%2F%2Fgisdata.in.gov%2Fserver%2Frest%2Fservices%2FHosted%2FLRSE_Functional_Class%2FFeatureServer%2F22&amp;find="&amp;$F413&amp;"%2C"&amp;$E413&amp;"&amp;marker="&amp;$F413&amp;","&amp;$E413&amp;",4326&amp;level=16",IF(_xlfn.SINGLE(JobState)="WI","https://fema.maps.arcgis.com/apps/mapviewer/index.html?url=https%3A%2F%2Fservices5.arcgis.com%2F0pgGLzT0Nh7FVjon%2Farcgis%2Frest%2Fservices%2FFFCL_gdb%2FFeatureServer%2F3&amp;find="&amp;$F413&amp;"%2C"&amp;$E413&amp;"&amp;marker="&amp;$F413&amp;","&amp;$E413&amp;",4326&amp;level=16","https://fema.maps.arcgis.com/apps/mapviewer/index.html?find="&amp;$F413&amp;"%2C"&amp;$E413&amp;"&amp;marker="&amp;$F413&amp;","&amp;$E413&amp;",4326&amp;level=16"))),"Open"))</f>
        <v/>
      </c>
      <c r="T413" s="4"/>
      <c r="U413" s="4"/>
      <c r="V413" s="4"/>
      <c r="W413" s="4"/>
      <c r="X413" s="4"/>
      <c r="Y413" s="4"/>
      <c r="Z413" s="4"/>
      <c r="AA413" s="4"/>
      <c r="AB413" s="1" t="str">
        <f>IF(OR(_xlfn.SINGLE(JobAgolMap)="", $E413="", $F413=""),"",HYPERLINK(_xlfn.SINGLE(JobAgolMap)&amp;IF(ISNUMBER(FIND("?",_xlfn.SINGLE(JobAgolMap))),"&amp;","?")&amp;"center="&amp;$F413&amp;","&amp;$E413&amp;"&amp;level=16&amp;marker="&amp;$F413&amp;","&amp;$E413,"Open"))</f>
        <v/>
      </c>
    </row>
    <row r="414" spans="1:28" x14ac:dyDescent="0.45">
      <c r="A414" s="3"/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4"/>
      <c r="M414" s="1" t="str">
        <f t="shared" si="36"/>
        <v/>
      </c>
      <c r="N414" s="1" t="str">
        <f t="shared" si="37"/>
        <v/>
      </c>
      <c r="O414" s="1" t="str">
        <f t="shared" si="38"/>
        <v/>
      </c>
      <c r="P414" s="1" t="str">
        <f t="shared" si="39"/>
        <v/>
      </c>
      <c r="Q414" s="1" t="str">
        <f t="shared" si="40"/>
        <v/>
      </c>
      <c r="R414" s="1" t="str">
        <f t="shared" si="41"/>
        <v/>
      </c>
      <c r="S414" s="1" t="str">
        <f>IF(OR($E414="",$F414=""),"",HYPERLINK(IF(OR(_xlfn.SINGLE(JobState)="MI",_xlfn.SINGLE(JobState)=""),"https://fema.maps.arcgis.com/apps/mapviewer/index.html?url=https%3A%2F%2Fmdotgis.state.mi.us%2Farcgis%2Frest%2Fservices%2FWidget%2FNextGenPrFinderPub%2FFeatureServer%2F353&amp;find="&amp;$F414&amp;"%2C"&amp;$E414&amp;"&amp;marker="&amp;$F414&amp;","&amp;$E414&amp;",4326&amp;level=16",IF(_xlfn.SINGLE(JobState)="IN","https://fema.maps.arcgis.com/apps/mapviewer/index.html?url=https%3A%2F%2Fgisdata.in.gov%2Fserver%2Frest%2Fservices%2FHosted%2FLRSE_Functional_Class%2FFeatureServer%2F22&amp;find="&amp;$F414&amp;"%2C"&amp;$E414&amp;"&amp;marker="&amp;$F414&amp;","&amp;$E414&amp;",4326&amp;level=16",IF(_xlfn.SINGLE(JobState)="WI","https://fema.maps.arcgis.com/apps/mapviewer/index.html?url=https%3A%2F%2Fservices5.arcgis.com%2F0pgGLzT0Nh7FVjon%2Farcgis%2Frest%2Fservices%2FFFCL_gdb%2FFeatureServer%2F3&amp;find="&amp;$F414&amp;"%2C"&amp;$E414&amp;"&amp;marker="&amp;$F414&amp;","&amp;$E414&amp;",4326&amp;level=16","https://fema.maps.arcgis.com/apps/mapviewer/index.html?find="&amp;$F414&amp;"%2C"&amp;$E414&amp;"&amp;marker="&amp;$F414&amp;","&amp;$E414&amp;",4326&amp;level=16"))),"Open"))</f>
        <v/>
      </c>
      <c r="T414" s="4"/>
      <c r="U414" s="4"/>
      <c r="V414" s="4"/>
      <c r="W414" s="4"/>
      <c r="X414" s="4"/>
      <c r="Y414" s="4"/>
      <c r="Z414" s="4"/>
      <c r="AA414" s="4"/>
      <c r="AB414" s="1" t="str">
        <f>IF(OR(_xlfn.SINGLE(JobAgolMap)="", $E414="", $F414=""),"",HYPERLINK(_xlfn.SINGLE(JobAgolMap)&amp;IF(ISNUMBER(FIND("?",_xlfn.SINGLE(JobAgolMap))),"&amp;","?")&amp;"center="&amp;$F414&amp;","&amp;$E414&amp;"&amp;level=16&amp;marker="&amp;$F414&amp;","&amp;$E414,"Open"))</f>
        <v/>
      </c>
    </row>
    <row r="415" spans="1:28" x14ac:dyDescent="0.45">
      <c r="A415" s="3"/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4"/>
      <c r="M415" s="1" t="str">
        <f t="shared" si="36"/>
        <v/>
      </c>
      <c r="N415" s="1" t="str">
        <f t="shared" si="37"/>
        <v/>
      </c>
      <c r="O415" s="1" t="str">
        <f t="shared" si="38"/>
        <v/>
      </c>
      <c r="P415" s="1" t="str">
        <f t="shared" si="39"/>
        <v/>
      </c>
      <c r="Q415" s="1" t="str">
        <f t="shared" si="40"/>
        <v/>
      </c>
      <c r="R415" s="1" t="str">
        <f t="shared" si="41"/>
        <v/>
      </c>
      <c r="S415" s="1" t="str">
        <f>IF(OR($E415="",$F415=""),"",HYPERLINK(IF(OR(_xlfn.SINGLE(JobState)="MI",_xlfn.SINGLE(JobState)=""),"https://fema.maps.arcgis.com/apps/mapviewer/index.html?url=https%3A%2F%2Fmdotgis.state.mi.us%2Farcgis%2Frest%2Fservices%2FWidget%2FNextGenPrFinderPub%2FFeatureServer%2F353&amp;find="&amp;$F415&amp;"%2C"&amp;$E415&amp;"&amp;marker="&amp;$F415&amp;","&amp;$E415&amp;",4326&amp;level=16",IF(_xlfn.SINGLE(JobState)="IN","https://fema.maps.arcgis.com/apps/mapviewer/index.html?url=https%3A%2F%2Fgisdata.in.gov%2Fserver%2Frest%2Fservices%2FHosted%2FLRSE_Functional_Class%2FFeatureServer%2F22&amp;find="&amp;$F415&amp;"%2C"&amp;$E415&amp;"&amp;marker="&amp;$F415&amp;","&amp;$E415&amp;",4326&amp;level=16",IF(_xlfn.SINGLE(JobState)="WI","https://fema.maps.arcgis.com/apps/mapviewer/index.html?url=https%3A%2F%2Fservices5.arcgis.com%2F0pgGLzT0Nh7FVjon%2Farcgis%2Frest%2Fservices%2FFFCL_gdb%2FFeatureServer%2F3&amp;find="&amp;$F415&amp;"%2C"&amp;$E415&amp;"&amp;marker="&amp;$F415&amp;","&amp;$E415&amp;",4326&amp;level=16","https://fema.maps.arcgis.com/apps/mapviewer/index.html?find="&amp;$F415&amp;"%2C"&amp;$E415&amp;"&amp;marker="&amp;$F415&amp;","&amp;$E415&amp;",4326&amp;level=16"))),"Open"))</f>
        <v/>
      </c>
      <c r="T415" s="4"/>
      <c r="U415" s="4"/>
      <c r="V415" s="4"/>
      <c r="W415" s="4"/>
      <c r="X415" s="4"/>
      <c r="Y415" s="4"/>
      <c r="Z415" s="4"/>
      <c r="AA415" s="4"/>
      <c r="AB415" s="1" t="str">
        <f>IF(OR(_xlfn.SINGLE(JobAgolMap)="", $E415="", $F415=""),"",HYPERLINK(_xlfn.SINGLE(JobAgolMap)&amp;IF(ISNUMBER(FIND("?",_xlfn.SINGLE(JobAgolMap))),"&amp;","?")&amp;"center="&amp;$F415&amp;","&amp;$E415&amp;"&amp;level=16&amp;marker="&amp;$F415&amp;","&amp;$E415,"Open"))</f>
        <v/>
      </c>
    </row>
    <row r="416" spans="1:28" x14ac:dyDescent="0.45">
      <c r="A416" s="3"/>
      <c r="B416" s="3"/>
      <c r="C416" s="3"/>
      <c r="D416" s="3"/>
      <c r="E416" s="3"/>
      <c r="F416" s="3"/>
      <c r="G416" s="3"/>
      <c r="H416" s="3"/>
      <c r="I416" s="3"/>
      <c r="J416" s="3"/>
      <c r="K416" s="3"/>
      <c r="L416" s="4"/>
      <c r="M416" s="1" t="str">
        <f t="shared" si="36"/>
        <v/>
      </c>
      <c r="N416" s="1" t="str">
        <f t="shared" si="37"/>
        <v/>
      </c>
      <c r="O416" s="1" t="str">
        <f t="shared" si="38"/>
        <v/>
      </c>
      <c r="P416" s="1" t="str">
        <f t="shared" si="39"/>
        <v/>
      </c>
      <c r="Q416" s="1" t="str">
        <f t="shared" si="40"/>
        <v/>
      </c>
      <c r="R416" s="1" t="str">
        <f t="shared" si="41"/>
        <v/>
      </c>
      <c r="S416" s="1" t="str">
        <f>IF(OR($E416="",$F416=""),"",HYPERLINK(IF(OR(_xlfn.SINGLE(JobState)="MI",_xlfn.SINGLE(JobState)=""),"https://fema.maps.arcgis.com/apps/mapviewer/index.html?url=https%3A%2F%2Fmdotgis.state.mi.us%2Farcgis%2Frest%2Fservices%2FWidget%2FNextGenPrFinderPub%2FFeatureServer%2F353&amp;find="&amp;$F416&amp;"%2C"&amp;$E416&amp;"&amp;marker="&amp;$F416&amp;","&amp;$E416&amp;",4326&amp;level=16",IF(_xlfn.SINGLE(JobState)="IN","https://fema.maps.arcgis.com/apps/mapviewer/index.html?url=https%3A%2F%2Fgisdata.in.gov%2Fserver%2Frest%2Fservices%2FHosted%2FLRSE_Functional_Class%2FFeatureServer%2F22&amp;find="&amp;$F416&amp;"%2C"&amp;$E416&amp;"&amp;marker="&amp;$F416&amp;","&amp;$E416&amp;",4326&amp;level=16",IF(_xlfn.SINGLE(JobState)="WI","https://fema.maps.arcgis.com/apps/mapviewer/index.html?url=https%3A%2F%2Fservices5.arcgis.com%2F0pgGLzT0Nh7FVjon%2Farcgis%2Frest%2Fservices%2FFFCL_gdb%2FFeatureServer%2F3&amp;find="&amp;$F416&amp;"%2C"&amp;$E416&amp;"&amp;marker="&amp;$F416&amp;","&amp;$E416&amp;",4326&amp;level=16","https://fema.maps.arcgis.com/apps/mapviewer/index.html?find="&amp;$F416&amp;"%2C"&amp;$E416&amp;"&amp;marker="&amp;$F416&amp;","&amp;$E416&amp;",4326&amp;level=16"))),"Open"))</f>
        <v/>
      </c>
      <c r="T416" s="4"/>
      <c r="U416" s="4"/>
      <c r="V416" s="4"/>
      <c r="W416" s="4"/>
      <c r="X416" s="4"/>
      <c r="Y416" s="4"/>
      <c r="Z416" s="4"/>
      <c r="AA416" s="4"/>
      <c r="AB416" s="1" t="str">
        <f>IF(OR(_xlfn.SINGLE(JobAgolMap)="", $E416="", $F416=""),"",HYPERLINK(_xlfn.SINGLE(JobAgolMap)&amp;IF(ISNUMBER(FIND("?",_xlfn.SINGLE(JobAgolMap))),"&amp;","?")&amp;"center="&amp;$F416&amp;","&amp;$E416&amp;"&amp;level=16&amp;marker="&amp;$F416&amp;","&amp;$E416,"Open"))</f>
        <v/>
      </c>
    </row>
    <row r="417" spans="1:28" x14ac:dyDescent="0.45">
      <c r="A417" s="3"/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4"/>
      <c r="M417" s="1" t="str">
        <f t="shared" si="36"/>
        <v/>
      </c>
      <c r="N417" s="1" t="str">
        <f t="shared" si="37"/>
        <v/>
      </c>
      <c r="O417" s="1" t="str">
        <f t="shared" si="38"/>
        <v/>
      </c>
      <c r="P417" s="1" t="str">
        <f t="shared" si="39"/>
        <v/>
      </c>
      <c r="Q417" s="1" t="str">
        <f t="shared" si="40"/>
        <v/>
      </c>
      <c r="R417" s="1" t="str">
        <f t="shared" si="41"/>
        <v/>
      </c>
      <c r="S417" s="1" t="str">
        <f>IF(OR($E417="",$F417=""),"",HYPERLINK(IF(OR(_xlfn.SINGLE(JobState)="MI",_xlfn.SINGLE(JobState)=""),"https://fema.maps.arcgis.com/apps/mapviewer/index.html?url=https%3A%2F%2Fmdotgis.state.mi.us%2Farcgis%2Frest%2Fservices%2FWidget%2FNextGenPrFinderPub%2FFeatureServer%2F353&amp;find="&amp;$F417&amp;"%2C"&amp;$E417&amp;"&amp;marker="&amp;$F417&amp;","&amp;$E417&amp;",4326&amp;level=16",IF(_xlfn.SINGLE(JobState)="IN","https://fema.maps.arcgis.com/apps/mapviewer/index.html?url=https%3A%2F%2Fgisdata.in.gov%2Fserver%2Frest%2Fservices%2FHosted%2FLRSE_Functional_Class%2FFeatureServer%2F22&amp;find="&amp;$F417&amp;"%2C"&amp;$E417&amp;"&amp;marker="&amp;$F417&amp;","&amp;$E417&amp;",4326&amp;level=16",IF(_xlfn.SINGLE(JobState)="WI","https://fema.maps.arcgis.com/apps/mapviewer/index.html?url=https%3A%2F%2Fservices5.arcgis.com%2F0pgGLzT0Nh7FVjon%2Farcgis%2Frest%2Fservices%2FFFCL_gdb%2FFeatureServer%2F3&amp;find="&amp;$F417&amp;"%2C"&amp;$E417&amp;"&amp;marker="&amp;$F417&amp;","&amp;$E417&amp;",4326&amp;level=16","https://fema.maps.arcgis.com/apps/mapviewer/index.html?find="&amp;$F417&amp;"%2C"&amp;$E417&amp;"&amp;marker="&amp;$F417&amp;","&amp;$E417&amp;",4326&amp;level=16"))),"Open"))</f>
        <v/>
      </c>
      <c r="T417" s="4"/>
      <c r="U417" s="4"/>
      <c r="V417" s="4"/>
      <c r="W417" s="4"/>
      <c r="X417" s="4"/>
      <c r="Y417" s="4"/>
      <c r="Z417" s="4"/>
      <c r="AA417" s="4"/>
      <c r="AB417" s="1" t="str">
        <f>IF(OR(_xlfn.SINGLE(JobAgolMap)="", $E417="", $F417=""),"",HYPERLINK(_xlfn.SINGLE(JobAgolMap)&amp;IF(ISNUMBER(FIND("?",_xlfn.SINGLE(JobAgolMap))),"&amp;","?")&amp;"center="&amp;$F417&amp;","&amp;$E417&amp;"&amp;level=16&amp;marker="&amp;$F417&amp;","&amp;$E417,"Open"))</f>
        <v/>
      </c>
    </row>
    <row r="418" spans="1:28" x14ac:dyDescent="0.45">
      <c r="A418" s="3"/>
      <c r="B418" s="3"/>
      <c r="C418" s="3"/>
      <c r="D418" s="3"/>
      <c r="E418" s="3"/>
      <c r="F418" s="3"/>
      <c r="G418" s="3"/>
      <c r="H418" s="3"/>
      <c r="I418" s="3"/>
      <c r="J418" s="3"/>
      <c r="K418" s="3"/>
      <c r="L418" s="4"/>
      <c r="M418" s="1" t="str">
        <f t="shared" si="36"/>
        <v/>
      </c>
      <c r="N418" s="1" t="str">
        <f t="shared" si="37"/>
        <v/>
      </c>
      <c r="O418" s="1" t="str">
        <f t="shared" si="38"/>
        <v/>
      </c>
      <c r="P418" s="1" t="str">
        <f t="shared" si="39"/>
        <v/>
      </c>
      <c r="Q418" s="1" t="str">
        <f t="shared" si="40"/>
        <v/>
      </c>
      <c r="R418" s="1" t="str">
        <f t="shared" si="41"/>
        <v/>
      </c>
      <c r="S418" s="1" t="str">
        <f>IF(OR($E418="",$F418=""),"",HYPERLINK(IF(OR(_xlfn.SINGLE(JobState)="MI",_xlfn.SINGLE(JobState)=""),"https://fema.maps.arcgis.com/apps/mapviewer/index.html?url=https%3A%2F%2Fmdotgis.state.mi.us%2Farcgis%2Frest%2Fservices%2FWidget%2FNextGenPrFinderPub%2FFeatureServer%2F353&amp;find="&amp;$F418&amp;"%2C"&amp;$E418&amp;"&amp;marker="&amp;$F418&amp;","&amp;$E418&amp;",4326&amp;level=16",IF(_xlfn.SINGLE(JobState)="IN","https://fema.maps.arcgis.com/apps/mapviewer/index.html?url=https%3A%2F%2Fgisdata.in.gov%2Fserver%2Frest%2Fservices%2FHosted%2FLRSE_Functional_Class%2FFeatureServer%2F22&amp;find="&amp;$F418&amp;"%2C"&amp;$E418&amp;"&amp;marker="&amp;$F418&amp;","&amp;$E418&amp;",4326&amp;level=16",IF(_xlfn.SINGLE(JobState)="WI","https://fema.maps.arcgis.com/apps/mapviewer/index.html?url=https%3A%2F%2Fservices5.arcgis.com%2F0pgGLzT0Nh7FVjon%2Farcgis%2Frest%2Fservices%2FFFCL_gdb%2FFeatureServer%2F3&amp;find="&amp;$F418&amp;"%2C"&amp;$E418&amp;"&amp;marker="&amp;$F418&amp;","&amp;$E418&amp;",4326&amp;level=16","https://fema.maps.arcgis.com/apps/mapviewer/index.html?find="&amp;$F418&amp;"%2C"&amp;$E418&amp;"&amp;marker="&amp;$F418&amp;","&amp;$E418&amp;",4326&amp;level=16"))),"Open"))</f>
        <v/>
      </c>
      <c r="T418" s="4"/>
      <c r="U418" s="4"/>
      <c r="V418" s="4"/>
      <c r="W418" s="4"/>
      <c r="X418" s="4"/>
      <c r="Y418" s="4"/>
      <c r="Z418" s="4"/>
      <c r="AA418" s="4"/>
      <c r="AB418" s="1" t="str">
        <f>IF(OR(_xlfn.SINGLE(JobAgolMap)="", $E418="", $F418=""),"",HYPERLINK(_xlfn.SINGLE(JobAgolMap)&amp;IF(ISNUMBER(FIND("?",_xlfn.SINGLE(JobAgolMap))),"&amp;","?")&amp;"center="&amp;$F418&amp;","&amp;$E418&amp;"&amp;level=16&amp;marker="&amp;$F418&amp;","&amp;$E418,"Open"))</f>
        <v/>
      </c>
    </row>
    <row r="419" spans="1:28" x14ac:dyDescent="0.45">
      <c r="A419" s="3"/>
      <c r="B419" s="3"/>
      <c r="C419" s="3"/>
      <c r="D419" s="3"/>
      <c r="E419" s="3"/>
      <c r="F419" s="3"/>
      <c r="G419" s="3"/>
      <c r="H419" s="3"/>
      <c r="I419" s="3"/>
      <c r="J419" s="3"/>
      <c r="K419" s="3"/>
      <c r="L419" s="4"/>
      <c r="M419" s="1" t="str">
        <f t="shared" si="36"/>
        <v/>
      </c>
      <c r="N419" s="1" t="str">
        <f t="shared" si="37"/>
        <v/>
      </c>
      <c r="O419" s="1" t="str">
        <f t="shared" si="38"/>
        <v/>
      </c>
      <c r="P419" s="1" t="str">
        <f t="shared" si="39"/>
        <v/>
      </c>
      <c r="Q419" s="1" t="str">
        <f t="shared" si="40"/>
        <v/>
      </c>
      <c r="R419" s="1" t="str">
        <f t="shared" si="41"/>
        <v/>
      </c>
      <c r="S419" s="1" t="str">
        <f>IF(OR($E419="",$F419=""),"",HYPERLINK(IF(OR(_xlfn.SINGLE(JobState)="MI",_xlfn.SINGLE(JobState)=""),"https://fema.maps.arcgis.com/apps/mapviewer/index.html?url=https%3A%2F%2Fmdotgis.state.mi.us%2Farcgis%2Frest%2Fservices%2FWidget%2FNextGenPrFinderPub%2FFeatureServer%2F353&amp;find="&amp;$F419&amp;"%2C"&amp;$E419&amp;"&amp;marker="&amp;$F419&amp;","&amp;$E419&amp;",4326&amp;level=16",IF(_xlfn.SINGLE(JobState)="IN","https://fema.maps.arcgis.com/apps/mapviewer/index.html?url=https%3A%2F%2Fgisdata.in.gov%2Fserver%2Frest%2Fservices%2FHosted%2FLRSE_Functional_Class%2FFeatureServer%2F22&amp;find="&amp;$F419&amp;"%2C"&amp;$E419&amp;"&amp;marker="&amp;$F419&amp;","&amp;$E419&amp;",4326&amp;level=16",IF(_xlfn.SINGLE(JobState)="WI","https://fema.maps.arcgis.com/apps/mapviewer/index.html?url=https%3A%2F%2Fservices5.arcgis.com%2F0pgGLzT0Nh7FVjon%2Farcgis%2Frest%2Fservices%2FFFCL_gdb%2FFeatureServer%2F3&amp;find="&amp;$F419&amp;"%2C"&amp;$E419&amp;"&amp;marker="&amp;$F419&amp;","&amp;$E419&amp;",4326&amp;level=16","https://fema.maps.arcgis.com/apps/mapviewer/index.html?find="&amp;$F419&amp;"%2C"&amp;$E419&amp;"&amp;marker="&amp;$F419&amp;","&amp;$E419&amp;",4326&amp;level=16"))),"Open"))</f>
        <v/>
      </c>
      <c r="T419" s="4"/>
      <c r="U419" s="4"/>
      <c r="V419" s="4"/>
      <c r="W419" s="4"/>
      <c r="X419" s="4"/>
      <c r="Y419" s="4"/>
      <c r="Z419" s="4"/>
      <c r="AA419" s="4"/>
      <c r="AB419" s="1" t="str">
        <f>IF(OR(_xlfn.SINGLE(JobAgolMap)="", $E419="", $F419=""),"",HYPERLINK(_xlfn.SINGLE(JobAgolMap)&amp;IF(ISNUMBER(FIND("?",_xlfn.SINGLE(JobAgolMap))),"&amp;","?")&amp;"center="&amp;$F419&amp;","&amp;$E419&amp;"&amp;level=16&amp;marker="&amp;$F419&amp;","&amp;$E419,"Open"))</f>
        <v/>
      </c>
    </row>
    <row r="420" spans="1:28" x14ac:dyDescent="0.45">
      <c r="A420" s="3"/>
      <c r="B420" s="3"/>
      <c r="C420" s="3"/>
      <c r="D420" s="3"/>
      <c r="E420" s="3"/>
      <c r="F420" s="3"/>
      <c r="G420" s="3"/>
      <c r="H420" s="3"/>
      <c r="I420" s="3"/>
      <c r="J420" s="3"/>
      <c r="K420" s="3"/>
      <c r="L420" s="4"/>
      <c r="M420" s="1" t="str">
        <f t="shared" si="36"/>
        <v/>
      </c>
      <c r="N420" s="1" t="str">
        <f t="shared" si="37"/>
        <v/>
      </c>
      <c r="O420" s="1" t="str">
        <f t="shared" si="38"/>
        <v/>
      </c>
      <c r="P420" s="1" t="str">
        <f t="shared" si="39"/>
        <v/>
      </c>
      <c r="Q420" s="1" t="str">
        <f t="shared" si="40"/>
        <v/>
      </c>
      <c r="R420" s="1" t="str">
        <f t="shared" si="41"/>
        <v/>
      </c>
      <c r="S420" s="1" t="str">
        <f>IF(OR($E420="",$F420=""),"",HYPERLINK(IF(OR(_xlfn.SINGLE(JobState)="MI",_xlfn.SINGLE(JobState)=""),"https://fema.maps.arcgis.com/apps/mapviewer/index.html?url=https%3A%2F%2Fmdotgis.state.mi.us%2Farcgis%2Frest%2Fservices%2FWidget%2FNextGenPrFinderPub%2FFeatureServer%2F353&amp;find="&amp;$F420&amp;"%2C"&amp;$E420&amp;"&amp;marker="&amp;$F420&amp;","&amp;$E420&amp;",4326&amp;level=16",IF(_xlfn.SINGLE(JobState)="IN","https://fema.maps.arcgis.com/apps/mapviewer/index.html?url=https%3A%2F%2Fgisdata.in.gov%2Fserver%2Frest%2Fservices%2FHosted%2FLRSE_Functional_Class%2FFeatureServer%2F22&amp;find="&amp;$F420&amp;"%2C"&amp;$E420&amp;"&amp;marker="&amp;$F420&amp;","&amp;$E420&amp;",4326&amp;level=16",IF(_xlfn.SINGLE(JobState)="WI","https://fema.maps.arcgis.com/apps/mapviewer/index.html?url=https%3A%2F%2Fservices5.arcgis.com%2F0pgGLzT0Nh7FVjon%2Farcgis%2Frest%2Fservices%2FFFCL_gdb%2FFeatureServer%2F3&amp;find="&amp;$F420&amp;"%2C"&amp;$E420&amp;"&amp;marker="&amp;$F420&amp;","&amp;$E420&amp;",4326&amp;level=16","https://fema.maps.arcgis.com/apps/mapviewer/index.html?find="&amp;$F420&amp;"%2C"&amp;$E420&amp;"&amp;marker="&amp;$F420&amp;","&amp;$E420&amp;",4326&amp;level=16"))),"Open"))</f>
        <v/>
      </c>
      <c r="T420" s="4"/>
      <c r="U420" s="4"/>
      <c r="V420" s="4"/>
      <c r="W420" s="4"/>
      <c r="X420" s="4"/>
      <c r="Y420" s="4"/>
      <c r="Z420" s="4"/>
      <c r="AA420" s="4"/>
      <c r="AB420" s="1" t="str">
        <f>IF(OR(_xlfn.SINGLE(JobAgolMap)="", $E420="", $F420=""),"",HYPERLINK(_xlfn.SINGLE(JobAgolMap)&amp;IF(ISNUMBER(FIND("?",_xlfn.SINGLE(JobAgolMap))),"&amp;","?")&amp;"center="&amp;$F420&amp;","&amp;$E420&amp;"&amp;level=16&amp;marker="&amp;$F420&amp;","&amp;$E420,"Open"))</f>
        <v/>
      </c>
    </row>
    <row r="421" spans="1:28" x14ac:dyDescent="0.45">
      <c r="A421" s="3"/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4"/>
      <c r="M421" s="1" t="str">
        <f t="shared" si="36"/>
        <v/>
      </c>
      <c r="N421" s="1" t="str">
        <f t="shared" si="37"/>
        <v/>
      </c>
      <c r="O421" s="1" t="str">
        <f t="shared" si="38"/>
        <v/>
      </c>
      <c r="P421" s="1" t="str">
        <f t="shared" si="39"/>
        <v/>
      </c>
      <c r="Q421" s="1" t="str">
        <f t="shared" si="40"/>
        <v/>
      </c>
      <c r="R421" s="1" t="str">
        <f t="shared" si="41"/>
        <v/>
      </c>
      <c r="S421" s="1" t="str">
        <f>IF(OR($E421="",$F421=""),"",HYPERLINK(IF(OR(_xlfn.SINGLE(JobState)="MI",_xlfn.SINGLE(JobState)=""),"https://fema.maps.arcgis.com/apps/mapviewer/index.html?url=https%3A%2F%2Fmdotgis.state.mi.us%2Farcgis%2Frest%2Fservices%2FWidget%2FNextGenPrFinderPub%2FFeatureServer%2F353&amp;find="&amp;$F421&amp;"%2C"&amp;$E421&amp;"&amp;marker="&amp;$F421&amp;","&amp;$E421&amp;",4326&amp;level=16",IF(_xlfn.SINGLE(JobState)="IN","https://fema.maps.arcgis.com/apps/mapviewer/index.html?url=https%3A%2F%2Fgisdata.in.gov%2Fserver%2Frest%2Fservices%2FHosted%2FLRSE_Functional_Class%2FFeatureServer%2F22&amp;find="&amp;$F421&amp;"%2C"&amp;$E421&amp;"&amp;marker="&amp;$F421&amp;","&amp;$E421&amp;",4326&amp;level=16",IF(_xlfn.SINGLE(JobState)="WI","https://fema.maps.arcgis.com/apps/mapviewer/index.html?url=https%3A%2F%2Fservices5.arcgis.com%2F0pgGLzT0Nh7FVjon%2Farcgis%2Frest%2Fservices%2FFFCL_gdb%2FFeatureServer%2F3&amp;find="&amp;$F421&amp;"%2C"&amp;$E421&amp;"&amp;marker="&amp;$F421&amp;","&amp;$E421&amp;",4326&amp;level=16","https://fema.maps.arcgis.com/apps/mapviewer/index.html?find="&amp;$F421&amp;"%2C"&amp;$E421&amp;"&amp;marker="&amp;$F421&amp;","&amp;$E421&amp;",4326&amp;level=16"))),"Open"))</f>
        <v/>
      </c>
      <c r="T421" s="4"/>
      <c r="U421" s="4"/>
      <c r="V421" s="4"/>
      <c r="W421" s="4"/>
      <c r="X421" s="4"/>
      <c r="Y421" s="4"/>
      <c r="Z421" s="4"/>
      <c r="AA421" s="4"/>
      <c r="AB421" s="1" t="str">
        <f>IF(OR(_xlfn.SINGLE(JobAgolMap)="", $E421="", $F421=""),"",HYPERLINK(_xlfn.SINGLE(JobAgolMap)&amp;IF(ISNUMBER(FIND("?",_xlfn.SINGLE(JobAgolMap))),"&amp;","?")&amp;"center="&amp;$F421&amp;","&amp;$E421&amp;"&amp;level=16&amp;marker="&amp;$F421&amp;","&amp;$E421,"Open"))</f>
        <v/>
      </c>
    </row>
    <row r="422" spans="1:28" x14ac:dyDescent="0.45">
      <c r="A422" s="3"/>
      <c r="B422" s="3"/>
      <c r="C422" s="3"/>
      <c r="D422" s="3"/>
      <c r="E422" s="3"/>
      <c r="F422" s="3"/>
      <c r="G422" s="3"/>
      <c r="H422" s="3"/>
      <c r="I422" s="3"/>
      <c r="J422" s="3"/>
      <c r="K422" s="3"/>
      <c r="L422" s="4"/>
      <c r="M422" s="1" t="str">
        <f t="shared" si="36"/>
        <v/>
      </c>
      <c r="N422" s="1" t="str">
        <f t="shared" si="37"/>
        <v/>
      </c>
      <c r="O422" s="1" t="str">
        <f t="shared" si="38"/>
        <v/>
      </c>
      <c r="P422" s="1" t="str">
        <f t="shared" si="39"/>
        <v/>
      </c>
      <c r="Q422" s="1" t="str">
        <f t="shared" si="40"/>
        <v/>
      </c>
      <c r="R422" s="1" t="str">
        <f t="shared" si="41"/>
        <v/>
      </c>
      <c r="S422" s="1" t="str">
        <f>IF(OR($E422="",$F422=""),"",HYPERLINK(IF(OR(_xlfn.SINGLE(JobState)="MI",_xlfn.SINGLE(JobState)=""),"https://fema.maps.arcgis.com/apps/mapviewer/index.html?url=https%3A%2F%2Fmdotgis.state.mi.us%2Farcgis%2Frest%2Fservices%2FWidget%2FNextGenPrFinderPub%2FFeatureServer%2F353&amp;find="&amp;$F422&amp;"%2C"&amp;$E422&amp;"&amp;marker="&amp;$F422&amp;","&amp;$E422&amp;",4326&amp;level=16",IF(_xlfn.SINGLE(JobState)="IN","https://fema.maps.arcgis.com/apps/mapviewer/index.html?url=https%3A%2F%2Fgisdata.in.gov%2Fserver%2Frest%2Fservices%2FHosted%2FLRSE_Functional_Class%2FFeatureServer%2F22&amp;find="&amp;$F422&amp;"%2C"&amp;$E422&amp;"&amp;marker="&amp;$F422&amp;","&amp;$E422&amp;",4326&amp;level=16",IF(_xlfn.SINGLE(JobState)="WI","https://fema.maps.arcgis.com/apps/mapviewer/index.html?url=https%3A%2F%2Fservices5.arcgis.com%2F0pgGLzT0Nh7FVjon%2Farcgis%2Frest%2Fservices%2FFFCL_gdb%2FFeatureServer%2F3&amp;find="&amp;$F422&amp;"%2C"&amp;$E422&amp;"&amp;marker="&amp;$F422&amp;","&amp;$E422&amp;",4326&amp;level=16","https://fema.maps.arcgis.com/apps/mapviewer/index.html?find="&amp;$F422&amp;"%2C"&amp;$E422&amp;"&amp;marker="&amp;$F422&amp;","&amp;$E422&amp;",4326&amp;level=16"))),"Open"))</f>
        <v/>
      </c>
      <c r="T422" s="4"/>
      <c r="U422" s="4"/>
      <c r="V422" s="4"/>
      <c r="W422" s="4"/>
      <c r="X422" s="4"/>
      <c r="Y422" s="4"/>
      <c r="Z422" s="4"/>
      <c r="AA422" s="4"/>
      <c r="AB422" s="1" t="str">
        <f>IF(OR(_xlfn.SINGLE(JobAgolMap)="", $E422="", $F422=""),"",HYPERLINK(_xlfn.SINGLE(JobAgolMap)&amp;IF(ISNUMBER(FIND("?",_xlfn.SINGLE(JobAgolMap))),"&amp;","?")&amp;"center="&amp;$F422&amp;","&amp;$E422&amp;"&amp;level=16&amp;marker="&amp;$F422&amp;","&amp;$E422,"Open"))</f>
        <v/>
      </c>
    </row>
    <row r="423" spans="1:28" x14ac:dyDescent="0.45">
      <c r="A423" s="3"/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4"/>
      <c r="M423" s="1" t="str">
        <f t="shared" si="36"/>
        <v/>
      </c>
      <c r="N423" s="1" t="str">
        <f t="shared" si="37"/>
        <v/>
      </c>
      <c r="O423" s="1" t="str">
        <f t="shared" si="38"/>
        <v/>
      </c>
      <c r="P423" s="1" t="str">
        <f t="shared" si="39"/>
        <v/>
      </c>
      <c r="Q423" s="1" t="str">
        <f t="shared" si="40"/>
        <v/>
      </c>
      <c r="R423" s="1" t="str">
        <f t="shared" si="41"/>
        <v/>
      </c>
      <c r="S423" s="1" t="str">
        <f>IF(OR($E423="",$F423=""),"",HYPERLINK(IF(OR(_xlfn.SINGLE(JobState)="MI",_xlfn.SINGLE(JobState)=""),"https://fema.maps.arcgis.com/apps/mapviewer/index.html?url=https%3A%2F%2Fmdotgis.state.mi.us%2Farcgis%2Frest%2Fservices%2FWidget%2FNextGenPrFinderPub%2FFeatureServer%2F353&amp;find="&amp;$F423&amp;"%2C"&amp;$E423&amp;"&amp;marker="&amp;$F423&amp;","&amp;$E423&amp;",4326&amp;level=16",IF(_xlfn.SINGLE(JobState)="IN","https://fema.maps.arcgis.com/apps/mapviewer/index.html?url=https%3A%2F%2Fgisdata.in.gov%2Fserver%2Frest%2Fservices%2FHosted%2FLRSE_Functional_Class%2FFeatureServer%2F22&amp;find="&amp;$F423&amp;"%2C"&amp;$E423&amp;"&amp;marker="&amp;$F423&amp;","&amp;$E423&amp;",4326&amp;level=16",IF(_xlfn.SINGLE(JobState)="WI","https://fema.maps.arcgis.com/apps/mapviewer/index.html?url=https%3A%2F%2Fservices5.arcgis.com%2F0pgGLzT0Nh7FVjon%2Farcgis%2Frest%2Fservices%2FFFCL_gdb%2FFeatureServer%2F3&amp;find="&amp;$F423&amp;"%2C"&amp;$E423&amp;"&amp;marker="&amp;$F423&amp;","&amp;$E423&amp;",4326&amp;level=16","https://fema.maps.arcgis.com/apps/mapviewer/index.html?find="&amp;$F423&amp;"%2C"&amp;$E423&amp;"&amp;marker="&amp;$F423&amp;","&amp;$E423&amp;",4326&amp;level=16"))),"Open"))</f>
        <v/>
      </c>
      <c r="T423" s="4"/>
      <c r="U423" s="4"/>
      <c r="V423" s="4"/>
      <c r="W423" s="4"/>
      <c r="X423" s="4"/>
      <c r="Y423" s="4"/>
      <c r="Z423" s="4"/>
      <c r="AA423" s="4"/>
      <c r="AB423" s="1" t="str">
        <f>IF(OR(_xlfn.SINGLE(JobAgolMap)="", $E423="", $F423=""),"",HYPERLINK(_xlfn.SINGLE(JobAgolMap)&amp;IF(ISNUMBER(FIND("?",_xlfn.SINGLE(JobAgolMap))),"&amp;","?")&amp;"center="&amp;$F423&amp;","&amp;$E423&amp;"&amp;level=16&amp;marker="&amp;$F423&amp;","&amp;$E423,"Open"))</f>
        <v/>
      </c>
    </row>
    <row r="424" spans="1:28" x14ac:dyDescent="0.45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4"/>
      <c r="M424" s="1" t="str">
        <f t="shared" si="36"/>
        <v/>
      </c>
      <c r="N424" s="1" t="str">
        <f t="shared" si="37"/>
        <v/>
      </c>
      <c r="O424" s="1" t="str">
        <f t="shared" si="38"/>
        <v/>
      </c>
      <c r="P424" s="1" t="str">
        <f t="shared" si="39"/>
        <v/>
      </c>
      <c r="Q424" s="1" t="str">
        <f t="shared" si="40"/>
        <v/>
      </c>
      <c r="R424" s="1" t="str">
        <f t="shared" si="41"/>
        <v/>
      </c>
      <c r="S424" s="1" t="str">
        <f>IF(OR($E424="",$F424=""),"",HYPERLINK(IF(OR(_xlfn.SINGLE(JobState)="MI",_xlfn.SINGLE(JobState)=""),"https://fema.maps.arcgis.com/apps/mapviewer/index.html?url=https%3A%2F%2Fmdotgis.state.mi.us%2Farcgis%2Frest%2Fservices%2FWidget%2FNextGenPrFinderPub%2FFeatureServer%2F353&amp;find="&amp;$F424&amp;"%2C"&amp;$E424&amp;"&amp;marker="&amp;$F424&amp;","&amp;$E424&amp;",4326&amp;level=16",IF(_xlfn.SINGLE(JobState)="IN","https://fema.maps.arcgis.com/apps/mapviewer/index.html?url=https%3A%2F%2Fgisdata.in.gov%2Fserver%2Frest%2Fservices%2FHosted%2FLRSE_Functional_Class%2FFeatureServer%2F22&amp;find="&amp;$F424&amp;"%2C"&amp;$E424&amp;"&amp;marker="&amp;$F424&amp;","&amp;$E424&amp;",4326&amp;level=16",IF(_xlfn.SINGLE(JobState)="WI","https://fema.maps.arcgis.com/apps/mapviewer/index.html?url=https%3A%2F%2Fservices5.arcgis.com%2F0pgGLzT0Nh7FVjon%2Farcgis%2Frest%2Fservices%2FFFCL_gdb%2FFeatureServer%2F3&amp;find="&amp;$F424&amp;"%2C"&amp;$E424&amp;"&amp;marker="&amp;$F424&amp;","&amp;$E424&amp;",4326&amp;level=16","https://fema.maps.arcgis.com/apps/mapviewer/index.html?find="&amp;$F424&amp;"%2C"&amp;$E424&amp;"&amp;marker="&amp;$F424&amp;","&amp;$E424&amp;",4326&amp;level=16"))),"Open"))</f>
        <v/>
      </c>
      <c r="T424" s="4"/>
      <c r="U424" s="4"/>
      <c r="V424" s="4"/>
      <c r="W424" s="4"/>
      <c r="X424" s="4"/>
      <c r="Y424" s="4"/>
      <c r="Z424" s="4"/>
      <c r="AA424" s="4"/>
      <c r="AB424" s="1" t="str">
        <f>IF(OR(_xlfn.SINGLE(JobAgolMap)="", $E424="", $F424=""),"",HYPERLINK(_xlfn.SINGLE(JobAgolMap)&amp;IF(ISNUMBER(FIND("?",_xlfn.SINGLE(JobAgolMap))),"&amp;","?")&amp;"center="&amp;$F424&amp;","&amp;$E424&amp;"&amp;level=16&amp;marker="&amp;$F424&amp;","&amp;$E424,"Open"))</f>
        <v/>
      </c>
    </row>
    <row r="425" spans="1:28" x14ac:dyDescent="0.45">
      <c r="A425" s="3"/>
      <c r="B425" s="3"/>
      <c r="C425" s="3"/>
      <c r="D425" s="3"/>
      <c r="E425" s="3"/>
      <c r="F425" s="3"/>
      <c r="G425" s="3"/>
      <c r="H425" s="3"/>
      <c r="I425" s="3"/>
      <c r="J425" s="3"/>
      <c r="K425" s="3"/>
      <c r="L425" s="4"/>
      <c r="M425" s="1" t="str">
        <f t="shared" si="36"/>
        <v/>
      </c>
      <c r="N425" s="1" t="str">
        <f t="shared" si="37"/>
        <v/>
      </c>
      <c r="O425" s="1" t="str">
        <f t="shared" si="38"/>
        <v/>
      </c>
      <c r="P425" s="1" t="str">
        <f t="shared" si="39"/>
        <v/>
      </c>
      <c r="Q425" s="1" t="str">
        <f t="shared" si="40"/>
        <v/>
      </c>
      <c r="R425" s="1" t="str">
        <f t="shared" si="41"/>
        <v/>
      </c>
      <c r="S425" s="1" t="str">
        <f>IF(OR($E425="",$F425=""),"",HYPERLINK(IF(OR(_xlfn.SINGLE(JobState)="MI",_xlfn.SINGLE(JobState)=""),"https://fema.maps.arcgis.com/apps/mapviewer/index.html?url=https%3A%2F%2Fmdotgis.state.mi.us%2Farcgis%2Frest%2Fservices%2FWidget%2FNextGenPrFinderPub%2FFeatureServer%2F353&amp;find="&amp;$F425&amp;"%2C"&amp;$E425&amp;"&amp;marker="&amp;$F425&amp;","&amp;$E425&amp;",4326&amp;level=16",IF(_xlfn.SINGLE(JobState)="IN","https://fema.maps.arcgis.com/apps/mapviewer/index.html?url=https%3A%2F%2Fgisdata.in.gov%2Fserver%2Frest%2Fservices%2FHosted%2FLRSE_Functional_Class%2FFeatureServer%2F22&amp;find="&amp;$F425&amp;"%2C"&amp;$E425&amp;"&amp;marker="&amp;$F425&amp;","&amp;$E425&amp;",4326&amp;level=16",IF(_xlfn.SINGLE(JobState)="WI","https://fema.maps.arcgis.com/apps/mapviewer/index.html?url=https%3A%2F%2Fservices5.arcgis.com%2F0pgGLzT0Nh7FVjon%2Farcgis%2Frest%2Fservices%2FFFCL_gdb%2FFeatureServer%2F3&amp;find="&amp;$F425&amp;"%2C"&amp;$E425&amp;"&amp;marker="&amp;$F425&amp;","&amp;$E425&amp;",4326&amp;level=16","https://fema.maps.arcgis.com/apps/mapviewer/index.html?find="&amp;$F425&amp;"%2C"&amp;$E425&amp;"&amp;marker="&amp;$F425&amp;","&amp;$E425&amp;",4326&amp;level=16"))),"Open"))</f>
        <v/>
      </c>
      <c r="T425" s="4"/>
      <c r="U425" s="4"/>
      <c r="V425" s="4"/>
      <c r="W425" s="4"/>
      <c r="X425" s="4"/>
      <c r="Y425" s="4"/>
      <c r="Z425" s="4"/>
      <c r="AA425" s="4"/>
      <c r="AB425" s="1" t="str">
        <f>IF(OR(_xlfn.SINGLE(JobAgolMap)="", $E425="", $F425=""),"",HYPERLINK(_xlfn.SINGLE(JobAgolMap)&amp;IF(ISNUMBER(FIND("?",_xlfn.SINGLE(JobAgolMap))),"&amp;","?")&amp;"center="&amp;$F425&amp;","&amp;$E425&amp;"&amp;level=16&amp;marker="&amp;$F425&amp;","&amp;$E425,"Open"))</f>
        <v/>
      </c>
    </row>
    <row r="426" spans="1:28" x14ac:dyDescent="0.45">
      <c r="A426" s="3"/>
      <c r="B426" s="3"/>
      <c r="C426" s="3"/>
      <c r="D426" s="3"/>
      <c r="E426" s="3"/>
      <c r="F426" s="3"/>
      <c r="G426" s="3"/>
      <c r="H426" s="3"/>
      <c r="I426" s="3"/>
      <c r="J426" s="3"/>
      <c r="K426" s="3"/>
      <c r="L426" s="4"/>
      <c r="M426" s="1" t="str">
        <f t="shared" si="36"/>
        <v/>
      </c>
      <c r="N426" s="1" t="str">
        <f t="shared" si="37"/>
        <v/>
      </c>
      <c r="O426" s="1" t="str">
        <f t="shared" si="38"/>
        <v/>
      </c>
      <c r="P426" s="1" t="str">
        <f t="shared" si="39"/>
        <v/>
      </c>
      <c r="Q426" s="1" t="str">
        <f t="shared" si="40"/>
        <v/>
      </c>
      <c r="R426" s="1" t="str">
        <f t="shared" si="41"/>
        <v/>
      </c>
      <c r="S426" s="1" t="str">
        <f>IF(OR($E426="",$F426=""),"",HYPERLINK(IF(OR(_xlfn.SINGLE(JobState)="MI",_xlfn.SINGLE(JobState)=""),"https://fema.maps.arcgis.com/apps/mapviewer/index.html?url=https%3A%2F%2Fmdotgis.state.mi.us%2Farcgis%2Frest%2Fservices%2FWidget%2FNextGenPrFinderPub%2FFeatureServer%2F353&amp;find="&amp;$F426&amp;"%2C"&amp;$E426&amp;"&amp;marker="&amp;$F426&amp;","&amp;$E426&amp;",4326&amp;level=16",IF(_xlfn.SINGLE(JobState)="IN","https://fema.maps.arcgis.com/apps/mapviewer/index.html?url=https%3A%2F%2Fgisdata.in.gov%2Fserver%2Frest%2Fservices%2FHosted%2FLRSE_Functional_Class%2FFeatureServer%2F22&amp;find="&amp;$F426&amp;"%2C"&amp;$E426&amp;"&amp;marker="&amp;$F426&amp;","&amp;$E426&amp;",4326&amp;level=16",IF(_xlfn.SINGLE(JobState)="WI","https://fema.maps.arcgis.com/apps/mapviewer/index.html?url=https%3A%2F%2Fservices5.arcgis.com%2F0pgGLzT0Nh7FVjon%2Farcgis%2Frest%2Fservices%2FFFCL_gdb%2FFeatureServer%2F3&amp;find="&amp;$F426&amp;"%2C"&amp;$E426&amp;"&amp;marker="&amp;$F426&amp;","&amp;$E426&amp;",4326&amp;level=16","https://fema.maps.arcgis.com/apps/mapviewer/index.html?find="&amp;$F426&amp;"%2C"&amp;$E426&amp;"&amp;marker="&amp;$F426&amp;","&amp;$E426&amp;",4326&amp;level=16"))),"Open"))</f>
        <v/>
      </c>
      <c r="T426" s="4"/>
      <c r="U426" s="4"/>
      <c r="V426" s="4"/>
      <c r="W426" s="4"/>
      <c r="X426" s="4"/>
      <c r="Y426" s="4"/>
      <c r="Z426" s="4"/>
      <c r="AA426" s="4"/>
      <c r="AB426" s="1" t="str">
        <f>IF(OR(_xlfn.SINGLE(JobAgolMap)="", $E426="", $F426=""),"",HYPERLINK(_xlfn.SINGLE(JobAgolMap)&amp;IF(ISNUMBER(FIND("?",_xlfn.SINGLE(JobAgolMap))),"&amp;","?")&amp;"center="&amp;$F426&amp;","&amp;$E426&amp;"&amp;level=16&amp;marker="&amp;$F426&amp;","&amp;$E426,"Open"))</f>
        <v/>
      </c>
    </row>
    <row r="427" spans="1:28" x14ac:dyDescent="0.45">
      <c r="A427" s="3"/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4"/>
      <c r="M427" s="1" t="str">
        <f t="shared" si="36"/>
        <v/>
      </c>
      <c r="N427" s="1" t="str">
        <f t="shared" si="37"/>
        <v/>
      </c>
      <c r="O427" s="1" t="str">
        <f t="shared" si="38"/>
        <v/>
      </c>
      <c r="P427" s="1" t="str">
        <f t="shared" si="39"/>
        <v/>
      </c>
      <c r="Q427" s="1" t="str">
        <f t="shared" si="40"/>
        <v/>
      </c>
      <c r="R427" s="1" t="str">
        <f t="shared" si="41"/>
        <v/>
      </c>
      <c r="S427" s="1" t="str">
        <f>IF(OR($E427="",$F427=""),"",HYPERLINK(IF(OR(_xlfn.SINGLE(JobState)="MI",_xlfn.SINGLE(JobState)=""),"https://fema.maps.arcgis.com/apps/mapviewer/index.html?url=https%3A%2F%2Fmdotgis.state.mi.us%2Farcgis%2Frest%2Fservices%2FWidget%2FNextGenPrFinderPub%2FFeatureServer%2F353&amp;find="&amp;$F427&amp;"%2C"&amp;$E427&amp;"&amp;marker="&amp;$F427&amp;","&amp;$E427&amp;",4326&amp;level=16",IF(_xlfn.SINGLE(JobState)="IN","https://fema.maps.arcgis.com/apps/mapviewer/index.html?url=https%3A%2F%2Fgisdata.in.gov%2Fserver%2Frest%2Fservices%2FHosted%2FLRSE_Functional_Class%2FFeatureServer%2F22&amp;find="&amp;$F427&amp;"%2C"&amp;$E427&amp;"&amp;marker="&amp;$F427&amp;","&amp;$E427&amp;",4326&amp;level=16",IF(_xlfn.SINGLE(JobState)="WI","https://fema.maps.arcgis.com/apps/mapviewer/index.html?url=https%3A%2F%2Fservices5.arcgis.com%2F0pgGLzT0Nh7FVjon%2Farcgis%2Frest%2Fservices%2FFFCL_gdb%2FFeatureServer%2F3&amp;find="&amp;$F427&amp;"%2C"&amp;$E427&amp;"&amp;marker="&amp;$F427&amp;","&amp;$E427&amp;",4326&amp;level=16","https://fema.maps.arcgis.com/apps/mapviewer/index.html?find="&amp;$F427&amp;"%2C"&amp;$E427&amp;"&amp;marker="&amp;$F427&amp;","&amp;$E427&amp;",4326&amp;level=16"))),"Open"))</f>
        <v/>
      </c>
      <c r="T427" s="4"/>
      <c r="U427" s="4"/>
      <c r="V427" s="4"/>
      <c r="W427" s="4"/>
      <c r="X427" s="4"/>
      <c r="Y427" s="4"/>
      <c r="Z427" s="4"/>
      <c r="AA427" s="4"/>
      <c r="AB427" s="1" t="str">
        <f>IF(OR(_xlfn.SINGLE(JobAgolMap)="", $E427="", $F427=""),"",HYPERLINK(_xlfn.SINGLE(JobAgolMap)&amp;IF(ISNUMBER(FIND("?",_xlfn.SINGLE(JobAgolMap))),"&amp;","?")&amp;"center="&amp;$F427&amp;","&amp;$E427&amp;"&amp;level=16&amp;marker="&amp;$F427&amp;","&amp;$E427,"Open"))</f>
        <v/>
      </c>
    </row>
    <row r="428" spans="1:28" x14ac:dyDescent="0.45">
      <c r="A428" s="3"/>
      <c r="B428" s="3"/>
      <c r="C428" s="3"/>
      <c r="D428" s="3"/>
      <c r="E428" s="3"/>
      <c r="F428" s="3"/>
      <c r="G428" s="3"/>
      <c r="H428" s="3"/>
      <c r="I428" s="3"/>
      <c r="J428" s="3"/>
      <c r="K428" s="3"/>
      <c r="L428" s="4"/>
      <c r="M428" s="1" t="str">
        <f t="shared" si="36"/>
        <v/>
      </c>
      <c r="N428" s="1" t="str">
        <f t="shared" si="37"/>
        <v/>
      </c>
      <c r="O428" s="1" t="str">
        <f t="shared" si="38"/>
        <v/>
      </c>
      <c r="P428" s="1" t="str">
        <f t="shared" si="39"/>
        <v/>
      </c>
      <c r="Q428" s="1" t="str">
        <f t="shared" si="40"/>
        <v/>
      </c>
      <c r="R428" s="1" t="str">
        <f t="shared" si="41"/>
        <v/>
      </c>
      <c r="S428" s="1" t="str">
        <f>IF(OR($E428="",$F428=""),"",HYPERLINK(IF(OR(_xlfn.SINGLE(JobState)="MI",_xlfn.SINGLE(JobState)=""),"https://fema.maps.arcgis.com/apps/mapviewer/index.html?url=https%3A%2F%2Fmdotgis.state.mi.us%2Farcgis%2Frest%2Fservices%2FWidget%2FNextGenPrFinderPub%2FFeatureServer%2F353&amp;find="&amp;$F428&amp;"%2C"&amp;$E428&amp;"&amp;marker="&amp;$F428&amp;","&amp;$E428&amp;",4326&amp;level=16",IF(_xlfn.SINGLE(JobState)="IN","https://fema.maps.arcgis.com/apps/mapviewer/index.html?url=https%3A%2F%2Fgisdata.in.gov%2Fserver%2Frest%2Fservices%2FHosted%2FLRSE_Functional_Class%2FFeatureServer%2F22&amp;find="&amp;$F428&amp;"%2C"&amp;$E428&amp;"&amp;marker="&amp;$F428&amp;","&amp;$E428&amp;",4326&amp;level=16",IF(_xlfn.SINGLE(JobState)="WI","https://fema.maps.arcgis.com/apps/mapviewer/index.html?url=https%3A%2F%2Fservices5.arcgis.com%2F0pgGLzT0Nh7FVjon%2Farcgis%2Frest%2Fservices%2FFFCL_gdb%2FFeatureServer%2F3&amp;find="&amp;$F428&amp;"%2C"&amp;$E428&amp;"&amp;marker="&amp;$F428&amp;","&amp;$E428&amp;",4326&amp;level=16","https://fema.maps.arcgis.com/apps/mapviewer/index.html?find="&amp;$F428&amp;"%2C"&amp;$E428&amp;"&amp;marker="&amp;$F428&amp;","&amp;$E428&amp;",4326&amp;level=16"))),"Open"))</f>
        <v/>
      </c>
      <c r="T428" s="4"/>
      <c r="U428" s="4"/>
      <c r="V428" s="4"/>
      <c r="W428" s="4"/>
      <c r="X428" s="4"/>
      <c r="Y428" s="4"/>
      <c r="Z428" s="4"/>
      <c r="AA428" s="4"/>
      <c r="AB428" s="1" t="str">
        <f>IF(OR(_xlfn.SINGLE(JobAgolMap)="", $E428="", $F428=""),"",HYPERLINK(_xlfn.SINGLE(JobAgolMap)&amp;IF(ISNUMBER(FIND("?",_xlfn.SINGLE(JobAgolMap))),"&amp;","?")&amp;"center="&amp;$F428&amp;","&amp;$E428&amp;"&amp;level=16&amp;marker="&amp;$F428&amp;","&amp;$E428,"Open"))</f>
        <v/>
      </c>
    </row>
    <row r="429" spans="1:28" x14ac:dyDescent="0.45">
      <c r="A429" s="3"/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4"/>
      <c r="M429" s="1" t="str">
        <f t="shared" si="36"/>
        <v/>
      </c>
      <c r="N429" s="1" t="str">
        <f t="shared" si="37"/>
        <v/>
      </c>
      <c r="O429" s="1" t="str">
        <f t="shared" si="38"/>
        <v/>
      </c>
      <c r="P429" s="1" t="str">
        <f t="shared" si="39"/>
        <v/>
      </c>
      <c r="Q429" s="1" t="str">
        <f t="shared" si="40"/>
        <v/>
      </c>
      <c r="R429" s="1" t="str">
        <f t="shared" si="41"/>
        <v/>
      </c>
      <c r="S429" s="1" t="str">
        <f>IF(OR($E429="",$F429=""),"",HYPERLINK(IF(OR(_xlfn.SINGLE(JobState)="MI",_xlfn.SINGLE(JobState)=""),"https://fema.maps.arcgis.com/apps/mapviewer/index.html?url=https%3A%2F%2Fmdotgis.state.mi.us%2Farcgis%2Frest%2Fservices%2FWidget%2FNextGenPrFinderPub%2FFeatureServer%2F353&amp;find="&amp;$F429&amp;"%2C"&amp;$E429&amp;"&amp;marker="&amp;$F429&amp;","&amp;$E429&amp;",4326&amp;level=16",IF(_xlfn.SINGLE(JobState)="IN","https://fema.maps.arcgis.com/apps/mapviewer/index.html?url=https%3A%2F%2Fgisdata.in.gov%2Fserver%2Frest%2Fservices%2FHosted%2FLRSE_Functional_Class%2FFeatureServer%2F22&amp;find="&amp;$F429&amp;"%2C"&amp;$E429&amp;"&amp;marker="&amp;$F429&amp;","&amp;$E429&amp;",4326&amp;level=16",IF(_xlfn.SINGLE(JobState)="WI","https://fema.maps.arcgis.com/apps/mapviewer/index.html?url=https%3A%2F%2Fservices5.arcgis.com%2F0pgGLzT0Nh7FVjon%2Farcgis%2Frest%2Fservices%2FFFCL_gdb%2FFeatureServer%2F3&amp;find="&amp;$F429&amp;"%2C"&amp;$E429&amp;"&amp;marker="&amp;$F429&amp;","&amp;$E429&amp;",4326&amp;level=16","https://fema.maps.arcgis.com/apps/mapviewer/index.html?find="&amp;$F429&amp;"%2C"&amp;$E429&amp;"&amp;marker="&amp;$F429&amp;","&amp;$E429&amp;",4326&amp;level=16"))),"Open"))</f>
        <v/>
      </c>
      <c r="T429" s="4"/>
      <c r="U429" s="4"/>
      <c r="V429" s="4"/>
      <c r="W429" s="4"/>
      <c r="X429" s="4"/>
      <c r="Y429" s="4"/>
      <c r="Z429" s="4"/>
      <c r="AA429" s="4"/>
      <c r="AB429" s="1" t="str">
        <f>IF(OR(_xlfn.SINGLE(JobAgolMap)="", $E429="", $F429=""),"",HYPERLINK(_xlfn.SINGLE(JobAgolMap)&amp;IF(ISNUMBER(FIND("?",_xlfn.SINGLE(JobAgolMap))),"&amp;","?")&amp;"center="&amp;$F429&amp;","&amp;$E429&amp;"&amp;level=16&amp;marker="&amp;$F429&amp;","&amp;$E429,"Open"))</f>
        <v/>
      </c>
    </row>
    <row r="430" spans="1:28" x14ac:dyDescent="0.45">
      <c r="A430" s="3"/>
      <c r="B430" s="3"/>
      <c r="C430" s="3"/>
      <c r="D430" s="3"/>
      <c r="E430" s="3"/>
      <c r="F430" s="3"/>
      <c r="G430" s="3"/>
      <c r="H430" s="3"/>
      <c r="I430" s="3"/>
      <c r="J430" s="3"/>
      <c r="K430" s="3"/>
      <c r="L430" s="4"/>
      <c r="M430" s="1" t="str">
        <f t="shared" si="36"/>
        <v/>
      </c>
      <c r="N430" s="1" t="str">
        <f t="shared" si="37"/>
        <v/>
      </c>
      <c r="O430" s="1" t="str">
        <f t="shared" si="38"/>
        <v/>
      </c>
      <c r="P430" s="1" t="str">
        <f t="shared" si="39"/>
        <v/>
      </c>
      <c r="Q430" s="1" t="str">
        <f t="shared" si="40"/>
        <v/>
      </c>
      <c r="R430" s="1" t="str">
        <f t="shared" si="41"/>
        <v/>
      </c>
      <c r="S430" s="1" t="str">
        <f>IF(OR($E430="",$F430=""),"",HYPERLINK(IF(OR(_xlfn.SINGLE(JobState)="MI",_xlfn.SINGLE(JobState)=""),"https://fema.maps.arcgis.com/apps/mapviewer/index.html?url=https%3A%2F%2Fmdotgis.state.mi.us%2Farcgis%2Frest%2Fservices%2FWidget%2FNextGenPrFinderPub%2FFeatureServer%2F353&amp;find="&amp;$F430&amp;"%2C"&amp;$E430&amp;"&amp;marker="&amp;$F430&amp;","&amp;$E430&amp;",4326&amp;level=16",IF(_xlfn.SINGLE(JobState)="IN","https://fema.maps.arcgis.com/apps/mapviewer/index.html?url=https%3A%2F%2Fgisdata.in.gov%2Fserver%2Frest%2Fservices%2FHosted%2FLRSE_Functional_Class%2FFeatureServer%2F22&amp;find="&amp;$F430&amp;"%2C"&amp;$E430&amp;"&amp;marker="&amp;$F430&amp;","&amp;$E430&amp;",4326&amp;level=16",IF(_xlfn.SINGLE(JobState)="WI","https://fema.maps.arcgis.com/apps/mapviewer/index.html?url=https%3A%2F%2Fservices5.arcgis.com%2F0pgGLzT0Nh7FVjon%2Farcgis%2Frest%2Fservices%2FFFCL_gdb%2FFeatureServer%2F3&amp;find="&amp;$F430&amp;"%2C"&amp;$E430&amp;"&amp;marker="&amp;$F430&amp;","&amp;$E430&amp;",4326&amp;level=16","https://fema.maps.arcgis.com/apps/mapviewer/index.html?find="&amp;$F430&amp;"%2C"&amp;$E430&amp;"&amp;marker="&amp;$F430&amp;","&amp;$E430&amp;",4326&amp;level=16"))),"Open"))</f>
        <v/>
      </c>
      <c r="T430" s="4"/>
      <c r="U430" s="4"/>
      <c r="V430" s="4"/>
      <c r="W430" s="4"/>
      <c r="X430" s="4"/>
      <c r="Y430" s="4"/>
      <c r="Z430" s="4"/>
      <c r="AA430" s="4"/>
      <c r="AB430" s="1" t="str">
        <f>IF(OR(_xlfn.SINGLE(JobAgolMap)="", $E430="", $F430=""),"",HYPERLINK(_xlfn.SINGLE(JobAgolMap)&amp;IF(ISNUMBER(FIND("?",_xlfn.SINGLE(JobAgolMap))),"&amp;","?")&amp;"center="&amp;$F430&amp;","&amp;$E430&amp;"&amp;level=16&amp;marker="&amp;$F430&amp;","&amp;$E430,"Open"))</f>
        <v/>
      </c>
    </row>
    <row r="431" spans="1:28" x14ac:dyDescent="0.45">
      <c r="A431" s="3"/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4"/>
      <c r="M431" s="1" t="str">
        <f t="shared" si="36"/>
        <v/>
      </c>
      <c r="N431" s="1" t="str">
        <f t="shared" si="37"/>
        <v/>
      </c>
      <c r="O431" s="1" t="str">
        <f t="shared" si="38"/>
        <v/>
      </c>
      <c r="P431" s="1" t="str">
        <f t="shared" si="39"/>
        <v/>
      </c>
      <c r="Q431" s="1" t="str">
        <f t="shared" si="40"/>
        <v/>
      </c>
      <c r="R431" s="1" t="str">
        <f t="shared" si="41"/>
        <v/>
      </c>
      <c r="S431" s="1" t="str">
        <f>IF(OR($E431="",$F431=""),"",HYPERLINK(IF(OR(_xlfn.SINGLE(JobState)="MI",_xlfn.SINGLE(JobState)=""),"https://fema.maps.arcgis.com/apps/mapviewer/index.html?url=https%3A%2F%2Fmdotgis.state.mi.us%2Farcgis%2Frest%2Fservices%2FWidget%2FNextGenPrFinderPub%2FFeatureServer%2F353&amp;find="&amp;$F431&amp;"%2C"&amp;$E431&amp;"&amp;marker="&amp;$F431&amp;","&amp;$E431&amp;",4326&amp;level=16",IF(_xlfn.SINGLE(JobState)="IN","https://fema.maps.arcgis.com/apps/mapviewer/index.html?url=https%3A%2F%2Fgisdata.in.gov%2Fserver%2Frest%2Fservices%2FHosted%2FLRSE_Functional_Class%2FFeatureServer%2F22&amp;find="&amp;$F431&amp;"%2C"&amp;$E431&amp;"&amp;marker="&amp;$F431&amp;","&amp;$E431&amp;",4326&amp;level=16",IF(_xlfn.SINGLE(JobState)="WI","https://fema.maps.arcgis.com/apps/mapviewer/index.html?url=https%3A%2F%2Fservices5.arcgis.com%2F0pgGLzT0Nh7FVjon%2Farcgis%2Frest%2Fservices%2FFFCL_gdb%2FFeatureServer%2F3&amp;find="&amp;$F431&amp;"%2C"&amp;$E431&amp;"&amp;marker="&amp;$F431&amp;","&amp;$E431&amp;",4326&amp;level=16","https://fema.maps.arcgis.com/apps/mapviewer/index.html?find="&amp;$F431&amp;"%2C"&amp;$E431&amp;"&amp;marker="&amp;$F431&amp;","&amp;$E431&amp;",4326&amp;level=16"))),"Open"))</f>
        <v/>
      </c>
      <c r="T431" s="4"/>
      <c r="U431" s="4"/>
      <c r="V431" s="4"/>
      <c r="W431" s="4"/>
      <c r="X431" s="4"/>
      <c r="Y431" s="4"/>
      <c r="Z431" s="4"/>
      <c r="AA431" s="4"/>
      <c r="AB431" s="1" t="str">
        <f>IF(OR(_xlfn.SINGLE(JobAgolMap)="", $E431="", $F431=""),"",HYPERLINK(_xlfn.SINGLE(JobAgolMap)&amp;IF(ISNUMBER(FIND("?",_xlfn.SINGLE(JobAgolMap))),"&amp;","?")&amp;"center="&amp;$F431&amp;","&amp;$E431&amp;"&amp;level=16&amp;marker="&amp;$F431&amp;","&amp;$E431,"Open"))</f>
        <v/>
      </c>
    </row>
    <row r="432" spans="1:28" x14ac:dyDescent="0.45">
      <c r="A432" s="3"/>
      <c r="B432" s="3"/>
      <c r="C432" s="3"/>
      <c r="D432" s="3"/>
      <c r="E432" s="3"/>
      <c r="F432" s="3"/>
      <c r="G432" s="3"/>
      <c r="H432" s="3"/>
      <c r="I432" s="3"/>
      <c r="J432" s="3"/>
      <c r="K432" s="3"/>
      <c r="L432" s="4"/>
      <c r="M432" s="1" t="str">
        <f t="shared" si="36"/>
        <v/>
      </c>
      <c r="N432" s="1" t="str">
        <f t="shared" si="37"/>
        <v/>
      </c>
      <c r="O432" s="1" t="str">
        <f t="shared" si="38"/>
        <v/>
      </c>
      <c r="P432" s="1" t="str">
        <f t="shared" si="39"/>
        <v/>
      </c>
      <c r="Q432" s="1" t="str">
        <f t="shared" si="40"/>
        <v/>
      </c>
      <c r="R432" s="1" t="str">
        <f t="shared" si="41"/>
        <v/>
      </c>
      <c r="S432" s="1" t="str">
        <f>IF(OR($E432="",$F432=""),"",HYPERLINK(IF(OR(_xlfn.SINGLE(JobState)="MI",_xlfn.SINGLE(JobState)=""),"https://fema.maps.arcgis.com/apps/mapviewer/index.html?url=https%3A%2F%2Fmdotgis.state.mi.us%2Farcgis%2Frest%2Fservices%2FWidget%2FNextGenPrFinderPub%2FFeatureServer%2F353&amp;find="&amp;$F432&amp;"%2C"&amp;$E432&amp;"&amp;marker="&amp;$F432&amp;","&amp;$E432&amp;",4326&amp;level=16",IF(_xlfn.SINGLE(JobState)="IN","https://fema.maps.arcgis.com/apps/mapviewer/index.html?url=https%3A%2F%2Fgisdata.in.gov%2Fserver%2Frest%2Fservices%2FHosted%2FLRSE_Functional_Class%2FFeatureServer%2F22&amp;find="&amp;$F432&amp;"%2C"&amp;$E432&amp;"&amp;marker="&amp;$F432&amp;","&amp;$E432&amp;",4326&amp;level=16",IF(_xlfn.SINGLE(JobState)="WI","https://fema.maps.arcgis.com/apps/mapviewer/index.html?url=https%3A%2F%2Fservices5.arcgis.com%2F0pgGLzT0Nh7FVjon%2Farcgis%2Frest%2Fservices%2FFFCL_gdb%2FFeatureServer%2F3&amp;find="&amp;$F432&amp;"%2C"&amp;$E432&amp;"&amp;marker="&amp;$F432&amp;","&amp;$E432&amp;",4326&amp;level=16","https://fema.maps.arcgis.com/apps/mapviewer/index.html?find="&amp;$F432&amp;"%2C"&amp;$E432&amp;"&amp;marker="&amp;$F432&amp;","&amp;$E432&amp;",4326&amp;level=16"))),"Open"))</f>
        <v/>
      </c>
      <c r="T432" s="4"/>
      <c r="U432" s="4"/>
      <c r="V432" s="4"/>
      <c r="W432" s="4"/>
      <c r="X432" s="4"/>
      <c r="Y432" s="4"/>
      <c r="Z432" s="4"/>
      <c r="AA432" s="4"/>
      <c r="AB432" s="1" t="str">
        <f>IF(OR(_xlfn.SINGLE(JobAgolMap)="", $E432="", $F432=""),"",HYPERLINK(_xlfn.SINGLE(JobAgolMap)&amp;IF(ISNUMBER(FIND("?",_xlfn.SINGLE(JobAgolMap))),"&amp;","?")&amp;"center="&amp;$F432&amp;","&amp;$E432&amp;"&amp;level=16&amp;marker="&amp;$F432&amp;","&amp;$E432,"Open"))</f>
        <v/>
      </c>
    </row>
    <row r="433" spans="1:28" x14ac:dyDescent="0.45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4"/>
      <c r="M433" s="1" t="str">
        <f t="shared" si="36"/>
        <v/>
      </c>
      <c r="N433" s="1" t="str">
        <f t="shared" si="37"/>
        <v/>
      </c>
      <c r="O433" s="1" t="str">
        <f t="shared" si="38"/>
        <v/>
      </c>
      <c r="P433" s="1" t="str">
        <f t="shared" si="39"/>
        <v/>
      </c>
      <c r="Q433" s="1" t="str">
        <f t="shared" si="40"/>
        <v/>
      </c>
      <c r="R433" s="1" t="str">
        <f t="shared" si="41"/>
        <v/>
      </c>
      <c r="S433" s="1" t="str">
        <f>IF(OR($E433="",$F433=""),"",HYPERLINK(IF(OR(_xlfn.SINGLE(JobState)="MI",_xlfn.SINGLE(JobState)=""),"https://fema.maps.arcgis.com/apps/mapviewer/index.html?url=https%3A%2F%2Fmdotgis.state.mi.us%2Farcgis%2Frest%2Fservices%2FWidget%2FNextGenPrFinderPub%2FFeatureServer%2F353&amp;find="&amp;$F433&amp;"%2C"&amp;$E433&amp;"&amp;marker="&amp;$F433&amp;","&amp;$E433&amp;",4326&amp;level=16",IF(_xlfn.SINGLE(JobState)="IN","https://fema.maps.arcgis.com/apps/mapviewer/index.html?url=https%3A%2F%2Fgisdata.in.gov%2Fserver%2Frest%2Fservices%2FHosted%2FLRSE_Functional_Class%2FFeatureServer%2F22&amp;find="&amp;$F433&amp;"%2C"&amp;$E433&amp;"&amp;marker="&amp;$F433&amp;","&amp;$E433&amp;",4326&amp;level=16",IF(_xlfn.SINGLE(JobState)="WI","https://fema.maps.arcgis.com/apps/mapviewer/index.html?url=https%3A%2F%2Fservices5.arcgis.com%2F0pgGLzT0Nh7FVjon%2Farcgis%2Frest%2Fservices%2FFFCL_gdb%2FFeatureServer%2F3&amp;find="&amp;$F433&amp;"%2C"&amp;$E433&amp;"&amp;marker="&amp;$F433&amp;","&amp;$E433&amp;",4326&amp;level=16","https://fema.maps.arcgis.com/apps/mapviewer/index.html?find="&amp;$F433&amp;"%2C"&amp;$E433&amp;"&amp;marker="&amp;$F433&amp;","&amp;$E433&amp;",4326&amp;level=16"))),"Open"))</f>
        <v/>
      </c>
      <c r="T433" s="4"/>
      <c r="U433" s="4"/>
      <c r="V433" s="4"/>
      <c r="W433" s="4"/>
      <c r="X433" s="4"/>
      <c r="Y433" s="4"/>
      <c r="Z433" s="4"/>
      <c r="AA433" s="4"/>
      <c r="AB433" s="1" t="str">
        <f>IF(OR(_xlfn.SINGLE(JobAgolMap)="", $E433="", $F433=""),"",HYPERLINK(_xlfn.SINGLE(JobAgolMap)&amp;IF(ISNUMBER(FIND("?",_xlfn.SINGLE(JobAgolMap))),"&amp;","?")&amp;"center="&amp;$F433&amp;","&amp;$E433&amp;"&amp;level=16&amp;marker="&amp;$F433&amp;","&amp;$E433,"Open"))</f>
        <v/>
      </c>
    </row>
    <row r="434" spans="1:28" x14ac:dyDescent="0.45">
      <c r="A434" s="3"/>
      <c r="B434" s="3"/>
      <c r="C434" s="3"/>
      <c r="D434" s="3"/>
      <c r="E434" s="3"/>
      <c r="F434" s="3"/>
      <c r="G434" s="3"/>
      <c r="H434" s="3"/>
      <c r="I434" s="3"/>
      <c r="J434" s="3"/>
      <c r="K434" s="3"/>
      <c r="L434" s="4"/>
      <c r="M434" s="1" t="str">
        <f t="shared" si="36"/>
        <v/>
      </c>
      <c r="N434" s="1" t="str">
        <f t="shared" si="37"/>
        <v/>
      </c>
      <c r="O434" s="1" t="str">
        <f t="shared" si="38"/>
        <v/>
      </c>
      <c r="P434" s="1" t="str">
        <f t="shared" si="39"/>
        <v/>
      </c>
      <c r="Q434" s="1" t="str">
        <f t="shared" si="40"/>
        <v/>
      </c>
      <c r="R434" s="1" t="str">
        <f t="shared" si="41"/>
        <v/>
      </c>
      <c r="S434" s="1" t="str">
        <f>IF(OR($E434="",$F434=""),"",HYPERLINK(IF(OR(_xlfn.SINGLE(JobState)="MI",_xlfn.SINGLE(JobState)=""),"https://fema.maps.arcgis.com/apps/mapviewer/index.html?url=https%3A%2F%2Fmdotgis.state.mi.us%2Farcgis%2Frest%2Fservices%2FWidget%2FNextGenPrFinderPub%2FFeatureServer%2F353&amp;find="&amp;$F434&amp;"%2C"&amp;$E434&amp;"&amp;marker="&amp;$F434&amp;","&amp;$E434&amp;",4326&amp;level=16",IF(_xlfn.SINGLE(JobState)="IN","https://fema.maps.arcgis.com/apps/mapviewer/index.html?url=https%3A%2F%2Fgisdata.in.gov%2Fserver%2Frest%2Fservices%2FHosted%2FLRSE_Functional_Class%2FFeatureServer%2F22&amp;find="&amp;$F434&amp;"%2C"&amp;$E434&amp;"&amp;marker="&amp;$F434&amp;","&amp;$E434&amp;",4326&amp;level=16",IF(_xlfn.SINGLE(JobState)="WI","https://fema.maps.arcgis.com/apps/mapviewer/index.html?url=https%3A%2F%2Fservices5.arcgis.com%2F0pgGLzT0Nh7FVjon%2Farcgis%2Frest%2Fservices%2FFFCL_gdb%2FFeatureServer%2F3&amp;find="&amp;$F434&amp;"%2C"&amp;$E434&amp;"&amp;marker="&amp;$F434&amp;","&amp;$E434&amp;",4326&amp;level=16","https://fema.maps.arcgis.com/apps/mapviewer/index.html?find="&amp;$F434&amp;"%2C"&amp;$E434&amp;"&amp;marker="&amp;$F434&amp;","&amp;$E434&amp;",4326&amp;level=16"))),"Open"))</f>
        <v/>
      </c>
      <c r="T434" s="4"/>
      <c r="U434" s="4"/>
      <c r="V434" s="4"/>
      <c r="W434" s="4"/>
      <c r="X434" s="4"/>
      <c r="Y434" s="4"/>
      <c r="Z434" s="4"/>
      <c r="AA434" s="4"/>
      <c r="AB434" s="1" t="str">
        <f>IF(OR(_xlfn.SINGLE(JobAgolMap)="", $E434="", $F434=""),"",HYPERLINK(_xlfn.SINGLE(JobAgolMap)&amp;IF(ISNUMBER(FIND("?",_xlfn.SINGLE(JobAgolMap))),"&amp;","?")&amp;"center="&amp;$F434&amp;","&amp;$E434&amp;"&amp;level=16&amp;marker="&amp;$F434&amp;","&amp;$E434,"Open"))</f>
        <v/>
      </c>
    </row>
    <row r="435" spans="1:28" x14ac:dyDescent="0.45">
      <c r="A435" s="3"/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4"/>
      <c r="M435" s="1" t="str">
        <f t="shared" si="36"/>
        <v/>
      </c>
      <c r="N435" s="1" t="str">
        <f t="shared" si="37"/>
        <v/>
      </c>
      <c r="O435" s="1" t="str">
        <f t="shared" si="38"/>
        <v/>
      </c>
      <c r="P435" s="1" t="str">
        <f t="shared" si="39"/>
        <v/>
      </c>
      <c r="Q435" s="1" t="str">
        <f t="shared" si="40"/>
        <v/>
      </c>
      <c r="R435" s="1" t="str">
        <f t="shared" si="41"/>
        <v/>
      </c>
      <c r="S435" s="1" t="str">
        <f>IF(OR($E435="",$F435=""),"",HYPERLINK(IF(OR(_xlfn.SINGLE(JobState)="MI",_xlfn.SINGLE(JobState)=""),"https://fema.maps.arcgis.com/apps/mapviewer/index.html?url=https%3A%2F%2Fmdotgis.state.mi.us%2Farcgis%2Frest%2Fservices%2FWidget%2FNextGenPrFinderPub%2FFeatureServer%2F353&amp;find="&amp;$F435&amp;"%2C"&amp;$E435&amp;"&amp;marker="&amp;$F435&amp;","&amp;$E435&amp;",4326&amp;level=16",IF(_xlfn.SINGLE(JobState)="IN","https://fema.maps.arcgis.com/apps/mapviewer/index.html?url=https%3A%2F%2Fgisdata.in.gov%2Fserver%2Frest%2Fservices%2FHosted%2FLRSE_Functional_Class%2FFeatureServer%2F22&amp;find="&amp;$F435&amp;"%2C"&amp;$E435&amp;"&amp;marker="&amp;$F435&amp;","&amp;$E435&amp;",4326&amp;level=16",IF(_xlfn.SINGLE(JobState)="WI","https://fema.maps.arcgis.com/apps/mapviewer/index.html?url=https%3A%2F%2Fservices5.arcgis.com%2F0pgGLzT0Nh7FVjon%2Farcgis%2Frest%2Fservices%2FFFCL_gdb%2FFeatureServer%2F3&amp;find="&amp;$F435&amp;"%2C"&amp;$E435&amp;"&amp;marker="&amp;$F435&amp;","&amp;$E435&amp;",4326&amp;level=16","https://fema.maps.arcgis.com/apps/mapviewer/index.html?find="&amp;$F435&amp;"%2C"&amp;$E435&amp;"&amp;marker="&amp;$F435&amp;","&amp;$E435&amp;",4326&amp;level=16"))),"Open"))</f>
        <v/>
      </c>
      <c r="T435" s="4"/>
      <c r="U435" s="4"/>
      <c r="V435" s="4"/>
      <c r="W435" s="4"/>
      <c r="X435" s="4"/>
      <c r="Y435" s="4"/>
      <c r="Z435" s="4"/>
      <c r="AA435" s="4"/>
      <c r="AB435" s="1" t="str">
        <f>IF(OR(_xlfn.SINGLE(JobAgolMap)="", $E435="", $F435=""),"",HYPERLINK(_xlfn.SINGLE(JobAgolMap)&amp;IF(ISNUMBER(FIND("?",_xlfn.SINGLE(JobAgolMap))),"&amp;","?")&amp;"center="&amp;$F435&amp;","&amp;$E435&amp;"&amp;level=16&amp;marker="&amp;$F435&amp;","&amp;$E435,"Open"))</f>
        <v/>
      </c>
    </row>
    <row r="436" spans="1:28" x14ac:dyDescent="0.45">
      <c r="A436" s="3"/>
      <c r="B436" s="3"/>
      <c r="C436" s="3"/>
      <c r="D436" s="3"/>
      <c r="E436" s="3"/>
      <c r="F436" s="3"/>
      <c r="G436" s="3"/>
      <c r="H436" s="3"/>
      <c r="I436" s="3"/>
      <c r="J436" s="3"/>
      <c r="K436" s="3"/>
      <c r="L436" s="4"/>
      <c r="M436" s="1" t="str">
        <f t="shared" si="36"/>
        <v/>
      </c>
      <c r="N436" s="1" t="str">
        <f t="shared" si="37"/>
        <v/>
      </c>
      <c r="O436" s="1" t="str">
        <f t="shared" si="38"/>
        <v/>
      </c>
      <c r="P436" s="1" t="str">
        <f t="shared" si="39"/>
        <v/>
      </c>
      <c r="Q436" s="1" t="str">
        <f t="shared" si="40"/>
        <v/>
      </c>
      <c r="R436" s="1" t="str">
        <f t="shared" si="41"/>
        <v/>
      </c>
      <c r="S436" s="1" t="str">
        <f>IF(OR($E436="",$F436=""),"",HYPERLINK(IF(OR(_xlfn.SINGLE(JobState)="MI",_xlfn.SINGLE(JobState)=""),"https://fema.maps.arcgis.com/apps/mapviewer/index.html?url=https%3A%2F%2Fmdotgis.state.mi.us%2Farcgis%2Frest%2Fservices%2FWidget%2FNextGenPrFinderPub%2FFeatureServer%2F353&amp;find="&amp;$F436&amp;"%2C"&amp;$E436&amp;"&amp;marker="&amp;$F436&amp;","&amp;$E436&amp;",4326&amp;level=16",IF(_xlfn.SINGLE(JobState)="IN","https://fema.maps.arcgis.com/apps/mapviewer/index.html?url=https%3A%2F%2Fgisdata.in.gov%2Fserver%2Frest%2Fservices%2FHosted%2FLRSE_Functional_Class%2FFeatureServer%2F22&amp;find="&amp;$F436&amp;"%2C"&amp;$E436&amp;"&amp;marker="&amp;$F436&amp;","&amp;$E436&amp;",4326&amp;level=16",IF(_xlfn.SINGLE(JobState)="WI","https://fema.maps.arcgis.com/apps/mapviewer/index.html?url=https%3A%2F%2Fservices5.arcgis.com%2F0pgGLzT0Nh7FVjon%2Farcgis%2Frest%2Fservices%2FFFCL_gdb%2FFeatureServer%2F3&amp;find="&amp;$F436&amp;"%2C"&amp;$E436&amp;"&amp;marker="&amp;$F436&amp;","&amp;$E436&amp;",4326&amp;level=16","https://fema.maps.arcgis.com/apps/mapviewer/index.html?find="&amp;$F436&amp;"%2C"&amp;$E436&amp;"&amp;marker="&amp;$F436&amp;","&amp;$E436&amp;",4326&amp;level=16"))),"Open"))</f>
        <v/>
      </c>
      <c r="T436" s="4"/>
      <c r="U436" s="4"/>
      <c r="V436" s="4"/>
      <c r="W436" s="4"/>
      <c r="X436" s="4"/>
      <c r="Y436" s="4"/>
      <c r="Z436" s="4"/>
      <c r="AA436" s="4"/>
      <c r="AB436" s="1" t="str">
        <f>IF(OR(_xlfn.SINGLE(JobAgolMap)="", $E436="", $F436=""),"",HYPERLINK(_xlfn.SINGLE(JobAgolMap)&amp;IF(ISNUMBER(FIND("?",_xlfn.SINGLE(JobAgolMap))),"&amp;","?")&amp;"center="&amp;$F436&amp;","&amp;$E436&amp;"&amp;level=16&amp;marker="&amp;$F436&amp;","&amp;$E436,"Open"))</f>
        <v/>
      </c>
    </row>
    <row r="437" spans="1:28" x14ac:dyDescent="0.45">
      <c r="A437" s="3"/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4"/>
      <c r="M437" s="1" t="str">
        <f t="shared" si="36"/>
        <v/>
      </c>
      <c r="N437" s="1" t="str">
        <f t="shared" si="37"/>
        <v/>
      </c>
      <c r="O437" s="1" t="str">
        <f t="shared" si="38"/>
        <v/>
      </c>
      <c r="P437" s="1" t="str">
        <f t="shared" si="39"/>
        <v/>
      </c>
      <c r="Q437" s="1" t="str">
        <f t="shared" si="40"/>
        <v/>
      </c>
      <c r="R437" s="1" t="str">
        <f t="shared" si="41"/>
        <v/>
      </c>
      <c r="S437" s="1" t="str">
        <f>IF(OR($E437="",$F437=""),"",HYPERLINK(IF(OR(_xlfn.SINGLE(JobState)="MI",_xlfn.SINGLE(JobState)=""),"https://fema.maps.arcgis.com/apps/mapviewer/index.html?url=https%3A%2F%2Fmdotgis.state.mi.us%2Farcgis%2Frest%2Fservices%2FWidget%2FNextGenPrFinderPub%2FFeatureServer%2F353&amp;find="&amp;$F437&amp;"%2C"&amp;$E437&amp;"&amp;marker="&amp;$F437&amp;","&amp;$E437&amp;",4326&amp;level=16",IF(_xlfn.SINGLE(JobState)="IN","https://fema.maps.arcgis.com/apps/mapviewer/index.html?url=https%3A%2F%2Fgisdata.in.gov%2Fserver%2Frest%2Fservices%2FHosted%2FLRSE_Functional_Class%2FFeatureServer%2F22&amp;find="&amp;$F437&amp;"%2C"&amp;$E437&amp;"&amp;marker="&amp;$F437&amp;","&amp;$E437&amp;",4326&amp;level=16",IF(_xlfn.SINGLE(JobState)="WI","https://fema.maps.arcgis.com/apps/mapviewer/index.html?url=https%3A%2F%2Fservices5.arcgis.com%2F0pgGLzT0Nh7FVjon%2Farcgis%2Frest%2Fservices%2FFFCL_gdb%2FFeatureServer%2F3&amp;find="&amp;$F437&amp;"%2C"&amp;$E437&amp;"&amp;marker="&amp;$F437&amp;","&amp;$E437&amp;",4326&amp;level=16","https://fema.maps.arcgis.com/apps/mapviewer/index.html?find="&amp;$F437&amp;"%2C"&amp;$E437&amp;"&amp;marker="&amp;$F437&amp;","&amp;$E437&amp;",4326&amp;level=16"))),"Open"))</f>
        <v/>
      </c>
      <c r="T437" s="4"/>
      <c r="U437" s="4"/>
      <c r="V437" s="4"/>
      <c r="W437" s="4"/>
      <c r="X437" s="4"/>
      <c r="Y437" s="4"/>
      <c r="Z437" s="4"/>
      <c r="AA437" s="4"/>
      <c r="AB437" s="1" t="str">
        <f>IF(OR(_xlfn.SINGLE(JobAgolMap)="", $E437="", $F437=""),"",HYPERLINK(_xlfn.SINGLE(JobAgolMap)&amp;IF(ISNUMBER(FIND("?",_xlfn.SINGLE(JobAgolMap))),"&amp;","?")&amp;"center="&amp;$F437&amp;","&amp;$E437&amp;"&amp;level=16&amp;marker="&amp;$F437&amp;","&amp;$E437,"Open"))</f>
        <v/>
      </c>
    </row>
    <row r="438" spans="1:28" x14ac:dyDescent="0.45">
      <c r="A438" s="3"/>
      <c r="B438" s="3"/>
      <c r="C438" s="3"/>
      <c r="D438" s="3"/>
      <c r="E438" s="3"/>
      <c r="F438" s="3"/>
      <c r="G438" s="3"/>
      <c r="H438" s="3"/>
      <c r="I438" s="3"/>
      <c r="J438" s="3"/>
      <c r="K438" s="3"/>
      <c r="L438" s="4"/>
      <c r="M438" s="1" t="str">
        <f t="shared" si="36"/>
        <v/>
      </c>
      <c r="N438" s="1" t="str">
        <f t="shared" si="37"/>
        <v/>
      </c>
      <c r="O438" s="1" t="str">
        <f t="shared" si="38"/>
        <v/>
      </c>
      <c r="P438" s="1" t="str">
        <f t="shared" si="39"/>
        <v/>
      </c>
      <c r="Q438" s="1" t="str">
        <f t="shared" si="40"/>
        <v/>
      </c>
      <c r="R438" s="1" t="str">
        <f t="shared" si="41"/>
        <v/>
      </c>
      <c r="S438" s="1" t="str">
        <f>IF(OR($E438="",$F438=""),"",HYPERLINK(IF(OR(_xlfn.SINGLE(JobState)="MI",_xlfn.SINGLE(JobState)=""),"https://fema.maps.arcgis.com/apps/mapviewer/index.html?url=https%3A%2F%2Fmdotgis.state.mi.us%2Farcgis%2Frest%2Fservices%2FWidget%2FNextGenPrFinderPub%2FFeatureServer%2F353&amp;find="&amp;$F438&amp;"%2C"&amp;$E438&amp;"&amp;marker="&amp;$F438&amp;","&amp;$E438&amp;",4326&amp;level=16",IF(_xlfn.SINGLE(JobState)="IN","https://fema.maps.arcgis.com/apps/mapviewer/index.html?url=https%3A%2F%2Fgisdata.in.gov%2Fserver%2Frest%2Fservices%2FHosted%2FLRSE_Functional_Class%2FFeatureServer%2F22&amp;find="&amp;$F438&amp;"%2C"&amp;$E438&amp;"&amp;marker="&amp;$F438&amp;","&amp;$E438&amp;",4326&amp;level=16",IF(_xlfn.SINGLE(JobState)="WI","https://fema.maps.arcgis.com/apps/mapviewer/index.html?url=https%3A%2F%2Fservices5.arcgis.com%2F0pgGLzT0Nh7FVjon%2Farcgis%2Frest%2Fservices%2FFFCL_gdb%2FFeatureServer%2F3&amp;find="&amp;$F438&amp;"%2C"&amp;$E438&amp;"&amp;marker="&amp;$F438&amp;","&amp;$E438&amp;",4326&amp;level=16","https://fema.maps.arcgis.com/apps/mapviewer/index.html?find="&amp;$F438&amp;"%2C"&amp;$E438&amp;"&amp;marker="&amp;$F438&amp;","&amp;$E438&amp;",4326&amp;level=16"))),"Open"))</f>
        <v/>
      </c>
      <c r="T438" s="4"/>
      <c r="U438" s="4"/>
      <c r="V438" s="4"/>
      <c r="W438" s="4"/>
      <c r="X438" s="4"/>
      <c r="Y438" s="4"/>
      <c r="Z438" s="4"/>
      <c r="AA438" s="4"/>
      <c r="AB438" s="1" t="str">
        <f>IF(OR(_xlfn.SINGLE(JobAgolMap)="", $E438="", $F438=""),"",HYPERLINK(_xlfn.SINGLE(JobAgolMap)&amp;IF(ISNUMBER(FIND("?",_xlfn.SINGLE(JobAgolMap))),"&amp;","?")&amp;"center="&amp;$F438&amp;","&amp;$E438&amp;"&amp;level=16&amp;marker="&amp;$F438&amp;","&amp;$E438,"Open"))</f>
        <v/>
      </c>
    </row>
    <row r="439" spans="1:28" x14ac:dyDescent="0.45">
      <c r="A439" s="3"/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4"/>
      <c r="M439" s="1" t="str">
        <f t="shared" si="36"/>
        <v/>
      </c>
      <c r="N439" s="1" t="str">
        <f t="shared" si="37"/>
        <v/>
      </c>
      <c r="O439" s="1" t="str">
        <f t="shared" si="38"/>
        <v/>
      </c>
      <c r="P439" s="1" t="str">
        <f t="shared" si="39"/>
        <v/>
      </c>
      <c r="Q439" s="1" t="str">
        <f t="shared" si="40"/>
        <v/>
      </c>
      <c r="R439" s="1" t="str">
        <f t="shared" si="41"/>
        <v/>
      </c>
      <c r="S439" s="1" t="str">
        <f>IF(OR($E439="",$F439=""),"",HYPERLINK(IF(OR(_xlfn.SINGLE(JobState)="MI",_xlfn.SINGLE(JobState)=""),"https://fema.maps.arcgis.com/apps/mapviewer/index.html?url=https%3A%2F%2Fmdotgis.state.mi.us%2Farcgis%2Frest%2Fservices%2FWidget%2FNextGenPrFinderPub%2FFeatureServer%2F353&amp;find="&amp;$F439&amp;"%2C"&amp;$E439&amp;"&amp;marker="&amp;$F439&amp;","&amp;$E439&amp;",4326&amp;level=16",IF(_xlfn.SINGLE(JobState)="IN","https://fema.maps.arcgis.com/apps/mapviewer/index.html?url=https%3A%2F%2Fgisdata.in.gov%2Fserver%2Frest%2Fservices%2FHosted%2FLRSE_Functional_Class%2FFeatureServer%2F22&amp;find="&amp;$F439&amp;"%2C"&amp;$E439&amp;"&amp;marker="&amp;$F439&amp;","&amp;$E439&amp;",4326&amp;level=16",IF(_xlfn.SINGLE(JobState)="WI","https://fema.maps.arcgis.com/apps/mapviewer/index.html?url=https%3A%2F%2Fservices5.arcgis.com%2F0pgGLzT0Nh7FVjon%2Farcgis%2Frest%2Fservices%2FFFCL_gdb%2FFeatureServer%2F3&amp;find="&amp;$F439&amp;"%2C"&amp;$E439&amp;"&amp;marker="&amp;$F439&amp;","&amp;$E439&amp;",4326&amp;level=16","https://fema.maps.arcgis.com/apps/mapviewer/index.html?find="&amp;$F439&amp;"%2C"&amp;$E439&amp;"&amp;marker="&amp;$F439&amp;","&amp;$E439&amp;",4326&amp;level=16"))),"Open"))</f>
        <v/>
      </c>
      <c r="T439" s="4"/>
      <c r="U439" s="4"/>
      <c r="V439" s="4"/>
      <c r="W439" s="4"/>
      <c r="X439" s="4"/>
      <c r="Y439" s="4"/>
      <c r="Z439" s="4"/>
      <c r="AA439" s="4"/>
      <c r="AB439" s="1" t="str">
        <f>IF(OR(_xlfn.SINGLE(JobAgolMap)="", $E439="", $F439=""),"",HYPERLINK(_xlfn.SINGLE(JobAgolMap)&amp;IF(ISNUMBER(FIND("?",_xlfn.SINGLE(JobAgolMap))),"&amp;","?")&amp;"center="&amp;$F439&amp;","&amp;$E439&amp;"&amp;level=16&amp;marker="&amp;$F439&amp;","&amp;$E439,"Open"))</f>
        <v/>
      </c>
    </row>
    <row r="440" spans="1:28" x14ac:dyDescent="0.45">
      <c r="A440" s="3"/>
      <c r="B440" s="3"/>
      <c r="C440" s="3"/>
      <c r="D440" s="3"/>
      <c r="E440" s="3"/>
      <c r="F440" s="3"/>
      <c r="G440" s="3"/>
      <c r="H440" s="3"/>
      <c r="I440" s="3"/>
      <c r="J440" s="3"/>
      <c r="K440" s="3"/>
      <c r="L440" s="4"/>
      <c r="M440" s="1" t="str">
        <f t="shared" si="36"/>
        <v/>
      </c>
      <c r="N440" s="1" t="str">
        <f t="shared" si="37"/>
        <v/>
      </c>
      <c r="O440" s="1" t="str">
        <f t="shared" si="38"/>
        <v/>
      </c>
      <c r="P440" s="1" t="str">
        <f t="shared" si="39"/>
        <v/>
      </c>
      <c r="Q440" s="1" t="str">
        <f t="shared" si="40"/>
        <v/>
      </c>
      <c r="R440" s="1" t="str">
        <f t="shared" si="41"/>
        <v/>
      </c>
      <c r="S440" s="1" t="str">
        <f>IF(OR($E440="",$F440=""),"",HYPERLINK(IF(OR(_xlfn.SINGLE(JobState)="MI",_xlfn.SINGLE(JobState)=""),"https://fema.maps.arcgis.com/apps/mapviewer/index.html?url=https%3A%2F%2Fmdotgis.state.mi.us%2Farcgis%2Frest%2Fservices%2FWidget%2FNextGenPrFinderPub%2FFeatureServer%2F353&amp;find="&amp;$F440&amp;"%2C"&amp;$E440&amp;"&amp;marker="&amp;$F440&amp;","&amp;$E440&amp;",4326&amp;level=16",IF(_xlfn.SINGLE(JobState)="IN","https://fema.maps.arcgis.com/apps/mapviewer/index.html?url=https%3A%2F%2Fgisdata.in.gov%2Fserver%2Frest%2Fservices%2FHosted%2FLRSE_Functional_Class%2FFeatureServer%2F22&amp;find="&amp;$F440&amp;"%2C"&amp;$E440&amp;"&amp;marker="&amp;$F440&amp;","&amp;$E440&amp;",4326&amp;level=16",IF(_xlfn.SINGLE(JobState)="WI","https://fema.maps.arcgis.com/apps/mapviewer/index.html?url=https%3A%2F%2Fservices5.arcgis.com%2F0pgGLzT0Nh7FVjon%2Farcgis%2Frest%2Fservices%2FFFCL_gdb%2FFeatureServer%2F3&amp;find="&amp;$F440&amp;"%2C"&amp;$E440&amp;"&amp;marker="&amp;$F440&amp;","&amp;$E440&amp;",4326&amp;level=16","https://fema.maps.arcgis.com/apps/mapviewer/index.html?find="&amp;$F440&amp;"%2C"&amp;$E440&amp;"&amp;marker="&amp;$F440&amp;","&amp;$E440&amp;",4326&amp;level=16"))),"Open"))</f>
        <v/>
      </c>
      <c r="T440" s="4"/>
      <c r="U440" s="4"/>
      <c r="V440" s="4"/>
      <c r="W440" s="4"/>
      <c r="X440" s="4"/>
      <c r="Y440" s="4"/>
      <c r="Z440" s="4"/>
      <c r="AA440" s="4"/>
      <c r="AB440" s="1" t="str">
        <f>IF(OR(_xlfn.SINGLE(JobAgolMap)="", $E440="", $F440=""),"",HYPERLINK(_xlfn.SINGLE(JobAgolMap)&amp;IF(ISNUMBER(FIND("?",_xlfn.SINGLE(JobAgolMap))),"&amp;","?")&amp;"center="&amp;$F440&amp;","&amp;$E440&amp;"&amp;level=16&amp;marker="&amp;$F440&amp;","&amp;$E440,"Open"))</f>
        <v/>
      </c>
    </row>
    <row r="441" spans="1:28" x14ac:dyDescent="0.45">
      <c r="A441" s="3"/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4"/>
      <c r="M441" s="1" t="str">
        <f t="shared" si="36"/>
        <v/>
      </c>
      <c r="N441" s="1" t="str">
        <f t="shared" si="37"/>
        <v/>
      </c>
      <c r="O441" s="1" t="str">
        <f t="shared" si="38"/>
        <v/>
      </c>
      <c r="P441" s="1" t="str">
        <f t="shared" si="39"/>
        <v/>
      </c>
      <c r="Q441" s="1" t="str">
        <f t="shared" si="40"/>
        <v/>
      </c>
      <c r="R441" s="1" t="str">
        <f t="shared" si="41"/>
        <v/>
      </c>
      <c r="S441" s="1" t="str">
        <f>IF(OR($E441="",$F441=""),"",HYPERLINK(IF(OR(_xlfn.SINGLE(JobState)="MI",_xlfn.SINGLE(JobState)=""),"https://fema.maps.arcgis.com/apps/mapviewer/index.html?url=https%3A%2F%2Fmdotgis.state.mi.us%2Farcgis%2Frest%2Fservices%2FWidget%2FNextGenPrFinderPub%2FFeatureServer%2F353&amp;find="&amp;$F441&amp;"%2C"&amp;$E441&amp;"&amp;marker="&amp;$F441&amp;","&amp;$E441&amp;",4326&amp;level=16",IF(_xlfn.SINGLE(JobState)="IN","https://fema.maps.arcgis.com/apps/mapviewer/index.html?url=https%3A%2F%2Fgisdata.in.gov%2Fserver%2Frest%2Fservices%2FHosted%2FLRSE_Functional_Class%2FFeatureServer%2F22&amp;find="&amp;$F441&amp;"%2C"&amp;$E441&amp;"&amp;marker="&amp;$F441&amp;","&amp;$E441&amp;",4326&amp;level=16",IF(_xlfn.SINGLE(JobState)="WI","https://fema.maps.arcgis.com/apps/mapviewer/index.html?url=https%3A%2F%2Fservices5.arcgis.com%2F0pgGLzT0Nh7FVjon%2Farcgis%2Frest%2Fservices%2FFFCL_gdb%2FFeatureServer%2F3&amp;find="&amp;$F441&amp;"%2C"&amp;$E441&amp;"&amp;marker="&amp;$F441&amp;","&amp;$E441&amp;",4326&amp;level=16","https://fema.maps.arcgis.com/apps/mapviewer/index.html?find="&amp;$F441&amp;"%2C"&amp;$E441&amp;"&amp;marker="&amp;$F441&amp;","&amp;$E441&amp;",4326&amp;level=16"))),"Open"))</f>
        <v/>
      </c>
      <c r="T441" s="4"/>
      <c r="U441" s="4"/>
      <c r="V441" s="4"/>
      <c r="W441" s="4"/>
      <c r="X441" s="4"/>
      <c r="Y441" s="4"/>
      <c r="Z441" s="4"/>
      <c r="AA441" s="4"/>
      <c r="AB441" s="1" t="str">
        <f>IF(OR(_xlfn.SINGLE(JobAgolMap)="", $E441="", $F441=""),"",HYPERLINK(_xlfn.SINGLE(JobAgolMap)&amp;IF(ISNUMBER(FIND("?",_xlfn.SINGLE(JobAgolMap))),"&amp;","?")&amp;"center="&amp;$F441&amp;","&amp;$E441&amp;"&amp;level=16&amp;marker="&amp;$F441&amp;","&amp;$E441,"Open"))</f>
        <v/>
      </c>
    </row>
    <row r="442" spans="1:28" x14ac:dyDescent="0.45">
      <c r="A442" s="3"/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4"/>
      <c r="M442" s="1" t="str">
        <f t="shared" si="36"/>
        <v/>
      </c>
      <c r="N442" s="1" t="str">
        <f t="shared" si="37"/>
        <v/>
      </c>
      <c r="O442" s="1" t="str">
        <f t="shared" si="38"/>
        <v/>
      </c>
      <c r="P442" s="1" t="str">
        <f t="shared" si="39"/>
        <v/>
      </c>
      <c r="Q442" s="1" t="str">
        <f t="shared" si="40"/>
        <v/>
      </c>
      <c r="R442" s="1" t="str">
        <f t="shared" si="41"/>
        <v/>
      </c>
      <c r="S442" s="1" t="str">
        <f>IF(OR($E442="",$F442=""),"",HYPERLINK(IF(OR(_xlfn.SINGLE(JobState)="MI",_xlfn.SINGLE(JobState)=""),"https://fema.maps.arcgis.com/apps/mapviewer/index.html?url=https%3A%2F%2Fmdotgis.state.mi.us%2Farcgis%2Frest%2Fservices%2FWidget%2FNextGenPrFinderPub%2FFeatureServer%2F353&amp;find="&amp;$F442&amp;"%2C"&amp;$E442&amp;"&amp;marker="&amp;$F442&amp;","&amp;$E442&amp;",4326&amp;level=16",IF(_xlfn.SINGLE(JobState)="IN","https://fema.maps.arcgis.com/apps/mapviewer/index.html?url=https%3A%2F%2Fgisdata.in.gov%2Fserver%2Frest%2Fservices%2FHosted%2FLRSE_Functional_Class%2FFeatureServer%2F22&amp;find="&amp;$F442&amp;"%2C"&amp;$E442&amp;"&amp;marker="&amp;$F442&amp;","&amp;$E442&amp;",4326&amp;level=16",IF(_xlfn.SINGLE(JobState)="WI","https://fema.maps.arcgis.com/apps/mapviewer/index.html?url=https%3A%2F%2Fservices5.arcgis.com%2F0pgGLzT0Nh7FVjon%2Farcgis%2Frest%2Fservices%2FFFCL_gdb%2FFeatureServer%2F3&amp;find="&amp;$F442&amp;"%2C"&amp;$E442&amp;"&amp;marker="&amp;$F442&amp;","&amp;$E442&amp;",4326&amp;level=16","https://fema.maps.arcgis.com/apps/mapviewer/index.html?find="&amp;$F442&amp;"%2C"&amp;$E442&amp;"&amp;marker="&amp;$F442&amp;","&amp;$E442&amp;",4326&amp;level=16"))),"Open"))</f>
        <v/>
      </c>
      <c r="T442" s="4"/>
      <c r="U442" s="4"/>
      <c r="V442" s="4"/>
      <c r="W442" s="4"/>
      <c r="X442" s="4"/>
      <c r="Y442" s="4"/>
      <c r="Z442" s="4"/>
      <c r="AA442" s="4"/>
      <c r="AB442" s="1" t="str">
        <f>IF(OR(_xlfn.SINGLE(JobAgolMap)="", $E442="", $F442=""),"",HYPERLINK(_xlfn.SINGLE(JobAgolMap)&amp;IF(ISNUMBER(FIND("?",_xlfn.SINGLE(JobAgolMap))),"&amp;","?")&amp;"center="&amp;$F442&amp;","&amp;$E442&amp;"&amp;level=16&amp;marker="&amp;$F442&amp;","&amp;$E442,"Open"))</f>
        <v/>
      </c>
    </row>
    <row r="443" spans="1:28" x14ac:dyDescent="0.45">
      <c r="A443" s="3"/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4"/>
      <c r="M443" s="1" t="str">
        <f t="shared" si="36"/>
        <v/>
      </c>
      <c r="N443" s="1" t="str">
        <f t="shared" si="37"/>
        <v/>
      </c>
      <c r="O443" s="1" t="str">
        <f t="shared" si="38"/>
        <v/>
      </c>
      <c r="P443" s="1" t="str">
        <f t="shared" si="39"/>
        <v/>
      </c>
      <c r="Q443" s="1" t="str">
        <f t="shared" si="40"/>
        <v/>
      </c>
      <c r="R443" s="1" t="str">
        <f t="shared" si="41"/>
        <v/>
      </c>
      <c r="S443" s="1" t="str">
        <f>IF(OR($E443="",$F443=""),"",HYPERLINK(IF(OR(_xlfn.SINGLE(JobState)="MI",_xlfn.SINGLE(JobState)=""),"https://fema.maps.arcgis.com/apps/mapviewer/index.html?url=https%3A%2F%2Fmdotgis.state.mi.us%2Farcgis%2Frest%2Fservices%2FWidget%2FNextGenPrFinderPub%2FFeatureServer%2F353&amp;find="&amp;$F443&amp;"%2C"&amp;$E443&amp;"&amp;marker="&amp;$F443&amp;","&amp;$E443&amp;",4326&amp;level=16",IF(_xlfn.SINGLE(JobState)="IN","https://fema.maps.arcgis.com/apps/mapviewer/index.html?url=https%3A%2F%2Fgisdata.in.gov%2Fserver%2Frest%2Fservices%2FHosted%2FLRSE_Functional_Class%2FFeatureServer%2F22&amp;find="&amp;$F443&amp;"%2C"&amp;$E443&amp;"&amp;marker="&amp;$F443&amp;","&amp;$E443&amp;",4326&amp;level=16",IF(_xlfn.SINGLE(JobState)="WI","https://fema.maps.arcgis.com/apps/mapviewer/index.html?url=https%3A%2F%2Fservices5.arcgis.com%2F0pgGLzT0Nh7FVjon%2Farcgis%2Frest%2Fservices%2FFFCL_gdb%2FFeatureServer%2F3&amp;find="&amp;$F443&amp;"%2C"&amp;$E443&amp;"&amp;marker="&amp;$F443&amp;","&amp;$E443&amp;",4326&amp;level=16","https://fema.maps.arcgis.com/apps/mapviewer/index.html?find="&amp;$F443&amp;"%2C"&amp;$E443&amp;"&amp;marker="&amp;$F443&amp;","&amp;$E443&amp;",4326&amp;level=16"))),"Open"))</f>
        <v/>
      </c>
      <c r="T443" s="4"/>
      <c r="U443" s="4"/>
      <c r="V443" s="4"/>
      <c r="W443" s="4"/>
      <c r="X443" s="4"/>
      <c r="Y443" s="4"/>
      <c r="Z443" s="4"/>
      <c r="AA443" s="4"/>
      <c r="AB443" s="1" t="str">
        <f>IF(OR(_xlfn.SINGLE(JobAgolMap)="", $E443="", $F443=""),"",HYPERLINK(_xlfn.SINGLE(JobAgolMap)&amp;IF(ISNUMBER(FIND("?",_xlfn.SINGLE(JobAgolMap))),"&amp;","?")&amp;"center="&amp;$F443&amp;","&amp;$E443&amp;"&amp;level=16&amp;marker="&amp;$F443&amp;","&amp;$E443,"Open"))</f>
        <v/>
      </c>
    </row>
    <row r="444" spans="1:28" x14ac:dyDescent="0.45">
      <c r="A444" s="3"/>
      <c r="B444" s="3"/>
      <c r="C444" s="3"/>
      <c r="D444" s="3"/>
      <c r="E444" s="3"/>
      <c r="F444" s="3"/>
      <c r="G444" s="3"/>
      <c r="H444" s="3"/>
      <c r="I444" s="3"/>
      <c r="J444" s="3"/>
      <c r="K444" s="3"/>
      <c r="L444" s="4"/>
      <c r="M444" s="1" t="str">
        <f t="shared" si="36"/>
        <v/>
      </c>
      <c r="N444" s="1" t="str">
        <f t="shared" si="37"/>
        <v/>
      </c>
      <c r="O444" s="1" t="str">
        <f t="shared" si="38"/>
        <v/>
      </c>
      <c r="P444" s="1" t="str">
        <f t="shared" si="39"/>
        <v/>
      </c>
      <c r="Q444" s="1" t="str">
        <f t="shared" si="40"/>
        <v/>
      </c>
      <c r="R444" s="1" t="str">
        <f t="shared" si="41"/>
        <v/>
      </c>
      <c r="S444" s="1" t="str">
        <f>IF(OR($E444="",$F444=""),"",HYPERLINK(IF(OR(_xlfn.SINGLE(JobState)="MI",_xlfn.SINGLE(JobState)=""),"https://fema.maps.arcgis.com/apps/mapviewer/index.html?url=https%3A%2F%2Fmdotgis.state.mi.us%2Farcgis%2Frest%2Fservices%2FWidget%2FNextGenPrFinderPub%2FFeatureServer%2F353&amp;find="&amp;$F444&amp;"%2C"&amp;$E444&amp;"&amp;marker="&amp;$F444&amp;","&amp;$E444&amp;",4326&amp;level=16",IF(_xlfn.SINGLE(JobState)="IN","https://fema.maps.arcgis.com/apps/mapviewer/index.html?url=https%3A%2F%2Fgisdata.in.gov%2Fserver%2Frest%2Fservices%2FHosted%2FLRSE_Functional_Class%2FFeatureServer%2F22&amp;find="&amp;$F444&amp;"%2C"&amp;$E444&amp;"&amp;marker="&amp;$F444&amp;","&amp;$E444&amp;",4326&amp;level=16",IF(_xlfn.SINGLE(JobState)="WI","https://fema.maps.arcgis.com/apps/mapviewer/index.html?url=https%3A%2F%2Fservices5.arcgis.com%2F0pgGLzT0Nh7FVjon%2Farcgis%2Frest%2Fservices%2FFFCL_gdb%2FFeatureServer%2F3&amp;find="&amp;$F444&amp;"%2C"&amp;$E444&amp;"&amp;marker="&amp;$F444&amp;","&amp;$E444&amp;",4326&amp;level=16","https://fema.maps.arcgis.com/apps/mapviewer/index.html?find="&amp;$F444&amp;"%2C"&amp;$E444&amp;"&amp;marker="&amp;$F444&amp;","&amp;$E444&amp;",4326&amp;level=16"))),"Open"))</f>
        <v/>
      </c>
      <c r="T444" s="4"/>
      <c r="U444" s="4"/>
      <c r="V444" s="4"/>
      <c r="W444" s="4"/>
      <c r="X444" s="4"/>
      <c r="Y444" s="4"/>
      <c r="Z444" s="4"/>
      <c r="AA444" s="4"/>
      <c r="AB444" s="1" t="str">
        <f>IF(OR(_xlfn.SINGLE(JobAgolMap)="", $E444="", $F444=""),"",HYPERLINK(_xlfn.SINGLE(JobAgolMap)&amp;IF(ISNUMBER(FIND("?",_xlfn.SINGLE(JobAgolMap))),"&amp;","?")&amp;"center="&amp;$F444&amp;","&amp;$E444&amp;"&amp;level=16&amp;marker="&amp;$F444&amp;","&amp;$E444,"Open"))</f>
        <v/>
      </c>
    </row>
    <row r="445" spans="1:28" x14ac:dyDescent="0.45">
      <c r="A445" s="3"/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4"/>
      <c r="M445" s="1" t="str">
        <f t="shared" si="36"/>
        <v/>
      </c>
      <c r="N445" s="1" t="str">
        <f t="shared" si="37"/>
        <v/>
      </c>
      <c r="O445" s="1" t="str">
        <f t="shared" si="38"/>
        <v/>
      </c>
      <c r="P445" s="1" t="str">
        <f t="shared" si="39"/>
        <v/>
      </c>
      <c r="Q445" s="1" t="str">
        <f t="shared" si="40"/>
        <v/>
      </c>
      <c r="R445" s="1" t="str">
        <f t="shared" si="41"/>
        <v/>
      </c>
      <c r="S445" s="1" t="str">
        <f>IF(OR($E445="",$F445=""),"",HYPERLINK(IF(OR(_xlfn.SINGLE(JobState)="MI",_xlfn.SINGLE(JobState)=""),"https://fema.maps.arcgis.com/apps/mapviewer/index.html?url=https%3A%2F%2Fmdotgis.state.mi.us%2Farcgis%2Frest%2Fservices%2FWidget%2FNextGenPrFinderPub%2FFeatureServer%2F353&amp;find="&amp;$F445&amp;"%2C"&amp;$E445&amp;"&amp;marker="&amp;$F445&amp;","&amp;$E445&amp;",4326&amp;level=16",IF(_xlfn.SINGLE(JobState)="IN","https://fema.maps.arcgis.com/apps/mapviewer/index.html?url=https%3A%2F%2Fgisdata.in.gov%2Fserver%2Frest%2Fservices%2FHosted%2FLRSE_Functional_Class%2FFeatureServer%2F22&amp;find="&amp;$F445&amp;"%2C"&amp;$E445&amp;"&amp;marker="&amp;$F445&amp;","&amp;$E445&amp;",4326&amp;level=16",IF(_xlfn.SINGLE(JobState)="WI","https://fema.maps.arcgis.com/apps/mapviewer/index.html?url=https%3A%2F%2Fservices5.arcgis.com%2F0pgGLzT0Nh7FVjon%2Farcgis%2Frest%2Fservices%2FFFCL_gdb%2FFeatureServer%2F3&amp;find="&amp;$F445&amp;"%2C"&amp;$E445&amp;"&amp;marker="&amp;$F445&amp;","&amp;$E445&amp;",4326&amp;level=16","https://fema.maps.arcgis.com/apps/mapviewer/index.html?find="&amp;$F445&amp;"%2C"&amp;$E445&amp;"&amp;marker="&amp;$F445&amp;","&amp;$E445&amp;",4326&amp;level=16"))),"Open"))</f>
        <v/>
      </c>
      <c r="T445" s="4"/>
      <c r="U445" s="4"/>
      <c r="V445" s="4"/>
      <c r="W445" s="4"/>
      <c r="X445" s="4"/>
      <c r="Y445" s="4"/>
      <c r="Z445" s="4"/>
      <c r="AA445" s="4"/>
      <c r="AB445" s="1" t="str">
        <f>IF(OR(_xlfn.SINGLE(JobAgolMap)="", $E445="", $F445=""),"",HYPERLINK(_xlfn.SINGLE(JobAgolMap)&amp;IF(ISNUMBER(FIND("?",_xlfn.SINGLE(JobAgolMap))),"&amp;","?")&amp;"center="&amp;$F445&amp;","&amp;$E445&amp;"&amp;level=16&amp;marker="&amp;$F445&amp;","&amp;$E445,"Open"))</f>
        <v/>
      </c>
    </row>
    <row r="446" spans="1:28" x14ac:dyDescent="0.45">
      <c r="A446" s="3"/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4"/>
      <c r="M446" s="1" t="str">
        <f t="shared" si="36"/>
        <v/>
      </c>
      <c r="N446" s="1" t="str">
        <f t="shared" si="37"/>
        <v/>
      </c>
      <c r="O446" s="1" t="str">
        <f t="shared" si="38"/>
        <v/>
      </c>
      <c r="P446" s="1" t="str">
        <f t="shared" si="39"/>
        <v/>
      </c>
      <c r="Q446" s="1" t="str">
        <f t="shared" si="40"/>
        <v/>
      </c>
      <c r="R446" s="1" t="str">
        <f t="shared" si="41"/>
        <v/>
      </c>
      <c r="S446" s="1" t="str">
        <f>IF(OR($E446="",$F446=""),"",HYPERLINK(IF(OR(_xlfn.SINGLE(JobState)="MI",_xlfn.SINGLE(JobState)=""),"https://fema.maps.arcgis.com/apps/mapviewer/index.html?url=https%3A%2F%2Fmdotgis.state.mi.us%2Farcgis%2Frest%2Fservices%2FWidget%2FNextGenPrFinderPub%2FFeatureServer%2F353&amp;find="&amp;$F446&amp;"%2C"&amp;$E446&amp;"&amp;marker="&amp;$F446&amp;","&amp;$E446&amp;",4326&amp;level=16",IF(_xlfn.SINGLE(JobState)="IN","https://fema.maps.arcgis.com/apps/mapviewer/index.html?url=https%3A%2F%2Fgisdata.in.gov%2Fserver%2Frest%2Fservices%2FHosted%2FLRSE_Functional_Class%2FFeatureServer%2F22&amp;find="&amp;$F446&amp;"%2C"&amp;$E446&amp;"&amp;marker="&amp;$F446&amp;","&amp;$E446&amp;",4326&amp;level=16",IF(_xlfn.SINGLE(JobState)="WI","https://fema.maps.arcgis.com/apps/mapviewer/index.html?url=https%3A%2F%2Fservices5.arcgis.com%2F0pgGLzT0Nh7FVjon%2Farcgis%2Frest%2Fservices%2FFFCL_gdb%2FFeatureServer%2F3&amp;find="&amp;$F446&amp;"%2C"&amp;$E446&amp;"&amp;marker="&amp;$F446&amp;","&amp;$E446&amp;",4326&amp;level=16","https://fema.maps.arcgis.com/apps/mapviewer/index.html?find="&amp;$F446&amp;"%2C"&amp;$E446&amp;"&amp;marker="&amp;$F446&amp;","&amp;$E446&amp;",4326&amp;level=16"))),"Open"))</f>
        <v/>
      </c>
      <c r="T446" s="4"/>
      <c r="U446" s="4"/>
      <c r="V446" s="4"/>
      <c r="W446" s="4"/>
      <c r="X446" s="4"/>
      <c r="Y446" s="4"/>
      <c r="Z446" s="4"/>
      <c r="AA446" s="4"/>
      <c r="AB446" s="1" t="str">
        <f>IF(OR(_xlfn.SINGLE(JobAgolMap)="", $E446="", $F446=""),"",HYPERLINK(_xlfn.SINGLE(JobAgolMap)&amp;IF(ISNUMBER(FIND("?",_xlfn.SINGLE(JobAgolMap))),"&amp;","?")&amp;"center="&amp;$F446&amp;","&amp;$E446&amp;"&amp;level=16&amp;marker="&amp;$F446&amp;","&amp;$E446,"Open"))</f>
        <v/>
      </c>
    </row>
    <row r="447" spans="1:28" x14ac:dyDescent="0.45">
      <c r="A447" s="3"/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4"/>
      <c r="M447" s="1" t="str">
        <f t="shared" si="36"/>
        <v/>
      </c>
      <c r="N447" s="1" t="str">
        <f t="shared" si="37"/>
        <v/>
      </c>
      <c r="O447" s="1" t="str">
        <f t="shared" si="38"/>
        <v/>
      </c>
      <c r="P447" s="1" t="str">
        <f t="shared" si="39"/>
        <v/>
      </c>
      <c r="Q447" s="1" t="str">
        <f t="shared" si="40"/>
        <v/>
      </c>
      <c r="R447" s="1" t="str">
        <f t="shared" si="41"/>
        <v/>
      </c>
      <c r="S447" s="1" t="str">
        <f>IF(OR($E447="",$F447=""),"",HYPERLINK(IF(OR(_xlfn.SINGLE(JobState)="MI",_xlfn.SINGLE(JobState)=""),"https://fema.maps.arcgis.com/apps/mapviewer/index.html?url=https%3A%2F%2Fmdotgis.state.mi.us%2Farcgis%2Frest%2Fservices%2FWidget%2FNextGenPrFinderPub%2FFeatureServer%2F353&amp;find="&amp;$F447&amp;"%2C"&amp;$E447&amp;"&amp;marker="&amp;$F447&amp;","&amp;$E447&amp;",4326&amp;level=16",IF(_xlfn.SINGLE(JobState)="IN","https://fema.maps.arcgis.com/apps/mapviewer/index.html?url=https%3A%2F%2Fgisdata.in.gov%2Fserver%2Frest%2Fservices%2FHosted%2FLRSE_Functional_Class%2FFeatureServer%2F22&amp;find="&amp;$F447&amp;"%2C"&amp;$E447&amp;"&amp;marker="&amp;$F447&amp;","&amp;$E447&amp;",4326&amp;level=16",IF(_xlfn.SINGLE(JobState)="WI","https://fema.maps.arcgis.com/apps/mapviewer/index.html?url=https%3A%2F%2Fservices5.arcgis.com%2F0pgGLzT0Nh7FVjon%2Farcgis%2Frest%2Fservices%2FFFCL_gdb%2FFeatureServer%2F3&amp;find="&amp;$F447&amp;"%2C"&amp;$E447&amp;"&amp;marker="&amp;$F447&amp;","&amp;$E447&amp;",4326&amp;level=16","https://fema.maps.arcgis.com/apps/mapviewer/index.html?find="&amp;$F447&amp;"%2C"&amp;$E447&amp;"&amp;marker="&amp;$F447&amp;","&amp;$E447&amp;",4326&amp;level=16"))),"Open"))</f>
        <v/>
      </c>
      <c r="T447" s="4"/>
      <c r="U447" s="4"/>
      <c r="V447" s="4"/>
      <c r="W447" s="4"/>
      <c r="X447" s="4"/>
      <c r="Y447" s="4"/>
      <c r="Z447" s="4"/>
      <c r="AA447" s="4"/>
      <c r="AB447" s="1" t="str">
        <f>IF(OR(_xlfn.SINGLE(JobAgolMap)="", $E447="", $F447=""),"",HYPERLINK(_xlfn.SINGLE(JobAgolMap)&amp;IF(ISNUMBER(FIND("?",_xlfn.SINGLE(JobAgolMap))),"&amp;","?")&amp;"center="&amp;$F447&amp;","&amp;$E447&amp;"&amp;level=16&amp;marker="&amp;$F447&amp;","&amp;$E447,"Open"))</f>
        <v/>
      </c>
    </row>
    <row r="448" spans="1:28" x14ac:dyDescent="0.45">
      <c r="A448" s="3"/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4"/>
      <c r="M448" s="1" t="str">
        <f t="shared" si="36"/>
        <v/>
      </c>
      <c r="N448" s="1" t="str">
        <f t="shared" si="37"/>
        <v/>
      </c>
      <c r="O448" s="1" t="str">
        <f t="shared" si="38"/>
        <v/>
      </c>
      <c r="P448" s="1" t="str">
        <f t="shared" si="39"/>
        <v/>
      </c>
      <c r="Q448" s="1" t="str">
        <f t="shared" si="40"/>
        <v/>
      </c>
      <c r="R448" s="1" t="str">
        <f t="shared" si="41"/>
        <v/>
      </c>
      <c r="S448" s="1" t="str">
        <f>IF(OR($E448="",$F448=""),"",HYPERLINK(IF(OR(_xlfn.SINGLE(JobState)="MI",_xlfn.SINGLE(JobState)=""),"https://fema.maps.arcgis.com/apps/mapviewer/index.html?url=https%3A%2F%2Fmdotgis.state.mi.us%2Farcgis%2Frest%2Fservices%2FWidget%2FNextGenPrFinderPub%2FFeatureServer%2F353&amp;find="&amp;$F448&amp;"%2C"&amp;$E448&amp;"&amp;marker="&amp;$F448&amp;","&amp;$E448&amp;",4326&amp;level=16",IF(_xlfn.SINGLE(JobState)="IN","https://fema.maps.arcgis.com/apps/mapviewer/index.html?url=https%3A%2F%2Fgisdata.in.gov%2Fserver%2Frest%2Fservices%2FHosted%2FLRSE_Functional_Class%2FFeatureServer%2F22&amp;find="&amp;$F448&amp;"%2C"&amp;$E448&amp;"&amp;marker="&amp;$F448&amp;","&amp;$E448&amp;",4326&amp;level=16",IF(_xlfn.SINGLE(JobState)="WI","https://fema.maps.arcgis.com/apps/mapviewer/index.html?url=https%3A%2F%2Fservices5.arcgis.com%2F0pgGLzT0Nh7FVjon%2Farcgis%2Frest%2Fservices%2FFFCL_gdb%2FFeatureServer%2F3&amp;find="&amp;$F448&amp;"%2C"&amp;$E448&amp;"&amp;marker="&amp;$F448&amp;","&amp;$E448&amp;",4326&amp;level=16","https://fema.maps.arcgis.com/apps/mapviewer/index.html?find="&amp;$F448&amp;"%2C"&amp;$E448&amp;"&amp;marker="&amp;$F448&amp;","&amp;$E448&amp;",4326&amp;level=16"))),"Open"))</f>
        <v/>
      </c>
      <c r="T448" s="4"/>
      <c r="U448" s="4"/>
      <c r="V448" s="4"/>
      <c r="W448" s="4"/>
      <c r="X448" s="4"/>
      <c r="Y448" s="4"/>
      <c r="Z448" s="4"/>
      <c r="AA448" s="4"/>
      <c r="AB448" s="1" t="str">
        <f>IF(OR(_xlfn.SINGLE(JobAgolMap)="", $E448="", $F448=""),"",HYPERLINK(_xlfn.SINGLE(JobAgolMap)&amp;IF(ISNUMBER(FIND("?",_xlfn.SINGLE(JobAgolMap))),"&amp;","?")&amp;"center="&amp;$F448&amp;","&amp;$E448&amp;"&amp;level=16&amp;marker="&amp;$F448&amp;","&amp;$E448,"Open"))</f>
        <v/>
      </c>
    </row>
    <row r="449" spans="1:28" x14ac:dyDescent="0.45">
      <c r="A449" s="3"/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4"/>
      <c r="M449" s="1" t="str">
        <f t="shared" si="36"/>
        <v/>
      </c>
      <c r="N449" s="1" t="str">
        <f t="shared" si="37"/>
        <v/>
      </c>
      <c r="O449" s="1" t="str">
        <f t="shared" si="38"/>
        <v/>
      </c>
      <c r="P449" s="1" t="str">
        <f t="shared" si="39"/>
        <v/>
      </c>
      <c r="Q449" s="1" t="str">
        <f t="shared" si="40"/>
        <v/>
      </c>
      <c r="R449" s="1" t="str">
        <f t="shared" si="41"/>
        <v/>
      </c>
      <c r="S449" s="1" t="str">
        <f>IF(OR($E449="",$F449=""),"",HYPERLINK(IF(OR(_xlfn.SINGLE(JobState)="MI",_xlfn.SINGLE(JobState)=""),"https://fema.maps.arcgis.com/apps/mapviewer/index.html?url=https%3A%2F%2Fmdotgis.state.mi.us%2Farcgis%2Frest%2Fservices%2FWidget%2FNextGenPrFinderPub%2FFeatureServer%2F353&amp;find="&amp;$F449&amp;"%2C"&amp;$E449&amp;"&amp;marker="&amp;$F449&amp;","&amp;$E449&amp;",4326&amp;level=16",IF(_xlfn.SINGLE(JobState)="IN","https://fema.maps.arcgis.com/apps/mapviewer/index.html?url=https%3A%2F%2Fgisdata.in.gov%2Fserver%2Frest%2Fservices%2FHosted%2FLRSE_Functional_Class%2FFeatureServer%2F22&amp;find="&amp;$F449&amp;"%2C"&amp;$E449&amp;"&amp;marker="&amp;$F449&amp;","&amp;$E449&amp;",4326&amp;level=16",IF(_xlfn.SINGLE(JobState)="WI","https://fema.maps.arcgis.com/apps/mapviewer/index.html?url=https%3A%2F%2Fservices5.arcgis.com%2F0pgGLzT0Nh7FVjon%2Farcgis%2Frest%2Fservices%2FFFCL_gdb%2FFeatureServer%2F3&amp;find="&amp;$F449&amp;"%2C"&amp;$E449&amp;"&amp;marker="&amp;$F449&amp;","&amp;$E449&amp;",4326&amp;level=16","https://fema.maps.arcgis.com/apps/mapviewer/index.html?find="&amp;$F449&amp;"%2C"&amp;$E449&amp;"&amp;marker="&amp;$F449&amp;","&amp;$E449&amp;",4326&amp;level=16"))),"Open"))</f>
        <v/>
      </c>
      <c r="T449" s="4"/>
      <c r="U449" s="4"/>
      <c r="V449" s="4"/>
      <c r="W449" s="4"/>
      <c r="X449" s="4"/>
      <c r="Y449" s="4"/>
      <c r="Z449" s="4"/>
      <c r="AA449" s="4"/>
      <c r="AB449" s="1" t="str">
        <f>IF(OR(_xlfn.SINGLE(JobAgolMap)="", $E449="", $F449=""),"",HYPERLINK(_xlfn.SINGLE(JobAgolMap)&amp;IF(ISNUMBER(FIND("?",_xlfn.SINGLE(JobAgolMap))),"&amp;","?")&amp;"center="&amp;$F449&amp;","&amp;$E449&amp;"&amp;level=16&amp;marker="&amp;$F449&amp;","&amp;$E449,"Open"))</f>
        <v/>
      </c>
    </row>
    <row r="450" spans="1:28" x14ac:dyDescent="0.45">
      <c r="A450" s="3"/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4"/>
      <c r="M450" s="1" t="str">
        <f t="shared" si="36"/>
        <v/>
      </c>
      <c r="N450" s="1" t="str">
        <f t="shared" si="37"/>
        <v/>
      </c>
      <c r="O450" s="1" t="str">
        <f t="shared" si="38"/>
        <v/>
      </c>
      <c r="P450" s="1" t="str">
        <f t="shared" si="39"/>
        <v/>
      </c>
      <c r="Q450" s="1" t="str">
        <f t="shared" si="40"/>
        <v/>
      </c>
      <c r="R450" s="1" t="str">
        <f t="shared" si="41"/>
        <v/>
      </c>
      <c r="S450" s="1" t="str">
        <f>IF(OR($E450="",$F450=""),"",HYPERLINK(IF(OR(_xlfn.SINGLE(JobState)="MI",_xlfn.SINGLE(JobState)=""),"https://fema.maps.arcgis.com/apps/mapviewer/index.html?url=https%3A%2F%2Fmdotgis.state.mi.us%2Farcgis%2Frest%2Fservices%2FWidget%2FNextGenPrFinderPub%2FFeatureServer%2F353&amp;find="&amp;$F450&amp;"%2C"&amp;$E450&amp;"&amp;marker="&amp;$F450&amp;","&amp;$E450&amp;",4326&amp;level=16",IF(_xlfn.SINGLE(JobState)="IN","https://fema.maps.arcgis.com/apps/mapviewer/index.html?url=https%3A%2F%2Fgisdata.in.gov%2Fserver%2Frest%2Fservices%2FHosted%2FLRSE_Functional_Class%2FFeatureServer%2F22&amp;find="&amp;$F450&amp;"%2C"&amp;$E450&amp;"&amp;marker="&amp;$F450&amp;","&amp;$E450&amp;",4326&amp;level=16",IF(_xlfn.SINGLE(JobState)="WI","https://fema.maps.arcgis.com/apps/mapviewer/index.html?url=https%3A%2F%2Fservices5.arcgis.com%2F0pgGLzT0Nh7FVjon%2Farcgis%2Frest%2Fservices%2FFFCL_gdb%2FFeatureServer%2F3&amp;find="&amp;$F450&amp;"%2C"&amp;$E450&amp;"&amp;marker="&amp;$F450&amp;","&amp;$E450&amp;",4326&amp;level=16","https://fema.maps.arcgis.com/apps/mapviewer/index.html?find="&amp;$F450&amp;"%2C"&amp;$E450&amp;"&amp;marker="&amp;$F450&amp;","&amp;$E450&amp;",4326&amp;level=16"))),"Open"))</f>
        <v/>
      </c>
      <c r="T450" s="4"/>
      <c r="U450" s="4"/>
      <c r="V450" s="4"/>
      <c r="W450" s="4"/>
      <c r="X450" s="4"/>
      <c r="Y450" s="4"/>
      <c r="Z450" s="4"/>
      <c r="AA450" s="4"/>
      <c r="AB450" s="1" t="str">
        <f>IF(OR(_xlfn.SINGLE(JobAgolMap)="", $E450="", $F450=""),"",HYPERLINK(_xlfn.SINGLE(JobAgolMap)&amp;IF(ISNUMBER(FIND("?",_xlfn.SINGLE(JobAgolMap))),"&amp;","?")&amp;"center="&amp;$F450&amp;","&amp;$E450&amp;"&amp;level=16&amp;marker="&amp;$F450&amp;","&amp;$E450,"Open"))</f>
        <v/>
      </c>
    </row>
    <row r="451" spans="1:28" x14ac:dyDescent="0.45">
      <c r="A451" s="3"/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4"/>
      <c r="M451" s="1" t="str">
        <f t="shared" ref="M451:M502" si="42">IF(OR($E451="",$F451=""),"",HYPERLINK("https://www.google.com/maps?q="&amp;$E451&amp;","&amp;$F451&amp;"","Map"))</f>
        <v/>
      </c>
      <c r="N451" s="1" t="str">
        <f t="shared" ref="N451:N502" si="43">IF(OR($E451="",$F451=""),"",HYPERLINK("https://www.google.com/maps?q&amp;layer=c&amp;cbll="&amp;$E451&amp;","&amp;$F451&amp;"","Street"))</f>
        <v/>
      </c>
      <c r="O451" s="1" t="str">
        <f t="shared" ref="O451:O502" si="44">IF(OR($E451="",$F451=""),"",HYPERLINK("https://www.bing.com/maps?cp="&amp;$E451&amp;"~"&amp;$F451&amp;"&amp;lvl=18&amp;style=h","Bing"))</f>
        <v/>
      </c>
      <c r="P451" s="1" t="str">
        <f t="shared" ref="P451:P502" si="45">IF(OR($E451="",$F451=""),"",HYPERLINK("https://earth.google.com/web/search/"&amp;$E451&amp;","&amp;$F451&amp;"","Earth"))</f>
        <v/>
      </c>
      <c r="Q451" s="1" t="str">
        <f t="shared" ref="Q451:Q502" si="46">IF(OR($E451="",$F451=""),"",HYPERLINK("https://fema.maps.arcgis.com/apps/mapviewer/index.html?find="&amp;$F451&amp;"%2C"&amp;$E451&amp;"&amp;marker="&amp;$F451&amp;","&amp;$E451&amp;",4326&amp;level=16","FEMA"))</f>
        <v/>
      </c>
      <c r="R451" s="1" t="str">
        <f t="shared" ref="R451:R502" si="47">IF(OR($E451="",$F451=""),"",HYPERLINK("https://msc.fema.gov/portal/firmette?latitude="&amp;$E451&amp;"&amp;longitude="&amp;$F451&amp;"","FIRMette"))</f>
        <v/>
      </c>
      <c r="S451" s="1" t="str">
        <f>IF(OR($E451="",$F451=""),"",HYPERLINK(IF(OR(_xlfn.SINGLE(JobState)="MI",_xlfn.SINGLE(JobState)=""),"https://fema.maps.arcgis.com/apps/mapviewer/index.html?url=https%3A%2F%2Fmdotgis.state.mi.us%2Farcgis%2Frest%2Fservices%2FWidget%2FNextGenPrFinderPub%2FFeatureServer%2F353&amp;find="&amp;$F451&amp;"%2C"&amp;$E451&amp;"&amp;marker="&amp;$F451&amp;","&amp;$E451&amp;",4326&amp;level=16",IF(_xlfn.SINGLE(JobState)="IN","https://fema.maps.arcgis.com/apps/mapviewer/index.html?url=https%3A%2F%2Fgisdata.in.gov%2Fserver%2Frest%2Fservices%2FHosted%2FLRSE_Functional_Class%2FFeatureServer%2F22&amp;find="&amp;$F451&amp;"%2C"&amp;$E451&amp;"&amp;marker="&amp;$F451&amp;","&amp;$E451&amp;",4326&amp;level=16",IF(_xlfn.SINGLE(JobState)="WI","https://fema.maps.arcgis.com/apps/mapviewer/index.html?url=https%3A%2F%2Fservices5.arcgis.com%2F0pgGLzT0Nh7FVjon%2Farcgis%2Frest%2Fservices%2FFFCL_gdb%2FFeatureServer%2F3&amp;find="&amp;$F451&amp;"%2C"&amp;$E451&amp;"&amp;marker="&amp;$F451&amp;","&amp;$E451&amp;",4326&amp;level=16","https://fema.maps.arcgis.com/apps/mapviewer/index.html?find="&amp;$F451&amp;"%2C"&amp;$E451&amp;"&amp;marker="&amp;$F451&amp;","&amp;$E451&amp;",4326&amp;level=16"))),"Open"))</f>
        <v/>
      </c>
      <c r="T451" s="4"/>
      <c r="U451" s="4"/>
      <c r="V451" s="4"/>
      <c r="W451" s="4"/>
      <c r="X451" s="4"/>
      <c r="Y451" s="4"/>
      <c r="Z451" s="4"/>
      <c r="AA451" s="4"/>
      <c r="AB451" s="1" t="str">
        <f>IF(OR(_xlfn.SINGLE(JobAgolMap)="", $E451="", $F451=""),"",HYPERLINK(_xlfn.SINGLE(JobAgolMap)&amp;IF(ISNUMBER(FIND("?",_xlfn.SINGLE(JobAgolMap))),"&amp;","?")&amp;"center="&amp;$F451&amp;","&amp;$E451&amp;"&amp;level=16&amp;marker="&amp;$F451&amp;","&amp;$E451,"Open"))</f>
        <v/>
      </c>
    </row>
    <row r="452" spans="1:28" x14ac:dyDescent="0.45">
      <c r="A452" s="3"/>
      <c r="B452" s="3"/>
      <c r="C452" s="3"/>
      <c r="D452" s="3"/>
      <c r="E452" s="3"/>
      <c r="F452" s="3"/>
      <c r="G452" s="3"/>
      <c r="H452" s="3"/>
      <c r="I452" s="3"/>
      <c r="J452" s="3"/>
      <c r="K452" s="3"/>
      <c r="L452" s="4"/>
      <c r="M452" s="1" t="str">
        <f t="shared" si="42"/>
        <v/>
      </c>
      <c r="N452" s="1" t="str">
        <f t="shared" si="43"/>
        <v/>
      </c>
      <c r="O452" s="1" t="str">
        <f t="shared" si="44"/>
        <v/>
      </c>
      <c r="P452" s="1" t="str">
        <f t="shared" si="45"/>
        <v/>
      </c>
      <c r="Q452" s="1" t="str">
        <f t="shared" si="46"/>
        <v/>
      </c>
      <c r="R452" s="1" t="str">
        <f t="shared" si="47"/>
        <v/>
      </c>
      <c r="S452" s="1" t="str">
        <f>IF(OR($E452="",$F452=""),"",HYPERLINK(IF(OR(_xlfn.SINGLE(JobState)="MI",_xlfn.SINGLE(JobState)=""),"https://fema.maps.arcgis.com/apps/mapviewer/index.html?url=https%3A%2F%2Fmdotgis.state.mi.us%2Farcgis%2Frest%2Fservices%2FWidget%2FNextGenPrFinderPub%2FFeatureServer%2F353&amp;find="&amp;$F452&amp;"%2C"&amp;$E452&amp;"&amp;marker="&amp;$F452&amp;","&amp;$E452&amp;",4326&amp;level=16",IF(_xlfn.SINGLE(JobState)="IN","https://fema.maps.arcgis.com/apps/mapviewer/index.html?url=https%3A%2F%2Fgisdata.in.gov%2Fserver%2Frest%2Fservices%2FHosted%2FLRSE_Functional_Class%2FFeatureServer%2F22&amp;find="&amp;$F452&amp;"%2C"&amp;$E452&amp;"&amp;marker="&amp;$F452&amp;","&amp;$E452&amp;",4326&amp;level=16",IF(_xlfn.SINGLE(JobState)="WI","https://fema.maps.arcgis.com/apps/mapviewer/index.html?url=https%3A%2F%2Fservices5.arcgis.com%2F0pgGLzT0Nh7FVjon%2Farcgis%2Frest%2Fservices%2FFFCL_gdb%2FFeatureServer%2F3&amp;find="&amp;$F452&amp;"%2C"&amp;$E452&amp;"&amp;marker="&amp;$F452&amp;","&amp;$E452&amp;",4326&amp;level=16","https://fema.maps.arcgis.com/apps/mapviewer/index.html?find="&amp;$F452&amp;"%2C"&amp;$E452&amp;"&amp;marker="&amp;$F452&amp;","&amp;$E452&amp;",4326&amp;level=16"))),"Open"))</f>
        <v/>
      </c>
      <c r="T452" s="4"/>
      <c r="U452" s="4"/>
      <c r="V452" s="4"/>
      <c r="W452" s="4"/>
      <c r="X452" s="4"/>
      <c r="Y452" s="4"/>
      <c r="Z452" s="4"/>
      <c r="AA452" s="4"/>
      <c r="AB452" s="1" t="str">
        <f>IF(OR(_xlfn.SINGLE(JobAgolMap)="", $E452="", $F452=""),"",HYPERLINK(_xlfn.SINGLE(JobAgolMap)&amp;IF(ISNUMBER(FIND("?",_xlfn.SINGLE(JobAgolMap))),"&amp;","?")&amp;"center="&amp;$F452&amp;","&amp;$E452&amp;"&amp;level=16&amp;marker="&amp;$F452&amp;","&amp;$E452,"Open"))</f>
        <v/>
      </c>
    </row>
    <row r="453" spans="1:28" x14ac:dyDescent="0.45">
      <c r="A453" s="3"/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4"/>
      <c r="M453" s="1" t="str">
        <f t="shared" si="42"/>
        <v/>
      </c>
      <c r="N453" s="1" t="str">
        <f t="shared" si="43"/>
        <v/>
      </c>
      <c r="O453" s="1" t="str">
        <f t="shared" si="44"/>
        <v/>
      </c>
      <c r="P453" s="1" t="str">
        <f t="shared" si="45"/>
        <v/>
      </c>
      <c r="Q453" s="1" t="str">
        <f t="shared" si="46"/>
        <v/>
      </c>
      <c r="R453" s="1" t="str">
        <f t="shared" si="47"/>
        <v/>
      </c>
      <c r="S453" s="1" t="str">
        <f>IF(OR($E453="",$F453=""),"",HYPERLINK(IF(OR(_xlfn.SINGLE(JobState)="MI",_xlfn.SINGLE(JobState)=""),"https://fema.maps.arcgis.com/apps/mapviewer/index.html?url=https%3A%2F%2Fmdotgis.state.mi.us%2Farcgis%2Frest%2Fservices%2FWidget%2FNextGenPrFinderPub%2FFeatureServer%2F353&amp;find="&amp;$F453&amp;"%2C"&amp;$E453&amp;"&amp;marker="&amp;$F453&amp;","&amp;$E453&amp;",4326&amp;level=16",IF(_xlfn.SINGLE(JobState)="IN","https://fema.maps.arcgis.com/apps/mapviewer/index.html?url=https%3A%2F%2Fgisdata.in.gov%2Fserver%2Frest%2Fservices%2FHosted%2FLRSE_Functional_Class%2FFeatureServer%2F22&amp;find="&amp;$F453&amp;"%2C"&amp;$E453&amp;"&amp;marker="&amp;$F453&amp;","&amp;$E453&amp;",4326&amp;level=16",IF(_xlfn.SINGLE(JobState)="WI","https://fema.maps.arcgis.com/apps/mapviewer/index.html?url=https%3A%2F%2Fservices5.arcgis.com%2F0pgGLzT0Nh7FVjon%2Farcgis%2Frest%2Fservices%2FFFCL_gdb%2FFeatureServer%2F3&amp;find="&amp;$F453&amp;"%2C"&amp;$E453&amp;"&amp;marker="&amp;$F453&amp;","&amp;$E453&amp;",4326&amp;level=16","https://fema.maps.arcgis.com/apps/mapviewer/index.html?find="&amp;$F453&amp;"%2C"&amp;$E453&amp;"&amp;marker="&amp;$F453&amp;","&amp;$E453&amp;",4326&amp;level=16"))),"Open"))</f>
        <v/>
      </c>
      <c r="T453" s="4"/>
      <c r="U453" s="4"/>
      <c r="V453" s="4"/>
      <c r="W453" s="4"/>
      <c r="X453" s="4"/>
      <c r="Y453" s="4"/>
      <c r="Z453" s="4"/>
      <c r="AA453" s="4"/>
      <c r="AB453" s="1" t="str">
        <f>IF(OR(_xlfn.SINGLE(JobAgolMap)="", $E453="", $F453=""),"",HYPERLINK(_xlfn.SINGLE(JobAgolMap)&amp;IF(ISNUMBER(FIND("?",_xlfn.SINGLE(JobAgolMap))),"&amp;","?")&amp;"center="&amp;$F453&amp;","&amp;$E453&amp;"&amp;level=16&amp;marker="&amp;$F453&amp;","&amp;$E453,"Open"))</f>
        <v/>
      </c>
    </row>
    <row r="454" spans="1:28" x14ac:dyDescent="0.45">
      <c r="A454" s="3"/>
      <c r="B454" s="3"/>
      <c r="C454" s="3"/>
      <c r="D454" s="3"/>
      <c r="E454" s="3"/>
      <c r="F454" s="3"/>
      <c r="G454" s="3"/>
      <c r="H454" s="3"/>
      <c r="I454" s="3"/>
      <c r="J454" s="3"/>
      <c r="K454" s="3"/>
      <c r="L454" s="4"/>
      <c r="M454" s="1" t="str">
        <f t="shared" si="42"/>
        <v/>
      </c>
      <c r="N454" s="1" t="str">
        <f t="shared" si="43"/>
        <v/>
      </c>
      <c r="O454" s="1" t="str">
        <f t="shared" si="44"/>
        <v/>
      </c>
      <c r="P454" s="1" t="str">
        <f t="shared" si="45"/>
        <v/>
      </c>
      <c r="Q454" s="1" t="str">
        <f t="shared" si="46"/>
        <v/>
      </c>
      <c r="R454" s="1" t="str">
        <f t="shared" si="47"/>
        <v/>
      </c>
      <c r="S454" s="1" t="str">
        <f>IF(OR($E454="",$F454=""),"",HYPERLINK(IF(OR(_xlfn.SINGLE(JobState)="MI",_xlfn.SINGLE(JobState)=""),"https://fema.maps.arcgis.com/apps/mapviewer/index.html?url=https%3A%2F%2Fmdotgis.state.mi.us%2Farcgis%2Frest%2Fservices%2FWidget%2FNextGenPrFinderPub%2FFeatureServer%2F353&amp;find="&amp;$F454&amp;"%2C"&amp;$E454&amp;"&amp;marker="&amp;$F454&amp;","&amp;$E454&amp;",4326&amp;level=16",IF(_xlfn.SINGLE(JobState)="IN","https://fema.maps.arcgis.com/apps/mapviewer/index.html?url=https%3A%2F%2Fgisdata.in.gov%2Fserver%2Frest%2Fservices%2FHosted%2FLRSE_Functional_Class%2FFeatureServer%2F22&amp;find="&amp;$F454&amp;"%2C"&amp;$E454&amp;"&amp;marker="&amp;$F454&amp;","&amp;$E454&amp;",4326&amp;level=16",IF(_xlfn.SINGLE(JobState)="WI","https://fema.maps.arcgis.com/apps/mapviewer/index.html?url=https%3A%2F%2Fservices5.arcgis.com%2F0pgGLzT0Nh7FVjon%2Farcgis%2Frest%2Fservices%2FFFCL_gdb%2FFeatureServer%2F3&amp;find="&amp;$F454&amp;"%2C"&amp;$E454&amp;"&amp;marker="&amp;$F454&amp;","&amp;$E454&amp;",4326&amp;level=16","https://fema.maps.arcgis.com/apps/mapviewer/index.html?find="&amp;$F454&amp;"%2C"&amp;$E454&amp;"&amp;marker="&amp;$F454&amp;","&amp;$E454&amp;",4326&amp;level=16"))),"Open"))</f>
        <v/>
      </c>
      <c r="T454" s="4"/>
      <c r="U454" s="4"/>
      <c r="V454" s="4"/>
      <c r="W454" s="4"/>
      <c r="X454" s="4"/>
      <c r="Y454" s="4"/>
      <c r="Z454" s="4"/>
      <c r="AA454" s="4"/>
      <c r="AB454" s="1" t="str">
        <f>IF(OR(_xlfn.SINGLE(JobAgolMap)="", $E454="", $F454=""),"",HYPERLINK(_xlfn.SINGLE(JobAgolMap)&amp;IF(ISNUMBER(FIND("?",_xlfn.SINGLE(JobAgolMap))),"&amp;","?")&amp;"center="&amp;$F454&amp;","&amp;$E454&amp;"&amp;level=16&amp;marker="&amp;$F454&amp;","&amp;$E454,"Open"))</f>
        <v/>
      </c>
    </row>
    <row r="455" spans="1:28" x14ac:dyDescent="0.45">
      <c r="A455" s="3"/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4"/>
      <c r="M455" s="1" t="str">
        <f t="shared" si="42"/>
        <v/>
      </c>
      <c r="N455" s="1" t="str">
        <f t="shared" si="43"/>
        <v/>
      </c>
      <c r="O455" s="1" t="str">
        <f t="shared" si="44"/>
        <v/>
      </c>
      <c r="P455" s="1" t="str">
        <f t="shared" si="45"/>
        <v/>
      </c>
      <c r="Q455" s="1" t="str">
        <f t="shared" si="46"/>
        <v/>
      </c>
      <c r="R455" s="1" t="str">
        <f t="shared" si="47"/>
        <v/>
      </c>
      <c r="S455" s="1" t="str">
        <f>IF(OR($E455="",$F455=""),"",HYPERLINK(IF(OR(_xlfn.SINGLE(JobState)="MI",_xlfn.SINGLE(JobState)=""),"https://fema.maps.arcgis.com/apps/mapviewer/index.html?url=https%3A%2F%2Fmdotgis.state.mi.us%2Farcgis%2Frest%2Fservices%2FWidget%2FNextGenPrFinderPub%2FFeatureServer%2F353&amp;find="&amp;$F455&amp;"%2C"&amp;$E455&amp;"&amp;marker="&amp;$F455&amp;","&amp;$E455&amp;",4326&amp;level=16",IF(_xlfn.SINGLE(JobState)="IN","https://fema.maps.arcgis.com/apps/mapviewer/index.html?url=https%3A%2F%2Fgisdata.in.gov%2Fserver%2Frest%2Fservices%2FHosted%2FLRSE_Functional_Class%2FFeatureServer%2F22&amp;find="&amp;$F455&amp;"%2C"&amp;$E455&amp;"&amp;marker="&amp;$F455&amp;","&amp;$E455&amp;",4326&amp;level=16",IF(_xlfn.SINGLE(JobState)="WI","https://fema.maps.arcgis.com/apps/mapviewer/index.html?url=https%3A%2F%2Fservices5.arcgis.com%2F0pgGLzT0Nh7FVjon%2Farcgis%2Frest%2Fservices%2FFFCL_gdb%2FFeatureServer%2F3&amp;find="&amp;$F455&amp;"%2C"&amp;$E455&amp;"&amp;marker="&amp;$F455&amp;","&amp;$E455&amp;",4326&amp;level=16","https://fema.maps.arcgis.com/apps/mapviewer/index.html?find="&amp;$F455&amp;"%2C"&amp;$E455&amp;"&amp;marker="&amp;$F455&amp;","&amp;$E455&amp;",4326&amp;level=16"))),"Open"))</f>
        <v/>
      </c>
      <c r="T455" s="4"/>
      <c r="U455" s="4"/>
      <c r="V455" s="4"/>
      <c r="W455" s="4"/>
      <c r="X455" s="4"/>
      <c r="Y455" s="4"/>
      <c r="Z455" s="4"/>
      <c r="AA455" s="4"/>
      <c r="AB455" s="1" t="str">
        <f>IF(OR(_xlfn.SINGLE(JobAgolMap)="", $E455="", $F455=""),"",HYPERLINK(_xlfn.SINGLE(JobAgolMap)&amp;IF(ISNUMBER(FIND("?",_xlfn.SINGLE(JobAgolMap))),"&amp;","?")&amp;"center="&amp;$F455&amp;","&amp;$E455&amp;"&amp;level=16&amp;marker="&amp;$F455&amp;","&amp;$E455,"Open"))</f>
        <v/>
      </c>
    </row>
    <row r="456" spans="1:28" x14ac:dyDescent="0.45">
      <c r="A456" s="3"/>
      <c r="B456" s="3"/>
      <c r="C456" s="3"/>
      <c r="D456" s="3"/>
      <c r="E456" s="3"/>
      <c r="F456" s="3"/>
      <c r="G456" s="3"/>
      <c r="H456" s="3"/>
      <c r="I456" s="3"/>
      <c r="J456" s="3"/>
      <c r="K456" s="3"/>
      <c r="L456" s="4"/>
      <c r="M456" s="1" t="str">
        <f t="shared" si="42"/>
        <v/>
      </c>
      <c r="N456" s="1" t="str">
        <f t="shared" si="43"/>
        <v/>
      </c>
      <c r="O456" s="1" t="str">
        <f t="shared" si="44"/>
        <v/>
      </c>
      <c r="P456" s="1" t="str">
        <f t="shared" si="45"/>
        <v/>
      </c>
      <c r="Q456" s="1" t="str">
        <f t="shared" si="46"/>
        <v/>
      </c>
      <c r="R456" s="1" t="str">
        <f t="shared" si="47"/>
        <v/>
      </c>
      <c r="S456" s="1" t="str">
        <f>IF(OR($E456="",$F456=""),"",HYPERLINK(IF(OR(_xlfn.SINGLE(JobState)="MI",_xlfn.SINGLE(JobState)=""),"https://fema.maps.arcgis.com/apps/mapviewer/index.html?url=https%3A%2F%2Fmdotgis.state.mi.us%2Farcgis%2Frest%2Fservices%2FWidget%2FNextGenPrFinderPub%2FFeatureServer%2F353&amp;find="&amp;$F456&amp;"%2C"&amp;$E456&amp;"&amp;marker="&amp;$F456&amp;","&amp;$E456&amp;",4326&amp;level=16",IF(_xlfn.SINGLE(JobState)="IN","https://fema.maps.arcgis.com/apps/mapviewer/index.html?url=https%3A%2F%2Fgisdata.in.gov%2Fserver%2Frest%2Fservices%2FHosted%2FLRSE_Functional_Class%2FFeatureServer%2F22&amp;find="&amp;$F456&amp;"%2C"&amp;$E456&amp;"&amp;marker="&amp;$F456&amp;","&amp;$E456&amp;",4326&amp;level=16",IF(_xlfn.SINGLE(JobState)="WI","https://fema.maps.arcgis.com/apps/mapviewer/index.html?url=https%3A%2F%2Fservices5.arcgis.com%2F0pgGLzT0Nh7FVjon%2Farcgis%2Frest%2Fservices%2FFFCL_gdb%2FFeatureServer%2F3&amp;find="&amp;$F456&amp;"%2C"&amp;$E456&amp;"&amp;marker="&amp;$F456&amp;","&amp;$E456&amp;",4326&amp;level=16","https://fema.maps.arcgis.com/apps/mapviewer/index.html?find="&amp;$F456&amp;"%2C"&amp;$E456&amp;"&amp;marker="&amp;$F456&amp;","&amp;$E456&amp;",4326&amp;level=16"))),"Open"))</f>
        <v/>
      </c>
      <c r="T456" s="4"/>
      <c r="U456" s="4"/>
      <c r="V456" s="4"/>
      <c r="W456" s="4"/>
      <c r="X456" s="4"/>
      <c r="Y456" s="4"/>
      <c r="Z456" s="4"/>
      <c r="AA456" s="4"/>
      <c r="AB456" s="1" t="str">
        <f>IF(OR(_xlfn.SINGLE(JobAgolMap)="", $E456="", $F456=""),"",HYPERLINK(_xlfn.SINGLE(JobAgolMap)&amp;IF(ISNUMBER(FIND("?",_xlfn.SINGLE(JobAgolMap))),"&amp;","?")&amp;"center="&amp;$F456&amp;","&amp;$E456&amp;"&amp;level=16&amp;marker="&amp;$F456&amp;","&amp;$E456,"Open"))</f>
        <v/>
      </c>
    </row>
    <row r="457" spans="1:28" x14ac:dyDescent="0.45">
      <c r="A457" s="3"/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4"/>
      <c r="M457" s="1" t="str">
        <f t="shared" si="42"/>
        <v/>
      </c>
      <c r="N457" s="1" t="str">
        <f t="shared" si="43"/>
        <v/>
      </c>
      <c r="O457" s="1" t="str">
        <f t="shared" si="44"/>
        <v/>
      </c>
      <c r="P457" s="1" t="str">
        <f t="shared" si="45"/>
        <v/>
      </c>
      <c r="Q457" s="1" t="str">
        <f t="shared" si="46"/>
        <v/>
      </c>
      <c r="R457" s="1" t="str">
        <f t="shared" si="47"/>
        <v/>
      </c>
      <c r="S457" s="1" t="str">
        <f>IF(OR($E457="",$F457=""),"",HYPERLINK(IF(OR(_xlfn.SINGLE(JobState)="MI",_xlfn.SINGLE(JobState)=""),"https://fema.maps.arcgis.com/apps/mapviewer/index.html?url=https%3A%2F%2Fmdotgis.state.mi.us%2Farcgis%2Frest%2Fservices%2FWidget%2FNextGenPrFinderPub%2FFeatureServer%2F353&amp;find="&amp;$F457&amp;"%2C"&amp;$E457&amp;"&amp;marker="&amp;$F457&amp;","&amp;$E457&amp;",4326&amp;level=16",IF(_xlfn.SINGLE(JobState)="IN","https://fema.maps.arcgis.com/apps/mapviewer/index.html?url=https%3A%2F%2Fgisdata.in.gov%2Fserver%2Frest%2Fservices%2FHosted%2FLRSE_Functional_Class%2FFeatureServer%2F22&amp;find="&amp;$F457&amp;"%2C"&amp;$E457&amp;"&amp;marker="&amp;$F457&amp;","&amp;$E457&amp;",4326&amp;level=16",IF(_xlfn.SINGLE(JobState)="WI","https://fema.maps.arcgis.com/apps/mapviewer/index.html?url=https%3A%2F%2Fservices5.arcgis.com%2F0pgGLzT0Nh7FVjon%2Farcgis%2Frest%2Fservices%2FFFCL_gdb%2FFeatureServer%2F3&amp;find="&amp;$F457&amp;"%2C"&amp;$E457&amp;"&amp;marker="&amp;$F457&amp;","&amp;$E457&amp;",4326&amp;level=16","https://fema.maps.arcgis.com/apps/mapviewer/index.html?find="&amp;$F457&amp;"%2C"&amp;$E457&amp;"&amp;marker="&amp;$F457&amp;","&amp;$E457&amp;",4326&amp;level=16"))),"Open"))</f>
        <v/>
      </c>
      <c r="T457" s="4"/>
      <c r="U457" s="4"/>
      <c r="V457" s="4"/>
      <c r="W457" s="4"/>
      <c r="X457" s="4"/>
      <c r="Y457" s="4"/>
      <c r="Z457" s="4"/>
      <c r="AA457" s="4"/>
      <c r="AB457" s="1" t="str">
        <f>IF(OR(_xlfn.SINGLE(JobAgolMap)="", $E457="", $F457=""),"",HYPERLINK(_xlfn.SINGLE(JobAgolMap)&amp;IF(ISNUMBER(FIND("?",_xlfn.SINGLE(JobAgolMap))),"&amp;","?")&amp;"center="&amp;$F457&amp;","&amp;$E457&amp;"&amp;level=16&amp;marker="&amp;$F457&amp;","&amp;$E457,"Open"))</f>
        <v/>
      </c>
    </row>
    <row r="458" spans="1:28" x14ac:dyDescent="0.45">
      <c r="A458" s="3"/>
      <c r="B458" s="3"/>
      <c r="C458" s="3"/>
      <c r="D458" s="3"/>
      <c r="E458" s="3"/>
      <c r="F458" s="3"/>
      <c r="G458" s="3"/>
      <c r="H458" s="3"/>
      <c r="I458" s="3"/>
      <c r="J458" s="3"/>
      <c r="K458" s="3"/>
      <c r="L458" s="4"/>
      <c r="M458" s="1" t="str">
        <f t="shared" si="42"/>
        <v/>
      </c>
      <c r="N458" s="1" t="str">
        <f t="shared" si="43"/>
        <v/>
      </c>
      <c r="O458" s="1" t="str">
        <f t="shared" si="44"/>
        <v/>
      </c>
      <c r="P458" s="1" t="str">
        <f t="shared" si="45"/>
        <v/>
      </c>
      <c r="Q458" s="1" t="str">
        <f t="shared" si="46"/>
        <v/>
      </c>
      <c r="R458" s="1" t="str">
        <f t="shared" si="47"/>
        <v/>
      </c>
      <c r="S458" s="1" t="str">
        <f>IF(OR($E458="",$F458=""),"",HYPERLINK(IF(OR(_xlfn.SINGLE(JobState)="MI",_xlfn.SINGLE(JobState)=""),"https://fema.maps.arcgis.com/apps/mapviewer/index.html?url=https%3A%2F%2Fmdotgis.state.mi.us%2Farcgis%2Frest%2Fservices%2FWidget%2FNextGenPrFinderPub%2FFeatureServer%2F353&amp;find="&amp;$F458&amp;"%2C"&amp;$E458&amp;"&amp;marker="&amp;$F458&amp;","&amp;$E458&amp;",4326&amp;level=16",IF(_xlfn.SINGLE(JobState)="IN","https://fema.maps.arcgis.com/apps/mapviewer/index.html?url=https%3A%2F%2Fgisdata.in.gov%2Fserver%2Frest%2Fservices%2FHosted%2FLRSE_Functional_Class%2FFeatureServer%2F22&amp;find="&amp;$F458&amp;"%2C"&amp;$E458&amp;"&amp;marker="&amp;$F458&amp;","&amp;$E458&amp;",4326&amp;level=16",IF(_xlfn.SINGLE(JobState)="WI","https://fema.maps.arcgis.com/apps/mapviewer/index.html?url=https%3A%2F%2Fservices5.arcgis.com%2F0pgGLzT0Nh7FVjon%2Farcgis%2Frest%2Fservices%2FFFCL_gdb%2FFeatureServer%2F3&amp;find="&amp;$F458&amp;"%2C"&amp;$E458&amp;"&amp;marker="&amp;$F458&amp;","&amp;$E458&amp;",4326&amp;level=16","https://fema.maps.arcgis.com/apps/mapviewer/index.html?find="&amp;$F458&amp;"%2C"&amp;$E458&amp;"&amp;marker="&amp;$F458&amp;","&amp;$E458&amp;",4326&amp;level=16"))),"Open"))</f>
        <v/>
      </c>
      <c r="T458" s="4"/>
      <c r="U458" s="4"/>
      <c r="V458" s="4"/>
      <c r="W458" s="4"/>
      <c r="X458" s="4"/>
      <c r="Y458" s="4"/>
      <c r="Z458" s="4"/>
      <c r="AA458" s="4"/>
      <c r="AB458" s="1" t="str">
        <f>IF(OR(_xlfn.SINGLE(JobAgolMap)="", $E458="", $F458=""),"",HYPERLINK(_xlfn.SINGLE(JobAgolMap)&amp;IF(ISNUMBER(FIND("?",_xlfn.SINGLE(JobAgolMap))),"&amp;","?")&amp;"center="&amp;$F458&amp;","&amp;$E458&amp;"&amp;level=16&amp;marker="&amp;$F458&amp;","&amp;$E458,"Open"))</f>
        <v/>
      </c>
    </row>
    <row r="459" spans="1:28" x14ac:dyDescent="0.45">
      <c r="A459" s="3"/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4"/>
      <c r="M459" s="1" t="str">
        <f t="shared" si="42"/>
        <v/>
      </c>
      <c r="N459" s="1" t="str">
        <f t="shared" si="43"/>
        <v/>
      </c>
      <c r="O459" s="1" t="str">
        <f t="shared" si="44"/>
        <v/>
      </c>
      <c r="P459" s="1" t="str">
        <f t="shared" si="45"/>
        <v/>
      </c>
      <c r="Q459" s="1" t="str">
        <f t="shared" si="46"/>
        <v/>
      </c>
      <c r="R459" s="1" t="str">
        <f t="shared" si="47"/>
        <v/>
      </c>
      <c r="S459" s="1" t="str">
        <f>IF(OR($E459="",$F459=""),"",HYPERLINK(IF(OR(_xlfn.SINGLE(JobState)="MI",_xlfn.SINGLE(JobState)=""),"https://fema.maps.arcgis.com/apps/mapviewer/index.html?url=https%3A%2F%2Fmdotgis.state.mi.us%2Farcgis%2Frest%2Fservices%2FWidget%2FNextGenPrFinderPub%2FFeatureServer%2F353&amp;find="&amp;$F459&amp;"%2C"&amp;$E459&amp;"&amp;marker="&amp;$F459&amp;","&amp;$E459&amp;",4326&amp;level=16",IF(_xlfn.SINGLE(JobState)="IN","https://fema.maps.arcgis.com/apps/mapviewer/index.html?url=https%3A%2F%2Fgisdata.in.gov%2Fserver%2Frest%2Fservices%2FHosted%2FLRSE_Functional_Class%2FFeatureServer%2F22&amp;find="&amp;$F459&amp;"%2C"&amp;$E459&amp;"&amp;marker="&amp;$F459&amp;","&amp;$E459&amp;",4326&amp;level=16",IF(_xlfn.SINGLE(JobState)="WI","https://fema.maps.arcgis.com/apps/mapviewer/index.html?url=https%3A%2F%2Fservices5.arcgis.com%2F0pgGLzT0Nh7FVjon%2Farcgis%2Frest%2Fservices%2FFFCL_gdb%2FFeatureServer%2F3&amp;find="&amp;$F459&amp;"%2C"&amp;$E459&amp;"&amp;marker="&amp;$F459&amp;","&amp;$E459&amp;",4326&amp;level=16","https://fema.maps.arcgis.com/apps/mapviewer/index.html?find="&amp;$F459&amp;"%2C"&amp;$E459&amp;"&amp;marker="&amp;$F459&amp;","&amp;$E459&amp;",4326&amp;level=16"))),"Open"))</f>
        <v/>
      </c>
      <c r="T459" s="4"/>
      <c r="U459" s="4"/>
      <c r="V459" s="4"/>
      <c r="W459" s="4"/>
      <c r="X459" s="4"/>
      <c r="Y459" s="4"/>
      <c r="Z459" s="4"/>
      <c r="AA459" s="4"/>
      <c r="AB459" s="1" t="str">
        <f>IF(OR(_xlfn.SINGLE(JobAgolMap)="", $E459="", $F459=""),"",HYPERLINK(_xlfn.SINGLE(JobAgolMap)&amp;IF(ISNUMBER(FIND("?",_xlfn.SINGLE(JobAgolMap))),"&amp;","?")&amp;"center="&amp;$F459&amp;","&amp;$E459&amp;"&amp;level=16&amp;marker="&amp;$F459&amp;","&amp;$E459,"Open"))</f>
        <v/>
      </c>
    </row>
    <row r="460" spans="1:28" x14ac:dyDescent="0.45">
      <c r="A460" s="3"/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4"/>
      <c r="M460" s="1" t="str">
        <f t="shared" si="42"/>
        <v/>
      </c>
      <c r="N460" s="1" t="str">
        <f t="shared" si="43"/>
        <v/>
      </c>
      <c r="O460" s="1" t="str">
        <f t="shared" si="44"/>
        <v/>
      </c>
      <c r="P460" s="1" t="str">
        <f t="shared" si="45"/>
        <v/>
      </c>
      <c r="Q460" s="1" t="str">
        <f t="shared" si="46"/>
        <v/>
      </c>
      <c r="R460" s="1" t="str">
        <f t="shared" si="47"/>
        <v/>
      </c>
      <c r="S460" s="1" t="str">
        <f>IF(OR($E460="",$F460=""),"",HYPERLINK(IF(OR(_xlfn.SINGLE(JobState)="MI",_xlfn.SINGLE(JobState)=""),"https://fema.maps.arcgis.com/apps/mapviewer/index.html?url=https%3A%2F%2Fmdotgis.state.mi.us%2Farcgis%2Frest%2Fservices%2FWidget%2FNextGenPrFinderPub%2FFeatureServer%2F353&amp;find="&amp;$F460&amp;"%2C"&amp;$E460&amp;"&amp;marker="&amp;$F460&amp;","&amp;$E460&amp;",4326&amp;level=16",IF(_xlfn.SINGLE(JobState)="IN","https://fema.maps.arcgis.com/apps/mapviewer/index.html?url=https%3A%2F%2Fgisdata.in.gov%2Fserver%2Frest%2Fservices%2FHosted%2FLRSE_Functional_Class%2FFeatureServer%2F22&amp;find="&amp;$F460&amp;"%2C"&amp;$E460&amp;"&amp;marker="&amp;$F460&amp;","&amp;$E460&amp;",4326&amp;level=16",IF(_xlfn.SINGLE(JobState)="WI","https://fema.maps.arcgis.com/apps/mapviewer/index.html?url=https%3A%2F%2Fservices5.arcgis.com%2F0pgGLzT0Nh7FVjon%2Farcgis%2Frest%2Fservices%2FFFCL_gdb%2FFeatureServer%2F3&amp;find="&amp;$F460&amp;"%2C"&amp;$E460&amp;"&amp;marker="&amp;$F460&amp;","&amp;$E460&amp;",4326&amp;level=16","https://fema.maps.arcgis.com/apps/mapviewer/index.html?find="&amp;$F460&amp;"%2C"&amp;$E460&amp;"&amp;marker="&amp;$F460&amp;","&amp;$E460&amp;",4326&amp;level=16"))),"Open"))</f>
        <v/>
      </c>
      <c r="T460" s="4"/>
      <c r="U460" s="4"/>
      <c r="V460" s="4"/>
      <c r="W460" s="4"/>
      <c r="X460" s="4"/>
      <c r="Y460" s="4"/>
      <c r="Z460" s="4"/>
      <c r="AA460" s="4"/>
      <c r="AB460" s="1" t="str">
        <f>IF(OR(_xlfn.SINGLE(JobAgolMap)="", $E460="", $F460=""),"",HYPERLINK(_xlfn.SINGLE(JobAgolMap)&amp;IF(ISNUMBER(FIND("?",_xlfn.SINGLE(JobAgolMap))),"&amp;","?")&amp;"center="&amp;$F460&amp;","&amp;$E460&amp;"&amp;level=16&amp;marker="&amp;$F460&amp;","&amp;$E460,"Open"))</f>
        <v/>
      </c>
    </row>
    <row r="461" spans="1:28" x14ac:dyDescent="0.45">
      <c r="A461" s="3"/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4"/>
      <c r="M461" s="1" t="str">
        <f t="shared" si="42"/>
        <v/>
      </c>
      <c r="N461" s="1" t="str">
        <f t="shared" si="43"/>
        <v/>
      </c>
      <c r="O461" s="1" t="str">
        <f t="shared" si="44"/>
        <v/>
      </c>
      <c r="P461" s="1" t="str">
        <f t="shared" si="45"/>
        <v/>
      </c>
      <c r="Q461" s="1" t="str">
        <f t="shared" si="46"/>
        <v/>
      </c>
      <c r="R461" s="1" t="str">
        <f t="shared" si="47"/>
        <v/>
      </c>
      <c r="S461" s="1" t="str">
        <f>IF(OR($E461="",$F461=""),"",HYPERLINK(IF(OR(_xlfn.SINGLE(JobState)="MI",_xlfn.SINGLE(JobState)=""),"https://fema.maps.arcgis.com/apps/mapviewer/index.html?url=https%3A%2F%2Fmdotgis.state.mi.us%2Farcgis%2Frest%2Fservices%2FWidget%2FNextGenPrFinderPub%2FFeatureServer%2F353&amp;find="&amp;$F461&amp;"%2C"&amp;$E461&amp;"&amp;marker="&amp;$F461&amp;","&amp;$E461&amp;",4326&amp;level=16",IF(_xlfn.SINGLE(JobState)="IN","https://fema.maps.arcgis.com/apps/mapviewer/index.html?url=https%3A%2F%2Fgisdata.in.gov%2Fserver%2Frest%2Fservices%2FHosted%2FLRSE_Functional_Class%2FFeatureServer%2F22&amp;find="&amp;$F461&amp;"%2C"&amp;$E461&amp;"&amp;marker="&amp;$F461&amp;","&amp;$E461&amp;",4326&amp;level=16",IF(_xlfn.SINGLE(JobState)="WI","https://fema.maps.arcgis.com/apps/mapviewer/index.html?url=https%3A%2F%2Fservices5.arcgis.com%2F0pgGLzT0Nh7FVjon%2Farcgis%2Frest%2Fservices%2FFFCL_gdb%2FFeatureServer%2F3&amp;find="&amp;$F461&amp;"%2C"&amp;$E461&amp;"&amp;marker="&amp;$F461&amp;","&amp;$E461&amp;",4326&amp;level=16","https://fema.maps.arcgis.com/apps/mapviewer/index.html?find="&amp;$F461&amp;"%2C"&amp;$E461&amp;"&amp;marker="&amp;$F461&amp;","&amp;$E461&amp;",4326&amp;level=16"))),"Open"))</f>
        <v/>
      </c>
      <c r="T461" s="4"/>
      <c r="U461" s="4"/>
      <c r="V461" s="4"/>
      <c r="W461" s="4"/>
      <c r="X461" s="4"/>
      <c r="Y461" s="4"/>
      <c r="Z461" s="4"/>
      <c r="AA461" s="4"/>
      <c r="AB461" s="1" t="str">
        <f>IF(OR(_xlfn.SINGLE(JobAgolMap)="", $E461="", $F461=""),"",HYPERLINK(_xlfn.SINGLE(JobAgolMap)&amp;IF(ISNUMBER(FIND("?",_xlfn.SINGLE(JobAgolMap))),"&amp;","?")&amp;"center="&amp;$F461&amp;","&amp;$E461&amp;"&amp;level=16&amp;marker="&amp;$F461&amp;","&amp;$E461,"Open"))</f>
        <v/>
      </c>
    </row>
    <row r="462" spans="1:28" x14ac:dyDescent="0.45">
      <c r="A462" s="3"/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4"/>
      <c r="M462" s="1" t="str">
        <f t="shared" si="42"/>
        <v/>
      </c>
      <c r="N462" s="1" t="str">
        <f t="shared" si="43"/>
        <v/>
      </c>
      <c r="O462" s="1" t="str">
        <f t="shared" si="44"/>
        <v/>
      </c>
      <c r="P462" s="1" t="str">
        <f t="shared" si="45"/>
        <v/>
      </c>
      <c r="Q462" s="1" t="str">
        <f t="shared" si="46"/>
        <v/>
      </c>
      <c r="R462" s="1" t="str">
        <f t="shared" si="47"/>
        <v/>
      </c>
      <c r="S462" s="1" t="str">
        <f>IF(OR($E462="",$F462=""),"",HYPERLINK(IF(OR(_xlfn.SINGLE(JobState)="MI",_xlfn.SINGLE(JobState)=""),"https://fema.maps.arcgis.com/apps/mapviewer/index.html?url=https%3A%2F%2Fmdotgis.state.mi.us%2Farcgis%2Frest%2Fservices%2FWidget%2FNextGenPrFinderPub%2FFeatureServer%2F353&amp;find="&amp;$F462&amp;"%2C"&amp;$E462&amp;"&amp;marker="&amp;$F462&amp;","&amp;$E462&amp;",4326&amp;level=16",IF(_xlfn.SINGLE(JobState)="IN","https://fema.maps.arcgis.com/apps/mapviewer/index.html?url=https%3A%2F%2Fgisdata.in.gov%2Fserver%2Frest%2Fservices%2FHosted%2FLRSE_Functional_Class%2FFeatureServer%2F22&amp;find="&amp;$F462&amp;"%2C"&amp;$E462&amp;"&amp;marker="&amp;$F462&amp;","&amp;$E462&amp;",4326&amp;level=16",IF(_xlfn.SINGLE(JobState)="WI","https://fema.maps.arcgis.com/apps/mapviewer/index.html?url=https%3A%2F%2Fservices5.arcgis.com%2F0pgGLzT0Nh7FVjon%2Farcgis%2Frest%2Fservices%2FFFCL_gdb%2FFeatureServer%2F3&amp;find="&amp;$F462&amp;"%2C"&amp;$E462&amp;"&amp;marker="&amp;$F462&amp;","&amp;$E462&amp;",4326&amp;level=16","https://fema.maps.arcgis.com/apps/mapviewer/index.html?find="&amp;$F462&amp;"%2C"&amp;$E462&amp;"&amp;marker="&amp;$F462&amp;","&amp;$E462&amp;",4326&amp;level=16"))),"Open"))</f>
        <v/>
      </c>
      <c r="T462" s="4"/>
      <c r="U462" s="4"/>
      <c r="V462" s="4"/>
      <c r="W462" s="4"/>
      <c r="X462" s="4"/>
      <c r="Y462" s="4"/>
      <c r="Z462" s="4"/>
      <c r="AA462" s="4"/>
      <c r="AB462" s="1" t="str">
        <f>IF(OR(_xlfn.SINGLE(JobAgolMap)="", $E462="", $F462=""),"",HYPERLINK(_xlfn.SINGLE(JobAgolMap)&amp;IF(ISNUMBER(FIND("?",_xlfn.SINGLE(JobAgolMap))),"&amp;","?")&amp;"center="&amp;$F462&amp;","&amp;$E462&amp;"&amp;level=16&amp;marker="&amp;$F462&amp;","&amp;$E462,"Open"))</f>
        <v/>
      </c>
    </row>
    <row r="463" spans="1:28" x14ac:dyDescent="0.45">
      <c r="A463" s="3"/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4"/>
      <c r="M463" s="1" t="str">
        <f t="shared" si="42"/>
        <v/>
      </c>
      <c r="N463" s="1" t="str">
        <f t="shared" si="43"/>
        <v/>
      </c>
      <c r="O463" s="1" t="str">
        <f t="shared" si="44"/>
        <v/>
      </c>
      <c r="P463" s="1" t="str">
        <f t="shared" si="45"/>
        <v/>
      </c>
      <c r="Q463" s="1" t="str">
        <f t="shared" si="46"/>
        <v/>
      </c>
      <c r="R463" s="1" t="str">
        <f t="shared" si="47"/>
        <v/>
      </c>
      <c r="S463" s="1" t="str">
        <f>IF(OR($E463="",$F463=""),"",HYPERLINK(IF(OR(_xlfn.SINGLE(JobState)="MI",_xlfn.SINGLE(JobState)=""),"https://fema.maps.arcgis.com/apps/mapviewer/index.html?url=https%3A%2F%2Fmdotgis.state.mi.us%2Farcgis%2Frest%2Fservices%2FWidget%2FNextGenPrFinderPub%2FFeatureServer%2F353&amp;find="&amp;$F463&amp;"%2C"&amp;$E463&amp;"&amp;marker="&amp;$F463&amp;","&amp;$E463&amp;",4326&amp;level=16",IF(_xlfn.SINGLE(JobState)="IN","https://fema.maps.arcgis.com/apps/mapviewer/index.html?url=https%3A%2F%2Fgisdata.in.gov%2Fserver%2Frest%2Fservices%2FHosted%2FLRSE_Functional_Class%2FFeatureServer%2F22&amp;find="&amp;$F463&amp;"%2C"&amp;$E463&amp;"&amp;marker="&amp;$F463&amp;","&amp;$E463&amp;",4326&amp;level=16",IF(_xlfn.SINGLE(JobState)="WI","https://fema.maps.arcgis.com/apps/mapviewer/index.html?url=https%3A%2F%2Fservices5.arcgis.com%2F0pgGLzT0Nh7FVjon%2Farcgis%2Frest%2Fservices%2FFFCL_gdb%2FFeatureServer%2F3&amp;find="&amp;$F463&amp;"%2C"&amp;$E463&amp;"&amp;marker="&amp;$F463&amp;","&amp;$E463&amp;",4326&amp;level=16","https://fema.maps.arcgis.com/apps/mapviewer/index.html?find="&amp;$F463&amp;"%2C"&amp;$E463&amp;"&amp;marker="&amp;$F463&amp;","&amp;$E463&amp;",4326&amp;level=16"))),"Open"))</f>
        <v/>
      </c>
      <c r="T463" s="4"/>
      <c r="U463" s="4"/>
      <c r="V463" s="4"/>
      <c r="W463" s="4"/>
      <c r="X463" s="4"/>
      <c r="Y463" s="4"/>
      <c r="Z463" s="4"/>
      <c r="AA463" s="4"/>
      <c r="AB463" s="1" t="str">
        <f>IF(OR(_xlfn.SINGLE(JobAgolMap)="", $E463="", $F463=""),"",HYPERLINK(_xlfn.SINGLE(JobAgolMap)&amp;IF(ISNUMBER(FIND("?",_xlfn.SINGLE(JobAgolMap))),"&amp;","?")&amp;"center="&amp;$F463&amp;","&amp;$E463&amp;"&amp;level=16&amp;marker="&amp;$F463&amp;","&amp;$E463,"Open"))</f>
        <v/>
      </c>
    </row>
    <row r="464" spans="1:28" x14ac:dyDescent="0.45">
      <c r="A464" s="3"/>
      <c r="B464" s="3"/>
      <c r="C464" s="3"/>
      <c r="D464" s="3"/>
      <c r="E464" s="3"/>
      <c r="F464" s="3"/>
      <c r="G464" s="3"/>
      <c r="H464" s="3"/>
      <c r="I464" s="3"/>
      <c r="J464" s="3"/>
      <c r="K464" s="3"/>
      <c r="L464" s="4"/>
      <c r="M464" s="1" t="str">
        <f t="shared" si="42"/>
        <v/>
      </c>
      <c r="N464" s="1" t="str">
        <f t="shared" si="43"/>
        <v/>
      </c>
      <c r="O464" s="1" t="str">
        <f t="shared" si="44"/>
        <v/>
      </c>
      <c r="P464" s="1" t="str">
        <f t="shared" si="45"/>
        <v/>
      </c>
      <c r="Q464" s="1" t="str">
        <f t="shared" si="46"/>
        <v/>
      </c>
      <c r="R464" s="1" t="str">
        <f t="shared" si="47"/>
        <v/>
      </c>
      <c r="S464" s="1" t="str">
        <f>IF(OR($E464="",$F464=""),"",HYPERLINK(IF(OR(_xlfn.SINGLE(JobState)="MI",_xlfn.SINGLE(JobState)=""),"https://fema.maps.arcgis.com/apps/mapviewer/index.html?url=https%3A%2F%2Fmdotgis.state.mi.us%2Farcgis%2Frest%2Fservices%2FWidget%2FNextGenPrFinderPub%2FFeatureServer%2F353&amp;find="&amp;$F464&amp;"%2C"&amp;$E464&amp;"&amp;marker="&amp;$F464&amp;","&amp;$E464&amp;",4326&amp;level=16",IF(_xlfn.SINGLE(JobState)="IN","https://fema.maps.arcgis.com/apps/mapviewer/index.html?url=https%3A%2F%2Fgisdata.in.gov%2Fserver%2Frest%2Fservices%2FHosted%2FLRSE_Functional_Class%2FFeatureServer%2F22&amp;find="&amp;$F464&amp;"%2C"&amp;$E464&amp;"&amp;marker="&amp;$F464&amp;","&amp;$E464&amp;",4326&amp;level=16",IF(_xlfn.SINGLE(JobState)="WI","https://fema.maps.arcgis.com/apps/mapviewer/index.html?url=https%3A%2F%2Fservices5.arcgis.com%2F0pgGLzT0Nh7FVjon%2Farcgis%2Frest%2Fservices%2FFFCL_gdb%2FFeatureServer%2F3&amp;find="&amp;$F464&amp;"%2C"&amp;$E464&amp;"&amp;marker="&amp;$F464&amp;","&amp;$E464&amp;",4326&amp;level=16","https://fema.maps.arcgis.com/apps/mapviewer/index.html?find="&amp;$F464&amp;"%2C"&amp;$E464&amp;"&amp;marker="&amp;$F464&amp;","&amp;$E464&amp;",4326&amp;level=16"))),"Open"))</f>
        <v/>
      </c>
      <c r="T464" s="4"/>
      <c r="U464" s="4"/>
      <c r="V464" s="4"/>
      <c r="W464" s="4"/>
      <c r="X464" s="4"/>
      <c r="Y464" s="4"/>
      <c r="Z464" s="4"/>
      <c r="AA464" s="4"/>
      <c r="AB464" s="1" t="str">
        <f>IF(OR(_xlfn.SINGLE(JobAgolMap)="", $E464="", $F464=""),"",HYPERLINK(_xlfn.SINGLE(JobAgolMap)&amp;IF(ISNUMBER(FIND("?",_xlfn.SINGLE(JobAgolMap))),"&amp;","?")&amp;"center="&amp;$F464&amp;","&amp;$E464&amp;"&amp;level=16&amp;marker="&amp;$F464&amp;","&amp;$E464,"Open"))</f>
        <v/>
      </c>
    </row>
    <row r="465" spans="1:28" x14ac:dyDescent="0.45">
      <c r="A465" s="3"/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4"/>
      <c r="M465" s="1" t="str">
        <f t="shared" si="42"/>
        <v/>
      </c>
      <c r="N465" s="1" t="str">
        <f t="shared" si="43"/>
        <v/>
      </c>
      <c r="O465" s="1" t="str">
        <f t="shared" si="44"/>
        <v/>
      </c>
      <c r="P465" s="1" t="str">
        <f t="shared" si="45"/>
        <v/>
      </c>
      <c r="Q465" s="1" t="str">
        <f t="shared" si="46"/>
        <v/>
      </c>
      <c r="R465" s="1" t="str">
        <f t="shared" si="47"/>
        <v/>
      </c>
      <c r="S465" s="1" t="str">
        <f>IF(OR($E465="",$F465=""),"",HYPERLINK(IF(OR(_xlfn.SINGLE(JobState)="MI",_xlfn.SINGLE(JobState)=""),"https://fema.maps.arcgis.com/apps/mapviewer/index.html?url=https%3A%2F%2Fmdotgis.state.mi.us%2Farcgis%2Frest%2Fservices%2FWidget%2FNextGenPrFinderPub%2FFeatureServer%2F353&amp;find="&amp;$F465&amp;"%2C"&amp;$E465&amp;"&amp;marker="&amp;$F465&amp;","&amp;$E465&amp;",4326&amp;level=16",IF(_xlfn.SINGLE(JobState)="IN","https://fema.maps.arcgis.com/apps/mapviewer/index.html?url=https%3A%2F%2Fgisdata.in.gov%2Fserver%2Frest%2Fservices%2FHosted%2FLRSE_Functional_Class%2FFeatureServer%2F22&amp;find="&amp;$F465&amp;"%2C"&amp;$E465&amp;"&amp;marker="&amp;$F465&amp;","&amp;$E465&amp;",4326&amp;level=16",IF(_xlfn.SINGLE(JobState)="WI","https://fema.maps.arcgis.com/apps/mapviewer/index.html?url=https%3A%2F%2Fservices5.arcgis.com%2F0pgGLzT0Nh7FVjon%2Farcgis%2Frest%2Fservices%2FFFCL_gdb%2FFeatureServer%2F3&amp;find="&amp;$F465&amp;"%2C"&amp;$E465&amp;"&amp;marker="&amp;$F465&amp;","&amp;$E465&amp;",4326&amp;level=16","https://fema.maps.arcgis.com/apps/mapviewer/index.html?find="&amp;$F465&amp;"%2C"&amp;$E465&amp;"&amp;marker="&amp;$F465&amp;","&amp;$E465&amp;",4326&amp;level=16"))),"Open"))</f>
        <v/>
      </c>
      <c r="T465" s="4"/>
      <c r="U465" s="4"/>
      <c r="V465" s="4"/>
      <c r="W465" s="4"/>
      <c r="X465" s="4"/>
      <c r="Y465" s="4"/>
      <c r="Z465" s="4"/>
      <c r="AA465" s="4"/>
      <c r="AB465" s="1" t="str">
        <f>IF(OR(_xlfn.SINGLE(JobAgolMap)="", $E465="", $F465=""),"",HYPERLINK(_xlfn.SINGLE(JobAgolMap)&amp;IF(ISNUMBER(FIND("?",_xlfn.SINGLE(JobAgolMap))),"&amp;","?")&amp;"center="&amp;$F465&amp;","&amp;$E465&amp;"&amp;level=16&amp;marker="&amp;$F465&amp;","&amp;$E465,"Open"))</f>
        <v/>
      </c>
    </row>
    <row r="466" spans="1:28" x14ac:dyDescent="0.45">
      <c r="A466" s="3"/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4"/>
      <c r="M466" s="1" t="str">
        <f t="shared" si="42"/>
        <v/>
      </c>
      <c r="N466" s="1" t="str">
        <f t="shared" si="43"/>
        <v/>
      </c>
      <c r="O466" s="1" t="str">
        <f t="shared" si="44"/>
        <v/>
      </c>
      <c r="P466" s="1" t="str">
        <f t="shared" si="45"/>
        <v/>
      </c>
      <c r="Q466" s="1" t="str">
        <f t="shared" si="46"/>
        <v/>
      </c>
      <c r="R466" s="1" t="str">
        <f t="shared" si="47"/>
        <v/>
      </c>
      <c r="S466" s="1" t="str">
        <f>IF(OR($E466="",$F466=""),"",HYPERLINK(IF(OR(_xlfn.SINGLE(JobState)="MI",_xlfn.SINGLE(JobState)=""),"https://fema.maps.arcgis.com/apps/mapviewer/index.html?url=https%3A%2F%2Fmdotgis.state.mi.us%2Farcgis%2Frest%2Fservices%2FWidget%2FNextGenPrFinderPub%2FFeatureServer%2F353&amp;find="&amp;$F466&amp;"%2C"&amp;$E466&amp;"&amp;marker="&amp;$F466&amp;","&amp;$E466&amp;",4326&amp;level=16",IF(_xlfn.SINGLE(JobState)="IN","https://fema.maps.arcgis.com/apps/mapviewer/index.html?url=https%3A%2F%2Fgisdata.in.gov%2Fserver%2Frest%2Fservices%2FHosted%2FLRSE_Functional_Class%2FFeatureServer%2F22&amp;find="&amp;$F466&amp;"%2C"&amp;$E466&amp;"&amp;marker="&amp;$F466&amp;","&amp;$E466&amp;",4326&amp;level=16",IF(_xlfn.SINGLE(JobState)="WI","https://fema.maps.arcgis.com/apps/mapviewer/index.html?url=https%3A%2F%2Fservices5.arcgis.com%2F0pgGLzT0Nh7FVjon%2Farcgis%2Frest%2Fservices%2FFFCL_gdb%2FFeatureServer%2F3&amp;find="&amp;$F466&amp;"%2C"&amp;$E466&amp;"&amp;marker="&amp;$F466&amp;","&amp;$E466&amp;",4326&amp;level=16","https://fema.maps.arcgis.com/apps/mapviewer/index.html?find="&amp;$F466&amp;"%2C"&amp;$E466&amp;"&amp;marker="&amp;$F466&amp;","&amp;$E466&amp;",4326&amp;level=16"))),"Open"))</f>
        <v/>
      </c>
      <c r="T466" s="4"/>
      <c r="U466" s="4"/>
      <c r="V466" s="4"/>
      <c r="W466" s="4"/>
      <c r="X466" s="4"/>
      <c r="Y466" s="4"/>
      <c r="Z466" s="4"/>
      <c r="AA466" s="4"/>
      <c r="AB466" s="1" t="str">
        <f>IF(OR(_xlfn.SINGLE(JobAgolMap)="", $E466="", $F466=""),"",HYPERLINK(_xlfn.SINGLE(JobAgolMap)&amp;IF(ISNUMBER(FIND("?",_xlfn.SINGLE(JobAgolMap))),"&amp;","?")&amp;"center="&amp;$F466&amp;","&amp;$E466&amp;"&amp;level=16&amp;marker="&amp;$F466&amp;","&amp;$E466,"Open"))</f>
        <v/>
      </c>
    </row>
    <row r="467" spans="1:28" x14ac:dyDescent="0.45">
      <c r="A467" s="3"/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4"/>
      <c r="M467" s="1" t="str">
        <f t="shared" si="42"/>
        <v/>
      </c>
      <c r="N467" s="1" t="str">
        <f t="shared" si="43"/>
        <v/>
      </c>
      <c r="O467" s="1" t="str">
        <f t="shared" si="44"/>
        <v/>
      </c>
      <c r="P467" s="1" t="str">
        <f t="shared" si="45"/>
        <v/>
      </c>
      <c r="Q467" s="1" t="str">
        <f t="shared" si="46"/>
        <v/>
      </c>
      <c r="R467" s="1" t="str">
        <f t="shared" si="47"/>
        <v/>
      </c>
      <c r="S467" s="1" t="str">
        <f>IF(OR($E467="",$F467=""),"",HYPERLINK(IF(OR(_xlfn.SINGLE(JobState)="MI",_xlfn.SINGLE(JobState)=""),"https://fema.maps.arcgis.com/apps/mapviewer/index.html?url=https%3A%2F%2Fmdotgis.state.mi.us%2Farcgis%2Frest%2Fservices%2FWidget%2FNextGenPrFinderPub%2FFeatureServer%2F353&amp;find="&amp;$F467&amp;"%2C"&amp;$E467&amp;"&amp;marker="&amp;$F467&amp;","&amp;$E467&amp;",4326&amp;level=16",IF(_xlfn.SINGLE(JobState)="IN","https://fema.maps.arcgis.com/apps/mapviewer/index.html?url=https%3A%2F%2Fgisdata.in.gov%2Fserver%2Frest%2Fservices%2FHosted%2FLRSE_Functional_Class%2FFeatureServer%2F22&amp;find="&amp;$F467&amp;"%2C"&amp;$E467&amp;"&amp;marker="&amp;$F467&amp;","&amp;$E467&amp;",4326&amp;level=16",IF(_xlfn.SINGLE(JobState)="WI","https://fema.maps.arcgis.com/apps/mapviewer/index.html?url=https%3A%2F%2Fservices5.arcgis.com%2F0pgGLzT0Nh7FVjon%2Farcgis%2Frest%2Fservices%2FFFCL_gdb%2FFeatureServer%2F3&amp;find="&amp;$F467&amp;"%2C"&amp;$E467&amp;"&amp;marker="&amp;$F467&amp;","&amp;$E467&amp;",4326&amp;level=16","https://fema.maps.arcgis.com/apps/mapviewer/index.html?find="&amp;$F467&amp;"%2C"&amp;$E467&amp;"&amp;marker="&amp;$F467&amp;","&amp;$E467&amp;",4326&amp;level=16"))),"Open"))</f>
        <v/>
      </c>
      <c r="T467" s="4"/>
      <c r="U467" s="4"/>
      <c r="V467" s="4"/>
      <c r="W467" s="4"/>
      <c r="X467" s="4"/>
      <c r="Y467" s="4"/>
      <c r="Z467" s="4"/>
      <c r="AA467" s="4"/>
      <c r="AB467" s="1" t="str">
        <f>IF(OR(_xlfn.SINGLE(JobAgolMap)="", $E467="", $F467=""),"",HYPERLINK(_xlfn.SINGLE(JobAgolMap)&amp;IF(ISNUMBER(FIND("?",_xlfn.SINGLE(JobAgolMap))),"&amp;","?")&amp;"center="&amp;$F467&amp;","&amp;$E467&amp;"&amp;level=16&amp;marker="&amp;$F467&amp;","&amp;$E467,"Open"))</f>
        <v/>
      </c>
    </row>
    <row r="468" spans="1:28" x14ac:dyDescent="0.45">
      <c r="A468" s="3"/>
      <c r="B468" s="3"/>
      <c r="C468" s="3"/>
      <c r="D468" s="3"/>
      <c r="E468" s="3"/>
      <c r="F468" s="3"/>
      <c r="G468" s="3"/>
      <c r="H468" s="3"/>
      <c r="I468" s="3"/>
      <c r="J468" s="3"/>
      <c r="K468" s="3"/>
      <c r="L468" s="4"/>
      <c r="M468" s="1" t="str">
        <f t="shared" si="42"/>
        <v/>
      </c>
      <c r="N468" s="1" t="str">
        <f t="shared" si="43"/>
        <v/>
      </c>
      <c r="O468" s="1" t="str">
        <f t="shared" si="44"/>
        <v/>
      </c>
      <c r="P468" s="1" t="str">
        <f t="shared" si="45"/>
        <v/>
      </c>
      <c r="Q468" s="1" t="str">
        <f t="shared" si="46"/>
        <v/>
      </c>
      <c r="R468" s="1" t="str">
        <f t="shared" si="47"/>
        <v/>
      </c>
      <c r="S468" s="1" t="str">
        <f>IF(OR($E468="",$F468=""),"",HYPERLINK(IF(OR(_xlfn.SINGLE(JobState)="MI",_xlfn.SINGLE(JobState)=""),"https://fema.maps.arcgis.com/apps/mapviewer/index.html?url=https%3A%2F%2Fmdotgis.state.mi.us%2Farcgis%2Frest%2Fservices%2FWidget%2FNextGenPrFinderPub%2FFeatureServer%2F353&amp;find="&amp;$F468&amp;"%2C"&amp;$E468&amp;"&amp;marker="&amp;$F468&amp;","&amp;$E468&amp;",4326&amp;level=16",IF(_xlfn.SINGLE(JobState)="IN","https://fema.maps.arcgis.com/apps/mapviewer/index.html?url=https%3A%2F%2Fgisdata.in.gov%2Fserver%2Frest%2Fservices%2FHosted%2FLRSE_Functional_Class%2FFeatureServer%2F22&amp;find="&amp;$F468&amp;"%2C"&amp;$E468&amp;"&amp;marker="&amp;$F468&amp;","&amp;$E468&amp;",4326&amp;level=16",IF(_xlfn.SINGLE(JobState)="WI","https://fema.maps.arcgis.com/apps/mapviewer/index.html?url=https%3A%2F%2Fservices5.arcgis.com%2F0pgGLzT0Nh7FVjon%2Farcgis%2Frest%2Fservices%2FFFCL_gdb%2FFeatureServer%2F3&amp;find="&amp;$F468&amp;"%2C"&amp;$E468&amp;"&amp;marker="&amp;$F468&amp;","&amp;$E468&amp;",4326&amp;level=16","https://fema.maps.arcgis.com/apps/mapviewer/index.html?find="&amp;$F468&amp;"%2C"&amp;$E468&amp;"&amp;marker="&amp;$F468&amp;","&amp;$E468&amp;",4326&amp;level=16"))),"Open"))</f>
        <v/>
      </c>
      <c r="T468" s="4"/>
      <c r="U468" s="4"/>
      <c r="V468" s="4"/>
      <c r="W468" s="4"/>
      <c r="X468" s="4"/>
      <c r="Y468" s="4"/>
      <c r="Z468" s="4"/>
      <c r="AA468" s="4"/>
      <c r="AB468" s="1" t="str">
        <f>IF(OR(_xlfn.SINGLE(JobAgolMap)="", $E468="", $F468=""),"",HYPERLINK(_xlfn.SINGLE(JobAgolMap)&amp;IF(ISNUMBER(FIND("?",_xlfn.SINGLE(JobAgolMap))),"&amp;","?")&amp;"center="&amp;$F468&amp;","&amp;$E468&amp;"&amp;level=16&amp;marker="&amp;$F468&amp;","&amp;$E468,"Open"))</f>
        <v/>
      </c>
    </row>
    <row r="469" spans="1:28" x14ac:dyDescent="0.45">
      <c r="A469" s="3"/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4"/>
      <c r="M469" s="1" t="str">
        <f t="shared" si="42"/>
        <v/>
      </c>
      <c r="N469" s="1" t="str">
        <f t="shared" si="43"/>
        <v/>
      </c>
      <c r="O469" s="1" t="str">
        <f t="shared" si="44"/>
        <v/>
      </c>
      <c r="P469" s="1" t="str">
        <f t="shared" si="45"/>
        <v/>
      </c>
      <c r="Q469" s="1" t="str">
        <f t="shared" si="46"/>
        <v/>
      </c>
      <c r="R469" s="1" t="str">
        <f t="shared" si="47"/>
        <v/>
      </c>
      <c r="S469" s="1" t="str">
        <f>IF(OR($E469="",$F469=""),"",HYPERLINK(IF(OR(_xlfn.SINGLE(JobState)="MI",_xlfn.SINGLE(JobState)=""),"https://fema.maps.arcgis.com/apps/mapviewer/index.html?url=https%3A%2F%2Fmdotgis.state.mi.us%2Farcgis%2Frest%2Fservices%2FWidget%2FNextGenPrFinderPub%2FFeatureServer%2F353&amp;find="&amp;$F469&amp;"%2C"&amp;$E469&amp;"&amp;marker="&amp;$F469&amp;","&amp;$E469&amp;",4326&amp;level=16",IF(_xlfn.SINGLE(JobState)="IN","https://fema.maps.arcgis.com/apps/mapviewer/index.html?url=https%3A%2F%2Fgisdata.in.gov%2Fserver%2Frest%2Fservices%2FHosted%2FLRSE_Functional_Class%2FFeatureServer%2F22&amp;find="&amp;$F469&amp;"%2C"&amp;$E469&amp;"&amp;marker="&amp;$F469&amp;","&amp;$E469&amp;",4326&amp;level=16",IF(_xlfn.SINGLE(JobState)="WI","https://fema.maps.arcgis.com/apps/mapviewer/index.html?url=https%3A%2F%2Fservices5.arcgis.com%2F0pgGLzT0Nh7FVjon%2Farcgis%2Frest%2Fservices%2FFFCL_gdb%2FFeatureServer%2F3&amp;find="&amp;$F469&amp;"%2C"&amp;$E469&amp;"&amp;marker="&amp;$F469&amp;","&amp;$E469&amp;",4326&amp;level=16","https://fema.maps.arcgis.com/apps/mapviewer/index.html?find="&amp;$F469&amp;"%2C"&amp;$E469&amp;"&amp;marker="&amp;$F469&amp;","&amp;$E469&amp;",4326&amp;level=16"))),"Open"))</f>
        <v/>
      </c>
      <c r="T469" s="4"/>
      <c r="U469" s="4"/>
      <c r="V469" s="4"/>
      <c r="W469" s="4"/>
      <c r="X469" s="4"/>
      <c r="Y469" s="4"/>
      <c r="Z469" s="4"/>
      <c r="AA469" s="4"/>
      <c r="AB469" s="1" t="str">
        <f>IF(OR(_xlfn.SINGLE(JobAgolMap)="", $E469="", $F469=""),"",HYPERLINK(_xlfn.SINGLE(JobAgolMap)&amp;IF(ISNUMBER(FIND("?",_xlfn.SINGLE(JobAgolMap))),"&amp;","?")&amp;"center="&amp;$F469&amp;","&amp;$E469&amp;"&amp;level=16&amp;marker="&amp;$F469&amp;","&amp;$E469,"Open"))</f>
        <v/>
      </c>
    </row>
    <row r="470" spans="1:28" x14ac:dyDescent="0.45">
      <c r="A470" s="3"/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4"/>
      <c r="M470" s="1" t="str">
        <f t="shared" si="42"/>
        <v/>
      </c>
      <c r="N470" s="1" t="str">
        <f t="shared" si="43"/>
        <v/>
      </c>
      <c r="O470" s="1" t="str">
        <f t="shared" si="44"/>
        <v/>
      </c>
      <c r="P470" s="1" t="str">
        <f t="shared" si="45"/>
        <v/>
      </c>
      <c r="Q470" s="1" t="str">
        <f t="shared" si="46"/>
        <v/>
      </c>
      <c r="R470" s="1" t="str">
        <f t="shared" si="47"/>
        <v/>
      </c>
      <c r="S470" s="1" t="str">
        <f>IF(OR($E470="",$F470=""),"",HYPERLINK(IF(OR(_xlfn.SINGLE(JobState)="MI",_xlfn.SINGLE(JobState)=""),"https://fema.maps.arcgis.com/apps/mapviewer/index.html?url=https%3A%2F%2Fmdotgis.state.mi.us%2Farcgis%2Frest%2Fservices%2FWidget%2FNextGenPrFinderPub%2FFeatureServer%2F353&amp;find="&amp;$F470&amp;"%2C"&amp;$E470&amp;"&amp;marker="&amp;$F470&amp;","&amp;$E470&amp;",4326&amp;level=16",IF(_xlfn.SINGLE(JobState)="IN","https://fema.maps.arcgis.com/apps/mapviewer/index.html?url=https%3A%2F%2Fgisdata.in.gov%2Fserver%2Frest%2Fservices%2FHosted%2FLRSE_Functional_Class%2FFeatureServer%2F22&amp;find="&amp;$F470&amp;"%2C"&amp;$E470&amp;"&amp;marker="&amp;$F470&amp;","&amp;$E470&amp;",4326&amp;level=16",IF(_xlfn.SINGLE(JobState)="WI","https://fema.maps.arcgis.com/apps/mapviewer/index.html?url=https%3A%2F%2Fservices5.arcgis.com%2F0pgGLzT0Nh7FVjon%2Farcgis%2Frest%2Fservices%2FFFCL_gdb%2FFeatureServer%2F3&amp;find="&amp;$F470&amp;"%2C"&amp;$E470&amp;"&amp;marker="&amp;$F470&amp;","&amp;$E470&amp;",4326&amp;level=16","https://fema.maps.arcgis.com/apps/mapviewer/index.html?find="&amp;$F470&amp;"%2C"&amp;$E470&amp;"&amp;marker="&amp;$F470&amp;","&amp;$E470&amp;",4326&amp;level=16"))),"Open"))</f>
        <v/>
      </c>
      <c r="T470" s="4"/>
      <c r="U470" s="4"/>
      <c r="V470" s="4"/>
      <c r="W470" s="4"/>
      <c r="X470" s="4"/>
      <c r="Y470" s="4"/>
      <c r="Z470" s="4"/>
      <c r="AA470" s="4"/>
      <c r="AB470" s="1" t="str">
        <f>IF(OR(_xlfn.SINGLE(JobAgolMap)="", $E470="", $F470=""),"",HYPERLINK(_xlfn.SINGLE(JobAgolMap)&amp;IF(ISNUMBER(FIND("?",_xlfn.SINGLE(JobAgolMap))),"&amp;","?")&amp;"center="&amp;$F470&amp;","&amp;$E470&amp;"&amp;level=16&amp;marker="&amp;$F470&amp;","&amp;$E470,"Open"))</f>
        <v/>
      </c>
    </row>
    <row r="471" spans="1:28" x14ac:dyDescent="0.45">
      <c r="A471" s="3"/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4"/>
      <c r="M471" s="1" t="str">
        <f t="shared" si="42"/>
        <v/>
      </c>
      <c r="N471" s="1" t="str">
        <f t="shared" si="43"/>
        <v/>
      </c>
      <c r="O471" s="1" t="str">
        <f t="shared" si="44"/>
        <v/>
      </c>
      <c r="P471" s="1" t="str">
        <f t="shared" si="45"/>
        <v/>
      </c>
      <c r="Q471" s="1" t="str">
        <f t="shared" si="46"/>
        <v/>
      </c>
      <c r="R471" s="1" t="str">
        <f t="shared" si="47"/>
        <v/>
      </c>
      <c r="S471" s="1" t="str">
        <f>IF(OR($E471="",$F471=""),"",HYPERLINK(IF(OR(_xlfn.SINGLE(JobState)="MI",_xlfn.SINGLE(JobState)=""),"https://fema.maps.arcgis.com/apps/mapviewer/index.html?url=https%3A%2F%2Fmdotgis.state.mi.us%2Farcgis%2Frest%2Fservices%2FWidget%2FNextGenPrFinderPub%2FFeatureServer%2F353&amp;find="&amp;$F471&amp;"%2C"&amp;$E471&amp;"&amp;marker="&amp;$F471&amp;","&amp;$E471&amp;",4326&amp;level=16",IF(_xlfn.SINGLE(JobState)="IN","https://fema.maps.arcgis.com/apps/mapviewer/index.html?url=https%3A%2F%2Fgisdata.in.gov%2Fserver%2Frest%2Fservices%2FHosted%2FLRSE_Functional_Class%2FFeatureServer%2F22&amp;find="&amp;$F471&amp;"%2C"&amp;$E471&amp;"&amp;marker="&amp;$F471&amp;","&amp;$E471&amp;",4326&amp;level=16",IF(_xlfn.SINGLE(JobState)="WI","https://fema.maps.arcgis.com/apps/mapviewer/index.html?url=https%3A%2F%2Fservices5.arcgis.com%2F0pgGLzT0Nh7FVjon%2Farcgis%2Frest%2Fservices%2FFFCL_gdb%2FFeatureServer%2F3&amp;find="&amp;$F471&amp;"%2C"&amp;$E471&amp;"&amp;marker="&amp;$F471&amp;","&amp;$E471&amp;",4326&amp;level=16","https://fema.maps.arcgis.com/apps/mapviewer/index.html?find="&amp;$F471&amp;"%2C"&amp;$E471&amp;"&amp;marker="&amp;$F471&amp;","&amp;$E471&amp;",4326&amp;level=16"))),"Open"))</f>
        <v/>
      </c>
      <c r="T471" s="4"/>
      <c r="U471" s="4"/>
      <c r="V471" s="4"/>
      <c r="W471" s="4"/>
      <c r="X471" s="4"/>
      <c r="Y471" s="4"/>
      <c r="Z471" s="4"/>
      <c r="AA471" s="4"/>
      <c r="AB471" s="1" t="str">
        <f>IF(OR(_xlfn.SINGLE(JobAgolMap)="", $E471="", $F471=""),"",HYPERLINK(_xlfn.SINGLE(JobAgolMap)&amp;IF(ISNUMBER(FIND("?",_xlfn.SINGLE(JobAgolMap))),"&amp;","?")&amp;"center="&amp;$F471&amp;","&amp;$E471&amp;"&amp;level=16&amp;marker="&amp;$F471&amp;","&amp;$E471,"Open"))</f>
        <v/>
      </c>
    </row>
    <row r="472" spans="1:28" x14ac:dyDescent="0.45">
      <c r="A472" s="3"/>
      <c r="B472" s="3"/>
      <c r="C472" s="3"/>
      <c r="D472" s="3"/>
      <c r="E472" s="3"/>
      <c r="F472" s="3"/>
      <c r="G472" s="3"/>
      <c r="H472" s="3"/>
      <c r="I472" s="3"/>
      <c r="J472" s="3"/>
      <c r="K472" s="3"/>
      <c r="L472" s="4"/>
      <c r="M472" s="1" t="str">
        <f t="shared" si="42"/>
        <v/>
      </c>
      <c r="N472" s="1" t="str">
        <f t="shared" si="43"/>
        <v/>
      </c>
      <c r="O472" s="1" t="str">
        <f t="shared" si="44"/>
        <v/>
      </c>
      <c r="P472" s="1" t="str">
        <f t="shared" si="45"/>
        <v/>
      </c>
      <c r="Q472" s="1" t="str">
        <f t="shared" si="46"/>
        <v/>
      </c>
      <c r="R472" s="1" t="str">
        <f t="shared" si="47"/>
        <v/>
      </c>
      <c r="S472" s="1" t="str">
        <f>IF(OR($E472="",$F472=""),"",HYPERLINK(IF(OR(_xlfn.SINGLE(JobState)="MI",_xlfn.SINGLE(JobState)=""),"https://fema.maps.arcgis.com/apps/mapviewer/index.html?url=https%3A%2F%2Fmdotgis.state.mi.us%2Farcgis%2Frest%2Fservices%2FWidget%2FNextGenPrFinderPub%2FFeatureServer%2F353&amp;find="&amp;$F472&amp;"%2C"&amp;$E472&amp;"&amp;marker="&amp;$F472&amp;","&amp;$E472&amp;",4326&amp;level=16",IF(_xlfn.SINGLE(JobState)="IN","https://fema.maps.arcgis.com/apps/mapviewer/index.html?url=https%3A%2F%2Fgisdata.in.gov%2Fserver%2Frest%2Fservices%2FHosted%2FLRSE_Functional_Class%2FFeatureServer%2F22&amp;find="&amp;$F472&amp;"%2C"&amp;$E472&amp;"&amp;marker="&amp;$F472&amp;","&amp;$E472&amp;",4326&amp;level=16",IF(_xlfn.SINGLE(JobState)="WI","https://fema.maps.arcgis.com/apps/mapviewer/index.html?url=https%3A%2F%2Fservices5.arcgis.com%2F0pgGLzT0Nh7FVjon%2Farcgis%2Frest%2Fservices%2FFFCL_gdb%2FFeatureServer%2F3&amp;find="&amp;$F472&amp;"%2C"&amp;$E472&amp;"&amp;marker="&amp;$F472&amp;","&amp;$E472&amp;",4326&amp;level=16","https://fema.maps.arcgis.com/apps/mapviewer/index.html?find="&amp;$F472&amp;"%2C"&amp;$E472&amp;"&amp;marker="&amp;$F472&amp;","&amp;$E472&amp;",4326&amp;level=16"))),"Open"))</f>
        <v/>
      </c>
      <c r="T472" s="4"/>
      <c r="U472" s="4"/>
      <c r="V472" s="4"/>
      <c r="W472" s="4"/>
      <c r="X472" s="4"/>
      <c r="Y472" s="4"/>
      <c r="Z472" s="4"/>
      <c r="AA472" s="4"/>
      <c r="AB472" s="1" t="str">
        <f>IF(OR(_xlfn.SINGLE(JobAgolMap)="", $E472="", $F472=""),"",HYPERLINK(_xlfn.SINGLE(JobAgolMap)&amp;IF(ISNUMBER(FIND("?",_xlfn.SINGLE(JobAgolMap))),"&amp;","?")&amp;"center="&amp;$F472&amp;","&amp;$E472&amp;"&amp;level=16&amp;marker="&amp;$F472&amp;","&amp;$E472,"Open"))</f>
        <v/>
      </c>
    </row>
    <row r="473" spans="1:28" x14ac:dyDescent="0.45">
      <c r="A473" s="3"/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4"/>
      <c r="M473" s="1" t="str">
        <f t="shared" si="42"/>
        <v/>
      </c>
      <c r="N473" s="1" t="str">
        <f t="shared" si="43"/>
        <v/>
      </c>
      <c r="O473" s="1" t="str">
        <f t="shared" si="44"/>
        <v/>
      </c>
      <c r="P473" s="1" t="str">
        <f t="shared" si="45"/>
        <v/>
      </c>
      <c r="Q473" s="1" t="str">
        <f t="shared" si="46"/>
        <v/>
      </c>
      <c r="R473" s="1" t="str">
        <f t="shared" si="47"/>
        <v/>
      </c>
      <c r="S473" s="1" t="str">
        <f>IF(OR($E473="",$F473=""),"",HYPERLINK(IF(OR(_xlfn.SINGLE(JobState)="MI",_xlfn.SINGLE(JobState)=""),"https://fema.maps.arcgis.com/apps/mapviewer/index.html?url=https%3A%2F%2Fmdotgis.state.mi.us%2Farcgis%2Frest%2Fservices%2FWidget%2FNextGenPrFinderPub%2FFeatureServer%2F353&amp;find="&amp;$F473&amp;"%2C"&amp;$E473&amp;"&amp;marker="&amp;$F473&amp;","&amp;$E473&amp;",4326&amp;level=16",IF(_xlfn.SINGLE(JobState)="IN","https://fema.maps.arcgis.com/apps/mapviewer/index.html?url=https%3A%2F%2Fgisdata.in.gov%2Fserver%2Frest%2Fservices%2FHosted%2FLRSE_Functional_Class%2FFeatureServer%2F22&amp;find="&amp;$F473&amp;"%2C"&amp;$E473&amp;"&amp;marker="&amp;$F473&amp;","&amp;$E473&amp;",4326&amp;level=16",IF(_xlfn.SINGLE(JobState)="WI","https://fema.maps.arcgis.com/apps/mapviewer/index.html?url=https%3A%2F%2Fservices5.arcgis.com%2F0pgGLzT0Nh7FVjon%2Farcgis%2Frest%2Fservices%2FFFCL_gdb%2FFeatureServer%2F3&amp;find="&amp;$F473&amp;"%2C"&amp;$E473&amp;"&amp;marker="&amp;$F473&amp;","&amp;$E473&amp;",4326&amp;level=16","https://fema.maps.arcgis.com/apps/mapviewer/index.html?find="&amp;$F473&amp;"%2C"&amp;$E473&amp;"&amp;marker="&amp;$F473&amp;","&amp;$E473&amp;",4326&amp;level=16"))),"Open"))</f>
        <v/>
      </c>
      <c r="T473" s="4"/>
      <c r="U473" s="4"/>
      <c r="V473" s="4"/>
      <c r="W473" s="4"/>
      <c r="X473" s="4"/>
      <c r="Y473" s="4"/>
      <c r="Z473" s="4"/>
      <c r="AA473" s="4"/>
      <c r="AB473" s="1" t="str">
        <f>IF(OR(_xlfn.SINGLE(JobAgolMap)="", $E473="", $F473=""),"",HYPERLINK(_xlfn.SINGLE(JobAgolMap)&amp;IF(ISNUMBER(FIND("?",_xlfn.SINGLE(JobAgolMap))),"&amp;","?")&amp;"center="&amp;$F473&amp;","&amp;$E473&amp;"&amp;level=16&amp;marker="&amp;$F473&amp;","&amp;$E473,"Open"))</f>
        <v/>
      </c>
    </row>
    <row r="474" spans="1:28" x14ac:dyDescent="0.45">
      <c r="A474" s="3"/>
      <c r="B474" s="3"/>
      <c r="C474" s="3"/>
      <c r="D474" s="3"/>
      <c r="E474" s="3"/>
      <c r="F474" s="3"/>
      <c r="G474" s="3"/>
      <c r="H474" s="3"/>
      <c r="I474" s="3"/>
      <c r="J474" s="3"/>
      <c r="K474" s="3"/>
      <c r="L474" s="4"/>
      <c r="M474" s="1" t="str">
        <f t="shared" si="42"/>
        <v/>
      </c>
      <c r="N474" s="1" t="str">
        <f t="shared" si="43"/>
        <v/>
      </c>
      <c r="O474" s="1" t="str">
        <f t="shared" si="44"/>
        <v/>
      </c>
      <c r="P474" s="1" t="str">
        <f t="shared" si="45"/>
        <v/>
      </c>
      <c r="Q474" s="1" t="str">
        <f t="shared" si="46"/>
        <v/>
      </c>
      <c r="R474" s="1" t="str">
        <f t="shared" si="47"/>
        <v/>
      </c>
      <c r="S474" s="1" t="str">
        <f>IF(OR($E474="",$F474=""),"",HYPERLINK(IF(OR(_xlfn.SINGLE(JobState)="MI",_xlfn.SINGLE(JobState)=""),"https://fema.maps.arcgis.com/apps/mapviewer/index.html?url=https%3A%2F%2Fmdotgis.state.mi.us%2Farcgis%2Frest%2Fservices%2FWidget%2FNextGenPrFinderPub%2FFeatureServer%2F353&amp;find="&amp;$F474&amp;"%2C"&amp;$E474&amp;"&amp;marker="&amp;$F474&amp;","&amp;$E474&amp;",4326&amp;level=16",IF(_xlfn.SINGLE(JobState)="IN","https://fema.maps.arcgis.com/apps/mapviewer/index.html?url=https%3A%2F%2Fgisdata.in.gov%2Fserver%2Frest%2Fservices%2FHosted%2FLRSE_Functional_Class%2FFeatureServer%2F22&amp;find="&amp;$F474&amp;"%2C"&amp;$E474&amp;"&amp;marker="&amp;$F474&amp;","&amp;$E474&amp;",4326&amp;level=16",IF(_xlfn.SINGLE(JobState)="WI","https://fema.maps.arcgis.com/apps/mapviewer/index.html?url=https%3A%2F%2Fservices5.arcgis.com%2F0pgGLzT0Nh7FVjon%2Farcgis%2Frest%2Fservices%2FFFCL_gdb%2FFeatureServer%2F3&amp;find="&amp;$F474&amp;"%2C"&amp;$E474&amp;"&amp;marker="&amp;$F474&amp;","&amp;$E474&amp;",4326&amp;level=16","https://fema.maps.arcgis.com/apps/mapviewer/index.html?find="&amp;$F474&amp;"%2C"&amp;$E474&amp;"&amp;marker="&amp;$F474&amp;","&amp;$E474&amp;",4326&amp;level=16"))),"Open"))</f>
        <v/>
      </c>
      <c r="T474" s="4"/>
      <c r="U474" s="4"/>
      <c r="V474" s="4"/>
      <c r="W474" s="4"/>
      <c r="X474" s="4"/>
      <c r="Y474" s="4"/>
      <c r="Z474" s="4"/>
      <c r="AA474" s="4"/>
      <c r="AB474" s="1" t="str">
        <f>IF(OR(_xlfn.SINGLE(JobAgolMap)="", $E474="", $F474=""),"",HYPERLINK(_xlfn.SINGLE(JobAgolMap)&amp;IF(ISNUMBER(FIND("?",_xlfn.SINGLE(JobAgolMap))),"&amp;","?")&amp;"center="&amp;$F474&amp;","&amp;$E474&amp;"&amp;level=16&amp;marker="&amp;$F474&amp;","&amp;$E474,"Open"))</f>
        <v/>
      </c>
    </row>
    <row r="475" spans="1:28" x14ac:dyDescent="0.45">
      <c r="A475" s="3"/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4"/>
      <c r="M475" s="1" t="str">
        <f t="shared" si="42"/>
        <v/>
      </c>
      <c r="N475" s="1" t="str">
        <f t="shared" si="43"/>
        <v/>
      </c>
      <c r="O475" s="1" t="str">
        <f t="shared" si="44"/>
        <v/>
      </c>
      <c r="P475" s="1" t="str">
        <f t="shared" si="45"/>
        <v/>
      </c>
      <c r="Q475" s="1" t="str">
        <f t="shared" si="46"/>
        <v/>
      </c>
      <c r="R475" s="1" t="str">
        <f t="shared" si="47"/>
        <v/>
      </c>
      <c r="S475" s="1" t="str">
        <f>IF(OR($E475="",$F475=""),"",HYPERLINK(IF(OR(_xlfn.SINGLE(JobState)="MI",_xlfn.SINGLE(JobState)=""),"https://fema.maps.arcgis.com/apps/mapviewer/index.html?url=https%3A%2F%2Fmdotgis.state.mi.us%2Farcgis%2Frest%2Fservices%2FWidget%2FNextGenPrFinderPub%2FFeatureServer%2F353&amp;find="&amp;$F475&amp;"%2C"&amp;$E475&amp;"&amp;marker="&amp;$F475&amp;","&amp;$E475&amp;",4326&amp;level=16",IF(_xlfn.SINGLE(JobState)="IN","https://fema.maps.arcgis.com/apps/mapviewer/index.html?url=https%3A%2F%2Fgisdata.in.gov%2Fserver%2Frest%2Fservices%2FHosted%2FLRSE_Functional_Class%2FFeatureServer%2F22&amp;find="&amp;$F475&amp;"%2C"&amp;$E475&amp;"&amp;marker="&amp;$F475&amp;","&amp;$E475&amp;",4326&amp;level=16",IF(_xlfn.SINGLE(JobState)="WI","https://fema.maps.arcgis.com/apps/mapviewer/index.html?url=https%3A%2F%2Fservices5.arcgis.com%2F0pgGLzT0Nh7FVjon%2Farcgis%2Frest%2Fservices%2FFFCL_gdb%2FFeatureServer%2F3&amp;find="&amp;$F475&amp;"%2C"&amp;$E475&amp;"&amp;marker="&amp;$F475&amp;","&amp;$E475&amp;",4326&amp;level=16","https://fema.maps.arcgis.com/apps/mapviewer/index.html?find="&amp;$F475&amp;"%2C"&amp;$E475&amp;"&amp;marker="&amp;$F475&amp;","&amp;$E475&amp;",4326&amp;level=16"))),"Open"))</f>
        <v/>
      </c>
      <c r="T475" s="4"/>
      <c r="U475" s="4"/>
      <c r="V475" s="4"/>
      <c r="W475" s="4"/>
      <c r="X475" s="4"/>
      <c r="Y475" s="4"/>
      <c r="Z475" s="4"/>
      <c r="AA475" s="4"/>
      <c r="AB475" s="1" t="str">
        <f>IF(OR(_xlfn.SINGLE(JobAgolMap)="", $E475="", $F475=""),"",HYPERLINK(_xlfn.SINGLE(JobAgolMap)&amp;IF(ISNUMBER(FIND("?",_xlfn.SINGLE(JobAgolMap))),"&amp;","?")&amp;"center="&amp;$F475&amp;","&amp;$E475&amp;"&amp;level=16&amp;marker="&amp;$F475&amp;","&amp;$E475,"Open"))</f>
        <v/>
      </c>
    </row>
    <row r="476" spans="1:28" x14ac:dyDescent="0.45">
      <c r="A476" s="3"/>
      <c r="B476" s="3"/>
      <c r="C476" s="3"/>
      <c r="D476" s="3"/>
      <c r="E476" s="3"/>
      <c r="F476" s="3"/>
      <c r="G476" s="3"/>
      <c r="H476" s="3"/>
      <c r="I476" s="3"/>
      <c r="J476" s="3"/>
      <c r="K476" s="3"/>
      <c r="L476" s="4"/>
      <c r="M476" s="1" t="str">
        <f t="shared" si="42"/>
        <v/>
      </c>
      <c r="N476" s="1" t="str">
        <f t="shared" si="43"/>
        <v/>
      </c>
      <c r="O476" s="1" t="str">
        <f t="shared" si="44"/>
        <v/>
      </c>
      <c r="P476" s="1" t="str">
        <f t="shared" si="45"/>
        <v/>
      </c>
      <c r="Q476" s="1" t="str">
        <f t="shared" si="46"/>
        <v/>
      </c>
      <c r="R476" s="1" t="str">
        <f t="shared" si="47"/>
        <v/>
      </c>
      <c r="S476" s="1" t="str">
        <f>IF(OR($E476="",$F476=""),"",HYPERLINK(IF(OR(_xlfn.SINGLE(JobState)="MI",_xlfn.SINGLE(JobState)=""),"https://fema.maps.arcgis.com/apps/mapviewer/index.html?url=https%3A%2F%2Fmdotgis.state.mi.us%2Farcgis%2Frest%2Fservices%2FWidget%2FNextGenPrFinderPub%2FFeatureServer%2F353&amp;find="&amp;$F476&amp;"%2C"&amp;$E476&amp;"&amp;marker="&amp;$F476&amp;","&amp;$E476&amp;",4326&amp;level=16",IF(_xlfn.SINGLE(JobState)="IN","https://fema.maps.arcgis.com/apps/mapviewer/index.html?url=https%3A%2F%2Fgisdata.in.gov%2Fserver%2Frest%2Fservices%2FHosted%2FLRSE_Functional_Class%2FFeatureServer%2F22&amp;find="&amp;$F476&amp;"%2C"&amp;$E476&amp;"&amp;marker="&amp;$F476&amp;","&amp;$E476&amp;",4326&amp;level=16",IF(_xlfn.SINGLE(JobState)="WI","https://fema.maps.arcgis.com/apps/mapviewer/index.html?url=https%3A%2F%2Fservices5.arcgis.com%2F0pgGLzT0Nh7FVjon%2Farcgis%2Frest%2Fservices%2FFFCL_gdb%2FFeatureServer%2F3&amp;find="&amp;$F476&amp;"%2C"&amp;$E476&amp;"&amp;marker="&amp;$F476&amp;","&amp;$E476&amp;",4326&amp;level=16","https://fema.maps.arcgis.com/apps/mapviewer/index.html?find="&amp;$F476&amp;"%2C"&amp;$E476&amp;"&amp;marker="&amp;$F476&amp;","&amp;$E476&amp;",4326&amp;level=16"))),"Open"))</f>
        <v/>
      </c>
      <c r="T476" s="4"/>
      <c r="U476" s="4"/>
      <c r="V476" s="4"/>
      <c r="W476" s="4"/>
      <c r="X476" s="4"/>
      <c r="Y476" s="4"/>
      <c r="Z476" s="4"/>
      <c r="AA476" s="4"/>
      <c r="AB476" s="1" t="str">
        <f>IF(OR(_xlfn.SINGLE(JobAgolMap)="", $E476="", $F476=""),"",HYPERLINK(_xlfn.SINGLE(JobAgolMap)&amp;IF(ISNUMBER(FIND("?",_xlfn.SINGLE(JobAgolMap))),"&amp;","?")&amp;"center="&amp;$F476&amp;","&amp;$E476&amp;"&amp;level=16&amp;marker="&amp;$F476&amp;","&amp;$E476,"Open"))</f>
        <v/>
      </c>
    </row>
    <row r="477" spans="1:28" x14ac:dyDescent="0.45">
      <c r="A477" s="3"/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4"/>
      <c r="M477" s="1" t="str">
        <f t="shared" si="42"/>
        <v/>
      </c>
      <c r="N477" s="1" t="str">
        <f t="shared" si="43"/>
        <v/>
      </c>
      <c r="O477" s="1" t="str">
        <f t="shared" si="44"/>
        <v/>
      </c>
      <c r="P477" s="1" t="str">
        <f t="shared" si="45"/>
        <v/>
      </c>
      <c r="Q477" s="1" t="str">
        <f t="shared" si="46"/>
        <v/>
      </c>
      <c r="R477" s="1" t="str">
        <f t="shared" si="47"/>
        <v/>
      </c>
      <c r="S477" s="1" t="str">
        <f>IF(OR($E477="",$F477=""),"",HYPERLINK(IF(OR(_xlfn.SINGLE(JobState)="MI",_xlfn.SINGLE(JobState)=""),"https://fema.maps.arcgis.com/apps/mapviewer/index.html?url=https%3A%2F%2Fmdotgis.state.mi.us%2Farcgis%2Frest%2Fservices%2FWidget%2FNextGenPrFinderPub%2FFeatureServer%2F353&amp;find="&amp;$F477&amp;"%2C"&amp;$E477&amp;"&amp;marker="&amp;$F477&amp;","&amp;$E477&amp;",4326&amp;level=16",IF(_xlfn.SINGLE(JobState)="IN","https://fema.maps.arcgis.com/apps/mapviewer/index.html?url=https%3A%2F%2Fgisdata.in.gov%2Fserver%2Frest%2Fservices%2FHosted%2FLRSE_Functional_Class%2FFeatureServer%2F22&amp;find="&amp;$F477&amp;"%2C"&amp;$E477&amp;"&amp;marker="&amp;$F477&amp;","&amp;$E477&amp;",4326&amp;level=16",IF(_xlfn.SINGLE(JobState)="WI","https://fema.maps.arcgis.com/apps/mapviewer/index.html?url=https%3A%2F%2Fservices5.arcgis.com%2F0pgGLzT0Nh7FVjon%2Farcgis%2Frest%2Fservices%2FFFCL_gdb%2FFeatureServer%2F3&amp;find="&amp;$F477&amp;"%2C"&amp;$E477&amp;"&amp;marker="&amp;$F477&amp;","&amp;$E477&amp;",4326&amp;level=16","https://fema.maps.arcgis.com/apps/mapviewer/index.html?find="&amp;$F477&amp;"%2C"&amp;$E477&amp;"&amp;marker="&amp;$F477&amp;","&amp;$E477&amp;",4326&amp;level=16"))),"Open"))</f>
        <v/>
      </c>
      <c r="T477" s="4"/>
      <c r="U477" s="4"/>
      <c r="V477" s="4"/>
      <c r="W477" s="4"/>
      <c r="X477" s="4"/>
      <c r="Y477" s="4"/>
      <c r="Z477" s="4"/>
      <c r="AA477" s="4"/>
      <c r="AB477" s="1" t="str">
        <f>IF(OR(_xlfn.SINGLE(JobAgolMap)="", $E477="", $F477=""),"",HYPERLINK(_xlfn.SINGLE(JobAgolMap)&amp;IF(ISNUMBER(FIND("?",_xlfn.SINGLE(JobAgolMap))),"&amp;","?")&amp;"center="&amp;$F477&amp;","&amp;$E477&amp;"&amp;level=16&amp;marker="&amp;$F477&amp;","&amp;$E477,"Open"))</f>
        <v/>
      </c>
    </row>
    <row r="478" spans="1:28" x14ac:dyDescent="0.45">
      <c r="A478" s="3"/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4"/>
      <c r="M478" s="1" t="str">
        <f t="shared" si="42"/>
        <v/>
      </c>
      <c r="N478" s="1" t="str">
        <f t="shared" si="43"/>
        <v/>
      </c>
      <c r="O478" s="1" t="str">
        <f t="shared" si="44"/>
        <v/>
      </c>
      <c r="P478" s="1" t="str">
        <f t="shared" si="45"/>
        <v/>
      </c>
      <c r="Q478" s="1" t="str">
        <f t="shared" si="46"/>
        <v/>
      </c>
      <c r="R478" s="1" t="str">
        <f t="shared" si="47"/>
        <v/>
      </c>
      <c r="S478" s="1" t="str">
        <f>IF(OR($E478="",$F478=""),"",HYPERLINK(IF(OR(_xlfn.SINGLE(JobState)="MI",_xlfn.SINGLE(JobState)=""),"https://fema.maps.arcgis.com/apps/mapviewer/index.html?url=https%3A%2F%2Fmdotgis.state.mi.us%2Farcgis%2Frest%2Fservices%2FWidget%2FNextGenPrFinderPub%2FFeatureServer%2F353&amp;find="&amp;$F478&amp;"%2C"&amp;$E478&amp;"&amp;marker="&amp;$F478&amp;","&amp;$E478&amp;",4326&amp;level=16",IF(_xlfn.SINGLE(JobState)="IN","https://fema.maps.arcgis.com/apps/mapviewer/index.html?url=https%3A%2F%2Fgisdata.in.gov%2Fserver%2Frest%2Fservices%2FHosted%2FLRSE_Functional_Class%2FFeatureServer%2F22&amp;find="&amp;$F478&amp;"%2C"&amp;$E478&amp;"&amp;marker="&amp;$F478&amp;","&amp;$E478&amp;",4326&amp;level=16",IF(_xlfn.SINGLE(JobState)="WI","https://fema.maps.arcgis.com/apps/mapviewer/index.html?url=https%3A%2F%2Fservices5.arcgis.com%2F0pgGLzT0Nh7FVjon%2Farcgis%2Frest%2Fservices%2FFFCL_gdb%2FFeatureServer%2F3&amp;find="&amp;$F478&amp;"%2C"&amp;$E478&amp;"&amp;marker="&amp;$F478&amp;","&amp;$E478&amp;",4326&amp;level=16","https://fema.maps.arcgis.com/apps/mapviewer/index.html?find="&amp;$F478&amp;"%2C"&amp;$E478&amp;"&amp;marker="&amp;$F478&amp;","&amp;$E478&amp;",4326&amp;level=16"))),"Open"))</f>
        <v/>
      </c>
      <c r="T478" s="4"/>
      <c r="U478" s="4"/>
      <c r="V478" s="4"/>
      <c r="W478" s="4"/>
      <c r="X478" s="4"/>
      <c r="Y478" s="4"/>
      <c r="Z478" s="4"/>
      <c r="AA478" s="4"/>
      <c r="AB478" s="1" t="str">
        <f>IF(OR(_xlfn.SINGLE(JobAgolMap)="", $E478="", $F478=""),"",HYPERLINK(_xlfn.SINGLE(JobAgolMap)&amp;IF(ISNUMBER(FIND("?",_xlfn.SINGLE(JobAgolMap))),"&amp;","?")&amp;"center="&amp;$F478&amp;","&amp;$E478&amp;"&amp;level=16&amp;marker="&amp;$F478&amp;","&amp;$E478,"Open"))</f>
        <v/>
      </c>
    </row>
    <row r="479" spans="1:28" x14ac:dyDescent="0.45">
      <c r="A479" s="3"/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4"/>
      <c r="M479" s="1" t="str">
        <f t="shared" si="42"/>
        <v/>
      </c>
      <c r="N479" s="1" t="str">
        <f t="shared" si="43"/>
        <v/>
      </c>
      <c r="O479" s="1" t="str">
        <f t="shared" si="44"/>
        <v/>
      </c>
      <c r="P479" s="1" t="str">
        <f t="shared" si="45"/>
        <v/>
      </c>
      <c r="Q479" s="1" t="str">
        <f t="shared" si="46"/>
        <v/>
      </c>
      <c r="R479" s="1" t="str">
        <f t="shared" si="47"/>
        <v/>
      </c>
      <c r="S479" s="1" t="str">
        <f>IF(OR($E479="",$F479=""),"",HYPERLINK(IF(OR(_xlfn.SINGLE(JobState)="MI",_xlfn.SINGLE(JobState)=""),"https://fema.maps.arcgis.com/apps/mapviewer/index.html?url=https%3A%2F%2Fmdotgis.state.mi.us%2Farcgis%2Frest%2Fservices%2FWidget%2FNextGenPrFinderPub%2FFeatureServer%2F353&amp;find="&amp;$F479&amp;"%2C"&amp;$E479&amp;"&amp;marker="&amp;$F479&amp;","&amp;$E479&amp;",4326&amp;level=16",IF(_xlfn.SINGLE(JobState)="IN","https://fema.maps.arcgis.com/apps/mapviewer/index.html?url=https%3A%2F%2Fgisdata.in.gov%2Fserver%2Frest%2Fservices%2FHosted%2FLRSE_Functional_Class%2FFeatureServer%2F22&amp;find="&amp;$F479&amp;"%2C"&amp;$E479&amp;"&amp;marker="&amp;$F479&amp;","&amp;$E479&amp;",4326&amp;level=16",IF(_xlfn.SINGLE(JobState)="WI","https://fema.maps.arcgis.com/apps/mapviewer/index.html?url=https%3A%2F%2Fservices5.arcgis.com%2F0pgGLzT0Nh7FVjon%2Farcgis%2Frest%2Fservices%2FFFCL_gdb%2FFeatureServer%2F3&amp;find="&amp;$F479&amp;"%2C"&amp;$E479&amp;"&amp;marker="&amp;$F479&amp;","&amp;$E479&amp;",4326&amp;level=16","https://fema.maps.arcgis.com/apps/mapviewer/index.html?find="&amp;$F479&amp;"%2C"&amp;$E479&amp;"&amp;marker="&amp;$F479&amp;","&amp;$E479&amp;",4326&amp;level=16"))),"Open"))</f>
        <v/>
      </c>
      <c r="T479" s="4"/>
      <c r="U479" s="4"/>
      <c r="V479" s="4"/>
      <c r="W479" s="4"/>
      <c r="X479" s="4"/>
      <c r="Y479" s="4"/>
      <c r="Z479" s="4"/>
      <c r="AA479" s="4"/>
      <c r="AB479" s="1" t="str">
        <f>IF(OR(_xlfn.SINGLE(JobAgolMap)="", $E479="", $F479=""),"",HYPERLINK(_xlfn.SINGLE(JobAgolMap)&amp;IF(ISNUMBER(FIND("?",_xlfn.SINGLE(JobAgolMap))),"&amp;","?")&amp;"center="&amp;$F479&amp;","&amp;$E479&amp;"&amp;level=16&amp;marker="&amp;$F479&amp;","&amp;$E479,"Open"))</f>
        <v/>
      </c>
    </row>
    <row r="480" spans="1:28" x14ac:dyDescent="0.45">
      <c r="A480" s="3"/>
      <c r="B480" s="3"/>
      <c r="C480" s="3"/>
      <c r="D480" s="3"/>
      <c r="E480" s="3"/>
      <c r="F480" s="3"/>
      <c r="G480" s="3"/>
      <c r="H480" s="3"/>
      <c r="I480" s="3"/>
      <c r="J480" s="3"/>
      <c r="K480" s="3"/>
      <c r="L480" s="4"/>
      <c r="M480" s="1" t="str">
        <f t="shared" si="42"/>
        <v/>
      </c>
      <c r="N480" s="1" t="str">
        <f t="shared" si="43"/>
        <v/>
      </c>
      <c r="O480" s="1" t="str">
        <f t="shared" si="44"/>
        <v/>
      </c>
      <c r="P480" s="1" t="str">
        <f t="shared" si="45"/>
        <v/>
      </c>
      <c r="Q480" s="1" t="str">
        <f t="shared" si="46"/>
        <v/>
      </c>
      <c r="R480" s="1" t="str">
        <f t="shared" si="47"/>
        <v/>
      </c>
      <c r="S480" s="1" t="str">
        <f>IF(OR($E480="",$F480=""),"",HYPERLINK(IF(OR(_xlfn.SINGLE(JobState)="MI",_xlfn.SINGLE(JobState)=""),"https://fema.maps.arcgis.com/apps/mapviewer/index.html?url=https%3A%2F%2Fmdotgis.state.mi.us%2Farcgis%2Frest%2Fservices%2FWidget%2FNextGenPrFinderPub%2FFeatureServer%2F353&amp;find="&amp;$F480&amp;"%2C"&amp;$E480&amp;"&amp;marker="&amp;$F480&amp;","&amp;$E480&amp;",4326&amp;level=16",IF(_xlfn.SINGLE(JobState)="IN","https://fema.maps.arcgis.com/apps/mapviewer/index.html?url=https%3A%2F%2Fgisdata.in.gov%2Fserver%2Frest%2Fservices%2FHosted%2FLRSE_Functional_Class%2FFeatureServer%2F22&amp;find="&amp;$F480&amp;"%2C"&amp;$E480&amp;"&amp;marker="&amp;$F480&amp;","&amp;$E480&amp;",4326&amp;level=16",IF(_xlfn.SINGLE(JobState)="WI","https://fema.maps.arcgis.com/apps/mapviewer/index.html?url=https%3A%2F%2Fservices5.arcgis.com%2F0pgGLzT0Nh7FVjon%2Farcgis%2Frest%2Fservices%2FFFCL_gdb%2FFeatureServer%2F3&amp;find="&amp;$F480&amp;"%2C"&amp;$E480&amp;"&amp;marker="&amp;$F480&amp;","&amp;$E480&amp;",4326&amp;level=16","https://fema.maps.arcgis.com/apps/mapviewer/index.html?find="&amp;$F480&amp;"%2C"&amp;$E480&amp;"&amp;marker="&amp;$F480&amp;","&amp;$E480&amp;",4326&amp;level=16"))),"Open"))</f>
        <v/>
      </c>
      <c r="T480" s="4"/>
      <c r="U480" s="4"/>
      <c r="V480" s="4"/>
      <c r="W480" s="4"/>
      <c r="X480" s="4"/>
      <c r="Y480" s="4"/>
      <c r="Z480" s="4"/>
      <c r="AA480" s="4"/>
      <c r="AB480" s="1" t="str">
        <f>IF(OR(_xlfn.SINGLE(JobAgolMap)="", $E480="", $F480=""),"",HYPERLINK(_xlfn.SINGLE(JobAgolMap)&amp;IF(ISNUMBER(FIND("?",_xlfn.SINGLE(JobAgolMap))),"&amp;","?")&amp;"center="&amp;$F480&amp;","&amp;$E480&amp;"&amp;level=16&amp;marker="&amp;$F480&amp;","&amp;$E480,"Open"))</f>
        <v/>
      </c>
    </row>
    <row r="481" spans="1:28" x14ac:dyDescent="0.45">
      <c r="A481" s="3"/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4"/>
      <c r="M481" s="1" t="str">
        <f t="shared" si="42"/>
        <v/>
      </c>
      <c r="N481" s="1" t="str">
        <f t="shared" si="43"/>
        <v/>
      </c>
      <c r="O481" s="1" t="str">
        <f t="shared" si="44"/>
        <v/>
      </c>
      <c r="P481" s="1" t="str">
        <f t="shared" si="45"/>
        <v/>
      </c>
      <c r="Q481" s="1" t="str">
        <f t="shared" si="46"/>
        <v/>
      </c>
      <c r="R481" s="1" t="str">
        <f t="shared" si="47"/>
        <v/>
      </c>
      <c r="S481" s="1" t="str">
        <f>IF(OR($E481="",$F481=""),"",HYPERLINK(IF(OR(_xlfn.SINGLE(JobState)="MI",_xlfn.SINGLE(JobState)=""),"https://fema.maps.arcgis.com/apps/mapviewer/index.html?url=https%3A%2F%2Fmdotgis.state.mi.us%2Farcgis%2Frest%2Fservices%2FWidget%2FNextGenPrFinderPub%2FFeatureServer%2F353&amp;find="&amp;$F481&amp;"%2C"&amp;$E481&amp;"&amp;marker="&amp;$F481&amp;","&amp;$E481&amp;",4326&amp;level=16",IF(_xlfn.SINGLE(JobState)="IN","https://fema.maps.arcgis.com/apps/mapviewer/index.html?url=https%3A%2F%2Fgisdata.in.gov%2Fserver%2Frest%2Fservices%2FHosted%2FLRSE_Functional_Class%2FFeatureServer%2F22&amp;find="&amp;$F481&amp;"%2C"&amp;$E481&amp;"&amp;marker="&amp;$F481&amp;","&amp;$E481&amp;",4326&amp;level=16",IF(_xlfn.SINGLE(JobState)="WI","https://fema.maps.arcgis.com/apps/mapviewer/index.html?url=https%3A%2F%2Fservices5.arcgis.com%2F0pgGLzT0Nh7FVjon%2Farcgis%2Frest%2Fservices%2FFFCL_gdb%2FFeatureServer%2F3&amp;find="&amp;$F481&amp;"%2C"&amp;$E481&amp;"&amp;marker="&amp;$F481&amp;","&amp;$E481&amp;",4326&amp;level=16","https://fema.maps.arcgis.com/apps/mapviewer/index.html?find="&amp;$F481&amp;"%2C"&amp;$E481&amp;"&amp;marker="&amp;$F481&amp;","&amp;$E481&amp;",4326&amp;level=16"))),"Open"))</f>
        <v/>
      </c>
      <c r="T481" s="4"/>
      <c r="U481" s="4"/>
      <c r="V481" s="4"/>
      <c r="W481" s="4"/>
      <c r="X481" s="4"/>
      <c r="Y481" s="4"/>
      <c r="Z481" s="4"/>
      <c r="AA481" s="4"/>
      <c r="AB481" s="1" t="str">
        <f>IF(OR(_xlfn.SINGLE(JobAgolMap)="", $E481="", $F481=""),"",HYPERLINK(_xlfn.SINGLE(JobAgolMap)&amp;IF(ISNUMBER(FIND("?",_xlfn.SINGLE(JobAgolMap))),"&amp;","?")&amp;"center="&amp;$F481&amp;","&amp;$E481&amp;"&amp;level=16&amp;marker="&amp;$F481&amp;","&amp;$E481,"Open"))</f>
        <v/>
      </c>
    </row>
    <row r="482" spans="1:28" x14ac:dyDescent="0.45">
      <c r="A482" s="3"/>
      <c r="B482" s="3"/>
      <c r="C482" s="3"/>
      <c r="D482" s="3"/>
      <c r="E482" s="3"/>
      <c r="F482" s="3"/>
      <c r="G482" s="3"/>
      <c r="H482" s="3"/>
      <c r="I482" s="3"/>
      <c r="J482" s="3"/>
      <c r="K482" s="3"/>
      <c r="L482" s="4"/>
      <c r="M482" s="1" t="str">
        <f t="shared" si="42"/>
        <v/>
      </c>
      <c r="N482" s="1" t="str">
        <f t="shared" si="43"/>
        <v/>
      </c>
      <c r="O482" s="1" t="str">
        <f t="shared" si="44"/>
        <v/>
      </c>
      <c r="P482" s="1" t="str">
        <f t="shared" si="45"/>
        <v/>
      </c>
      <c r="Q482" s="1" t="str">
        <f t="shared" si="46"/>
        <v/>
      </c>
      <c r="R482" s="1" t="str">
        <f t="shared" si="47"/>
        <v/>
      </c>
      <c r="S482" s="1" t="str">
        <f>IF(OR($E482="",$F482=""),"",HYPERLINK(IF(OR(_xlfn.SINGLE(JobState)="MI",_xlfn.SINGLE(JobState)=""),"https://fema.maps.arcgis.com/apps/mapviewer/index.html?url=https%3A%2F%2Fmdotgis.state.mi.us%2Farcgis%2Frest%2Fservices%2FWidget%2FNextGenPrFinderPub%2FFeatureServer%2F353&amp;find="&amp;$F482&amp;"%2C"&amp;$E482&amp;"&amp;marker="&amp;$F482&amp;","&amp;$E482&amp;",4326&amp;level=16",IF(_xlfn.SINGLE(JobState)="IN","https://fema.maps.arcgis.com/apps/mapviewer/index.html?url=https%3A%2F%2Fgisdata.in.gov%2Fserver%2Frest%2Fservices%2FHosted%2FLRSE_Functional_Class%2FFeatureServer%2F22&amp;find="&amp;$F482&amp;"%2C"&amp;$E482&amp;"&amp;marker="&amp;$F482&amp;","&amp;$E482&amp;",4326&amp;level=16",IF(_xlfn.SINGLE(JobState)="WI","https://fema.maps.arcgis.com/apps/mapviewer/index.html?url=https%3A%2F%2Fservices5.arcgis.com%2F0pgGLzT0Nh7FVjon%2Farcgis%2Frest%2Fservices%2FFFCL_gdb%2FFeatureServer%2F3&amp;find="&amp;$F482&amp;"%2C"&amp;$E482&amp;"&amp;marker="&amp;$F482&amp;","&amp;$E482&amp;",4326&amp;level=16","https://fema.maps.arcgis.com/apps/mapviewer/index.html?find="&amp;$F482&amp;"%2C"&amp;$E482&amp;"&amp;marker="&amp;$F482&amp;","&amp;$E482&amp;",4326&amp;level=16"))),"Open"))</f>
        <v/>
      </c>
      <c r="T482" s="4"/>
      <c r="U482" s="4"/>
      <c r="V482" s="4"/>
      <c r="W482" s="4"/>
      <c r="X482" s="4"/>
      <c r="Y482" s="4"/>
      <c r="Z482" s="4"/>
      <c r="AA482" s="4"/>
      <c r="AB482" s="1" t="str">
        <f>IF(OR(_xlfn.SINGLE(JobAgolMap)="", $E482="", $F482=""),"",HYPERLINK(_xlfn.SINGLE(JobAgolMap)&amp;IF(ISNUMBER(FIND("?",_xlfn.SINGLE(JobAgolMap))),"&amp;","?")&amp;"center="&amp;$F482&amp;","&amp;$E482&amp;"&amp;level=16&amp;marker="&amp;$F482&amp;","&amp;$E482,"Open"))</f>
        <v/>
      </c>
    </row>
    <row r="483" spans="1:28" x14ac:dyDescent="0.45">
      <c r="A483" s="3"/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4"/>
      <c r="M483" s="1" t="str">
        <f t="shared" si="42"/>
        <v/>
      </c>
      <c r="N483" s="1" t="str">
        <f t="shared" si="43"/>
        <v/>
      </c>
      <c r="O483" s="1" t="str">
        <f t="shared" si="44"/>
        <v/>
      </c>
      <c r="P483" s="1" t="str">
        <f t="shared" si="45"/>
        <v/>
      </c>
      <c r="Q483" s="1" t="str">
        <f t="shared" si="46"/>
        <v/>
      </c>
      <c r="R483" s="1" t="str">
        <f t="shared" si="47"/>
        <v/>
      </c>
      <c r="S483" s="1" t="str">
        <f>IF(OR($E483="",$F483=""),"",HYPERLINK(IF(OR(_xlfn.SINGLE(JobState)="MI",_xlfn.SINGLE(JobState)=""),"https://fema.maps.arcgis.com/apps/mapviewer/index.html?url=https%3A%2F%2Fmdotgis.state.mi.us%2Farcgis%2Frest%2Fservices%2FWidget%2FNextGenPrFinderPub%2FFeatureServer%2F353&amp;find="&amp;$F483&amp;"%2C"&amp;$E483&amp;"&amp;marker="&amp;$F483&amp;","&amp;$E483&amp;",4326&amp;level=16",IF(_xlfn.SINGLE(JobState)="IN","https://fema.maps.arcgis.com/apps/mapviewer/index.html?url=https%3A%2F%2Fgisdata.in.gov%2Fserver%2Frest%2Fservices%2FHosted%2FLRSE_Functional_Class%2FFeatureServer%2F22&amp;find="&amp;$F483&amp;"%2C"&amp;$E483&amp;"&amp;marker="&amp;$F483&amp;","&amp;$E483&amp;",4326&amp;level=16",IF(_xlfn.SINGLE(JobState)="WI","https://fema.maps.arcgis.com/apps/mapviewer/index.html?url=https%3A%2F%2Fservices5.arcgis.com%2F0pgGLzT0Nh7FVjon%2Farcgis%2Frest%2Fservices%2FFFCL_gdb%2FFeatureServer%2F3&amp;find="&amp;$F483&amp;"%2C"&amp;$E483&amp;"&amp;marker="&amp;$F483&amp;","&amp;$E483&amp;",4326&amp;level=16","https://fema.maps.arcgis.com/apps/mapviewer/index.html?find="&amp;$F483&amp;"%2C"&amp;$E483&amp;"&amp;marker="&amp;$F483&amp;","&amp;$E483&amp;",4326&amp;level=16"))),"Open"))</f>
        <v/>
      </c>
      <c r="T483" s="4"/>
      <c r="U483" s="4"/>
      <c r="V483" s="4"/>
      <c r="W483" s="4"/>
      <c r="X483" s="4"/>
      <c r="Y483" s="4"/>
      <c r="Z483" s="4"/>
      <c r="AA483" s="4"/>
      <c r="AB483" s="1" t="str">
        <f>IF(OR(_xlfn.SINGLE(JobAgolMap)="", $E483="", $F483=""),"",HYPERLINK(_xlfn.SINGLE(JobAgolMap)&amp;IF(ISNUMBER(FIND("?",_xlfn.SINGLE(JobAgolMap))),"&amp;","?")&amp;"center="&amp;$F483&amp;","&amp;$E483&amp;"&amp;level=16&amp;marker="&amp;$F483&amp;","&amp;$E483,"Open"))</f>
        <v/>
      </c>
    </row>
    <row r="484" spans="1:28" x14ac:dyDescent="0.45">
      <c r="A484" s="3"/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4"/>
      <c r="M484" s="1" t="str">
        <f t="shared" si="42"/>
        <v/>
      </c>
      <c r="N484" s="1" t="str">
        <f t="shared" si="43"/>
        <v/>
      </c>
      <c r="O484" s="1" t="str">
        <f t="shared" si="44"/>
        <v/>
      </c>
      <c r="P484" s="1" t="str">
        <f t="shared" si="45"/>
        <v/>
      </c>
      <c r="Q484" s="1" t="str">
        <f t="shared" si="46"/>
        <v/>
      </c>
      <c r="R484" s="1" t="str">
        <f t="shared" si="47"/>
        <v/>
      </c>
      <c r="S484" s="1" t="str">
        <f>IF(OR($E484="",$F484=""),"",HYPERLINK(IF(OR(_xlfn.SINGLE(JobState)="MI",_xlfn.SINGLE(JobState)=""),"https://fema.maps.arcgis.com/apps/mapviewer/index.html?url=https%3A%2F%2Fmdotgis.state.mi.us%2Farcgis%2Frest%2Fservices%2FWidget%2FNextGenPrFinderPub%2FFeatureServer%2F353&amp;find="&amp;$F484&amp;"%2C"&amp;$E484&amp;"&amp;marker="&amp;$F484&amp;","&amp;$E484&amp;",4326&amp;level=16",IF(_xlfn.SINGLE(JobState)="IN","https://fema.maps.arcgis.com/apps/mapviewer/index.html?url=https%3A%2F%2Fgisdata.in.gov%2Fserver%2Frest%2Fservices%2FHosted%2FLRSE_Functional_Class%2FFeatureServer%2F22&amp;find="&amp;$F484&amp;"%2C"&amp;$E484&amp;"&amp;marker="&amp;$F484&amp;","&amp;$E484&amp;",4326&amp;level=16",IF(_xlfn.SINGLE(JobState)="WI","https://fema.maps.arcgis.com/apps/mapviewer/index.html?url=https%3A%2F%2Fservices5.arcgis.com%2F0pgGLzT0Nh7FVjon%2Farcgis%2Frest%2Fservices%2FFFCL_gdb%2FFeatureServer%2F3&amp;find="&amp;$F484&amp;"%2C"&amp;$E484&amp;"&amp;marker="&amp;$F484&amp;","&amp;$E484&amp;",4326&amp;level=16","https://fema.maps.arcgis.com/apps/mapviewer/index.html?find="&amp;$F484&amp;"%2C"&amp;$E484&amp;"&amp;marker="&amp;$F484&amp;","&amp;$E484&amp;",4326&amp;level=16"))),"Open"))</f>
        <v/>
      </c>
      <c r="T484" s="4"/>
      <c r="U484" s="4"/>
      <c r="V484" s="4"/>
      <c r="W484" s="4"/>
      <c r="X484" s="4"/>
      <c r="Y484" s="4"/>
      <c r="Z484" s="4"/>
      <c r="AA484" s="4"/>
      <c r="AB484" s="1" t="str">
        <f>IF(OR(_xlfn.SINGLE(JobAgolMap)="", $E484="", $F484=""),"",HYPERLINK(_xlfn.SINGLE(JobAgolMap)&amp;IF(ISNUMBER(FIND("?",_xlfn.SINGLE(JobAgolMap))),"&amp;","?")&amp;"center="&amp;$F484&amp;","&amp;$E484&amp;"&amp;level=16&amp;marker="&amp;$F484&amp;","&amp;$E484,"Open"))</f>
        <v/>
      </c>
    </row>
    <row r="485" spans="1:28" x14ac:dyDescent="0.45">
      <c r="A485" s="3"/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4"/>
      <c r="M485" s="1" t="str">
        <f t="shared" si="42"/>
        <v/>
      </c>
      <c r="N485" s="1" t="str">
        <f t="shared" si="43"/>
        <v/>
      </c>
      <c r="O485" s="1" t="str">
        <f t="shared" si="44"/>
        <v/>
      </c>
      <c r="P485" s="1" t="str">
        <f t="shared" si="45"/>
        <v/>
      </c>
      <c r="Q485" s="1" t="str">
        <f t="shared" si="46"/>
        <v/>
      </c>
      <c r="R485" s="1" t="str">
        <f t="shared" si="47"/>
        <v/>
      </c>
      <c r="S485" s="1" t="str">
        <f>IF(OR($E485="",$F485=""),"",HYPERLINK(IF(OR(_xlfn.SINGLE(JobState)="MI",_xlfn.SINGLE(JobState)=""),"https://fema.maps.arcgis.com/apps/mapviewer/index.html?url=https%3A%2F%2Fmdotgis.state.mi.us%2Farcgis%2Frest%2Fservices%2FWidget%2FNextGenPrFinderPub%2FFeatureServer%2F353&amp;find="&amp;$F485&amp;"%2C"&amp;$E485&amp;"&amp;marker="&amp;$F485&amp;","&amp;$E485&amp;",4326&amp;level=16",IF(_xlfn.SINGLE(JobState)="IN","https://fema.maps.arcgis.com/apps/mapviewer/index.html?url=https%3A%2F%2Fgisdata.in.gov%2Fserver%2Frest%2Fservices%2FHosted%2FLRSE_Functional_Class%2FFeatureServer%2F22&amp;find="&amp;$F485&amp;"%2C"&amp;$E485&amp;"&amp;marker="&amp;$F485&amp;","&amp;$E485&amp;",4326&amp;level=16",IF(_xlfn.SINGLE(JobState)="WI","https://fema.maps.arcgis.com/apps/mapviewer/index.html?url=https%3A%2F%2Fservices5.arcgis.com%2F0pgGLzT0Nh7FVjon%2Farcgis%2Frest%2Fservices%2FFFCL_gdb%2FFeatureServer%2F3&amp;find="&amp;$F485&amp;"%2C"&amp;$E485&amp;"&amp;marker="&amp;$F485&amp;","&amp;$E485&amp;",4326&amp;level=16","https://fema.maps.arcgis.com/apps/mapviewer/index.html?find="&amp;$F485&amp;"%2C"&amp;$E485&amp;"&amp;marker="&amp;$F485&amp;","&amp;$E485&amp;",4326&amp;level=16"))),"Open"))</f>
        <v/>
      </c>
      <c r="T485" s="4"/>
      <c r="U485" s="4"/>
      <c r="V485" s="4"/>
      <c r="W485" s="4"/>
      <c r="X485" s="4"/>
      <c r="Y485" s="4"/>
      <c r="Z485" s="4"/>
      <c r="AA485" s="4"/>
      <c r="AB485" s="1" t="str">
        <f>IF(OR(_xlfn.SINGLE(JobAgolMap)="", $E485="", $F485=""),"",HYPERLINK(_xlfn.SINGLE(JobAgolMap)&amp;IF(ISNUMBER(FIND("?",_xlfn.SINGLE(JobAgolMap))),"&amp;","?")&amp;"center="&amp;$F485&amp;","&amp;$E485&amp;"&amp;level=16&amp;marker="&amp;$F485&amp;","&amp;$E485,"Open"))</f>
        <v/>
      </c>
    </row>
    <row r="486" spans="1:28" x14ac:dyDescent="0.45">
      <c r="A486" s="3"/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4"/>
      <c r="M486" s="1" t="str">
        <f t="shared" si="42"/>
        <v/>
      </c>
      <c r="N486" s="1" t="str">
        <f t="shared" si="43"/>
        <v/>
      </c>
      <c r="O486" s="1" t="str">
        <f t="shared" si="44"/>
        <v/>
      </c>
      <c r="P486" s="1" t="str">
        <f t="shared" si="45"/>
        <v/>
      </c>
      <c r="Q486" s="1" t="str">
        <f t="shared" si="46"/>
        <v/>
      </c>
      <c r="R486" s="1" t="str">
        <f t="shared" si="47"/>
        <v/>
      </c>
      <c r="S486" s="1" t="str">
        <f>IF(OR($E486="",$F486=""),"",HYPERLINK(IF(OR(_xlfn.SINGLE(JobState)="MI",_xlfn.SINGLE(JobState)=""),"https://fema.maps.arcgis.com/apps/mapviewer/index.html?url=https%3A%2F%2Fmdotgis.state.mi.us%2Farcgis%2Frest%2Fservices%2FWidget%2FNextGenPrFinderPub%2FFeatureServer%2F353&amp;find="&amp;$F486&amp;"%2C"&amp;$E486&amp;"&amp;marker="&amp;$F486&amp;","&amp;$E486&amp;",4326&amp;level=16",IF(_xlfn.SINGLE(JobState)="IN","https://fema.maps.arcgis.com/apps/mapviewer/index.html?url=https%3A%2F%2Fgisdata.in.gov%2Fserver%2Frest%2Fservices%2FHosted%2FLRSE_Functional_Class%2FFeatureServer%2F22&amp;find="&amp;$F486&amp;"%2C"&amp;$E486&amp;"&amp;marker="&amp;$F486&amp;","&amp;$E486&amp;",4326&amp;level=16",IF(_xlfn.SINGLE(JobState)="WI","https://fema.maps.arcgis.com/apps/mapviewer/index.html?url=https%3A%2F%2Fservices5.arcgis.com%2F0pgGLzT0Nh7FVjon%2Farcgis%2Frest%2Fservices%2FFFCL_gdb%2FFeatureServer%2F3&amp;find="&amp;$F486&amp;"%2C"&amp;$E486&amp;"&amp;marker="&amp;$F486&amp;","&amp;$E486&amp;",4326&amp;level=16","https://fema.maps.arcgis.com/apps/mapviewer/index.html?find="&amp;$F486&amp;"%2C"&amp;$E486&amp;"&amp;marker="&amp;$F486&amp;","&amp;$E486&amp;",4326&amp;level=16"))),"Open"))</f>
        <v/>
      </c>
      <c r="T486" s="4"/>
      <c r="U486" s="4"/>
      <c r="V486" s="4"/>
      <c r="W486" s="4"/>
      <c r="X486" s="4"/>
      <c r="Y486" s="4"/>
      <c r="Z486" s="4"/>
      <c r="AA486" s="4"/>
      <c r="AB486" s="1" t="str">
        <f>IF(OR(_xlfn.SINGLE(JobAgolMap)="", $E486="", $F486=""),"",HYPERLINK(_xlfn.SINGLE(JobAgolMap)&amp;IF(ISNUMBER(FIND("?",_xlfn.SINGLE(JobAgolMap))),"&amp;","?")&amp;"center="&amp;$F486&amp;","&amp;$E486&amp;"&amp;level=16&amp;marker="&amp;$F486&amp;","&amp;$E486,"Open"))</f>
        <v/>
      </c>
    </row>
    <row r="487" spans="1:28" x14ac:dyDescent="0.45">
      <c r="A487" s="3"/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4"/>
      <c r="M487" s="1" t="str">
        <f t="shared" si="42"/>
        <v/>
      </c>
      <c r="N487" s="1" t="str">
        <f t="shared" si="43"/>
        <v/>
      </c>
      <c r="O487" s="1" t="str">
        <f t="shared" si="44"/>
        <v/>
      </c>
      <c r="P487" s="1" t="str">
        <f t="shared" si="45"/>
        <v/>
      </c>
      <c r="Q487" s="1" t="str">
        <f t="shared" si="46"/>
        <v/>
      </c>
      <c r="R487" s="1" t="str">
        <f t="shared" si="47"/>
        <v/>
      </c>
      <c r="S487" s="1" t="str">
        <f>IF(OR($E487="",$F487=""),"",HYPERLINK(IF(OR(_xlfn.SINGLE(JobState)="MI",_xlfn.SINGLE(JobState)=""),"https://fema.maps.arcgis.com/apps/mapviewer/index.html?url=https%3A%2F%2Fmdotgis.state.mi.us%2Farcgis%2Frest%2Fservices%2FWidget%2FNextGenPrFinderPub%2FFeatureServer%2F353&amp;find="&amp;$F487&amp;"%2C"&amp;$E487&amp;"&amp;marker="&amp;$F487&amp;","&amp;$E487&amp;",4326&amp;level=16",IF(_xlfn.SINGLE(JobState)="IN","https://fema.maps.arcgis.com/apps/mapviewer/index.html?url=https%3A%2F%2Fgisdata.in.gov%2Fserver%2Frest%2Fservices%2FHosted%2FLRSE_Functional_Class%2FFeatureServer%2F22&amp;find="&amp;$F487&amp;"%2C"&amp;$E487&amp;"&amp;marker="&amp;$F487&amp;","&amp;$E487&amp;",4326&amp;level=16",IF(_xlfn.SINGLE(JobState)="WI","https://fema.maps.arcgis.com/apps/mapviewer/index.html?url=https%3A%2F%2Fservices5.arcgis.com%2F0pgGLzT0Nh7FVjon%2Farcgis%2Frest%2Fservices%2FFFCL_gdb%2FFeatureServer%2F3&amp;find="&amp;$F487&amp;"%2C"&amp;$E487&amp;"&amp;marker="&amp;$F487&amp;","&amp;$E487&amp;",4326&amp;level=16","https://fema.maps.arcgis.com/apps/mapviewer/index.html?find="&amp;$F487&amp;"%2C"&amp;$E487&amp;"&amp;marker="&amp;$F487&amp;","&amp;$E487&amp;",4326&amp;level=16"))),"Open"))</f>
        <v/>
      </c>
      <c r="T487" s="4"/>
      <c r="U487" s="4"/>
      <c r="V487" s="4"/>
      <c r="W487" s="4"/>
      <c r="X487" s="4"/>
      <c r="Y487" s="4"/>
      <c r="Z487" s="4"/>
      <c r="AA487" s="4"/>
      <c r="AB487" s="1" t="str">
        <f>IF(OR(_xlfn.SINGLE(JobAgolMap)="", $E487="", $F487=""),"",HYPERLINK(_xlfn.SINGLE(JobAgolMap)&amp;IF(ISNUMBER(FIND("?",_xlfn.SINGLE(JobAgolMap))),"&amp;","?")&amp;"center="&amp;$F487&amp;","&amp;$E487&amp;"&amp;level=16&amp;marker="&amp;$F487&amp;","&amp;$E487,"Open"))</f>
        <v/>
      </c>
    </row>
    <row r="488" spans="1:28" x14ac:dyDescent="0.45">
      <c r="A488" s="3"/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4"/>
      <c r="M488" s="1" t="str">
        <f t="shared" si="42"/>
        <v/>
      </c>
      <c r="N488" s="1" t="str">
        <f t="shared" si="43"/>
        <v/>
      </c>
      <c r="O488" s="1" t="str">
        <f t="shared" si="44"/>
        <v/>
      </c>
      <c r="P488" s="1" t="str">
        <f t="shared" si="45"/>
        <v/>
      </c>
      <c r="Q488" s="1" t="str">
        <f t="shared" si="46"/>
        <v/>
      </c>
      <c r="R488" s="1" t="str">
        <f t="shared" si="47"/>
        <v/>
      </c>
      <c r="S488" s="1" t="str">
        <f>IF(OR($E488="",$F488=""),"",HYPERLINK(IF(OR(_xlfn.SINGLE(JobState)="MI",_xlfn.SINGLE(JobState)=""),"https://fema.maps.arcgis.com/apps/mapviewer/index.html?url=https%3A%2F%2Fmdotgis.state.mi.us%2Farcgis%2Frest%2Fservices%2FWidget%2FNextGenPrFinderPub%2FFeatureServer%2F353&amp;find="&amp;$F488&amp;"%2C"&amp;$E488&amp;"&amp;marker="&amp;$F488&amp;","&amp;$E488&amp;",4326&amp;level=16",IF(_xlfn.SINGLE(JobState)="IN","https://fema.maps.arcgis.com/apps/mapviewer/index.html?url=https%3A%2F%2Fgisdata.in.gov%2Fserver%2Frest%2Fservices%2FHosted%2FLRSE_Functional_Class%2FFeatureServer%2F22&amp;find="&amp;$F488&amp;"%2C"&amp;$E488&amp;"&amp;marker="&amp;$F488&amp;","&amp;$E488&amp;",4326&amp;level=16",IF(_xlfn.SINGLE(JobState)="WI","https://fema.maps.arcgis.com/apps/mapviewer/index.html?url=https%3A%2F%2Fservices5.arcgis.com%2F0pgGLzT0Nh7FVjon%2Farcgis%2Frest%2Fservices%2FFFCL_gdb%2FFeatureServer%2F3&amp;find="&amp;$F488&amp;"%2C"&amp;$E488&amp;"&amp;marker="&amp;$F488&amp;","&amp;$E488&amp;",4326&amp;level=16","https://fema.maps.arcgis.com/apps/mapviewer/index.html?find="&amp;$F488&amp;"%2C"&amp;$E488&amp;"&amp;marker="&amp;$F488&amp;","&amp;$E488&amp;",4326&amp;level=16"))),"Open"))</f>
        <v/>
      </c>
      <c r="T488" s="4"/>
      <c r="U488" s="4"/>
      <c r="V488" s="4"/>
      <c r="W488" s="4"/>
      <c r="X488" s="4"/>
      <c r="Y488" s="4"/>
      <c r="Z488" s="4"/>
      <c r="AA488" s="4"/>
      <c r="AB488" s="1" t="str">
        <f>IF(OR(_xlfn.SINGLE(JobAgolMap)="", $E488="", $F488=""),"",HYPERLINK(_xlfn.SINGLE(JobAgolMap)&amp;IF(ISNUMBER(FIND("?",_xlfn.SINGLE(JobAgolMap))),"&amp;","?")&amp;"center="&amp;$F488&amp;","&amp;$E488&amp;"&amp;level=16&amp;marker="&amp;$F488&amp;","&amp;$E488,"Open"))</f>
        <v/>
      </c>
    </row>
    <row r="489" spans="1:28" x14ac:dyDescent="0.45">
      <c r="A489" s="3"/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4"/>
      <c r="M489" s="1" t="str">
        <f t="shared" si="42"/>
        <v/>
      </c>
      <c r="N489" s="1" t="str">
        <f t="shared" si="43"/>
        <v/>
      </c>
      <c r="O489" s="1" t="str">
        <f t="shared" si="44"/>
        <v/>
      </c>
      <c r="P489" s="1" t="str">
        <f t="shared" si="45"/>
        <v/>
      </c>
      <c r="Q489" s="1" t="str">
        <f t="shared" si="46"/>
        <v/>
      </c>
      <c r="R489" s="1" t="str">
        <f t="shared" si="47"/>
        <v/>
      </c>
      <c r="S489" s="1" t="str">
        <f>IF(OR($E489="",$F489=""),"",HYPERLINK(IF(OR(_xlfn.SINGLE(JobState)="MI",_xlfn.SINGLE(JobState)=""),"https://fema.maps.arcgis.com/apps/mapviewer/index.html?url=https%3A%2F%2Fmdotgis.state.mi.us%2Farcgis%2Frest%2Fservices%2FWidget%2FNextGenPrFinderPub%2FFeatureServer%2F353&amp;find="&amp;$F489&amp;"%2C"&amp;$E489&amp;"&amp;marker="&amp;$F489&amp;","&amp;$E489&amp;",4326&amp;level=16",IF(_xlfn.SINGLE(JobState)="IN","https://fema.maps.arcgis.com/apps/mapviewer/index.html?url=https%3A%2F%2Fgisdata.in.gov%2Fserver%2Frest%2Fservices%2FHosted%2FLRSE_Functional_Class%2FFeatureServer%2F22&amp;find="&amp;$F489&amp;"%2C"&amp;$E489&amp;"&amp;marker="&amp;$F489&amp;","&amp;$E489&amp;",4326&amp;level=16",IF(_xlfn.SINGLE(JobState)="WI","https://fema.maps.arcgis.com/apps/mapviewer/index.html?url=https%3A%2F%2Fservices5.arcgis.com%2F0pgGLzT0Nh7FVjon%2Farcgis%2Frest%2Fservices%2FFFCL_gdb%2FFeatureServer%2F3&amp;find="&amp;$F489&amp;"%2C"&amp;$E489&amp;"&amp;marker="&amp;$F489&amp;","&amp;$E489&amp;",4326&amp;level=16","https://fema.maps.arcgis.com/apps/mapviewer/index.html?find="&amp;$F489&amp;"%2C"&amp;$E489&amp;"&amp;marker="&amp;$F489&amp;","&amp;$E489&amp;",4326&amp;level=16"))),"Open"))</f>
        <v/>
      </c>
      <c r="T489" s="4"/>
      <c r="U489" s="4"/>
      <c r="V489" s="4"/>
      <c r="W489" s="4"/>
      <c r="X489" s="4"/>
      <c r="Y489" s="4"/>
      <c r="Z489" s="4"/>
      <c r="AA489" s="4"/>
      <c r="AB489" s="1" t="str">
        <f>IF(OR(_xlfn.SINGLE(JobAgolMap)="", $E489="", $F489=""),"",HYPERLINK(_xlfn.SINGLE(JobAgolMap)&amp;IF(ISNUMBER(FIND("?",_xlfn.SINGLE(JobAgolMap))),"&amp;","?")&amp;"center="&amp;$F489&amp;","&amp;$E489&amp;"&amp;level=16&amp;marker="&amp;$F489&amp;","&amp;$E489,"Open"))</f>
        <v/>
      </c>
    </row>
    <row r="490" spans="1:28" x14ac:dyDescent="0.45">
      <c r="A490" s="3"/>
      <c r="B490" s="3"/>
      <c r="C490" s="3"/>
      <c r="D490" s="3"/>
      <c r="E490" s="3"/>
      <c r="F490" s="3"/>
      <c r="G490" s="3"/>
      <c r="H490" s="3"/>
      <c r="I490" s="3"/>
      <c r="J490" s="3"/>
      <c r="K490" s="3"/>
      <c r="L490" s="4"/>
      <c r="M490" s="1" t="str">
        <f t="shared" si="42"/>
        <v/>
      </c>
      <c r="N490" s="1" t="str">
        <f t="shared" si="43"/>
        <v/>
      </c>
      <c r="O490" s="1" t="str">
        <f t="shared" si="44"/>
        <v/>
      </c>
      <c r="P490" s="1" t="str">
        <f t="shared" si="45"/>
        <v/>
      </c>
      <c r="Q490" s="1" t="str">
        <f t="shared" si="46"/>
        <v/>
      </c>
      <c r="R490" s="1" t="str">
        <f t="shared" si="47"/>
        <v/>
      </c>
      <c r="S490" s="1" t="str">
        <f>IF(OR($E490="",$F490=""),"",HYPERLINK(IF(OR(_xlfn.SINGLE(JobState)="MI",_xlfn.SINGLE(JobState)=""),"https://fema.maps.arcgis.com/apps/mapviewer/index.html?url=https%3A%2F%2Fmdotgis.state.mi.us%2Farcgis%2Frest%2Fservices%2FWidget%2FNextGenPrFinderPub%2FFeatureServer%2F353&amp;find="&amp;$F490&amp;"%2C"&amp;$E490&amp;"&amp;marker="&amp;$F490&amp;","&amp;$E490&amp;",4326&amp;level=16",IF(_xlfn.SINGLE(JobState)="IN","https://fema.maps.arcgis.com/apps/mapviewer/index.html?url=https%3A%2F%2Fgisdata.in.gov%2Fserver%2Frest%2Fservices%2FHosted%2FLRSE_Functional_Class%2FFeatureServer%2F22&amp;find="&amp;$F490&amp;"%2C"&amp;$E490&amp;"&amp;marker="&amp;$F490&amp;","&amp;$E490&amp;",4326&amp;level=16",IF(_xlfn.SINGLE(JobState)="WI","https://fema.maps.arcgis.com/apps/mapviewer/index.html?url=https%3A%2F%2Fservices5.arcgis.com%2F0pgGLzT0Nh7FVjon%2Farcgis%2Frest%2Fservices%2FFFCL_gdb%2FFeatureServer%2F3&amp;find="&amp;$F490&amp;"%2C"&amp;$E490&amp;"&amp;marker="&amp;$F490&amp;","&amp;$E490&amp;",4326&amp;level=16","https://fema.maps.arcgis.com/apps/mapviewer/index.html?find="&amp;$F490&amp;"%2C"&amp;$E490&amp;"&amp;marker="&amp;$F490&amp;","&amp;$E490&amp;",4326&amp;level=16"))),"Open"))</f>
        <v/>
      </c>
      <c r="T490" s="4"/>
      <c r="U490" s="4"/>
      <c r="V490" s="4"/>
      <c r="W490" s="4"/>
      <c r="X490" s="4"/>
      <c r="Y490" s="4"/>
      <c r="Z490" s="4"/>
      <c r="AA490" s="4"/>
      <c r="AB490" s="1" t="str">
        <f>IF(OR(_xlfn.SINGLE(JobAgolMap)="", $E490="", $F490=""),"",HYPERLINK(_xlfn.SINGLE(JobAgolMap)&amp;IF(ISNUMBER(FIND("?",_xlfn.SINGLE(JobAgolMap))),"&amp;","?")&amp;"center="&amp;$F490&amp;","&amp;$E490&amp;"&amp;level=16&amp;marker="&amp;$F490&amp;","&amp;$E490,"Open"))</f>
        <v/>
      </c>
    </row>
    <row r="491" spans="1:28" x14ac:dyDescent="0.45">
      <c r="A491" s="3"/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4"/>
      <c r="M491" s="1" t="str">
        <f t="shared" si="42"/>
        <v/>
      </c>
      <c r="N491" s="1" t="str">
        <f t="shared" si="43"/>
        <v/>
      </c>
      <c r="O491" s="1" t="str">
        <f t="shared" si="44"/>
        <v/>
      </c>
      <c r="P491" s="1" t="str">
        <f t="shared" si="45"/>
        <v/>
      </c>
      <c r="Q491" s="1" t="str">
        <f t="shared" si="46"/>
        <v/>
      </c>
      <c r="R491" s="1" t="str">
        <f t="shared" si="47"/>
        <v/>
      </c>
      <c r="S491" s="1" t="str">
        <f>IF(OR($E491="",$F491=""),"",HYPERLINK(IF(OR(_xlfn.SINGLE(JobState)="MI",_xlfn.SINGLE(JobState)=""),"https://fema.maps.arcgis.com/apps/mapviewer/index.html?url=https%3A%2F%2Fmdotgis.state.mi.us%2Farcgis%2Frest%2Fservices%2FWidget%2FNextGenPrFinderPub%2FFeatureServer%2F353&amp;find="&amp;$F491&amp;"%2C"&amp;$E491&amp;"&amp;marker="&amp;$F491&amp;","&amp;$E491&amp;",4326&amp;level=16",IF(_xlfn.SINGLE(JobState)="IN","https://fema.maps.arcgis.com/apps/mapviewer/index.html?url=https%3A%2F%2Fgisdata.in.gov%2Fserver%2Frest%2Fservices%2FHosted%2FLRSE_Functional_Class%2FFeatureServer%2F22&amp;find="&amp;$F491&amp;"%2C"&amp;$E491&amp;"&amp;marker="&amp;$F491&amp;","&amp;$E491&amp;",4326&amp;level=16",IF(_xlfn.SINGLE(JobState)="WI","https://fema.maps.arcgis.com/apps/mapviewer/index.html?url=https%3A%2F%2Fservices5.arcgis.com%2F0pgGLzT0Nh7FVjon%2Farcgis%2Frest%2Fservices%2FFFCL_gdb%2FFeatureServer%2F3&amp;find="&amp;$F491&amp;"%2C"&amp;$E491&amp;"&amp;marker="&amp;$F491&amp;","&amp;$E491&amp;",4326&amp;level=16","https://fema.maps.arcgis.com/apps/mapviewer/index.html?find="&amp;$F491&amp;"%2C"&amp;$E491&amp;"&amp;marker="&amp;$F491&amp;","&amp;$E491&amp;",4326&amp;level=16"))),"Open"))</f>
        <v/>
      </c>
      <c r="T491" s="4"/>
      <c r="U491" s="4"/>
      <c r="V491" s="4"/>
      <c r="W491" s="4"/>
      <c r="X491" s="4"/>
      <c r="Y491" s="4"/>
      <c r="Z491" s="4"/>
      <c r="AA491" s="4"/>
      <c r="AB491" s="1" t="str">
        <f>IF(OR(_xlfn.SINGLE(JobAgolMap)="", $E491="", $F491=""),"",HYPERLINK(_xlfn.SINGLE(JobAgolMap)&amp;IF(ISNUMBER(FIND("?",_xlfn.SINGLE(JobAgolMap))),"&amp;","?")&amp;"center="&amp;$F491&amp;","&amp;$E491&amp;"&amp;level=16&amp;marker="&amp;$F491&amp;","&amp;$E491,"Open"))</f>
        <v/>
      </c>
    </row>
    <row r="492" spans="1:28" x14ac:dyDescent="0.45">
      <c r="A492" s="3"/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4"/>
      <c r="M492" s="1" t="str">
        <f t="shared" si="42"/>
        <v/>
      </c>
      <c r="N492" s="1" t="str">
        <f t="shared" si="43"/>
        <v/>
      </c>
      <c r="O492" s="1" t="str">
        <f t="shared" si="44"/>
        <v/>
      </c>
      <c r="P492" s="1" t="str">
        <f t="shared" si="45"/>
        <v/>
      </c>
      <c r="Q492" s="1" t="str">
        <f t="shared" si="46"/>
        <v/>
      </c>
      <c r="R492" s="1" t="str">
        <f t="shared" si="47"/>
        <v/>
      </c>
      <c r="S492" s="1" t="str">
        <f>IF(OR($E492="",$F492=""),"",HYPERLINK(IF(OR(_xlfn.SINGLE(JobState)="MI",_xlfn.SINGLE(JobState)=""),"https://fema.maps.arcgis.com/apps/mapviewer/index.html?url=https%3A%2F%2Fmdotgis.state.mi.us%2Farcgis%2Frest%2Fservices%2FWidget%2FNextGenPrFinderPub%2FFeatureServer%2F353&amp;find="&amp;$F492&amp;"%2C"&amp;$E492&amp;"&amp;marker="&amp;$F492&amp;","&amp;$E492&amp;",4326&amp;level=16",IF(_xlfn.SINGLE(JobState)="IN","https://fema.maps.arcgis.com/apps/mapviewer/index.html?url=https%3A%2F%2Fgisdata.in.gov%2Fserver%2Frest%2Fservices%2FHosted%2FLRSE_Functional_Class%2FFeatureServer%2F22&amp;find="&amp;$F492&amp;"%2C"&amp;$E492&amp;"&amp;marker="&amp;$F492&amp;","&amp;$E492&amp;",4326&amp;level=16",IF(_xlfn.SINGLE(JobState)="WI","https://fema.maps.arcgis.com/apps/mapviewer/index.html?url=https%3A%2F%2Fservices5.arcgis.com%2F0pgGLzT0Nh7FVjon%2Farcgis%2Frest%2Fservices%2FFFCL_gdb%2FFeatureServer%2F3&amp;find="&amp;$F492&amp;"%2C"&amp;$E492&amp;"&amp;marker="&amp;$F492&amp;","&amp;$E492&amp;",4326&amp;level=16","https://fema.maps.arcgis.com/apps/mapviewer/index.html?find="&amp;$F492&amp;"%2C"&amp;$E492&amp;"&amp;marker="&amp;$F492&amp;","&amp;$E492&amp;",4326&amp;level=16"))),"Open"))</f>
        <v/>
      </c>
      <c r="T492" s="4"/>
      <c r="U492" s="4"/>
      <c r="V492" s="4"/>
      <c r="W492" s="4"/>
      <c r="X492" s="4"/>
      <c r="Y492" s="4"/>
      <c r="Z492" s="4"/>
      <c r="AA492" s="4"/>
      <c r="AB492" s="1" t="str">
        <f>IF(OR(_xlfn.SINGLE(JobAgolMap)="", $E492="", $F492=""),"",HYPERLINK(_xlfn.SINGLE(JobAgolMap)&amp;IF(ISNUMBER(FIND("?",_xlfn.SINGLE(JobAgolMap))),"&amp;","?")&amp;"center="&amp;$F492&amp;","&amp;$E492&amp;"&amp;level=16&amp;marker="&amp;$F492&amp;","&amp;$E492,"Open"))</f>
        <v/>
      </c>
    </row>
    <row r="493" spans="1:28" x14ac:dyDescent="0.45">
      <c r="A493" s="3"/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4"/>
      <c r="M493" s="1" t="str">
        <f t="shared" si="42"/>
        <v/>
      </c>
      <c r="N493" s="1" t="str">
        <f t="shared" si="43"/>
        <v/>
      </c>
      <c r="O493" s="1" t="str">
        <f t="shared" si="44"/>
        <v/>
      </c>
      <c r="P493" s="1" t="str">
        <f t="shared" si="45"/>
        <v/>
      </c>
      <c r="Q493" s="1" t="str">
        <f t="shared" si="46"/>
        <v/>
      </c>
      <c r="R493" s="1" t="str">
        <f t="shared" si="47"/>
        <v/>
      </c>
      <c r="S493" s="1" t="str">
        <f>IF(OR($E493="",$F493=""),"",HYPERLINK(IF(OR(_xlfn.SINGLE(JobState)="MI",_xlfn.SINGLE(JobState)=""),"https://fema.maps.arcgis.com/apps/mapviewer/index.html?url=https%3A%2F%2Fmdotgis.state.mi.us%2Farcgis%2Frest%2Fservices%2FWidget%2FNextGenPrFinderPub%2FFeatureServer%2F353&amp;find="&amp;$F493&amp;"%2C"&amp;$E493&amp;"&amp;marker="&amp;$F493&amp;","&amp;$E493&amp;",4326&amp;level=16",IF(_xlfn.SINGLE(JobState)="IN","https://fema.maps.arcgis.com/apps/mapviewer/index.html?url=https%3A%2F%2Fgisdata.in.gov%2Fserver%2Frest%2Fservices%2FHosted%2FLRSE_Functional_Class%2FFeatureServer%2F22&amp;find="&amp;$F493&amp;"%2C"&amp;$E493&amp;"&amp;marker="&amp;$F493&amp;","&amp;$E493&amp;",4326&amp;level=16",IF(_xlfn.SINGLE(JobState)="WI","https://fema.maps.arcgis.com/apps/mapviewer/index.html?url=https%3A%2F%2Fservices5.arcgis.com%2F0pgGLzT0Nh7FVjon%2Farcgis%2Frest%2Fservices%2FFFCL_gdb%2FFeatureServer%2F3&amp;find="&amp;$F493&amp;"%2C"&amp;$E493&amp;"&amp;marker="&amp;$F493&amp;","&amp;$E493&amp;",4326&amp;level=16","https://fema.maps.arcgis.com/apps/mapviewer/index.html?find="&amp;$F493&amp;"%2C"&amp;$E493&amp;"&amp;marker="&amp;$F493&amp;","&amp;$E493&amp;",4326&amp;level=16"))),"Open"))</f>
        <v/>
      </c>
      <c r="T493" s="4"/>
      <c r="U493" s="4"/>
      <c r="V493" s="4"/>
      <c r="W493" s="4"/>
      <c r="X493" s="4"/>
      <c r="Y493" s="4"/>
      <c r="Z493" s="4"/>
      <c r="AA493" s="4"/>
      <c r="AB493" s="1" t="str">
        <f>IF(OR(_xlfn.SINGLE(JobAgolMap)="", $E493="", $F493=""),"",HYPERLINK(_xlfn.SINGLE(JobAgolMap)&amp;IF(ISNUMBER(FIND("?",_xlfn.SINGLE(JobAgolMap))),"&amp;","?")&amp;"center="&amp;$F493&amp;","&amp;$E493&amp;"&amp;level=16&amp;marker="&amp;$F493&amp;","&amp;$E493,"Open"))</f>
        <v/>
      </c>
    </row>
    <row r="494" spans="1:28" x14ac:dyDescent="0.45">
      <c r="A494" s="3"/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4"/>
      <c r="M494" s="1" t="str">
        <f t="shared" si="42"/>
        <v/>
      </c>
      <c r="N494" s="1" t="str">
        <f t="shared" si="43"/>
        <v/>
      </c>
      <c r="O494" s="1" t="str">
        <f t="shared" si="44"/>
        <v/>
      </c>
      <c r="P494" s="1" t="str">
        <f t="shared" si="45"/>
        <v/>
      </c>
      <c r="Q494" s="1" t="str">
        <f t="shared" si="46"/>
        <v/>
      </c>
      <c r="R494" s="1" t="str">
        <f t="shared" si="47"/>
        <v/>
      </c>
      <c r="S494" s="1" t="str">
        <f>IF(OR($E494="",$F494=""),"",HYPERLINK(IF(OR(_xlfn.SINGLE(JobState)="MI",_xlfn.SINGLE(JobState)=""),"https://fema.maps.arcgis.com/apps/mapviewer/index.html?url=https%3A%2F%2Fmdotgis.state.mi.us%2Farcgis%2Frest%2Fservices%2FWidget%2FNextGenPrFinderPub%2FFeatureServer%2F353&amp;find="&amp;$F494&amp;"%2C"&amp;$E494&amp;"&amp;marker="&amp;$F494&amp;","&amp;$E494&amp;",4326&amp;level=16",IF(_xlfn.SINGLE(JobState)="IN","https://fema.maps.arcgis.com/apps/mapviewer/index.html?url=https%3A%2F%2Fgisdata.in.gov%2Fserver%2Frest%2Fservices%2FHosted%2FLRSE_Functional_Class%2FFeatureServer%2F22&amp;find="&amp;$F494&amp;"%2C"&amp;$E494&amp;"&amp;marker="&amp;$F494&amp;","&amp;$E494&amp;",4326&amp;level=16",IF(_xlfn.SINGLE(JobState)="WI","https://fema.maps.arcgis.com/apps/mapviewer/index.html?url=https%3A%2F%2Fservices5.arcgis.com%2F0pgGLzT0Nh7FVjon%2Farcgis%2Frest%2Fservices%2FFFCL_gdb%2FFeatureServer%2F3&amp;find="&amp;$F494&amp;"%2C"&amp;$E494&amp;"&amp;marker="&amp;$F494&amp;","&amp;$E494&amp;",4326&amp;level=16","https://fema.maps.arcgis.com/apps/mapviewer/index.html?find="&amp;$F494&amp;"%2C"&amp;$E494&amp;"&amp;marker="&amp;$F494&amp;","&amp;$E494&amp;",4326&amp;level=16"))),"Open"))</f>
        <v/>
      </c>
      <c r="T494" s="4"/>
      <c r="U494" s="4"/>
      <c r="V494" s="4"/>
      <c r="W494" s="4"/>
      <c r="X494" s="4"/>
      <c r="Y494" s="4"/>
      <c r="Z494" s="4"/>
      <c r="AA494" s="4"/>
      <c r="AB494" s="1" t="str">
        <f>IF(OR(_xlfn.SINGLE(JobAgolMap)="", $E494="", $F494=""),"",HYPERLINK(_xlfn.SINGLE(JobAgolMap)&amp;IF(ISNUMBER(FIND("?",_xlfn.SINGLE(JobAgolMap))),"&amp;","?")&amp;"center="&amp;$F494&amp;","&amp;$E494&amp;"&amp;level=16&amp;marker="&amp;$F494&amp;","&amp;$E494,"Open"))</f>
        <v/>
      </c>
    </row>
    <row r="495" spans="1:28" x14ac:dyDescent="0.45">
      <c r="A495" s="3"/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4"/>
      <c r="M495" s="1" t="str">
        <f t="shared" si="42"/>
        <v/>
      </c>
      <c r="N495" s="1" t="str">
        <f t="shared" si="43"/>
        <v/>
      </c>
      <c r="O495" s="1" t="str">
        <f t="shared" si="44"/>
        <v/>
      </c>
      <c r="P495" s="1" t="str">
        <f t="shared" si="45"/>
        <v/>
      </c>
      <c r="Q495" s="1" t="str">
        <f t="shared" si="46"/>
        <v/>
      </c>
      <c r="R495" s="1" t="str">
        <f t="shared" si="47"/>
        <v/>
      </c>
      <c r="S495" s="1" t="str">
        <f>IF(OR($E495="",$F495=""),"",HYPERLINK(IF(OR(_xlfn.SINGLE(JobState)="MI",_xlfn.SINGLE(JobState)=""),"https://fema.maps.arcgis.com/apps/mapviewer/index.html?url=https%3A%2F%2Fmdotgis.state.mi.us%2Farcgis%2Frest%2Fservices%2FWidget%2FNextGenPrFinderPub%2FFeatureServer%2F353&amp;find="&amp;$F495&amp;"%2C"&amp;$E495&amp;"&amp;marker="&amp;$F495&amp;","&amp;$E495&amp;",4326&amp;level=16",IF(_xlfn.SINGLE(JobState)="IN","https://fema.maps.arcgis.com/apps/mapviewer/index.html?url=https%3A%2F%2Fgisdata.in.gov%2Fserver%2Frest%2Fservices%2FHosted%2FLRSE_Functional_Class%2FFeatureServer%2F22&amp;find="&amp;$F495&amp;"%2C"&amp;$E495&amp;"&amp;marker="&amp;$F495&amp;","&amp;$E495&amp;",4326&amp;level=16",IF(_xlfn.SINGLE(JobState)="WI","https://fema.maps.arcgis.com/apps/mapviewer/index.html?url=https%3A%2F%2Fservices5.arcgis.com%2F0pgGLzT0Nh7FVjon%2Farcgis%2Frest%2Fservices%2FFFCL_gdb%2FFeatureServer%2F3&amp;find="&amp;$F495&amp;"%2C"&amp;$E495&amp;"&amp;marker="&amp;$F495&amp;","&amp;$E495&amp;",4326&amp;level=16","https://fema.maps.arcgis.com/apps/mapviewer/index.html?find="&amp;$F495&amp;"%2C"&amp;$E495&amp;"&amp;marker="&amp;$F495&amp;","&amp;$E495&amp;",4326&amp;level=16"))),"Open"))</f>
        <v/>
      </c>
      <c r="T495" s="4"/>
      <c r="U495" s="4"/>
      <c r="V495" s="4"/>
      <c r="W495" s="4"/>
      <c r="X495" s="4"/>
      <c r="Y495" s="4"/>
      <c r="Z495" s="4"/>
      <c r="AA495" s="4"/>
      <c r="AB495" s="1" t="str">
        <f>IF(OR(_xlfn.SINGLE(JobAgolMap)="", $E495="", $F495=""),"",HYPERLINK(_xlfn.SINGLE(JobAgolMap)&amp;IF(ISNUMBER(FIND("?",_xlfn.SINGLE(JobAgolMap))),"&amp;","?")&amp;"center="&amp;$F495&amp;","&amp;$E495&amp;"&amp;level=16&amp;marker="&amp;$F495&amp;","&amp;$E495,"Open"))</f>
        <v/>
      </c>
    </row>
    <row r="496" spans="1:28" x14ac:dyDescent="0.45">
      <c r="A496" s="3"/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4"/>
      <c r="M496" s="1" t="str">
        <f t="shared" si="42"/>
        <v/>
      </c>
      <c r="N496" s="1" t="str">
        <f t="shared" si="43"/>
        <v/>
      </c>
      <c r="O496" s="1" t="str">
        <f t="shared" si="44"/>
        <v/>
      </c>
      <c r="P496" s="1" t="str">
        <f t="shared" si="45"/>
        <v/>
      </c>
      <c r="Q496" s="1" t="str">
        <f t="shared" si="46"/>
        <v/>
      </c>
      <c r="R496" s="1" t="str">
        <f t="shared" si="47"/>
        <v/>
      </c>
      <c r="S496" s="1" t="str">
        <f>IF(OR($E496="",$F496=""),"",HYPERLINK(IF(OR(_xlfn.SINGLE(JobState)="MI",_xlfn.SINGLE(JobState)=""),"https://fema.maps.arcgis.com/apps/mapviewer/index.html?url=https%3A%2F%2Fmdotgis.state.mi.us%2Farcgis%2Frest%2Fservices%2FWidget%2FNextGenPrFinderPub%2FFeatureServer%2F353&amp;find="&amp;$F496&amp;"%2C"&amp;$E496&amp;"&amp;marker="&amp;$F496&amp;","&amp;$E496&amp;",4326&amp;level=16",IF(_xlfn.SINGLE(JobState)="IN","https://fema.maps.arcgis.com/apps/mapviewer/index.html?url=https%3A%2F%2Fgisdata.in.gov%2Fserver%2Frest%2Fservices%2FHosted%2FLRSE_Functional_Class%2FFeatureServer%2F22&amp;find="&amp;$F496&amp;"%2C"&amp;$E496&amp;"&amp;marker="&amp;$F496&amp;","&amp;$E496&amp;",4326&amp;level=16",IF(_xlfn.SINGLE(JobState)="WI","https://fema.maps.arcgis.com/apps/mapviewer/index.html?url=https%3A%2F%2Fservices5.arcgis.com%2F0pgGLzT0Nh7FVjon%2Farcgis%2Frest%2Fservices%2FFFCL_gdb%2FFeatureServer%2F3&amp;find="&amp;$F496&amp;"%2C"&amp;$E496&amp;"&amp;marker="&amp;$F496&amp;","&amp;$E496&amp;",4326&amp;level=16","https://fema.maps.arcgis.com/apps/mapviewer/index.html?find="&amp;$F496&amp;"%2C"&amp;$E496&amp;"&amp;marker="&amp;$F496&amp;","&amp;$E496&amp;",4326&amp;level=16"))),"Open"))</f>
        <v/>
      </c>
      <c r="T496" s="4"/>
      <c r="U496" s="4"/>
      <c r="V496" s="4"/>
      <c r="W496" s="4"/>
      <c r="X496" s="4"/>
      <c r="Y496" s="4"/>
      <c r="Z496" s="4"/>
      <c r="AA496" s="4"/>
      <c r="AB496" s="1" t="str">
        <f>IF(OR(_xlfn.SINGLE(JobAgolMap)="", $E496="", $F496=""),"",HYPERLINK(_xlfn.SINGLE(JobAgolMap)&amp;IF(ISNUMBER(FIND("?",_xlfn.SINGLE(JobAgolMap))),"&amp;","?")&amp;"center="&amp;$F496&amp;","&amp;$E496&amp;"&amp;level=16&amp;marker="&amp;$F496&amp;","&amp;$E496,"Open"))</f>
        <v/>
      </c>
    </row>
    <row r="497" spans="1:28" x14ac:dyDescent="0.45">
      <c r="A497" s="3"/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4"/>
      <c r="M497" s="1" t="str">
        <f t="shared" si="42"/>
        <v/>
      </c>
      <c r="N497" s="1" t="str">
        <f t="shared" si="43"/>
        <v/>
      </c>
      <c r="O497" s="1" t="str">
        <f t="shared" si="44"/>
        <v/>
      </c>
      <c r="P497" s="1" t="str">
        <f t="shared" si="45"/>
        <v/>
      </c>
      <c r="Q497" s="1" t="str">
        <f t="shared" si="46"/>
        <v/>
      </c>
      <c r="R497" s="1" t="str">
        <f t="shared" si="47"/>
        <v/>
      </c>
      <c r="S497" s="1" t="str">
        <f>IF(OR($E497="",$F497=""),"",HYPERLINK(IF(OR(_xlfn.SINGLE(JobState)="MI",_xlfn.SINGLE(JobState)=""),"https://fema.maps.arcgis.com/apps/mapviewer/index.html?url=https%3A%2F%2Fmdotgis.state.mi.us%2Farcgis%2Frest%2Fservices%2FWidget%2FNextGenPrFinderPub%2FFeatureServer%2F353&amp;find="&amp;$F497&amp;"%2C"&amp;$E497&amp;"&amp;marker="&amp;$F497&amp;","&amp;$E497&amp;",4326&amp;level=16",IF(_xlfn.SINGLE(JobState)="IN","https://fema.maps.arcgis.com/apps/mapviewer/index.html?url=https%3A%2F%2Fgisdata.in.gov%2Fserver%2Frest%2Fservices%2FHosted%2FLRSE_Functional_Class%2FFeatureServer%2F22&amp;find="&amp;$F497&amp;"%2C"&amp;$E497&amp;"&amp;marker="&amp;$F497&amp;","&amp;$E497&amp;",4326&amp;level=16",IF(_xlfn.SINGLE(JobState)="WI","https://fema.maps.arcgis.com/apps/mapviewer/index.html?url=https%3A%2F%2Fservices5.arcgis.com%2F0pgGLzT0Nh7FVjon%2Farcgis%2Frest%2Fservices%2FFFCL_gdb%2FFeatureServer%2F3&amp;find="&amp;$F497&amp;"%2C"&amp;$E497&amp;"&amp;marker="&amp;$F497&amp;","&amp;$E497&amp;",4326&amp;level=16","https://fema.maps.arcgis.com/apps/mapviewer/index.html?find="&amp;$F497&amp;"%2C"&amp;$E497&amp;"&amp;marker="&amp;$F497&amp;","&amp;$E497&amp;",4326&amp;level=16"))),"Open"))</f>
        <v/>
      </c>
      <c r="T497" s="4"/>
      <c r="U497" s="4"/>
      <c r="V497" s="4"/>
      <c r="W497" s="4"/>
      <c r="X497" s="4"/>
      <c r="Y497" s="4"/>
      <c r="Z497" s="4"/>
      <c r="AA497" s="4"/>
      <c r="AB497" s="1" t="str">
        <f>IF(OR(_xlfn.SINGLE(JobAgolMap)="", $E497="", $F497=""),"",HYPERLINK(_xlfn.SINGLE(JobAgolMap)&amp;IF(ISNUMBER(FIND("?",_xlfn.SINGLE(JobAgolMap))),"&amp;","?")&amp;"center="&amp;$F497&amp;","&amp;$E497&amp;"&amp;level=16&amp;marker="&amp;$F497&amp;","&amp;$E497,"Open"))</f>
        <v/>
      </c>
    </row>
    <row r="498" spans="1:28" x14ac:dyDescent="0.45">
      <c r="A498" s="3"/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4"/>
      <c r="M498" s="1" t="str">
        <f t="shared" si="42"/>
        <v/>
      </c>
      <c r="N498" s="1" t="str">
        <f t="shared" si="43"/>
        <v/>
      </c>
      <c r="O498" s="1" t="str">
        <f t="shared" si="44"/>
        <v/>
      </c>
      <c r="P498" s="1" t="str">
        <f t="shared" si="45"/>
        <v/>
      </c>
      <c r="Q498" s="1" t="str">
        <f t="shared" si="46"/>
        <v/>
      </c>
      <c r="R498" s="1" t="str">
        <f t="shared" si="47"/>
        <v/>
      </c>
      <c r="S498" s="1" t="str">
        <f>IF(OR($E498="",$F498=""),"",HYPERLINK(IF(OR(_xlfn.SINGLE(JobState)="MI",_xlfn.SINGLE(JobState)=""),"https://fema.maps.arcgis.com/apps/mapviewer/index.html?url=https%3A%2F%2Fmdotgis.state.mi.us%2Farcgis%2Frest%2Fservices%2FWidget%2FNextGenPrFinderPub%2FFeatureServer%2F353&amp;find="&amp;$F498&amp;"%2C"&amp;$E498&amp;"&amp;marker="&amp;$F498&amp;","&amp;$E498&amp;",4326&amp;level=16",IF(_xlfn.SINGLE(JobState)="IN","https://fema.maps.arcgis.com/apps/mapviewer/index.html?url=https%3A%2F%2Fgisdata.in.gov%2Fserver%2Frest%2Fservices%2FHosted%2FLRSE_Functional_Class%2FFeatureServer%2F22&amp;find="&amp;$F498&amp;"%2C"&amp;$E498&amp;"&amp;marker="&amp;$F498&amp;","&amp;$E498&amp;",4326&amp;level=16",IF(_xlfn.SINGLE(JobState)="WI","https://fema.maps.arcgis.com/apps/mapviewer/index.html?url=https%3A%2F%2Fservices5.arcgis.com%2F0pgGLzT0Nh7FVjon%2Farcgis%2Frest%2Fservices%2FFFCL_gdb%2FFeatureServer%2F3&amp;find="&amp;$F498&amp;"%2C"&amp;$E498&amp;"&amp;marker="&amp;$F498&amp;","&amp;$E498&amp;",4326&amp;level=16","https://fema.maps.arcgis.com/apps/mapviewer/index.html?find="&amp;$F498&amp;"%2C"&amp;$E498&amp;"&amp;marker="&amp;$F498&amp;","&amp;$E498&amp;",4326&amp;level=16"))),"Open"))</f>
        <v/>
      </c>
      <c r="T498" s="4"/>
      <c r="U498" s="4"/>
      <c r="V498" s="4"/>
      <c r="W498" s="4"/>
      <c r="X498" s="4"/>
      <c r="Y498" s="4"/>
      <c r="Z498" s="4"/>
      <c r="AA498" s="4"/>
      <c r="AB498" s="1" t="str">
        <f>IF(OR(_xlfn.SINGLE(JobAgolMap)="", $E498="", $F498=""),"",HYPERLINK(_xlfn.SINGLE(JobAgolMap)&amp;IF(ISNUMBER(FIND("?",_xlfn.SINGLE(JobAgolMap))),"&amp;","?")&amp;"center="&amp;$F498&amp;","&amp;$E498&amp;"&amp;level=16&amp;marker="&amp;$F498&amp;","&amp;$E498,"Open"))</f>
        <v/>
      </c>
    </row>
    <row r="499" spans="1:28" x14ac:dyDescent="0.45">
      <c r="A499" s="3"/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4"/>
      <c r="M499" s="1" t="str">
        <f t="shared" si="42"/>
        <v/>
      </c>
      <c r="N499" s="1" t="str">
        <f t="shared" si="43"/>
        <v/>
      </c>
      <c r="O499" s="1" t="str">
        <f t="shared" si="44"/>
        <v/>
      </c>
      <c r="P499" s="1" t="str">
        <f t="shared" si="45"/>
        <v/>
      </c>
      <c r="Q499" s="1" t="str">
        <f t="shared" si="46"/>
        <v/>
      </c>
      <c r="R499" s="1" t="str">
        <f t="shared" si="47"/>
        <v/>
      </c>
      <c r="S499" s="1" t="str">
        <f>IF(OR($E499="",$F499=""),"",HYPERLINK(IF(OR(_xlfn.SINGLE(JobState)="MI",_xlfn.SINGLE(JobState)=""),"https://fema.maps.arcgis.com/apps/mapviewer/index.html?url=https%3A%2F%2Fmdotgis.state.mi.us%2Farcgis%2Frest%2Fservices%2FWidget%2FNextGenPrFinderPub%2FFeatureServer%2F353&amp;find="&amp;$F499&amp;"%2C"&amp;$E499&amp;"&amp;marker="&amp;$F499&amp;","&amp;$E499&amp;",4326&amp;level=16",IF(_xlfn.SINGLE(JobState)="IN","https://fema.maps.arcgis.com/apps/mapviewer/index.html?url=https%3A%2F%2Fgisdata.in.gov%2Fserver%2Frest%2Fservices%2FHosted%2FLRSE_Functional_Class%2FFeatureServer%2F22&amp;find="&amp;$F499&amp;"%2C"&amp;$E499&amp;"&amp;marker="&amp;$F499&amp;","&amp;$E499&amp;",4326&amp;level=16",IF(_xlfn.SINGLE(JobState)="WI","https://fema.maps.arcgis.com/apps/mapviewer/index.html?url=https%3A%2F%2Fservices5.arcgis.com%2F0pgGLzT0Nh7FVjon%2Farcgis%2Frest%2Fservices%2FFFCL_gdb%2FFeatureServer%2F3&amp;find="&amp;$F499&amp;"%2C"&amp;$E499&amp;"&amp;marker="&amp;$F499&amp;","&amp;$E499&amp;",4326&amp;level=16","https://fema.maps.arcgis.com/apps/mapviewer/index.html?find="&amp;$F499&amp;"%2C"&amp;$E499&amp;"&amp;marker="&amp;$F499&amp;","&amp;$E499&amp;",4326&amp;level=16"))),"Open"))</f>
        <v/>
      </c>
      <c r="T499" s="4"/>
      <c r="U499" s="4"/>
      <c r="V499" s="4"/>
      <c r="W499" s="4"/>
      <c r="X499" s="4"/>
      <c r="Y499" s="4"/>
      <c r="Z499" s="4"/>
      <c r="AA499" s="4"/>
      <c r="AB499" s="1" t="str">
        <f>IF(OR(_xlfn.SINGLE(JobAgolMap)="", $E499="", $F499=""),"",HYPERLINK(_xlfn.SINGLE(JobAgolMap)&amp;IF(ISNUMBER(FIND("?",_xlfn.SINGLE(JobAgolMap))),"&amp;","?")&amp;"center="&amp;$F499&amp;","&amp;$E499&amp;"&amp;level=16&amp;marker="&amp;$F499&amp;","&amp;$E499,"Open"))</f>
        <v/>
      </c>
    </row>
    <row r="500" spans="1:28" x14ac:dyDescent="0.45">
      <c r="A500" s="3"/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4"/>
      <c r="M500" s="1" t="str">
        <f t="shared" si="42"/>
        <v/>
      </c>
      <c r="N500" s="1" t="str">
        <f t="shared" si="43"/>
        <v/>
      </c>
      <c r="O500" s="1" t="str">
        <f t="shared" si="44"/>
        <v/>
      </c>
      <c r="P500" s="1" t="str">
        <f t="shared" si="45"/>
        <v/>
      </c>
      <c r="Q500" s="1" t="str">
        <f t="shared" si="46"/>
        <v/>
      </c>
      <c r="R500" s="1" t="str">
        <f t="shared" si="47"/>
        <v/>
      </c>
      <c r="S500" s="1" t="str">
        <f>IF(OR($E500="",$F500=""),"",HYPERLINK(IF(OR(_xlfn.SINGLE(JobState)="MI",_xlfn.SINGLE(JobState)=""),"https://fema.maps.arcgis.com/apps/mapviewer/index.html?url=https%3A%2F%2Fmdotgis.state.mi.us%2Farcgis%2Frest%2Fservices%2FWidget%2FNextGenPrFinderPub%2FFeatureServer%2F353&amp;find="&amp;$F500&amp;"%2C"&amp;$E500&amp;"&amp;marker="&amp;$F500&amp;","&amp;$E500&amp;",4326&amp;level=16",IF(_xlfn.SINGLE(JobState)="IN","https://fema.maps.arcgis.com/apps/mapviewer/index.html?url=https%3A%2F%2Fgisdata.in.gov%2Fserver%2Frest%2Fservices%2FHosted%2FLRSE_Functional_Class%2FFeatureServer%2F22&amp;find="&amp;$F500&amp;"%2C"&amp;$E500&amp;"&amp;marker="&amp;$F500&amp;","&amp;$E500&amp;",4326&amp;level=16",IF(_xlfn.SINGLE(JobState)="WI","https://fema.maps.arcgis.com/apps/mapviewer/index.html?url=https%3A%2F%2Fservices5.arcgis.com%2F0pgGLzT0Nh7FVjon%2Farcgis%2Frest%2Fservices%2FFFCL_gdb%2FFeatureServer%2F3&amp;find="&amp;$F500&amp;"%2C"&amp;$E500&amp;"&amp;marker="&amp;$F500&amp;","&amp;$E500&amp;",4326&amp;level=16","https://fema.maps.arcgis.com/apps/mapviewer/index.html?find="&amp;$F500&amp;"%2C"&amp;$E500&amp;"&amp;marker="&amp;$F500&amp;","&amp;$E500&amp;",4326&amp;level=16"))),"Open"))</f>
        <v/>
      </c>
      <c r="T500" s="4"/>
      <c r="U500" s="4"/>
      <c r="V500" s="4"/>
      <c r="W500" s="4"/>
      <c r="X500" s="4"/>
      <c r="Y500" s="4"/>
      <c r="Z500" s="4"/>
      <c r="AA500" s="4"/>
      <c r="AB500" s="1" t="str">
        <f>IF(OR(_xlfn.SINGLE(JobAgolMap)="", $E500="", $F500=""),"",HYPERLINK(_xlfn.SINGLE(JobAgolMap)&amp;IF(ISNUMBER(FIND("?",_xlfn.SINGLE(JobAgolMap))),"&amp;","?")&amp;"center="&amp;$F500&amp;","&amp;$E500&amp;"&amp;level=16&amp;marker="&amp;$F500&amp;","&amp;$E500,"Open"))</f>
        <v/>
      </c>
    </row>
    <row r="501" spans="1:28" x14ac:dyDescent="0.45">
      <c r="A501" s="3"/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4"/>
      <c r="M501" s="1" t="str">
        <f t="shared" si="42"/>
        <v/>
      </c>
      <c r="N501" s="1" t="str">
        <f t="shared" si="43"/>
        <v/>
      </c>
      <c r="O501" s="1" t="str">
        <f t="shared" si="44"/>
        <v/>
      </c>
      <c r="P501" s="1" t="str">
        <f t="shared" si="45"/>
        <v/>
      </c>
      <c r="Q501" s="1" t="str">
        <f t="shared" si="46"/>
        <v/>
      </c>
      <c r="R501" s="1" t="str">
        <f t="shared" si="47"/>
        <v/>
      </c>
      <c r="S501" s="1" t="str">
        <f>IF(OR($E501="",$F501=""),"",HYPERLINK(IF(OR(_xlfn.SINGLE(JobState)="MI",_xlfn.SINGLE(JobState)=""),"https://fema.maps.arcgis.com/apps/mapviewer/index.html?url=https%3A%2F%2Fmdotgis.state.mi.us%2Farcgis%2Frest%2Fservices%2FWidget%2FNextGenPrFinderPub%2FFeatureServer%2F353&amp;find="&amp;$F501&amp;"%2C"&amp;$E501&amp;"&amp;marker="&amp;$F501&amp;","&amp;$E501&amp;",4326&amp;level=16",IF(_xlfn.SINGLE(JobState)="IN","https://fema.maps.arcgis.com/apps/mapviewer/index.html?url=https%3A%2F%2Fgisdata.in.gov%2Fserver%2Frest%2Fservices%2FHosted%2FLRSE_Functional_Class%2FFeatureServer%2F22&amp;find="&amp;$F501&amp;"%2C"&amp;$E501&amp;"&amp;marker="&amp;$F501&amp;","&amp;$E501&amp;",4326&amp;level=16",IF(_xlfn.SINGLE(JobState)="WI","https://fema.maps.arcgis.com/apps/mapviewer/index.html?url=https%3A%2F%2Fservices5.arcgis.com%2F0pgGLzT0Nh7FVjon%2Farcgis%2Frest%2Fservices%2FFFCL_gdb%2FFeatureServer%2F3&amp;find="&amp;$F501&amp;"%2C"&amp;$E501&amp;"&amp;marker="&amp;$F501&amp;","&amp;$E501&amp;",4326&amp;level=16","https://fema.maps.arcgis.com/apps/mapviewer/index.html?find="&amp;$F501&amp;"%2C"&amp;$E501&amp;"&amp;marker="&amp;$F501&amp;","&amp;$E501&amp;",4326&amp;level=16"))),"Open"))</f>
        <v/>
      </c>
      <c r="T501" s="4"/>
      <c r="U501" s="4"/>
      <c r="V501" s="4"/>
      <c r="W501" s="4"/>
      <c r="X501" s="4"/>
      <c r="Y501" s="4"/>
      <c r="Z501" s="4"/>
      <c r="AA501" s="4"/>
      <c r="AB501" s="1" t="str">
        <f>IF(OR(_xlfn.SINGLE(JobAgolMap)="", $E501="", $F501=""),"",HYPERLINK(_xlfn.SINGLE(JobAgolMap)&amp;IF(ISNUMBER(FIND("?",_xlfn.SINGLE(JobAgolMap))),"&amp;","?")&amp;"center="&amp;$F501&amp;","&amp;$E501&amp;"&amp;level=16&amp;marker="&amp;$F501&amp;","&amp;$E501,"Open"))</f>
        <v/>
      </c>
    </row>
    <row r="502" spans="1:28" x14ac:dyDescent="0.45">
      <c r="A502" s="3"/>
      <c r="B502" s="3"/>
      <c r="C502" s="3"/>
      <c r="D502" s="3"/>
      <c r="E502" s="3"/>
      <c r="F502" s="3"/>
      <c r="G502" s="3"/>
      <c r="H502" s="3"/>
      <c r="I502" s="3"/>
      <c r="J502" s="3"/>
      <c r="K502" s="3"/>
      <c r="L502" s="4"/>
      <c r="M502" s="1" t="str">
        <f t="shared" si="42"/>
        <v/>
      </c>
      <c r="N502" s="1" t="str">
        <f t="shared" si="43"/>
        <v/>
      </c>
      <c r="O502" s="1" t="str">
        <f t="shared" si="44"/>
        <v/>
      </c>
      <c r="P502" s="1" t="str">
        <f t="shared" si="45"/>
        <v/>
      </c>
      <c r="Q502" s="1" t="str">
        <f t="shared" si="46"/>
        <v/>
      </c>
      <c r="R502" s="1" t="str">
        <f t="shared" si="47"/>
        <v/>
      </c>
      <c r="S502" s="1" t="str">
        <f>IF(OR($E502="",$F502=""),"",HYPERLINK(IF(OR(_xlfn.SINGLE(JobState)="MI",_xlfn.SINGLE(JobState)=""),"https://fema.maps.arcgis.com/apps/mapviewer/index.html?url=https%3A%2F%2Fmdotgis.state.mi.us%2Farcgis%2Frest%2Fservices%2FWidget%2FNextGenPrFinderPub%2FFeatureServer%2F353&amp;find="&amp;$F502&amp;"%2C"&amp;$E502&amp;"&amp;marker="&amp;$F502&amp;","&amp;$E502&amp;",4326&amp;level=16",IF(_xlfn.SINGLE(JobState)="IN","https://fema.maps.arcgis.com/apps/mapviewer/index.html?url=https%3A%2F%2Fgisdata.in.gov%2Fserver%2Frest%2Fservices%2FHosted%2FLRSE_Functional_Class%2FFeatureServer%2F22&amp;find="&amp;$F502&amp;"%2C"&amp;$E502&amp;"&amp;marker="&amp;$F502&amp;","&amp;$E502&amp;",4326&amp;level=16",IF(_xlfn.SINGLE(JobState)="WI","https://fema.maps.arcgis.com/apps/mapviewer/index.html?url=https%3A%2F%2Fservices5.arcgis.com%2F0pgGLzT0Nh7FVjon%2Farcgis%2Frest%2Fservices%2FFFCL_gdb%2FFeatureServer%2F3&amp;find="&amp;$F502&amp;"%2C"&amp;$E502&amp;"&amp;marker="&amp;$F502&amp;","&amp;$E502&amp;",4326&amp;level=16","https://fema.maps.arcgis.com/apps/mapviewer/index.html?find="&amp;$F502&amp;"%2C"&amp;$E502&amp;"&amp;marker="&amp;$F502&amp;","&amp;$E502&amp;",4326&amp;level=16"))),"Open"))</f>
        <v/>
      </c>
      <c r="T502" s="4"/>
      <c r="U502" s="4"/>
      <c r="V502" s="4"/>
      <c r="W502" s="4"/>
      <c r="X502" s="4"/>
      <c r="Y502" s="4"/>
      <c r="Z502" s="4"/>
      <c r="AA502" s="4"/>
      <c r="AB502" s="1" t="str">
        <f>IF(OR(_xlfn.SINGLE(JobAgolMap)="", $E502="", $F502=""),"",HYPERLINK(_xlfn.SINGLE(JobAgolMap)&amp;IF(ISNUMBER(FIND("?",_xlfn.SINGLE(JobAgolMap))),"&amp;","?")&amp;"center="&amp;$F502&amp;","&amp;$E502&amp;"&amp;level=16&amp;marker="&amp;$F502&amp;","&amp;$E502,"Open"))</f>
        <v/>
      </c>
    </row>
  </sheetData>
  <autoFilter ref="A2:AB2" xr:uid="{AF8FEF13-E66A-4A33-9794-61AD0BCE1B25}"/>
  <conditionalFormatting sqref="T3:Y502">
    <cfRule type="expression" dxfId="2" priority="1" stopIfTrue="1">
      <formula>LEFT($Y3,15)="Non-federal aid"</formula>
    </cfRule>
    <cfRule type="expression" dxfId="1" priority="2" stopIfTrue="1">
      <formula>LEFT($Y3,11)="Federal aid"</formula>
    </cfRule>
    <cfRule type="expression" dxfId="0" priority="3" stopIfTrue="1">
      <formula>LEFT($Y3,6)="Review"</formula>
    </cfRule>
  </conditionalFormatting>
  <dataValidations count="2">
    <dataValidation type="decimal" allowBlank="1" showInputMessage="1" showErrorMessage="1" error="Latitude must be between -90 and 90." sqref="E3:E502" xr:uid="{4FE4FC94-2953-46EF-B8CD-C48F85DF55B9}">
      <formula1>-90</formula1>
      <formula2>90</formula2>
    </dataValidation>
    <dataValidation type="decimal" allowBlank="1" showInputMessage="1" showErrorMessage="1" error="Longitude must be between -180 and 180." sqref="F3:F502" xr:uid="{7DB0CCD7-EC3D-4246-B4F9-2D35E24E4E7A}">
      <formula1>-180</formula1>
      <formula2>180</formula2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A3DFCA-591D-4C13-99C5-8F77EFEC4076}">
  <sheetPr>
    <tabColor rgb="FF787878"/>
  </sheetPr>
  <dimension ref="B2:B47"/>
  <sheetViews>
    <sheetView showGridLines="0" workbookViewId="0"/>
  </sheetViews>
  <sheetFormatPr defaultRowHeight="14.25" x14ac:dyDescent="0.45"/>
  <cols>
    <col min="1" max="1" width="2.59765625" customWidth="1"/>
    <col min="2" max="2" width="120.59765625" customWidth="1"/>
  </cols>
  <sheetData>
    <row r="2" spans="2:2" ht="19.5" x14ac:dyDescent="0.6">
      <c r="B2" s="5" t="s">
        <v>28</v>
      </c>
    </row>
    <row r="3" spans="2:2" ht="42.75" x14ac:dyDescent="0.45">
      <c r="B3" s="6" t="s">
        <v>29</v>
      </c>
    </row>
    <row r="5" spans="2:2" ht="15.75" x14ac:dyDescent="0.5">
      <c r="B5" s="7" t="s">
        <v>30</v>
      </c>
    </row>
    <row r="6" spans="2:2" ht="26.25" x14ac:dyDescent="0.45">
      <c r="B6" s="8" t="s">
        <v>31</v>
      </c>
    </row>
    <row r="7" spans="2:2" ht="26.25" x14ac:dyDescent="0.45">
      <c r="B7" s="8" t="s">
        <v>32</v>
      </c>
    </row>
    <row r="8" spans="2:2" ht="15.75" x14ac:dyDescent="0.5">
      <c r="B8" s="7" t="s">
        <v>33</v>
      </c>
    </row>
    <row r="9" spans="2:2" ht="26.25" x14ac:dyDescent="0.45">
      <c r="B9" s="8" t="s">
        <v>34</v>
      </c>
    </row>
    <row r="10" spans="2:2" ht="26.25" x14ac:dyDescent="0.45">
      <c r="B10" s="8" t="s">
        <v>35</v>
      </c>
    </row>
    <row r="11" spans="2:2" ht="15.75" x14ac:dyDescent="0.5">
      <c r="B11" s="7" t="s">
        <v>36</v>
      </c>
    </row>
    <row r="12" spans="2:2" ht="26.25" x14ac:dyDescent="0.45">
      <c r="B12" s="8" t="s">
        <v>37</v>
      </c>
    </row>
    <row r="13" spans="2:2" ht="26.25" x14ac:dyDescent="0.45">
      <c r="B13" s="8" t="s">
        <v>38</v>
      </c>
    </row>
    <row r="14" spans="2:2" ht="15.75" x14ac:dyDescent="0.5">
      <c r="B14" s="7" t="s">
        <v>39</v>
      </c>
    </row>
    <row r="15" spans="2:2" ht="26.25" x14ac:dyDescent="0.45">
      <c r="B15" s="8" t="s">
        <v>40</v>
      </c>
    </row>
    <row r="16" spans="2:2" ht="26.25" x14ac:dyDescent="0.45">
      <c r="B16" s="8" t="s">
        <v>41</v>
      </c>
    </row>
    <row r="17" spans="2:2" ht="15.75" x14ac:dyDescent="0.5">
      <c r="B17" s="7" t="s">
        <v>42</v>
      </c>
    </row>
    <row r="18" spans="2:2" ht="26.25" x14ac:dyDescent="0.45">
      <c r="B18" s="8" t="s">
        <v>43</v>
      </c>
    </row>
    <row r="19" spans="2:2" ht="26.25" x14ac:dyDescent="0.45">
      <c r="B19" s="8" t="s">
        <v>44</v>
      </c>
    </row>
    <row r="20" spans="2:2" ht="15.75" x14ac:dyDescent="0.5">
      <c r="B20" s="7" t="s">
        <v>45</v>
      </c>
    </row>
    <row r="21" spans="2:2" x14ac:dyDescent="0.45">
      <c r="B21" s="8" t="s">
        <v>46</v>
      </c>
    </row>
    <row r="22" spans="2:2" ht="26.25" x14ac:dyDescent="0.45">
      <c r="B22" s="8" t="s">
        <v>47</v>
      </c>
    </row>
    <row r="23" spans="2:2" ht="15.75" x14ac:dyDescent="0.5">
      <c r="B23" s="7" t="s">
        <v>48</v>
      </c>
    </row>
    <row r="24" spans="2:2" ht="26.25" x14ac:dyDescent="0.45">
      <c r="B24" s="8" t="s">
        <v>49</v>
      </c>
    </row>
    <row r="25" spans="2:2" ht="26.25" x14ac:dyDescent="0.45">
      <c r="B25" s="8" t="s">
        <v>50</v>
      </c>
    </row>
    <row r="26" spans="2:2" ht="26.25" x14ac:dyDescent="0.45">
      <c r="B26" s="8" t="s">
        <v>51</v>
      </c>
    </row>
    <row r="27" spans="2:2" ht="26.25" x14ac:dyDescent="0.45">
      <c r="B27" s="8" t="s">
        <v>52</v>
      </c>
    </row>
    <row r="29" spans="2:2" ht="19.5" x14ac:dyDescent="0.6">
      <c r="B29" s="5" t="s">
        <v>53</v>
      </c>
    </row>
    <row r="30" spans="2:2" ht="15.75" x14ac:dyDescent="0.5">
      <c r="B30" s="7" t="s">
        <v>54</v>
      </c>
    </row>
    <row r="31" spans="2:2" ht="42.75" x14ac:dyDescent="0.45">
      <c r="B31" s="6" t="s">
        <v>55</v>
      </c>
    </row>
    <row r="32" spans="2:2" ht="15.75" x14ac:dyDescent="0.5">
      <c r="B32" s="7" t="s">
        <v>56</v>
      </c>
    </row>
    <row r="33" spans="2:2" ht="42.75" x14ac:dyDescent="0.45">
      <c r="B33" s="6" t="s">
        <v>57</v>
      </c>
    </row>
    <row r="34" spans="2:2" ht="15.75" x14ac:dyDescent="0.5">
      <c r="B34" s="7" t="s">
        <v>58</v>
      </c>
    </row>
    <row r="35" spans="2:2" ht="57" x14ac:dyDescent="0.45">
      <c r="B35" s="6" t="s">
        <v>59</v>
      </c>
    </row>
    <row r="36" spans="2:2" ht="15.75" x14ac:dyDescent="0.5">
      <c r="B36" s="7" t="s">
        <v>60</v>
      </c>
    </row>
    <row r="37" spans="2:2" ht="28.5" x14ac:dyDescent="0.45">
      <c r="B37" s="6" t="s">
        <v>61</v>
      </c>
    </row>
    <row r="38" spans="2:2" ht="15.75" x14ac:dyDescent="0.5">
      <c r="B38" s="7" t="s">
        <v>62</v>
      </c>
    </row>
    <row r="39" spans="2:2" ht="28.5" x14ac:dyDescent="0.45">
      <c r="B39" s="6" t="s">
        <v>63</v>
      </c>
    </row>
    <row r="40" spans="2:2" ht="15.75" x14ac:dyDescent="0.5">
      <c r="B40" s="7" t="s">
        <v>64</v>
      </c>
    </row>
    <row r="41" spans="2:2" ht="42.75" x14ac:dyDescent="0.45">
      <c r="B41" s="6" t="s">
        <v>65</v>
      </c>
    </row>
    <row r="42" spans="2:2" ht="15.75" x14ac:dyDescent="0.5">
      <c r="B42" s="7" t="s">
        <v>66</v>
      </c>
    </row>
    <row r="43" spans="2:2" ht="28.5" x14ac:dyDescent="0.45">
      <c r="B43" s="6" t="s">
        <v>67</v>
      </c>
    </row>
    <row r="44" spans="2:2" ht="15.75" x14ac:dyDescent="0.5">
      <c r="B44" s="7" t="s">
        <v>68</v>
      </c>
    </row>
    <row r="45" spans="2:2" ht="28.5" x14ac:dyDescent="0.45">
      <c r="B45" s="6" t="s">
        <v>69</v>
      </c>
    </row>
    <row r="47" spans="2:2" x14ac:dyDescent="0.45">
      <c r="B47" s="6" t="s">
        <v>70</v>
      </c>
    </row>
  </sheetData>
  <hyperlinks>
    <hyperlink ref="B6" r:id="rId1" xr:uid="{51404BE4-6FB8-4781-9E52-5D9FA11233C0}"/>
    <hyperlink ref="B7" r:id="rId2" display="    Michigan Department of Transportation, Functional System, ArcGIS REST feature service layer 353 (NextGen PR Finder; road names from companion layer 543) - queried by this tool, available at: https://mdotgis.state.mi.us/arcgis/rest/services/Widget/NextGenPrFinderPub/FeatureServer/353" xr:uid="{F21CC53E-59CE-4272-99D9-4C7F7B53FEEF}"/>
    <hyperlink ref="B9" r:id="rId3" xr:uid="{293530BA-DFC7-4F69-AB8C-3CA93BC43059}"/>
    <hyperlink ref="B10" r:id="rId4" display="    Indiana Department of Transportation, LRSE_Functional_Class, ArcGIS REST feature service layer 22 (road names from the 2021 centerlines layer) - queried by this tool, available at: https://gisdata.in.gov/server/rest/services/Hosted/LRSE_Functional_Class/FeatureServer/22" xr:uid="{9D59188E-3C6D-40B5-B355-AB6BA7F1062A}"/>
    <hyperlink ref="B12" r:id="rId5" display="    Wisconsin Department of Transportation, Functional Classification (official page; static county and urban-area PDF maps - WisDOT publishes no statewide interactive map), available at: https://wisconsindot.gov/Pages/projects/data-plan/plan-res/function.aspx" xr:uid="{F2A0AE75-5EAD-4AD3-B913-1A8184BD123C}"/>
    <hyperlink ref="B13" r:id="rId6" display="    Wisconsin Department of Transportation, Functional Class - State Trunk Network, ArcGIS REST feature service layer 3 (local roads from the Flood Damage Assessment snapshot, layer 1) - queried by this tool, available at: https://services5.arcgis.com/0pgGLzT0Nh7FVjon/arcgis/rest/services/FFCL_gdb/FeatureServer/3" xr:uid="{D95E97D7-77DD-416A-9844-8EA39FA8F86D}"/>
    <hyperlink ref="B15" r:id="rId7" xr:uid="{E7618AA7-0249-4A51-882F-F07A380B03C7}"/>
    <hyperlink ref="B16" r:id="rId8" xr:uid="{75E4E269-A25A-4645-AE94-F75747800657}"/>
    <hyperlink ref="B18" r:id="rId9" xr:uid="{B24E51E3-28B1-4C5F-94F1-D1553CC2204A}"/>
    <hyperlink ref="B19" r:id="rId10" xr:uid="{44A78474-0F0A-4DCC-A85D-3813A83BE6A9}"/>
    <hyperlink ref="B21" r:id="rId11" xr:uid="{14450ABD-4B36-4B0A-B154-94F3225B292F}"/>
    <hyperlink ref="B22" r:id="rId12" xr:uid="{FF7956CF-9946-440D-93BC-6162663C8633}"/>
    <hyperlink ref="B24" r:id="rId13" display="    U.S. Department of Transportation, Bureau of Transportation Statistics, 2020 Adjusted Urban Area Boundaries (National Transportation Atlas Database) - the urban/rural source for every state, available at: https://services.arcgis.com/xOi1kZaI0eWDREZv/arcgis/rest/services/NTAD_Adjusted_Urban_Areas/FeatureServer/0" xr:uid="{DAFEAF59-F7CC-4358-8C61-84A50407307E}"/>
    <hyperlink ref="B25" r:id="rId14" xr:uid="{BDF6EF50-715B-4D91-9C2F-2477DDCF47A0}"/>
    <hyperlink ref="B26" r:id="rId15" xr:uid="{591DAD8A-DEFE-4D22-9364-D725F924D2BA}"/>
    <hyperlink ref="B27" r:id="rId16" xr:uid="{C31255D9-3057-4474-B2B2-DF814A92680F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Start Here</vt:lpstr>
      <vt:lpstr>Sites</vt:lpstr>
      <vt:lpstr>Sources</vt:lpstr>
      <vt:lpstr>JobAgolMap</vt:lpstr>
      <vt:lpstr>JobBufferFeet</vt:lpstr>
      <vt:lpstr>JobOutputFolder</vt:lpstr>
      <vt:lpstr>JobState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Caleb Smith</dc:creator>
  <cp:lastModifiedBy>Caleb Smith</cp:lastModifiedBy>
  <dcterms:created xsi:type="dcterms:W3CDTF">2026-07-06T04:13:50Z</dcterms:created>
  <dcterms:modified xsi:type="dcterms:W3CDTF">2026-07-06T04:13:51Z</dcterms:modified>
</cp:coreProperties>
</file>