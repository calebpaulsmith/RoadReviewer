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FB8DBBF2-812D-4E2E-8FE2-AB5EE17BB243}" xr6:coauthVersionLast="47" xr6:coauthVersionMax="47" xr10:uidLastSave="{B829D031-9170-49EA-B56F-A7C85F0B94E0}"/>
  <bookViews>
    <workbookView xWindow="-98" yWindow="-98" windowWidth="21795" windowHeight="12975" xr2:uid="{BB66E1A4-A709-4612-B444-DC736DA9E08A}"/>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Here'!$C$29</definedName>
    <definedName name="JobState">'Start Here'!$C$18</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4"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<sst xmlns="http://schemas.openxmlformats.org/spreadsheetml/2006/main" count="109" uniqueCount="108">
  <si>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</si>
  <si>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</si>
  <si>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</si>
  <si>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</si>
  <si>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</si>
  <si>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</si>
  <si>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</si>
  <si>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</si>
  <si>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</si>
  <si>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</si>
  <si>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</si>
  <si>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</si>
  <si>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</si>
  <si>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</si>
  <si>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</si>
  <si>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</si>
  <si>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</si>
  <si>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</si>
  <si>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</si>
  <si>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</si>
  <si>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</si>
  <si>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</si>
  <si>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</si>
  <si>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</si>
  <si>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</si>
  <si>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</si>
  <si>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</si>
  <si>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</si>
  <si>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</si>
  <si>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</si>
  <si>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</si>
  <si>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</si>
  <si>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</si>
  <si>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</si>
  <si>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</si>
  <si>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</si>
  <si>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</si>
  <si>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</si>
  <si>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</si>
  <si>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</si>
  <si>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</si>
  <si>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</si>
  <si>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</si>
  <si>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</si>
  <si>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</si>
  <si>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</si>
  <si>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</si>
  <si>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</si>
  <si>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</si>
  <si>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</si>
  <si>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</si>
  <si>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</si>
  <si>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</si>
  <si>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</si>
  <si>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</si>
  <si>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</si>
  <si>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</si>
  <si>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</si>
  <si>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</si>
  <si>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</si>
  <si>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</si>
  <si>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</si>
  <si>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</si>
  <si>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</si>
  <si>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</si>
  <si>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</si>
  <si>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</si>
  <si>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</si>
  <si>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</si>
  <si>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</si>
  <si>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</si>
  <si>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</si>
  <si>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</si>
  <si>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</si>
  <si>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</si>
  <si>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</si>
  <si>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</si>
  <si>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</si>
  <si>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</si>
  <si>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</si>
  <si>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</si>
  <si>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</si>
  <si>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</si>
  <si>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</si>
  <si>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</si>
  <si>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</si>
  <si>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</si>
  <si>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</si>
  <si>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#33.</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</si>
  <si>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</si>
  <si>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</si>
  <si>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</si>
  <si>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</si>
  <si>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</si>
  <si>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</si>
  <si>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</si>
  <si>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</si>
  <si>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</si>
  <si>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</si>
  <si>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</si>
  <si>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FHWA search buffer (feet)  *</t>
  </si>
  <si>
    <t>*  Search buffer is how far to look for a road / urban boundary when the exact point misses. 250 ft is a good default.</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</si>
  <si>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</si>
  <si>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</si>
  <si>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</si>
  <si>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</si>
  <si>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</si>
  <si>
    <t>RoadReviewer  -  PR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</si>
</sst>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
      <i/>
      <sz val="9"/>
      <color rgb="FF787878"/>
      <name val="Aptos Narrow"/>
      <family val="2"/>
      <scheme val="minor"/>
    </font>
    <font>
      <sz val="9"/>
      <color rgb="FF828282"/>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5">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16" fillId="5" borderId="3" xfId="0" applyFont="1" applyFill="1" applyBorder="1"/>
    <xf numFmtId="0" fontId="0" fillId="5" borderId="3" xfId="0" applyFill="1" applyBorder="1"/>
    <xf numFmtId="0" fontId="0" fillId="3" borderId="4" xfId="0" applyFill="1" applyBorder="1" applyAlignment="1">
      <alignment horizontal="right"/>
    </xf>
    <xf numFmtId="0" fontId="19" fillId="5" borderId="0" xfId="0" applyFont="1" applyFill="1"/>
    <xf numFmtId="0" fontId="13" fillId="3" borderId="4" xfId="0" applyFont="1" applyFill="1" applyBorder="1" applyAlignment="1">
      <alignment horizontal="right"/>
    </xf>
    <xf numFmtId="0" fontId="13" fillId="5" borderId="0" xfId="0" applyFont="1" applyFill="1" applyAlignment="1">
      <alignment horizontal="left" vertical="top" wrapText="1" indent="1"/>
    </xf>
    <xf numFmtId="0" fontId="0" fillId="5" borderId="0" xfId="0" applyFill="1" applyAlignment="1">
      <alignment horizontal="left" vertical="top" wrapText="1" inden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7" fillId="5" borderId="0" xfId="0" applyFont="1" applyFill="1" applyAlignment="1">
      <alignment horizontal="left" vertical="top" wrapText="1" indent="1"/>
    </xf>
    <xf numFmtId="0" fontId="18"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Style="combo" dx="39" noThreeD="1" sel="1" val="0">
  <itemLst>
    <item val="Sites Table (CSV)"/>
    <item val="Sites to KML"/>
    <item val="Sites to GeoJSON"/>
    <item val="Combined Map PDF"/>
    <item val="Download FIRMettes"/>
    <item val="Re-run Failed FIRMettes"/>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4E370A68-0EA9-741C-C8A7-BA3F94CA508B}"/>
            </a:ext>
          </a:extLst>
        </xdr:cNvPr>
        <xdr:cNvSpPr/>
      </xdr:nvSpPr>
      <xdr:spPr>
        <a:xfrm>
          <a:off x="1828800" y="63849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E1041807-3E9D-547F-CE76-22960F3E2093}"/>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1D749A0B-FD1F-1ED7-4212-9D7B7E199224}"/>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B40AAEAD-C2C5-CA2B-A82E-3FA23265A5EE}"/>
            </a:ext>
          </a:extLst>
        </xdr:cNvPr>
        <xdr:cNvSpPr/>
      </xdr:nvSpPr>
      <xdr:spPr>
        <a:xfrm>
          <a:off x="4216400" y="67341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E0386B2F-7997-0929-CA4E-6002FDFA2259}"/>
            </a:ext>
          </a:extLst>
        </xdr:cNvPr>
        <xdr:cNvSpPr/>
      </xdr:nvSpPr>
      <xdr:spPr>
        <a:xfrm>
          <a:off x="304800" y="79486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ADEE39D2-F23A-2F11-5D72-B1CA8A87CEEB}"/>
            </a:ext>
          </a:extLst>
        </xdr:cNvPr>
        <xdr:cNvSpPr/>
      </xdr:nvSpPr>
      <xdr:spPr>
        <a:xfrm>
          <a:off x="3098800" y="79486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AD31-22EC-4F75-B2D1-E3F26BFC9D0E}">
  <sheetPr>
    <tabColor rgb="FF2F4F4F"/>
  </sheetPr>
  <dimension ref="B2:C41"/>
  <sheetViews>
    <sheetView showGridLines="0" tabSelected="1" workbookViewId="0"/>
  </sheetViews>
  <sheetFormatPr defaultRowHeight="14.25" x14ac:dyDescent="0.45"/>
  <cols>
    <col min="1" max="1" width="2.59765625" style="15" customWidth="1"/>
    <col min="2" max="2" width="32.59765625" style="15" customWidth="1"/>
    <col min="3" max="3" width="52.59765625" style="15" customWidth="1"/>
    <col min="4" max="16384" width="9.06640625" style="15"/>
  </cols>
  <sheetData>
    <row r="2" spans="2:3" ht="26.65" x14ac:dyDescent="0.85">
      <c r="B2" s="16" t="s">
        <v>90</v>
      </c>
    </row>
    <row r="3" spans="2:3" x14ac:dyDescent="0.45">
      <c r="B3" s="17" t="s">
        <v>91</v>
      </c>
    </row>
    <row r="4" spans="2:3" ht="14.65" thickBot="1" x14ac:dyDescent="0.5"/>
    <row r="5" spans="2:3" ht="21" customHeight="1" thickBot="1" x14ac:dyDescent="0.5">
      <c r="B5" s="26" t="s">
        <v>92</v>
      </c>
      <c r="C5" s="27"/>
    </row>
    <row r="6" spans="2:3" ht="21" customHeight="1" thickBot="1" x14ac:dyDescent="0.5">
      <c r="B6" s="27"/>
      <c r="C6" s="27"/>
    </row>
    <row r="7" spans="2:3" ht="21" customHeight="1" thickBot="1" x14ac:dyDescent="0.5">
      <c r="B7" s="27"/>
      <c r="C7" s="27"/>
    </row>
    <row r="8" spans="2:3" ht="21" customHeight="1" thickBot="1" x14ac:dyDescent="0.5">
      <c r="B8" s="27"/>
      <c r="C8" s="27"/>
    </row>
    <row r="10" spans="2:3" ht="22.05" customHeight="1" x14ac:dyDescent="0.55000000000000004">
      <c r="B10" s="19" t="s">
        <v>93</v>
      </c>
      <c r="C10" s="20"/>
    </row>
    <row r="12" spans="2:3" ht="17" customHeight="1" x14ac:dyDescent="0.45">
      <c r="B12" s="28" t="s">
        <v>94</v>
      </c>
      <c r="C12" s="25"/>
    </row>
    <row r="13" spans="2:3" ht="17" customHeight="1" x14ac:dyDescent="0.45">
      <c r="B13" s="28" t="s">
        <v>95</v>
      </c>
      <c r="C13" s="25"/>
    </row>
    <row r="14" spans="2:3" ht="32" customHeight="1" x14ac:dyDescent="0.45">
      <c r="B14" s="28" t="s">
        <v>96</v>
      </c>
      <c r="C14" s="25"/>
    </row>
    <row r="16" spans="2:3" ht="22.05" customHeight="1" x14ac:dyDescent="0.55000000000000004">
      <c r="B16" s="19" t="s">
        <v>97</v>
      </c>
      <c r="C16" s="20"/>
    </row>
    <row r="18" spans="2:3" x14ac:dyDescent="0.45">
      <c r="B18" s="18" t="s">
        <v>98</v>
      </c>
      <c r="C18" s="21" t="s">
        <v>99</v>
      </c>
    </row>
    <row r="19" spans="2:3" x14ac:dyDescent="0.45">
      <c r="B19" s="18" t="s">
        <v>13</v>
      </c>
      <c r="C19" s="21"/>
    </row>
    <row r="20" spans="2:3" x14ac:dyDescent="0.45">
      <c r="B20" s="18" t="s">
        <v>100</v>
      </c>
      <c r="C20" s="21">
        <v>250</v>
      </c>
    </row>
    <row r="25" spans="2:3" ht="32" customHeight="1" x14ac:dyDescent="0.45">
      <c r="B25" s="29" t="s">
        <v>101</v>
      </c>
      <c r="C25" s="25"/>
    </row>
    <row r="27" spans="2:3" ht="22.05" customHeight="1" x14ac:dyDescent="0.55000000000000004">
      <c r="B27" s="19" t="s">
        <v>102</v>
      </c>
      <c r="C27" s="20"/>
    </row>
    <row r="29" spans="2:3" x14ac:dyDescent="0.45">
      <c r="B29" s="18" t="s">
        <v>103</v>
      </c>
      <c r="C29" s="23" t="str">
        <f ca="1">IF(OR(CELL("filename",$A$1)="",LEFT(CELL("filename",$A$1),4)="http"),"",LEFT(CELL("filename",$A$1),FIND("[",CELL("filename",$A$1))-1))</f>
        <v/>
      </c>
    </row>
    <row r="33" spans="2:3" ht="17" customHeight="1" x14ac:dyDescent="0.45">
      <c r="B33" s="24" t="s">
        <v>104</v>
      </c>
      <c r="C33" s="25"/>
    </row>
    <row r="35" spans="2:3" ht="22.05" customHeight="1" x14ac:dyDescent="0.55000000000000004">
      <c r="B35" s="19" t="s">
        <v>105</v>
      </c>
      <c r="C35" s="20"/>
    </row>
    <row r="39" spans="2:3" ht="47" customHeight="1" x14ac:dyDescent="0.45">
      <c r="B39" s="24" t="s">
        <v>106</v>
      </c>
      <c r="C39" s="25"/>
    </row>
    <row r="41" spans="2:3" x14ac:dyDescent="0.45">
      <c r="B41" s="22" t="s">
        <v>107</v>
      </c>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D193015D-A7A5-4891-9CCB-352E86C754F8}">
      <formula1>"WI,IN,MI,MN (not wired),IL (not wired),OH (not wired)"</formula1>
    </dataValidation>
    <dataValidation type="whole" allowBlank="1" showInputMessage="1" showErrorMessage="1" error="Enter a whole number between 1 and 1000 ft." sqref="C20" xr:uid="{0C710D2D-9518-433E-ABE5-FA3E29E9A556}">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87C27-B7C1-46E8-B392-99A02B76706A}">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44387C27-B7C1-46E8-B392-99A02B76706A}"/>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D02F1560-2E94-4B45-8D2E-26F41F30B80A}">
      <formula1>-90</formula1>
      <formula2>90</formula2>
    </dataValidation>
    <dataValidation type="decimal" allowBlank="1" showInputMessage="1" showErrorMessage="1" error="Longitude must be between -180 and 180." sqref="F2:F501" xr:uid="{CF30FA44-1C9B-4DB5-920C-90A6B9EC907F}">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4EAB3-0799-442A-A1D6-1C2AC6EE47B3}">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3D8BA652-C996-4B36-A193-D4BCCF35AA80}"/>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AA8896EC-7603-45DB-93CC-DA475775DA8C}"/>
    <hyperlink ref="B9" r:id="rId3" xr:uid="{107115A2-AB26-4671-B50D-A4AD0B2A4FA0}"/>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1C50A0C2-7A24-4B19-A297-9511A4A6D9A2}"/>
    <hyperlink ref="B12" r:id="rId5" display="    Wisconsin Department of Transportation, Functional Classification (official page; static county and urban-area PDF maps - WisDOT publishes no statewide interactive map), available at: https://wisconsindot.gov/Pages/projects/data-plan/plan-res/function.aspx" xr:uid="{839060DA-E10E-4088-93A3-74724B7C396D}"/>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2653F253-37BC-4459-9E64-40FA6AFB69FB}"/>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C47399AE-2270-45B7-98F3-A3A0B0C70C4E}"/>
    <hyperlink ref="B16" r:id="rId8" xr:uid="{20D41ADA-29A4-4AD4-9945-B99AAF2F9A3C}"/>
    <hyperlink ref="B17" r:id="rId9" xr:uid="{1D8D3441-5AA5-4954-8E81-04D221597729}"/>
    <hyperlink ref="B19" r:id="rId10" xr:uid="{DEBD7D28-A6B8-4613-9A89-2F56782F6128}"/>
    <hyperlink ref="B20" r:id="rId11" xr:uid="{F2BD18C7-43FC-4534-948F-8476166AFBA4}"/>
    <hyperlink ref="B22" r:id="rId12" xr:uid="{5505A06E-9045-483A-B53E-79F22582784E}"/>
    <hyperlink ref="B23" r:id="rId13" xr:uid="{6FA5C8A4-F6F5-441F-8121-32F2162A71BB}"/>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2EF6C4DF-9B9A-4A03-947C-894CF1645CD0}"/>
    <hyperlink ref="B26" r:id="rId15" xr:uid="{F6EADECA-81B6-4047-92EC-35A786BE9BDC}"/>
    <hyperlink ref="B27" r:id="rId16" xr:uid="{81813E54-6715-4F41-A4A3-343FB5745466}"/>
    <hyperlink ref="B28" r:id="rId17" xr:uid="{42169B21-07C1-41D2-BDE7-62A16C7B6C4B}"/>
    <hyperlink ref="B66" r:id="rId18" xr:uid="{A98DC73D-DB72-4343-838B-688B4A5A38A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Start Here</vt:lpstr>
      <vt:lpstr>Sites</vt:lpstr>
      <vt:lpstr>Sources</vt:lpstr>
      <vt:lpstr>JobAgolMap</vt:lpstr>
      <vt:lpstr>JobBufferFeet</vt:lpstr>
      <vt:lpstr>JobOutputFolder</vt:lpstr>
      <vt:lpstr>JobState</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2026-07-14T16:20:13Z</dcterms:created>
  <dcterms:modified xsi:type="dcterms:W3CDTF">2026-07-14T16:21:23Z</dcterms:modified>
</cp:coreProperties>
</file>